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C:\fichamvp\"/>
    </mc:Choice>
  </mc:AlternateContent>
  <xr:revisionPtr revIDLastSave="0" documentId="13_ncr:1_{5CF28CD4-CDDD-43A6-A940-AF152E548940}" xr6:coauthVersionLast="47" xr6:coauthVersionMax="47" xr10:uidLastSave="{00000000-0000-0000-0000-000000000000}"/>
  <bookViews>
    <workbookView xWindow="-108" yWindow="-108" windowWidth="23256" windowHeight="13896" xr2:uid="{EA449ACF-0C56-4B46-94AD-6ADDF9E4766C}"/>
  </bookViews>
  <sheets>
    <sheet name="Ficha_territorial" sheetId="1" r:id="rId1"/>
    <sheet name="Proyectos AOD" sheetId="2" r:id="rId2"/>
    <sheet name="PROYECTOS TERRITORIO" sheetId="15" r:id="rId3"/>
    <sheet name="tablas DCI" sheetId="4" r:id="rId4"/>
    <sheet name="Contrapartida" sheetId="8" r:id="rId5"/>
    <sheet name="ColCol" sheetId="9" r:id="rId6"/>
    <sheet name="Cíclope" sheetId="11" r:id="rId7"/>
    <sheet name="datosproyectos" sheetId="12" r:id="rId8"/>
    <sheet name="gráficas" sheetId="14" r:id="rId9"/>
  </sheets>
  <definedNames>
    <definedName name="_xlpm.actoresDept" hidden="1" xlm="1">#NAME?</definedName>
    <definedName name="_xlpm.colActor" hidden="1" xlm="1">#NAME?</definedName>
    <definedName name="_xlpm.colDept" hidden="1" xlm="1">#NAME?</definedName>
    <definedName name="_xlpm.colMuni" hidden="1" xlm="1">#NAME?</definedName>
    <definedName name="_xlpm.datos" hidden="1" xlm="1">#NAME?</definedName>
    <definedName name="_xlpm.dept" hidden="1" xlm="1">#NAME?</definedName>
    <definedName name="_xlpm.depts" hidden="1" xlm="1">#NAME?</definedName>
    <definedName name="_xlpm.deptSel" hidden="1" xlm="1">#NAME?</definedName>
    <definedName name="_xlpm.enc" hidden="1" xlm="1">#NAME?</definedName>
    <definedName name="_xlpm.filas" hidden="1" xlm="1">#NAME?</definedName>
    <definedName name="_xlpm.hay" hidden="1" xlm="1">#NAME?</definedName>
    <definedName name="_xlpm.munisDept" hidden="1" xlm="1">#NAME?</definedName>
    <definedName name="_xlpm.vacia" hidden="1" xlm="1">#NAME?</definedName>
  </definedNames>
  <calcPr calcId="191029"/>
  <pivotCaches>
    <pivotCache cacheId="0" r:id="rId1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25" i="4" l="1" a="1"/>
  <c r="P25" i="4" s="1"/>
  <c r="Q3" i="4" a="1"/>
  <c r="Q3" i="4" s="1"/>
  <c r="Q4" i="4" a="1"/>
  <c r="Q4" i="4" s="1"/>
  <c r="Q5" i="4" a="1"/>
  <c r="Q5" i="4" s="1"/>
  <c r="Q6" i="4" a="1"/>
  <c r="Q6" i="4" s="1"/>
  <c r="Q7" i="4" a="1"/>
  <c r="Q7" i="4" s="1"/>
  <c r="Q8" i="4" a="1"/>
  <c r="Q8" i="4" s="1"/>
  <c r="Q9" i="4" a="1"/>
  <c r="Q9" i="4" s="1"/>
  <c r="Q10" i="4" a="1"/>
  <c r="Q10" i="4" s="1"/>
  <c r="Q11" i="4" a="1"/>
  <c r="Q11" i="4" s="1"/>
  <c r="Q12" i="4" a="1"/>
  <c r="Q12" i="4" s="1"/>
  <c r="Q13" i="4" a="1"/>
  <c r="Q13" i="4" s="1"/>
  <c r="Q14" i="4" a="1"/>
  <c r="Q14" i="4" s="1"/>
  <c r="Q15" i="4" a="1"/>
  <c r="Q15" i="4" s="1"/>
  <c r="Q16" i="4" a="1"/>
  <c r="Q16" i="4" s="1"/>
  <c r="Q17" i="4" a="1"/>
  <c r="Q17" i="4" s="1"/>
  <c r="Q18" i="4" a="1"/>
  <c r="Q18" i="4" s="1"/>
  <c r="Q19" i="4" a="1"/>
  <c r="Q19" i="4" s="1"/>
  <c r="Q20" i="4" a="1"/>
  <c r="Q20" i="4" s="1"/>
  <c r="Q21" i="4" a="1"/>
  <c r="Q21" i="4" s="1"/>
  <c r="Q22" i="4" a="1"/>
  <c r="Q22" i="4" s="1"/>
  <c r="Q23" i="4" a="1"/>
  <c r="Q23" i="4" s="1"/>
  <c r="Q24" i="4" a="1"/>
  <c r="Q24" i="4" s="1"/>
  <c r="Q25" i="4" a="1"/>
  <c r="Q25" i="4" s="1"/>
  <c r="Q26" i="4" a="1"/>
  <c r="Q26" i="4" s="1"/>
  <c r="Q27" i="4" a="1"/>
  <c r="Q27" i="4" s="1"/>
  <c r="Q28" i="4" a="1"/>
  <c r="Q28" i="4" s="1"/>
  <c r="Q29" i="4" a="1"/>
  <c r="Q29" i="4" s="1"/>
  <c r="Q30" i="4" a="1"/>
  <c r="Q30" i="4" s="1"/>
  <c r="Q31" i="4" a="1"/>
  <c r="Q31" i="4" s="1"/>
  <c r="Q32" i="4" a="1"/>
  <c r="Q32" i="4" s="1"/>
  <c r="Q33" i="4" a="1"/>
  <c r="Q33" i="4" s="1"/>
  <c r="Q34" i="4" a="1"/>
  <c r="Q34" i="4" s="1"/>
  <c r="Q2" i="4" a="1"/>
  <c r="Q2" i="4" s="1"/>
  <c r="D43" i="1" l="1"/>
  <c r="C75" i="1" a="1"/>
  <c r="C75" i="1" s="1"/>
  <c r="D42" i="1" a="1"/>
  <c r="D42" i="1" s="1"/>
  <c r="D41" i="1" a="1"/>
  <c r="D41" i="1" s="1"/>
  <c r="A7" i="2" a="1"/>
  <c r="A7" i="2" s="1"/>
  <c r="D40" i="1" a="1"/>
  <c r="D40" i="1" s="1"/>
  <c r="O28" i="9"/>
  <c r="O3" i="9"/>
  <c r="O4" i="9"/>
  <c r="O5" i="9"/>
  <c r="O6" i="9"/>
  <c r="O7" i="9"/>
  <c r="O8" i="9"/>
  <c r="O9" i="9"/>
  <c r="O10" i="9"/>
  <c r="O11" i="9"/>
  <c r="O12" i="9"/>
  <c r="O13" i="9"/>
  <c r="O14" i="9"/>
  <c r="O15" i="9"/>
  <c r="O16" i="9"/>
  <c r="O17" i="9"/>
  <c r="O18" i="9"/>
  <c r="O19" i="9"/>
  <c r="O20" i="9"/>
  <c r="O21" i="9"/>
  <c r="O22" i="9"/>
  <c r="O23" i="9"/>
  <c r="O24" i="9"/>
  <c r="O25" i="9"/>
  <c r="O26" i="9"/>
  <c r="O27" i="9"/>
  <c r="O2" i="9"/>
  <c r="D33" i="1" a="1"/>
  <c r="D33" i="1" s="1"/>
  <c r="P2" i="4" a="1"/>
  <c r="P2" i="4" s="1"/>
  <c r="P3" i="4" a="1"/>
  <c r="P3" i="4" s="1"/>
  <c r="P4" i="4" a="1"/>
  <c r="P4" i="4" s="1"/>
  <c r="P5" i="4" a="1"/>
  <c r="P5" i="4" s="1"/>
  <c r="P6" i="4" a="1"/>
  <c r="P6" i="4" s="1"/>
  <c r="P7" i="4" a="1"/>
  <c r="P7" i="4" s="1"/>
  <c r="P8" i="4" a="1"/>
  <c r="P8" i="4" s="1"/>
  <c r="P9" i="4" a="1"/>
  <c r="P9" i="4" s="1"/>
  <c r="P10" i="4" a="1"/>
  <c r="P10" i="4" s="1"/>
  <c r="P11" i="4" a="1"/>
  <c r="P11" i="4" s="1"/>
  <c r="P12" i="4" a="1"/>
  <c r="P12" i="4" s="1"/>
  <c r="P13" i="4" a="1"/>
  <c r="P13" i="4" s="1"/>
  <c r="P14" i="4" a="1"/>
  <c r="P14" i="4" s="1"/>
  <c r="P15" i="4" a="1"/>
  <c r="P15" i="4" s="1"/>
  <c r="P16" i="4" a="1"/>
  <c r="P16" i="4" s="1"/>
  <c r="P17" i="4" a="1"/>
  <c r="P17" i="4" s="1"/>
  <c r="P18" i="4" a="1"/>
  <c r="P18" i="4" s="1"/>
  <c r="P19" i="4" a="1"/>
  <c r="P19" i="4" s="1"/>
  <c r="P20" i="4" a="1"/>
  <c r="P20" i="4" s="1"/>
  <c r="P21" i="4" a="1"/>
  <c r="P21" i="4" s="1"/>
  <c r="P22" i="4" a="1"/>
  <c r="P22" i="4" s="1"/>
  <c r="P23" i="4" a="1"/>
  <c r="P23" i="4" s="1"/>
  <c r="P24" i="4" a="1"/>
  <c r="P24" i="4" s="1"/>
  <c r="P26" i="4" a="1"/>
  <c r="P26" i="4" s="1"/>
  <c r="P27" i="4" a="1"/>
  <c r="P27" i="4" s="1"/>
  <c r="P28" i="4" a="1"/>
  <c r="P28" i="4" s="1"/>
  <c r="P29" i="4" a="1"/>
  <c r="P29" i="4" s="1"/>
  <c r="P30" i="4" a="1"/>
  <c r="P30" i="4" s="1"/>
  <c r="P31" i="4" a="1"/>
  <c r="P31" i="4" s="1"/>
  <c r="P32" i="4" a="1"/>
  <c r="P32" i="4" s="1"/>
  <c r="P33" i="4" a="1"/>
  <c r="P33" i="4" s="1"/>
  <c r="P34" i="4" a="1"/>
  <c r="P34" i="4" s="1"/>
  <c r="O2" i="4" a="1"/>
  <c r="O2" i="4" s="1"/>
  <c r="O3" i="4" a="1"/>
  <c r="O3" i="4" s="1"/>
  <c r="O4" i="4" a="1"/>
  <c r="O4" i="4" s="1"/>
  <c r="O5" i="4" a="1"/>
  <c r="O5" i="4" s="1"/>
  <c r="O6" i="4" a="1"/>
  <c r="O6" i="4" s="1"/>
  <c r="O7" i="4" a="1"/>
  <c r="O7" i="4" s="1"/>
  <c r="O8" i="4" a="1"/>
  <c r="O8" i="4"/>
  <c r="O9" i="4" a="1"/>
  <c r="O9" i="4" s="1"/>
  <c r="O10" i="4" a="1"/>
  <c r="O10" i="4" s="1"/>
  <c r="O11" i="4" a="1"/>
  <c r="O11" i="4" s="1"/>
  <c r="O12" i="4" a="1"/>
  <c r="O12" i="4" s="1"/>
  <c r="O13" i="4" a="1"/>
  <c r="O13" i="4" s="1"/>
  <c r="O14" i="4" a="1"/>
  <c r="O14" i="4"/>
  <c r="O15" i="4" a="1"/>
  <c r="O15" i="4" s="1"/>
  <c r="O16" i="4" a="1"/>
  <c r="O16" i="4" s="1"/>
  <c r="O17" i="4" a="1"/>
  <c r="O17" i="4" s="1"/>
  <c r="O18" i="4" a="1"/>
  <c r="O18" i="4" s="1"/>
  <c r="O19" i="4" a="1"/>
  <c r="O19" i="4" s="1"/>
  <c r="O20" i="4" a="1"/>
  <c r="O20" i="4" s="1"/>
  <c r="O21" i="4" a="1"/>
  <c r="O21" i="4" s="1"/>
  <c r="O22" i="4" a="1"/>
  <c r="O22" i="4" s="1"/>
  <c r="O23" i="4" a="1"/>
  <c r="O23" i="4" s="1"/>
  <c r="O24" i="4" a="1"/>
  <c r="O24" i="4" s="1"/>
  <c r="O25" i="4" a="1"/>
  <c r="O25" i="4" s="1"/>
  <c r="O26" i="4" a="1"/>
  <c r="O26" i="4" s="1"/>
  <c r="O27" i="4" a="1"/>
  <c r="O27" i="4" s="1"/>
  <c r="O28" i="4" a="1"/>
  <c r="O28" i="4" s="1"/>
  <c r="O29" i="4" a="1"/>
  <c r="O29" i="4" s="1"/>
  <c r="O30" i="4" a="1"/>
  <c r="O30" i="4" s="1"/>
  <c r="O31" i="4" a="1"/>
  <c r="O31" i="4" s="1"/>
  <c r="O32" i="4" a="1"/>
  <c r="O32" i="4" s="1"/>
  <c r="O33" i="4" a="1"/>
  <c r="O33" i="4" s="1"/>
  <c r="O34" i="4" a="1"/>
  <c r="O34" i="4" s="1"/>
  <c r="N2" i="4" a="1"/>
  <c r="N2" i="4" s="1"/>
  <c r="N3" i="4" a="1"/>
  <c r="N3" i="4" s="1"/>
  <c r="N4" i="4" a="1"/>
  <c r="N4" i="4" s="1"/>
  <c r="N5" i="4" a="1"/>
  <c r="N5" i="4" s="1"/>
  <c r="N6" i="4" a="1"/>
  <c r="N6" i="4" s="1"/>
  <c r="N7" i="4" a="1"/>
  <c r="N7" i="4"/>
  <c r="N8" i="4" a="1"/>
  <c r="N8" i="4" s="1"/>
  <c r="N9" i="4" a="1"/>
  <c r="N9" i="4" s="1"/>
  <c r="N10" i="4" a="1"/>
  <c r="N10" i="4" s="1"/>
  <c r="N11" i="4" a="1"/>
  <c r="N11" i="4" s="1"/>
  <c r="N12" i="4" a="1"/>
  <c r="N12" i="4" s="1"/>
  <c r="N13" i="4" a="1"/>
  <c r="N13" i="4" s="1"/>
  <c r="N14" i="4" a="1"/>
  <c r="N14" i="4" s="1"/>
  <c r="N15" i="4" a="1"/>
  <c r="N15" i="4" s="1"/>
  <c r="N16" i="4" a="1"/>
  <c r="N16" i="4" s="1"/>
  <c r="N17" i="4" a="1"/>
  <c r="N17" i="4" s="1"/>
  <c r="N18" i="4" a="1"/>
  <c r="N18" i="4" s="1"/>
  <c r="N19" i="4" a="1"/>
  <c r="N19" i="4" s="1"/>
  <c r="N20" i="4" a="1"/>
  <c r="N20" i="4" s="1"/>
  <c r="N21" i="4" a="1"/>
  <c r="N21" i="4" s="1"/>
  <c r="N22" i="4" a="1"/>
  <c r="N22" i="4" s="1"/>
  <c r="N23" i="4" a="1"/>
  <c r="N23" i="4" s="1"/>
  <c r="N24" i="4" a="1"/>
  <c r="N24" i="4" s="1"/>
  <c r="N25" i="4" a="1"/>
  <c r="N25" i="4" s="1"/>
  <c r="N26" i="4" a="1"/>
  <c r="N26" i="4" s="1"/>
  <c r="N27" i="4" a="1"/>
  <c r="N27" i="4" s="1"/>
  <c r="N28" i="4" a="1"/>
  <c r="N28" i="4" s="1"/>
  <c r="N29" i="4" a="1"/>
  <c r="N29" i="4" s="1"/>
  <c r="N30" i="4" a="1"/>
  <c r="N30" i="4" s="1"/>
  <c r="N31" i="4" a="1"/>
  <c r="N31" i="4" s="1"/>
  <c r="N32" i="4" a="1"/>
  <c r="N32" i="4" s="1"/>
  <c r="N33" i="4" a="1"/>
  <c r="N33" i="4" s="1"/>
  <c r="N34" i="4" a="1"/>
  <c r="N34" i="4" s="1"/>
  <c r="D24" i="1" a="1"/>
  <c r="D24" i="1" s="1"/>
  <c r="D23" i="1" a="1"/>
  <c r="D23" i="1" s="1"/>
  <c r="D22" i="1" a="1"/>
  <c r="D22" i="1" s="1"/>
  <c r="D21" i="1" a="1"/>
  <c r="D21" i="1" s="1"/>
  <c r="D20" i="1" a="1"/>
  <c r="D20" i="1" s="1"/>
  <c r="D19" i="1" a="1"/>
  <c r="D19" i="1" s="1"/>
  <c r="D18" i="1" a="1"/>
  <c r="D18" i="1" s="1"/>
  <c r="D17" i="1" a="1"/>
  <c r="D17" i="1" s="1"/>
  <c r="C65" i="1" l="1" a="1"/>
  <c r="C65" i="1" s="1"/>
  <c r="D31" i="1" a="1"/>
  <c r="D31" i="1" s="1"/>
  <c r="D30" i="1" a="1"/>
  <c r="D30" i="1" s="1"/>
  <c r="D32" i="1" a="1"/>
  <c r="D32"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<sst xmlns="http://schemas.openxmlformats.org/spreadsheetml/2006/main" count="70843" uniqueCount="2736">
  <si>
    <t>Divipola</t>
  </si>
  <si>
    <t>Departamento</t>
  </si>
  <si>
    <t>Capital</t>
  </si>
  <si>
    <t>Número de Municipios</t>
  </si>
  <si>
    <t>Población</t>
  </si>
  <si>
    <t>Región</t>
  </si>
  <si>
    <t>Dependencia de Cooperación</t>
  </si>
  <si>
    <t>Correo del enlace de Cooperación</t>
  </si>
  <si>
    <t>Nombre del Alcalde ciudad capital</t>
  </si>
  <si>
    <t>Correo Alcaldía</t>
  </si>
  <si>
    <t>Correo del Gobernador</t>
  </si>
  <si>
    <t>ANTIOQUIA</t>
  </si>
  <si>
    <t>MEDELLÍN</t>
  </si>
  <si>
    <t>EJE CAFETERO Y ANTIOQUIA</t>
  </si>
  <si>
    <t>SI</t>
  </si>
  <si>
    <t>Federico Gutiérrez</t>
  </si>
  <si>
    <t>N/R</t>
  </si>
  <si>
    <t>Andrés Julián Rendón</t>
  </si>
  <si>
    <t>ATLÁNTICO</t>
  </si>
  <si>
    <t>BARRANQUILLA</t>
  </si>
  <si>
    <t>CARIBE</t>
  </si>
  <si>
    <t>Katherine Andrea Diartt Pombo</t>
  </si>
  <si>
    <t>kdiartt@atlantico.gov.co</t>
  </si>
  <si>
    <t>Alejandro Char Chaljub</t>
  </si>
  <si>
    <t>atencionalciudadano@barranquilla.gov.co</t>
  </si>
  <si>
    <t>mandatario@atlantico.gov.co</t>
  </si>
  <si>
    <t>BOGOTÁ, D.C.</t>
  </si>
  <si>
    <t>CENTRAL</t>
  </si>
  <si>
    <t>CARLOS FERNANDO GALAN PACHON</t>
  </si>
  <si>
    <t>N/A</t>
  </si>
  <si>
    <t>BOLÍVAR</t>
  </si>
  <si>
    <t>Fernando Matute Turizo</t>
  </si>
  <si>
    <t>cooperacion@bolivar.gov.co</t>
  </si>
  <si>
    <t>Dumek Turbay Paz</t>
  </si>
  <si>
    <t>alcalde@cartagena.gov.co</t>
  </si>
  <si>
    <t>Yamil Arana Padauí</t>
  </si>
  <si>
    <t>gobernador@bolivar.gov.co</t>
  </si>
  <si>
    <t>BOYACÁ</t>
  </si>
  <si>
    <t>TUNJA</t>
  </si>
  <si>
    <t>MIKHAIL KRASNOV</t>
  </si>
  <si>
    <t>CALDAS</t>
  </si>
  <si>
    <t>MANIZALES</t>
  </si>
  <si>
    <t>jdcifuentes@caldas.gov.co</t>
  </si>
  <si>
    <t>Jorge Eduardo Rojas</t>
  </si>
  <si>
    <t>Henry Gutiérrez</t>
  </si>
  <si>
    <t>CAQUETÁ</t>
  </si>
  <si>
    <t>FLORENCIA</t>
  </si>
  <si>
    <t>AMAZONÍA</t>
  </si>
  <si>
    <t>NO</t>
  </si>
  <si>
    <t>Ana María Ruiz</t>
  </si>
  <si>
    <t>cooperacion@caqueta.gov.co</t>
  </si>
  <si>
    <t>Marlon Monsalve</t>
  </si>
  <si>
    <t>despacho@florencia-caqueta.gov.co</t>
  </si>
  <si>
    <t>Luis Francisco Ruíz Aguilar</t>
  </si>
  <si>
    <t>gobernador@caqueta.gov.co</t>
  </si>
  <si>
    <t>CAUCA</t>
  </si>
  <si>
    <t>POPAYÁN</t>
  </si>
  <si>
    <t>PACÍFICA</t>
  </si>
  <si>
    <t>Vicente Otero</t>
  </si>
  <si>
    <t>cooperación@cauca.gov.co</t>
  </si>
  <si>
    <t>Carlos Muñoz Bravo</t>
  </si>
  <si>
    <t>CESAR</t>
  </si>
  <si>
    <t>Julio Andrés Morón Ovalle</t>
  </si>
  <si>
    <t>Ernesto Miguel Orozco Durán</t>
  </si>
  <si>
    <t>alcaldia@valledupar-cesar.gov.co</t>
  </si>
  <si>
    <t>Elvia Milena Sanjuán Dávila</t>
  </si>
  <si>
    <t>CÓRDOBA</t>
  </si>
  <si>
    <t>MONTERÍA</t>
  </si>
  <si>
    <t>Boris Felipe Zapata</t>
  </si>
  <si>
    <t>boris.zapata@cordoba.gov.co</t>
  </si>
  <si>
    <t>Hugo Fernando Kerguelén García</t>
  </si>
  <si>
    <t>despachoalcalde@monteria.gov.co</t>
  </si>
  <si>
    <t>Erasmo Elías Zuleta Bechara</t>
  </si>
  <si>
    <t>gobernador@cordoba.gov.co</t>
  </si>
  <si>
    <t>CUNDINAMARCA</t>
  </si>
  <si>
    <t>magda.nunez@cundinamarca.gov.co</t>
  </si>
  <si>
    <t>CHOCÓ</t>
  </si>
  <si>
    <t>QUIBDÓ</t>
  </si>
  <si>
    <t>Jayr Alfredo Blandón</t>
  </si>
  <si>
    <t>Andrés Bolaños Pino</t>
  </si>
  <si>
    <t>Nubia Carolina Córdoba</t>
  </si>
  <si>
    <t>infogabinete@choco.gov.co</t>
  </si>
  <si>
    <t>HUILA</t>
  </si>
  <si>
    <t>NEIVA</t>
  </si>
  <si>
    <t>natalia.ortiz1108@gmail.com</t>
  </si>
  <si>
    <t>German Casagua Bonilla</t>
  </si>
  <si>
    <t xml:space="preserve">	german.casagua@alcaldianeiva.gov.co</t>
  </si>
  <si>
    <t>Rodrigo Villalba Mosquera</t>
  </si>
  <si>
    <t>gobernador@huila.gov.co</t>
  </si>
  <si>
    <t>LA GUAJIRA</t>
  </si>
  <si>
    <t>RIOHACHA</t>
  </si>
  <si>
    <t>Genaro Redondo</t>
  </si>
  <si>
    <t>agendagenaroredondo@gmail.com</t>
  </si>
  <si>
    <t>Jairo Alfonso Aguilar Deluque</t>
  </si>
  <si>
    <t>jairo.aguilar@laguajira.gov.co</t>
  </si>
  <si>
    <t>MAGDALENA</t>
  </si>
  <si>
    <t>SANTA MARTA</t>
  </si>
  <si>
    <t>Fabián Bolaño</t>
  </si>
  <si>
    <t>despacho@magdalena.gov.co</t>
  </si>
  <si>
    <t>Carlos Alberto Pinedo Cuello</t>
  </si>
  <si>
    <t>alcalde@santamarta.gov.co</t>
  </si>
  <si>
    <t>Rafael Antonio Alejandro Martínez</t>
  </si>
  <si>
    <t>META</t>
  </si>
  <si>
    <t>VILLAVICENCIO</t>
  </si>
  <si>
    <t>LLANOS/ ORINOQUIA</t>
  </si>
  <si>
    <t>Alejandro Nossa Pachón</t>
  </si>
  <si>
    <t>gerenciactei@meta.gov.co</t>
  </si>
  <si>
    <t xml:space="preserve">Alexander Baquero Sanabria 
</t>
  </si>
  <si>
    <t>alcaldia@villavicencio.gov.co
privada@villavicencio.gov.co</t>
  </si>
  <si>
    <t xml:space="preserve">Rafaela Cortés Zambrano 
</t>
  </si>
  <si>
    <t>NARIÑO</t>
  </si>
  <si>
    <t>PASTO</t>
  </si>
  <si>
    <t>cooperacioninternacional@narino.gov.co</t>
  </si>
  <si>
    <t xml:space="preserve">Nicolás Martín Torres </t>
  </si>
  <si>
    <t>Luis Alfonso Escobar Jaramillo</t>
  </si>
  <si>
    <t>despacho@narino.gov.co</t>
  </si>
  <si>
    <t>NORTE DE SANTANDER</t>
  </si>
  <si>
    <t>SAN JOSÉ DE CÚCUTA</t>
  </si>
  <si>
    <t>JORGE ENRIQUE ACEVEDO PEÑALOZA</t>
  </si>
  <si>
    <t> notificaciones_judiciales@cucuta.gov.co</t>
  </si>
  <si>
    <t> gobernacion@nortedesantander.gov.co.</t>
  </si>
  <si>
    <t>QUINDÍO</t>
  </si>
  <si>
    <t>ARMENIA</t>
  </si>
  <si>
    <t>James Padilla</t>
  </si>
  <si>
    <t>Juan Miguel Galvis</t>
  </si>
  <si>
    <t>RISARALDA</t>
  </si>
  <si>
    <t>PEREIRA</t>
  </si>
  <si>
    <t>Mauricio Salazar Peláez</t>
  </si>
  <si>
    <t>Juan Diego Patiño Ochoa</t>
  </si>
  <si>
    <t>SANTANDER</t>
  </si>
  <si>
    <t>BUCARAMANGA</t>
  </si>
  <si>
    <t>JAIME ANDRES BELTRAN MARTINEZ</t>
  </si>
  <si>
    <t> contactenos@bucaramanga.gov.co</t>
  </si>
  <si>
    <t>info@santander.gov.co</t>
  </si>
  <si>
    <t>SUCRE</t>
  </si>
  <si>
    <t>SINCELEJO</t>
  </si>
  <si>
    <t>Yahir Fernando Acuña Cardales</t>
  </si>
  <si>
    <t>fabio.araque@sincelejo.gov.co</t>
  </si>
  <si>
    <t>Lucy García Montes</t>
  </si>
  <si>
    <t>gobernador@sucre.gov.co</t>
  </si>
  <si>
    <t>TOLIMA</t>
  </si>
  <si>
    <t>IBAGUÉ</t>
  </si>
  <si>
    <t>Johana Ximena Aranda</t>
  </si>
  <si>
    <t>alcaldesa@ibague.gov.co</t>
  </si>
  <si>
    <t>Adriana Magali Matiz</t>
  </si>
  <si>
    <t>VALLE DEL CAUCA</t>
  </si>
  <si>
    <t>SANTIAGO DE CALI</t>
  </si>
  <si>
    <t>Daniel Alberto Medina</t>
  </si>
  <si>
    <t xml:space="preserve">Alejandro Eder Garcés </t>
  </si>
  <si>
    <t>Dilian Francisca Toro</t>
  </si>
  <si>
    <t>dilianfranciscabbid@gmail.com</t>
  </si>
  <si>
    <t>ARAUCA</t>
  </si>
  <si>
    <t>Fanny Romero</t>
  </si>
  <si>
    <t xml:space="preserve">Juan Alfredo Quenza Ramos 
</t>
  </si>
  <si>
    <t xml:space="preserve">Renson Jesús Martínez Prada </t>
  </si>
  <si>
    <t>CASANARE</t>
  </si>
  <si>
    <t>YOPAL</t>
  </si>
  <si>
    <t>Sergio Solarte</t>
  </si>
  <si>
    <t xml:space="preserve">Marco Tulio Ruiz Riaño 
</t>
  </si>
  <si>
    <t xml:space="preserve">secredespacho@yopal-casanare.gov.co
segobierno@yopal-casanare.gov.co
contactenos@yopal-casanare.gov.co
</t>
  </si>
  <si>
    <t xml:space="preserve">César Ortiz Zorro 
</t>
  </si>
  <si>
    <t>PUTUMAYO</t>
  </si>
  <si>
    <t>MOCOA</t>
  </si>
  <si>
    <t>Carlos Hugo Piedrahita Pérez</t>
  </si>
  <si>
    <t>despachoalcalde@mocoa-putumayo.gov.co</t>
  </si>
  <si>
    <t>Jhon Gabriel Molina Acosta</t>
  </si>
  <si>
    <t>ARCHIPIÉLAGO DE SAN ANDRÉS, PROVIDENCIA Y SANTA CATALINA</t>
  </si>
  <si>
    <t>Lorena Aldana</t>
  </si>
  <si>
    <t>gobernador@sanandres.gov.vo</t>
  </si>
  <si>
    <t>AMAZONAS</t>
  </si>
  <si>
    <t>LETICIA</t>
  </si>
  <si>
    <t>cooperacioninternacional@amazonas.gov.co</t>
  </si>
  <si>
    <t xml:space="preserve">Elquin Jadrian Uní Heredia </t>
  </si>
  <si>
    <t>alcaldia@leticia-amazonas.gov.co</t>
  </si>
  <si>
    <t xml:space="preserve">Óscar Enrique Sánchez Guerrero </t>
  </si>
  <si>
    <t>GUAINÍA</t>
  </si>
  <si>
    <t>INÍRIDA</t>
  </si>
  <si>
    <t xml:space="preserve">Arturo Alexander Sánchez </t>
  </si>
  <si>
    <t>Escobaralcaldia@inirida-guainia.gov.co</t>
  </si>
  <si>
    <t xml:space="preserve">Arnulfo Rivera Naranjo  </t>
  </si>
  <si>
    <t>contactenos@guainia.gov.co</t>
  </si>
  <si>
    <t>GUAVIARE</t>
  </si>
  <si>
    <t>SAN JOSÉ DEL GUAVIARE</t>
  </si>
  <si>
    <t xml:space="preserve">Willy Alejandro Rodriguez Rojas </t>
  </si>
  <si>
    <t>alcaldia@sanjosedelguaviare-guaviare.gov.co
alcaldiasjg@gmail.com</t>
  </si>
  <si>
    <t xml:space="preserve">Yeison Ferney Rojas Martínez </t>
  </si>
  <si>
    <t>gobernacion@guaviare.gov.co</t>
  </si>
  <si>
    <t>VAUPÉS</t>
  </si>
  <si>
    <t>Marco Alirio Porras</t>
  </si>
  <si>
    <t>despachoalcalde@mitu-vaupes.gov.co</t>
  </si>
  <si>
    <t>gobernacion@vaupes.gov.co</t>
  </si>
  <si>
    <t>VICHADA</t>
  </si>
  <si>
    <t>PUERTO CARREÑO</t>
  </si>
  <si>
    <t>LLANOS /ORINOQUIA</t>
  </si>
  <si>
    <t>camiloarevalobellizzia@hotmail.com</t>
  </si>
  <si>
    <t xml:space="preserve">Fulberto Guevara </t>
  </si>
  <si>
    <t>despacho@vichada.gov.co</t>
  </si>
  <si>
    <t>Esmeralda Rojas Núñez, Mario Alberto Pérez Mosos</t>
  </si>
  <si>
    <t>Brayann Alexander Álvarez Pérez, Ximena Manzano</t>
  </si>
  <si>
    <t>Karen Johanna Sánchez Parra, Javier Adolfo Quiñones Silva</t>
  </si>
  <si>
    <t>Jhony Ferney Pinto Serafín, Yineth Stefany Orduz Riveros </t>
  </si>
  <si>
    <t>Carlos Orlando Linares Burgos, María Fernanda Bolaños, Yuri Castillo</t>
  </si>
  <si>
    <t>María Del Pilar Giraldo Ramírez, Nayith Ruiz Campuzano</t>
  </si>
  <si>
    <t>Carlos Quintero, Julio Orellano</t>
  </si>
  <si>
    <t>Andrea Guancha</t>
  </si>
  <si>
    <t>Ricardo Fuenmayor Acosta</t>
  </si>
  <si>
    <t>Nombre enlace cooperación</t>
  </si>
  <si>
    <t>ana.rojas@boyaca.gov.co, claudia.martinez@boyaca.gov.co, cooperacion.casadeboyaca@boyaca.gov.co</t>
  </si>
  <si>
    <t>direccion.asuntosinternacionales@tolima.gov.co, mariadelpilargira@gmail.com, nayith.ruiz@tolima.gov.co</t>
  </si>
  <si>
    <t>carlos.linares@putumayo.gov.co, comproductividad@putumayo.gov.co, fronterasputumayo@gmail.com</t>
  </si>
  <si>
    <t>ccti@guaviare.gov.co, dapg@guaviare.gov.co</t>
  </si>
  <si>
    <t>jgcastrob@alcaldiabogota.gov.co</t>
  </si>
  <si>
    <t>asuntosinterinstitucionales@cesar.gov.co</t>
  </si>
  <si>
    <t>infogabinete@choco.gov.co, cooperaciongobernacionchoco@gmail.com, jablandon@choco.gov.co</t>
  </si>
  <si>
    <t>cooperacion@laguajira.gov.co</t>
  </si>
  <si>
    <t>kimberly.labarca@nortedesantander.gov.co, nassire.brahim@gmail.com, secfronteras@nortedesantander.gov.co</t>
  </si>
  <si>
    <t>casaquindio@quindio.gov.co, casaquindio@gobernacionquindio.gov.co</t>
  </si>
  <si>
    <t>lujoma29@gmail.com, infanciadolescencia@arauca.gov.co</t>
  </si>
  <si>
    <t>rensonmartinez@hotmail.com, gestiondespacho@arauca.gov.co, gobierno@arauca.gov.co</t>
  </si>
  <si>
    <t>cooperacioninternacional@casanare.gov.co, sergio.solarte@casanare.gov.co</t>
  </si>
  <si>
    <t>secretariaagricultura@guainia.gov.co, javieradolfoquinonessilva@gmail.com, gabrielaropediaz@gmail.com</t>
  </si>
  <si>
    <t>planeaciondepartamental@vaupes.gov.co, ordenamientoterritorial@vaupes.gov.co</t>
  </si>
  <si>
    <t>ln.aserrano@santander.gov.co, cooperacioninternacional@santander.gov.co</t>
  </si>
  <si>
    <t>cooperacion@gobsucre.gov.co, ricfuenmayor@gmail.com</t>
  </si>
  <si>
    <t>cooperacion.internacional@risaralda.gov.co</t>
  </si>
  <si>
    <t>contactenos@tolima.gov.co</t>
  </si>
  <si>
    <t>internacionalizacion@valledelcauca.gov.co</t>
  </si>
  <si>
    <t>cooperaciongobersai@gmail.com</t>
  </si>
  <si>
    <t>despacho@amazonas.gov.co</t>
  </si>
  <si>
    <t>CARTAGENA DE INDIAS</t>
  </si>
  <si>
    <t>SAN ANDRÉS</t>
  </si>
  <si>
    <t>alcaldia@arauca-arauca.gov.co, secretaria_despacho@arauca-arauca.gov.co</t>
  </si>
  <si>
    <t>MITÚ</t>
  </si>
  <si>
    <t>VALLEDUPAR</t>
  </si>
  <si>
    <t>Andreina Serrano</t>
  </si>
  <si>
    <t>Jorge Cifuentes</t>
  </si>
  <si>
    <t>Mario Fernando Lima Vela</t>
  </si>
  <si>
    <t>camilo.tamayo@antioquia.gov.co, ney.arrieta@antioquia.gov.co</t>
  </si>
  <si>
    <t>Eduardo Verano De La Rosa</t>
  </si>
  <si>
    <t>William Villamizar Laguado</t>
  </si>
  <si>
    <t>Juvenal Diaz Mateus</t>
  </si>
  <si>
    <t>Nombre gobernador</t>
  </si>
  <si>
    <t>Kimberly Labarca, Nassire Brahim</t>
  </si>
  <si>
    <t>Carlos Andrés Amaya Rodríguez</t>
  </si>
  <si>
    <t>Octavio Guzmán</t>
  </si>
  <si>
    <t>Jorge Emilio Rey Ángel</t>
  </si>
  <si>
    <t>Nicolás Gallardo Vásquez</t>
  </si>
  <si>
    <t xml:space="preserve">Luis Alfredo Gutiérrez García </t>
  </si>
  <si>
    <t xml:space="preserve">Jaime Ariel Rodríguez </t>
  </si>
  <si>
    <t>Ney Arrieta Jiménez, Camilo Tamayo</t>
  </si>
  <si>
    <t>Ana María Rojas Villamil, Claudia Isabel Martínez Durán</t>
  </si>
  <si>
    <t>Magda Paola Núñez Gantiva</t>
  </si>
  <si>
    <t>Natalia Alejandra Ortiz Valderrama</t>
  </si>
  <si>
    <t>Stella Villa Hoyos, Julián Londoño</t>
  </si>
  <si>
    <t>Camilo Arévalo</t>
  </si>
  <si>
    <t>Juan Guillermo Castro Benedetti</t>
  </si>
  <si>
    <t>gobierno@cesar.gov.co, inge-moron@hotmail.com</t>
  </si>
  <si>
    <t>gobernador@meta.gov.co, privada@meta.gov.co, competitividad@meta.gov.co</t>
  </si>
  <si>
    <t>despacho@casanare.gov.co, privada@casanare.gov.co</t>
  </si>
  <si>
    <t>guzmandespacho@puertocarreno-vichada.gov.co</t>
  </si>
  <si>
    <t>Nombre del gobernador</t>
  </si>
  <si>
    <t>Correo</t>
  </si>
  <si>
    <t>Nombre del enlace</t>
  </si>
  <si>
    <t>Dependencia encargada CI</t>
  </si>
  <si>
    <t>Número de proyectos en ejecución</t>
  </si>
  <si>
    <t>Número de cooperantes en el territorio</t>
  </si>
  <si>
    <t>Número de municipios intervenidos</t>
  </si>
  <si>
    <t>¿Cuenta con plan de trabajo?</t>
  </si>
  <si>
    <t>¿Tiene capítulos especiales?</t>
  </si>
  <si>
    <t>¿Cuáles?</t>
  </si>
  <si>
    <t>Nombre del proyecto</t>
  </si>
  <si>
    <t>Implementador</t>
  </si>
  <si>
    <t>Financiador</t>
  </si>
  <si>
    <t>Plan de trabajo</t>
  </si>
  <si>
    <t>Capítulo especial</t>
  </si>
  <si>
    <t>Cuál</t>
  </si>
  <si>
    <t>no</t>
  </si>
  <si>
    <t>No</t>
  </si>
  <si>
    <t>n/a</t>
  </si>
  <si>
    <t>sí</t>
  </si>
  <si>
    <t>Arauca</t>
  </si>
  <si>
    <t>Barranquilla</t>
  </si>
  <si>
    <t>Bolívar</t>
  </si>
  <si>
    <t>Cartagena</t>
  </si>
  <si>
    <t>Caldas</t>
  </si>
  <si>
    <t>Manizales</t>
  </si>
  <si>
    <t>Córdoba</t>
  </si>
  <si>
    <t>Nariño</t>
  </si>
  <si>
    <t>Risaralda</t>
  </si>
  <si>
    <t>Sucre</t>
  </si>
  <si>
    <t>NOMBRE INTERVENCION</t>
  </si>
  <si>
    <t>OBJETIVO GENERAL</t>
  </si>
  <si>
    <t>FECHA FINAL</t>
  </si>
  <si>
    <t>DEPARTAMENTO</t>
  </si>
  <si>
    <t>MUNICIPIO</t>
  </si>
  <si>
    <t>ORIGEN DEL ACTOR</t>
  </si>
  <si>
    <t>NOMBRE ACTOR</t>
  </si>
  <si>
    <t>ROLES APORTE</t>
  </si>
  <si>
    <t>ENCI PRIMER NIVEL</t>
  </si>
  <si>
    <t>META ODS</t>
  </si>
  <si>
    <t>ODS</t>
  </si>
  <si>
    <t>TIPO ASISTENCIA</t>
  </si>
  <si>
    <t>Desarrollo Sostenible Bajo Carbono en la Región Orinoquía</t>
  </si>
  <si>
    <t>Mejorar las condiciones propicias para la planificación y ordenación del paisaje sostenible y con bajas emisiones de carbono en zonas específicas de la región de Orinoquia</t>
  </si>
  <si>
    <t>No Reporta</t>
  </si>
  <si>
    <t>BANCO MUNDIAL</t>
  </si>
  <si>
    <t xml:space="preserve"> Donante</t>
  </si>
  <si>
    <t>1. FOCALIZAR Y DINAMIZAR</t>
  </si>
  <si>
    <t>13. Acción por el clima</t>
  </si>
  <si>
    <t>ODS 13</t>
  </si>
  <si>
    <t>Acacías</t>
  </si>
  <si>
    <t>Canadá</t>
  </si>
  <si>
    <t>GLOBAL AFFAIRS CANADA</t>
  </si>
  <si>
    <t>B. Desarrollo Rural</t>
  </si>
  <si>
    <t>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t>
  </si>
  <si>
    <t>ODS 2</t>
  </si>
  <si>
    <t>Cubarral</t>
  </si>
  <si>
    <t>El Castillo</t>
  </si>
  <si>
    <t>El Dorado</t>
  </si>
  <si>
    <t>Granada</t>
  </si>
  <si>
    <t>Guamal</t>
  </si>
  <si>
    <t>Lejanías</t>
  </si>
  <si>
    <t>Mesetas</t>
  </si>
  <si>
    <t>Puerto lleras</t>
  </si>
  <si>
    <t>San Martín</t>
  </si>
  <si>
    <t>Villavicencio</t>
  </si>
  <si>
    <t>Buenavista</t>
  </si>
  <si>
    <t>La Victoria</t>
  </si>
  <si>
    <t>Mocoa</t>
  </si>
  <si>
    <t>Orito</t>
  </si>
  <si>
    <t>Puerto Asís</t>
  </si>
  <si>
    <t>Puerto Caicedo</t>
  </si>
  <si>
    <t>Puerto Guzmán</t>
  </si>
  <si>
    <t>San Miguel</t>
  </si>
  <si>
    <t>Valle del Guamuez</t>
  </si>
  <si>
    <t>Villagarzón</t>
  </si>
  <si>
    <t>Agustín Codazzi</t>
  </si>
  <si>
    <t>Becerril</t>
  </si>
  <si>
    <t>Chiriguaná</t>
  </si>
  <si>
    <t>El Paso</t>
  </si>
  <si>
    <t>La Jagua de Ibirico</t>
  </si>
  <si>
    <t>Cimitarra</t>
  </si>
  <si>
    <t>Puerto Nare</t>
  </si>
  <si>
    <t>Piamonte</t>
  </si>
  <si>
    <t>Soledad</t>
  </si>
  <si>
    <t>Corea del Sur</t>
  </si>
  <si>
    <t>E. Fenómeno migratorio</t>
  </si>
  <si>
    <t>ODS 3</t>
  </si>
  <si>
    <t>Bogotá D.C.</t>
  </si>
  <si>
    <t>Cúcuta</t>
  </si>
  <si>
    <t>Ámbito Nacional</t>
  </si>
  <si>
    <t>Reino Unido</t>
  </si>
  <si>
    <t>REINO UNIDO</t>
  </si>
  <si>
    <t xml:space="preserve"> Donante </t>
  </si>
  <si>
    <t>C. Conservación Y Sostenibilidad Ambiental</t>
  </si>
  <si>
    <t>13.1.Fortalecer la resiliencia y capacidad de adaptación a los peligros relacionados con el clima y los desastres naturales en todos los países</t>
  </si>
  <si>
    <t>A. Paz y Estabilización Territorial</t>
  </si>
  <si>
    <t>11.a.Apoyar vínculos económicos, sociales y ambientales positivos entre las zonas urbanas, periurbanas y rurales mediante el fortalecimiento de la planificación para el desarrollo nacional y
regional.</t>
  </si>
  <si>
    <t>ODS 11</t>
  </si>
  <si>
    <t xml:space="preserve"> Ejecutor</t>
  </si>
  <si>
    <t>Suiza</t>
  </si>
  <si>
    <t>PROGRAMA DE COOPERACIÓN AL DESARROLLO ECONÓMICO EN COLOMBIASECRETARIA DE ESTADO PARA ASUNTOS ECONÓMICOS - SUIZA</t>
  </si>
  <si>
    <t>Francia</t>
  </si>
  <si>
    <t>AGENCIA FRANCESA DE DESARROLLO - AFD</t>
  </si>
  <si>
    <t>12.2.En 2030 alcanzar la gestión sostenible y uso eficiente de los recursos naturales.</t>
  </si>
  <si>
    <t>ODS 12</t>
  </si>
  <si>
    <t>Cumaral</t>
  </si>
  <si>
    <t>Fuente de Oro</t>
  </si>
  <si>
    <t>Cumaribo</t>
  </si>
  <si>
    <t>Puerto Carreño</t>
  </si>
  <si>
    <t>16.3.Promover el estado de derecho en los planos nacional e internacional, y garantizar la igualdad en el acceso a la justicia para todos.</t>
  </si>
  <si>
    <t>ODS 16</t>
  </si>
  <si>
    <t>COOPERAZIONE PER LO SVILUPPO DEI PAESI EMERGENTI ONLUS - COSPE</t>
  </si>
  <si>
    <t>Unión Europea</t>
  </si>
  <si>
    <t>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t>
  </si>
  <si>
    <t>ODS 8</t>
  </si>
  <si>
    <t>Convención</t>
  </si>
  <si>
    <t>Estados Unidos</t>
  </si>
  <si>
    <t>16.1.Reducir significativamente todas las formas de violencia y las tasas de mortalidad relacionadas en todas partes.</t>
  </si>
  <si>
    <t>El Carmen</t>
  </si>
  <si>
    <t>El Zulia</t>
  </si>
  <si>
    <t>Hacarí</t>
  </si>
  <si>
    <t>La Playa</t>
  </si>
  <si>
    <t>Ocaña</t>
  </si>
  <si>
    <t>San Calixto</t>
  </si>
  <si>
    <t>Sardinata</t>
  </si>
  <si>
    <t>Teorama</t>
  </si>
  <si>
    <t>Tibú</t>
  </si>
  <si>
    <t>Cumbitara</t>
  </si>
  <si>
    <t>El Rosario</t>
  </si>
  <si>
    <t>Ipiales</t>
  </si>
  <si>
    <t>Leiva</t>
  </si>
  <si>
    <t>Los Andes</t>
  </si>
  <si>
    <t>Policarpa</t>
  </si>
  <si>
    <t>Ricaurte</t>
  </si>
  <si>
    <t>Samaniego</t>
  </si>
  <si>
    <t>San Andrés de Tumaco</t>
  </si>
  <si>
    <t>Puerto rico</t>
  </si>
  <si>
    <t>Uribe</t>
  </si>
  <si>
    <t>Vistahermosa</t>
  </si>
  <si>
    <t>Buenaventura</t>
  </si>
  <si>
    <t>Dagua</t>
  </si>
  <si>
    <t>Florida</t>
  </si>
  <si>
    <t>Jamundí</t>
  </si>
  <si>
    <t>Pradera</t>
  </si>
  <si>
    <t>Tuluá</t>
  </si>
  <si>
    <t>Arauquita</t>
  </si>
  <si>
    <t>Fortul</t>
  </si>
  <si>
    <t>Puerto Rondón</t>
  </si>
  <si>
    <t>Saravena</t>
  </si>
  <si>
    <t>Tame</t>
  </si>
  <si>
    <t>Quibdó</t>
  </si>
  <si>
    <t>Riosucio</t>
  </si>
  <si>
    <t>San José del Palmar</t>
  </si>
  <si>
    <t>Tadó</t>
  </si>
  <si>
    <t>Cáceres</t>
  </si>
  <si>
    <t>10.2.Para 2030 potenciar y promover la inclusión social, económica y política de todos independientemente de la edad, sexo, discapacidad, raza, etnia, origen, religión o condición económica o de otro tipo.</t>
  </si>
  <si>
    <t>ODS 10</t>
  </si>
  <si>
    <t>Caucasia</t>
  </si>
  <si>
    <t>El Bagre</t>
  </si>
  <si>
    <t>Nechí</t>
  </si>
  <si>
    <t>Tarazá</t>
  </si>
  <si>
    <t>Zaragoza</t>
  </si>
  <si>
    <t>Santacruz</t>
  </si>
  <si>
    <t>No Aplica</t>
  </si>
  <si>
    <t>Olaya Herrera</t>
  </si>
  <si>
    <t>ODS 1</t>
  </si>
  <si>
    <t>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t>
  </si>
  <si>
    <t>ODS 5</t>
  </si>
  <si>
    <t>mejorando las prácticas de gestión del agua resilientes al cambio climático para las comunidades vulnerables de la mojana (resiliencia climática en la mojana, clima y vida)</t>
  </si>
  <si>
    <t>Mejorar la resiliencia climática de las comunidades vulnerables en la Región de La Mojana a través de soluciones adaptativas a largo plazo que aborden el suministro, el uso y la gestión de riesgos relacionados con las inundaciones y la escasez de agua.</t>
  </si>
  <si>
    <t>Caimito</t>
  </si>
  <si>
    <t>THE GREEN CLIMATE FUND</t>
  </si>
  <si>
    <t>Guaranda</t>
  </si>
  <si>
    <t>Majagual</t>
  </si>
  <si>
    <t>San Benito Abad</t>
  </si>
  <si>
    <t>San Marcos</t>
  </si>
  <si>
    <t>Achí</t>
  </si>
  <si>
    <t>Magangué</t>
  </si>
  <si>
    <t>San Jacinto del Cauca</t>
  </si>
  <si>
    <t>Ayapel</t>
  </si>
  <si>
    <t>AGENCIA DE COOPERACIÓN INTERNACIONAL DE KOREA</t>
  </si>
  <si>
    <t>2.a.Aumentar, incluso mediante una mayor cooperación internacional, las inversiones en infraestructura rural, investigación y servicios de extensión agrícola, desarrollo tecnológico y bancos de genes de plantas y ganado a fin de mejorar la capacidad de producción agropecuaria en los países en desarrollo, particularmente en los países menos adelantados</t>
  </si>
  <si>
    <t>Naciones Unidas</t>
  </si>
  <si>
    <t>UNODC</t>
  </si>
  <si>
    <t xml:space="preserve"> CESO - Cooperación voluntaria 2020-2027</t>
  </si>
  <si>
    <t>este proyecto tiene como objetivo aumentar el desempeño de los socios de los países en desarrollo para ofrecer iniciativas de desarrollo más inclusivas, innovadoras y ambientalmente sostenibles que promuevan la igualdad de género. Este proyecto también trabaja para brindar desarrollo de capacidades a través de asesores voluntarios que actúan como mentores, asesores o entrenadores, y se convierten en catalizadores para que los socios en los sectores de agricultura y turismo de los países del proyecto desarrollen todo su potencial.</t>
  </si>
  <si>
    <t>1.2.De aquí a 2030, reducir al menos a la mitad la proporción de hombres, mujeres y niños de todas las edades que viven en la pobreza en todas sus dimensiones con arreglo a las definiciones nacionales</t>
  </si>
  <si>
    <t>Cuso International - Cooperación Voluntaria 2020 - 2028</t>
  </si>
  <si>
    <t>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t>
  </si>
  <si>
    <t>Palmira</t>
  </si>
  <si>
    <t>Santa Marta</t>
  </si>
  <si>
    <t>Bucaramanga</t>
  </si>
  <si>
    <t>Medellín</t>
  </si>
  <si>
    <t>Pereira</t>
  </si>
  <si>
    <t>Oficina Internacional por los Derechos del Niño - Cooperación voluntaria 2020-2027</t>
  </si>
  <si>
    <t>El proyecto tiene como objetivo fortalecer la participación de los niños, especialmente las niñas, mediante una mayor protección de sus derechos y para fortalecer la capacidad de las muchas organizaciones de la sociedad civil asociadas y las instituciones estatales para que estén mejor equipados para promover y hacer cumplir los derechos de las niñas y los niños mediante la promoción de su participación activa.</t>
  </si>
  <si>
    <t>C. Conservación y Sostenibilidad Ambiental</t>
  </si>
  <si>
    <t>15.2.Para 2020, promover la implementación de la gestión sostenible de todos los tipos de bosques, detener la deforestación, restaurar los bosques degradados y aumentar la forestación y reforestación en un x% a nivel global.</t>
  </si>
  <si>
    <t>ODS 15</t>
  </si>
  <si>
    <t xml:space="preserve">inspiragua </t>
  </si>
  <si>
    <t xml:space="preserve">¿Cómo es el programa actualmente?
Las autoridades holandesas del agua y sus socios colombianos están trabajando juntos en temas como el manejo y mantenimiento de diques, restauración de humedales, desarrollo de procesos de planificación, abordaje de los líquidos las descargas y el manejo de los extremos del agua. Hay oportunidades para ampliar el número de asociaciones existentes, por ejemplo con Cormagdalena, la autoridad manejando el Río Magdalena, el río más grande de Colombia. Hasta ahora, ocho autoridades de agua son que participan en el programa de Colombia.
</t>
  </si>
  <si>
    <t>Países Bajos</t>
  </si>
  <si>
    <t>PAISES BAJOS</t>
  </si>
  <si>
    <t>6.6. En 2020 a proteger y restaurar los ecosistemas relacionados con el agua, incluyendo montañas, bosques, humedales, ríos, acuíferos y lagos.</t>
  </si>
  <si>
    <t>ODS 6</t>
  </si>
  <si>
    <t>Buenos Aires</t>
  </si>
  <si>
    <t>España</t>
  </si>
  <si>
    <t>AGENCIA ESPAÑOLA DE COOPERACIÓN INTERNACIONAL PARA EL DESARROLLO</t>
  </si>
  <si>
    <t>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t>
  </si>
  <si>
    <t>El Carmen de Bolívar</t>
  </si>
  <si>
    <t>16.b.Promover y hacer cumplir leyes y políticas no discriminatorias para el desarrollo sostenible.</t>
  </si>
  <si>
    <t>El Guamo</t>
  </si>
  <si>
    <t>San Jacinto</t>
  </si>
  <si>
    <t>Tierralta</t>
  </si>
  <si>
    <t>Santander de Quilichao</t>
  </si>
  <si>
    <t>Montería</t>
  </si>
  <si>
    <t>Florencia</t>
  </si>
  <si>
    <t xml:space="preserve">blue deal </t>
  </si>
  <si>
    <t>¿Qué es el Blue Deal? El “Blue Deal” es un convenio que tiene Holanda con varios países, entre ellos Colombia, para ayudar a 20 millones de personas de 40 cuencas fluviales en el mundo para que tengan acceso al agua potable. El acuerdo tiene varias fases: entre el 2019 y 2022 se espera que los beneficiarios sean 1 millón de personas, entre el 2023 al 2026, 10 millones de personas y entre el 2027 al 2030 se espera llegar a 20 millones de personas para que tengan acceso al agua potable, sean capaces de almacenar agua y protegerse mejor contra las inundaciones.</t>
  </si>
  <si>
    <t>Implementadores de Paz</t>
  </si>
  <si>
    <t>Fondo Colombia Sostenible</t>
  </si>
  <si>
    <t>CO-G1017 : Programa de Agua Potable y Saneamiento para el Departamento de La Guajira</t>
  </si>
  <si>
    <t>El objetivo general es contribuir al cumplimiento de los objetivos del ProgramaGuajira Azul del Gobierno de Colombia, de incrementar la población atendida conagua apta para el consumo humano, con continuidad y adecuado saneamiento.</t>
  </si>
  <si>
    <t>Fonseca</t>
  </si>
  <si>
    <t>AGENCIA SUIZA PARA EL DESARROLLO Y LA COOPERACIÓN</t>
  </si>
  <si>
    <t>6.1.En 2030, lograr el acceso universal y equitativo al agua potable segura y asequible para todos</t>
  </si>
  <si>
    <t>Riohacha</t>
  </si>
  <si>
    <t>Urumita</t>
  </si>
  <si>
    <t>Alemania</t>
  </si>
  <si>
    <t>MINISTERIO FEDERAL PARA LA COOPERACIÓN ECONOMICA Y EL DESARROLLO</t>
  </si>
  <si>
    <t>12.a.Apoyar a los países en desarrollo para fortalecer sus capacidades científicas y tecnológicas para avanzar hacia patrones más sostenibles de consumo y producción.</t>
  </si>
  <si>
    <t>Componente 5 del Proyecto Catastro Multipropósito</t>
  </si>
  <si>
    <t>Prevenir la deforestación y la transformación de los ecosistemas naturales mediante el establecimiento del catastro multipropósito en áreas protegidas ambientalmente y otras áreas ambientalmente significativas y estratégicas afectadas por las altas tasas de deforestación.</t>
  </si>
  <si>
    <t>La Macarena</t>
  </si>
  <si>
    <t>Mapiripán</t>
  </si>
  <si>
    <t>Puerto concordia</t>
  </si>
  <si>
    <t>Cartagena del Chairá</t>
  </si>
  <si>
    <t>Puerto Rico</t>
  </si>
  <si>
    <t>San Vicente del Caguán</t>
  </si>
  <si>
    <t>Solano</t>
  </si>
  <si>
    <t>Remedios</t>
  </si>
  <si>
    <t>Segovia</t>
  </si>
  <si>
    <t>Calamar</t>
  </si>
  <si>
    <t>El Retorno</t>
  </si>
  <si>
    <t>Miraflores</t>
  </si>
  <si>
    <t>San José del Guaviare</t>
  </si>
  <si>
    <t>Santa Rosa del Sur</t>
  </si>
  <si>
    <t>Abejorral</t>
  </si>
  <si>
    <t>D. Emprendimiento Y Economía Naranjal</t>
  </si>
  <si>
    <t>Alejandría</t>
  </si>
  <si>
    <t>Argelia</t>
  </si>
  <si>
    <t>Cocorná</t>
  </si>
  <si>
    <t>La Ceja</t>
  </si>
  <si>
    <t>El Peñol</t>
  </si>
  <si>
    <t>El Retiro</t>
  </si>
  <si>
    <t>San Carlos</t>
  </si>
  <si>
    <t>San Francisco</t>
  </si>
  <si>
    <t>San Luis</t>
  </si>
  <si>
    <t>San Rafael</t>
  </si>
  <si>
    <t>Sonsón</t>
  </si>
  <si>
    <t>Italia</t>
  </si>
  <si>
    <t>AGENCIA ITALIANA DE COOPERACIÓN AL DESARROLLO (AICS)</t>
  </si>
  <si>
    <t>Curillo</t>
  </si>
  <si>
    <t>El Doncello</t>
  </si>
  <si>
    <t>El Paujíl</t>
  </si>
  <si>
    <t>La Montañita</t>
  </si>
  <si>
    <t>Milán</t>
  </si>
  <si>
    <t>Morelia</t>
  </si>
  <si>
    <t>Solita</t>
  </si>
  <si>
    <t>Valparaíso</t>
  </si>
  <si>
    <t>15.a.Movilizar y aumentar significativamente los recursos financieros de todas las fuentes para conservar y utilizar la biodiversidad y los ecosistemas de forma sostenible</t>
  </si>
  <si>
    <t>Vigía del Fuerte</t>
  </si>
  <si>
    <t>Noruega</t>
  </si>
  <si>
    <t>AGENCIA NORUEGA PARA LA COOPERACIÓN AL DESARROLLO</t>
  </si>
  <si>
    <t>Campoalegre</t>
  </si>
  <si>
    <t>Garzón</t>
  </si>
  <si>
    <t>Gigante</t>
  </si>
  <si>
    <t>Hobo</t>
  </si>
  <si>
    <t>Neiva</t>
  </si>
  <si>
    <t>Teruel</t>
  </si>
  <si>
    <t>Chigorodó</t>
  </si>
  <si>
    <t>DEPARTAMENTO DE ESTADO DE LOS ESTADOS UNIDOS</t>
  </si>
  <si>
    <t>Dabeiba</t>
  </si>
  <si>
    <t>Murindó</t>
  </si>
  <si>
    <t>Mutatá</t>
  </si>
  <si>
    <t>Turbo</t>
  </si>
  <si>
    <t>Unguía</t>
  </si>
  <si>
    <t>DEPARTAMENTO DE AGRICULTURA DE ESTADOS UNIDOS</t>
  </si>
  <si>
    <t>MINISTERIO FEDERAL DE MEDIO AMBIENTE, PROTECCIÓN DE LA NATURALEZA Y SEGURIDAD NUCLEAR</t>
  </si>
  <si>
    <t xml:space="preserve">MINISTERIO DE RELACIONES EXTERIORES DE PAISES BAJOS </t>
  </si>
  <si>
    <t>5.5.Garantizar la participación plena y efectiva de las mujeres y la igualdad de oportunidades para el liderazgo en todos los niveles de toma de decisiones en la vida política, económica y
pública.</t>
  </si>
  <si>
    <t>16.2.Terminar con el abuso, la explotación, la trata y todas las formas de violencia y tortura contra los niños.</t>
  </si>
  <si>
    <t>Villa del Rosario</t>
  </si>
  <si>
    <t>Pasto</t>
  </si>
  <si>
    <t>Cali</t>
  </si>
  <si>
    <t>PROYECTO DE VIVIENDA RESILIENTE E INCLUSIVA</t>
  </si>
  <si>
    <t>Mejorar la calidad de la vivienda y el espacio público para los hogares vulnerables, incluidos los migrantes de Venezuela, en los municipios seleccionados.</t>
  </si>
  <si>
    <t>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t>
  </si>
  <si>
    <t>Maicao</t>
  </si>
  <si>
    <t>San Juan del Cesar</t>
  </si>
  <si>
    <t>Ciénaga</t>
  </si>
  <si>
    <t>Floridablanca</t>
  </si>
  <si>
    <t>Bello</t>
  </si>
  <si>
    <t>Valledupar</t>
  </si>
  <si>
    <t>Sincelejo</t>
  </si>
  <si>
    <t>Soacha</t>
  </si>
  <si>
    <t>Yopal</t>
  </si>
  <si>
    <t>GLOBAL CONCESSIONAL FINANCING FACILITY - GCFF</t>
  </si>
  <si>
    <t>OFICINA DE ELIMINACIÓN Y REDUCCIÓN DE ARMAS DEL DEPARTAMENTO DE ESTADO</t>
  </si>
  <si>
    <t>4.1. Para 2030, asegurar que todos los niños y niñas completen la educación primaria y secundaria gratuita, equitativa y de calidad que lleve a resultados relevantes y eficaces del aprendizaje.</t>
  </si>
  <si>
    <t>ODS 4</t>
  </si>
  <si>
    <t>Anorí</t>
  </si>
  <si>
    <t>Valdivia</t>
  </si>
  <si>
    <t>Chalán</t>
  </si>
  <si>
    <t>Colosó</t>
  </si>
  <si>
    <t>Tolú Viejo</t>
  </si>
  <si>
    <t>San Juan Nepomuceno</t>
  </si>
  <si>
    <t>Toribío</t>
  </si>
  <si>
    <t>5.2.Eliminar todas las formas de violencia contra las mujeres y las niñas en las esferas públicas y privadas, incluyendo el tráfico sexual y otros tipos de explotación.</t>
  </si>
  <si>
    <t>Briceño</t>
  </si>
  <si>
    <t>Ituango</t>
  </si>
  <si>
    <t>Caldono</t>
  </si>
  <si>
    <t>Corinto</t>
  </si>
  <si>
    <t>El Tambo</t>
  </si>
  <si>
    <t>Guapí</t>
  </si>
  <si>
    <t>Jambaló</t>
  </si>
  <si>
    <t>Miranda</t>
  </si>
  <si>
    <t>Timbiquí</t>
  </si>
  <si>
    <t>Barbacoas</t>
  </si>
  <si>
    <t>El Charco</t>
  </si>
  <si>
    <t>La Tola</t>
  </si>
  <si>
    <t>Magüí</t>
  </si>
  <si>
    <t>Roberto Payán</t>
  </si>
  <si>
    <t>Ovejas</t>
  </si>
  <si>
    <t>San Onofre</t>
  </si>
  <si>
    <t>ODS 17</t>
  </si>
  <si>
    <t>Enfoques innovadores para garantizar que los niños y adolescentes vulnerables MIGRANTES reciban una educación de alta calidad</t>
  </si>
  <si>
    <t>Enfoques innovadores para garantizar que los niños y adolescentes vulnerables reciban una educación de alta calidad</t>
  </si>
  <si>
    <t>CONSERVACIÓN DE BOSQUES Y SOSTENIBILIDAD EN EL CORAZÓN DE LA AMAZONÍA - gef 7</t>
  </si>
  <si>
    <t>Mejorar la gobernanza y promover actividades de uso sostenible de la tierra para reducir la deforestación y conservar la biodiversidad en el área del Proyecto.</t>
  </si>
  <si>
    <t xml:space="preserve">GLOBAL ENVIRONMENTAL FACILITY </t>
  </si>
  <si>
    <t>Bojayá</t>
  </si>
  <si>
    <t>16.6.Desarrollar instituciones eficaces, responsables y transparentes a todos los niveles.</t>
  </si>
  <si>
    <t>Istmina</t>
  </si>
  <si>
    <t>Rio Quito</t>
  </si>
  <si>
    <t>Fortalecimiento del Desarrollo Agropecuario y Rural Inclusivo para Promover la Construcción de Paz con Legalidad</t>
  </si>
  <si>
    <t xml:space="preserve">reforzar la capacidad administrativa  y técnica de la agencia de desarrollo rural (adr) para implementar proyectos de desarrollo agropecuario y rural principalmente en las zonas aefectadas por el conflicto,  para que contribuyan a promover la implementación de los acuerdos de paz. </t>
  </si>
  <si>
    <t>Japón</t>
  </si>
  <si>
    <t>AGENCIA DE COOPERACIÓN INTERNACIONAL DEL JAPÓN</t>
  </si>
  <si>
    <t>Contribuir al desarrollo económico y empresarial inclusivo y sostenible en Colombia.</t>
  </si>
  <si>
    <t>8.2.Alcanzar mayores niveles de productividad de las economías a través de la diversificación, el mejoramiento tecnológico y la innovación, en particular mediante un enfoque en sectores de alto valor agregado e intensivos en trabajo.</t>
  </si>
  <si>
    <t>Popayán</t>
  </si>
  <si>
    <t>AYUDA DE EMERGENCIA Y RESTABLECIMIENTO A POBLACIONES VULNERABLES</t>
  </si>
  <si>
    <t>Ejecutar programas de asistencia temporal y de restablecimiento integral apoblaciones vulnerables.</t>
  </si>
  <si>
    <t>TIME SQUARE CHURCH</t>
  </si>
  <si>
    <t>15.4.En 2030 asegurar la preservación de los ecosistemas de montaña, incluyendo su biodiversidad, para mejorar su capacidad para proporcionar beneficios que son esenciales para el desarrollo sostenible.</t>
  </si>
  <si>
    <t>17.17.Incentivar y promover asociaciones públicas, público-privado y de sociedad civil eficientes, basándose en la experiencia y la dotación de recursos de alianzas estratégicas.</t>
  </si>
  <si>
    <t>Albania</t>
  </si>
  <si>
    <t>Barrancas</t>
  </si>
  <si>
    <t>Dibulla</t>
  </si>
  <si>
    <t>Hatonuevo</t>
  </si>
  <si>
    <t>Aracataca</t>
  </si>
  <si>
    <t>Fundación</t>
  </si>
  <si>
    <t>Zona Bananera</t>
  </si>
  <si>
    <t>Pueblo Bello</t>
  </si>
  <si>
    <t>Pagos Basados en Resultados de REDD+ (FAO)</t>
  </si>
  <si>
    <t>Fortalecimiento de las capacidades nacionales y locales para la vigilancia y control de la deforestación</t>
  </si>
  <si>
    <t>Puerto Leguízamo</t>
  </si>
  <si>
    <t>La Chorrera</t>
  </si>
  <si>
    <t>Leticia</t>
  </si>
  <si>
    <t>San José del Fragua</t>
  </si>
  <si>
    <t>Carurú</t>
  </si>
  <si>
    <t>Mitú</t>
  </si>
  <si>
    <t>Inírida</t>
  </si>
  <si>
    <t>8.8.Proteger los derechos laborales y promover entornos de trabajo seguros y protegidos para todos los trabajadores, incluidos los trabajadores migrantes, en particular las mujeres migrantes y
las personas con empleo precario.</t>
  </si>
  <si>
    <t>9.5.Potenciar la investigación científica, mejorar la capacidad tecnológica de los sectores industriales en todos los países, especialmente los países en desarrollo, incluyendo la promoción de la innovación y el aumento del número de
trabajadores en I+D por cada millón de personas en un x% y el gasto público y privado en I+D para el año 2030.</t>
  </si>
  <si>
    <t>ODS 9</t>
  </si>
  <si>
    <t>Suecia</t>
  </si>
  <si>
    <t>16.7.Garantizar la toma de decisiones receptiva, inclusiva, participativa y representativa en todos los niveles.</t>
  </si>
  <si>
    <t>10.7.Facilitar una migración y movimiento de personas ordenada, segura, regular y responsable, a través de la implementación de políticas migratorias planificadas y bien gestionadas.</t>
  </si>
  <si>
    <t>Envigado</t>
  </si>
  <si>
    <t>Itagüí</t>
  </si>
  <si>
    <t>Los Patios</t>
  </si>
  <si>
    <t>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t>
  </si>
  <si>
    <t>AGENCIA SUECA PARA EL DESARROLLO INTERNACIONAL - ASDI/ SWEDISH INTERNATIONAL DEVELOPMENT COOPERATION AGENCY -SIDA/ SWEDISH INT'L DEVELOPMENT COOPERATION</t>
  </si>
  <si>
    <t>ODS 7</t>
  </si>
  <si>
    <t>Programa de Construcción de Capacidades para el Estado de Derecho y la Lucha  contra el Narcotráfico en Colombia</t>
  </si>
  <si>
    <t xml:space="preserve">SUMINISTRAr ASISTENCIA FINANCIERA, MATERIAL, ECONOMICA Y TECNICA PARA FORTALECER LA CAPACIDAD DEL GOBIERNO EN COLOMBIA PARA APOYAR LA CONVENCIÓN DE LAS NACIONES UNIDAS CONTRA EL TRAFICO ILICITO DE ESTUPEFACIENTES Y SUSTANCIAS PSICOTROPICAS DE 1986, LA DELINCUENCIA ORGANIZADA TRANSACCIONAL DE 2000 Y LAS CONVENCIONES DE LUCHA CONTRA LAS ACTIVIDADES TERRORISTAS.  </t>
  </si>
  <si>
    <t>CONVENIO MARCO DE COOPERACIÓN INTERINSTITUCIONAL SCHNEIDER – CIUDAD DON BOSCO</t>
  </si>
  <si>
    <t xml:space="preserve"> EL OBJETIVO DE ESTE PROYECTO ES INCLUIR DOS INSTITUTOS DON BOSCO MÁS EN COLOMBIA: BARRANQUILLA Y CALI, PARA MEJORAR TANTO LA EMPLEABILIDAD COMO LAS PERSPECTIVAS PROFESIONALES DE JÓVENES VULNERABLES A TRAVÉS DE LA MODERNIZACIÓN DE LA EDUCACIÓN DE FORMACIÓN TÉCNICA. EL PROYECTO SE CENTRARÁ EN LA DIGITALIZACIÓN Y LOS SISTEMAS SOLARES, EL FORTALECIMIENTO INSTITUCIONAL Y LA CREACIÓN DE REDES DE ESCUELAS.</t>
  </si>
  <si>
    <t>FUNDACION DE FRANCIA (FOUNDATION OF FRANCE)</t>
  </si>
  <si>
    <t>4.4.Para 2030, aumentar en un x% el número de jóvenes y adultos con habilidades relevantes incluidas las aptitudes técnicas y vocacionales, para el empleo, trabajo decente y el emprendimiento.</t>
  </si>
  <si>
    <t>ACELERACIÓN DEL EMPODERAMIENTO ECONÓMICO DE LAS MUJERES RURALES EN COLOMBIA  (ODS 5: INICIATIVA DE ACELERACIÓN DEL EMPODERAMIENTO ECONÓMICO DE LAS MUJERES 2021-2026) 129723</t>
  </si>
  <si>
    <t>Promover sistemas de desarrollo económico y territorial para superar las barreras al empoderamiento económico de las mujeres y acelerar el avance hacia las metas del ODS 5 en dos regiones PDET de Colombia.</t>
  </si>
  <si>
    <t>Piendamó-Tunía</t>
  </si>
  <si>
    <t>PROMOCIÓN DE LA ECONOMÍA FORESTAL EN APOYO A LA LUCHA CONTRA LA DEFORESTACIÓN</t>
  </si>
  <si>
    <t>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t>
  </si>
  <si>
    <t>Coromoro</t>
  </si>
  <si>
    <t>El Carmen de Chucurí</t>
  </si>
  <si>
    <t>KATHOLISCHE ZENTRALSTELLE FUR ENTWICKLUNGSHILFE EV</t>
  </si>
  <si>
    <t>MISEREOR</t>
  </si>
  <si>
    <t>AYUDA HUMANITARIA Y DESARROLLO (COSUDE)</t>
  </si>
  <si>
    <t>16.10.Garantizar el acceso público a la información y proteger las libertades fundamentales, de conformidad con la legislación nacional y los acuerdos internacionales.</t>
  </si>
  <si>
    <t>HOWARD G. BUFFETT FOUNDATION</t>
  </si>
  <si>
    <t>Balboa</t>
  </si>
  <si>
    <t>Cajibío</t>
  </si>
  <si>
    <t>Inzá</t>
  </si>
  <si>
    <t>Morales</t>
  </si>
  <si>
    <t>Sotara</t>
  </si>
  <si>
    <t>Timbío</t>
  </si>
  <si>
    <t>1.3.Implementar a nivel nacional sistemas y medidas apropiados de protección social para todos, incluidos niveles mínimos, y, de aquí a 2030, lograr una amplia cobertura de las personas pobres y vulnerables</t>
  </si>
  <si>
    <t>Montelíbano</t>
  </si>
  <si>
    <t>16.5.Reducir sustancialmente la corrupción y el soborno en todas sus formas.</t>
  </si>
  <si>
    <t>Puerto Libertador</t>
  </si>
  <si>
    <t>Ataco</t>
  </si>
  <si>
    <t>Chaparral</t>
  </si>
  <si>
    <t>Planadas</t>
  </si>
  <si>
    <t>Rioblanco</t>
  </si>
  <si>
    <t>Caloto</t>
  </si>
  <si>
    <t>Ibagué</t>
  </si>
  <si>
    <t>Villahermosa</t>
  </si>
  <si>
    <t>Dosquebradas</t>
  </si>
  <si>
    <t>Marsella</t>
  </si>
  <si>
    <t>15.1.En 2020 asegurar la conservación, restauración y uso sostenible de los ecosistemas de agua dulce terrestres e interiores y de sus servicios, en particular los bosques, los humedales, las montañas y las tierras secas, en conformidad
con las obligaciones en virtud de los acuerdos
internacionales.</t>
  </si>
  <si>
    <t>PNUD</t>
  </si>
  <si>
    <t xml:space="preserve"> Proyecto de plantación de árboles/reforestación en Colombia</t>
  </si>
  <si>
    <t>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
extremos, protegiendo el cultivo y los suelos, junto con la captura de CO2 y como una alternativa económica para nuestros caficultores</t>
  </si>
  <si>
    <t>NESTLE</t>
  </si>
  <si>
    <t>Betania</t>
  </si>
  <si>
    <t>Betulia</t>
  </si>
  <si>
    <t>Ciudad Bolívar</t>
  </si>
  <si>
    <t>Concordia</t>
  </si>
  <si>
    <t>Fredonia</t>
  </si>
  <si>
    <t>Hispania</t>
  </si>
  <si>
    <t>Montebello</t>
  </si>
  <si>
    <t>Salgar</t>
  </si>
  <si>
    <t>Santa Bárbara</t>
  </si>
  <si>
    <t>Tarso</t>
  </si>
  <si>
    <t>Venecia</t>
  </si>
  <si>
    <t>Belén de Umbría</t>
  </si>
  <si>
    <t>La Celia</t>
  </si>
  <si>
    <t>Caicedonia</t>
  </si>
  <si>
    <t>Sevilla</t>
  </si>
  <si>
    <t>Restauración ecológica, rehabilitación y recuperación de ecosistemas degradados</t>
  </si>
  <si>
    <t>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t>
  </si>
  <si>
    <t>AMAZON CONSERVATION TEAM - ACT</t>
  </si>
  <si>
    <t xml:space="preserve">COLORES: Comunidades locales resilientes. Las mujeres y los jóvenes construyen economías sostenibles y solidarias en apoyo del proceso de paz en Colombia </t>
  </si>
  <si>
    <t>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t>
  </si>
  <si>
    <t>Bahía Solano</t>
  </si>
  <si>
    <t>El Carmen de Atrato</t>
  </si>
  <si>
    <t>Medio san juan</t>
  </si>
  <si>
    <t>INTERNATIONAL DEVELOPMENT RESEARCH CENTRE - IDRC</t>
  </si>
  <si>
    <t>Manaure</t>
  </si>
  <si>
    <t>Uribía</t>
  </si>
  <si>
    <t>3.3.De aquí a 2030, poner fin a las epidemias del SIDA, la tuberculosis, la malaria y las enfermedades tropicales desatendidas y combatir la hepatitis, las enfermedades transmitidas por el agua y otras enfermedades transmisibles</t>
  </si>
  <si>
    <t xml:space="preserve">Agregar Valor a la Conservación de los Manglares en los Sistemas de Ciudades Costeras </t>
  </si>
  <si>
    <t>El objetivo general del Proyecto es mejorar el manejo integral de los ecosistemas de manglar en el Golfo de Morrosquillo integrando los manglares de la Caimanera y Bocas de Guacamayas a este esquema de sostenibilidad innovado</t>
  </si>
  <si>
    <t>CONSERVACIÓN INTERNACIONAL</t>
  </si>
  <si>
    <t>6.2.En 2030, lograr el acceso a servicios de saneamiento y de higiene adecuados y equitativos para todos, y eliminar la defecación al aire libre, con especial atención a las necesidades de las mujeres y las niñas y en situación de vulnerabilidad.</t>
  </si>
  <si>
    <t>6.b.Apoyar y fortalecer la participación de las comunidades locales para mejorar la gestión del agua y el saneamiento.</t>
  </si>
  <si>
    <t>Apartadó</t>
  </si>
  <si>
    <t>Carepa</t>
  </si>
  <si>
    <t>Necoclí</t>
  </si>
  <si>
    <t>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t>
  </si>
  <si>
    <t>Prado</t>
  </si>
  <si>
    <t>Valle de San Juan</t>
  </si>
  <si>
    <t>Belén de los Andaquíes</t>
  </si>
  <si>
    <t>Iniciativas Comunitarias para la Promoción de Productos Forestales no Maderablescomo Apoyo a la Lucha Contra la Deforestación</t>
  </si>
  <si>
    <t>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t>
  </si>
  <si>
    <t>Acandí</t>
  </si>
  <si>
    <t>Proyecto de Fortalecimiento de la Gestión de los Ecosistemas del Páramo del Macizo Colombiano con miras a su Preservación, Restauración, Conocimiento y Uso Sostenible</t>
  </si>
  <si>
    <t>Participar en la gestión integral y sostenible de los páramos del Macizo Colombiano en el marco de las políticas vigentes, en particular CONPES 3915 y la Ley de Páramos 1930 de 2018</t>
  </si>
  <si>
    <t>Íquira</t>
  </si>
  <si>
    <t>Isnos</t>
  </si>
  <si>
    <t>La Argentina</t>
  </si>
  <si>
    <t>Saladoblanco</t>
  </si>
  <si>
    <t>San Agustín</t>
  </si>
  <si>
    <t>Santa María</t>
  </si>
  <si>
    <t>Puracé</t>
  </si>
  <si>
    <t>FONDO FRANCÉS PARA EL MEDIO AMBIENTE MUNDIAL - FFEM</t>
  </si>
  <si>
    <t>PARTICIPACIÓN PÚBLICA:  ECONOMÍA OCEÁNICA SOSTENIBLE E INCLUSIVA EN COLOMBIA - COL-22/0005</t>
  </si>
  <si>
    <t>Fortalecer la pesca resiliente y sostenible, la conservación marina y los medios de vida de las comunidades costeras en la Zona Económica Exclusiva (ZEE) del litoral Pacífico del Chocó, a través de una mejor gestión marina y la participación de los actores locales en el uso y la conservación de los recursos. </t>
  </si>
  <si>
    <t>14.2.En 2020, administrar y proteger de manera sostenible los ecosistemas marinos y costeros para evitar impactos adversos significativos, mediante el fortalecimiento de su capacidad de
recuperación y tomar medidas para su restauración, para lograr océanos sanos y productivos.</t>
  </si>
  <si>
    <t>ODS 14</t>
  </si>
  <si>
    <t>Bajo Baudó</t>
  </si>
  <si>
    <t>El Litoral del San Juan</t>
  </si>
  <si>
    <t>Juradó</t>
  </si>
  <si>
    <t>Nuquí</t>
  </si>
  <si>
    <t>Alto Baudó</t>
  </si>
  <si>
    <t>Medio Baudó</t>
  </si>
  <si>
    <t>Conservación y Uso Sostenible de la Ciénaga Grande de Santa Marta</t>
  </si>
  <si>
    <t>mejorar la salud del Sistema Delta Estuarino del Río Magdalena, Ciénaga Grande de Santa Marta (SDERM- CGSM) para promover la conservación de la biodiversidad y los servicios ecosistémico</t>
  </si>
  <si>
    <t>Contaminantes Persistentes - 112906</t>
  </si>
  <si>
    <t>Contaminantes Persistentes</t>
  </si>
  <si>
    <t>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t>
  </si>
  <si>
    <t>Tunja</t>
  </si>
  <si>
    <t>Armenia</t>
  </si>
  <si>
    <t>Iniciativa Suiza Oro Responsable para la Minería Artesanal y de Pequeña Escala – Tercera Fase (SBGI III)</t>
  </si>
  <si>
    <t>Reducir la pobreza y mejorar las condiciones productivas, ambientales y sociales en las que se desarrolla la minería artesanal y de pequeña escala (MAPE) de oro en Colombia, mitigando los efectos del cambio climático.</t>
  </si>
  <si>
    <t>Barbosa</t>
  </si>
  <si>
    <t>Condoto</t>
  </si>
  <si>
    <t>Vetas</t>
  </si>
  <si>
    <t>Puerto Parra</t>
  </si>
  <si>
    <t>Acevedo</t>
  </si>
  <si>
    <t>Tarqui</t>
  </si>
  <si>
    <t>Ancuyá</t>
  </si>
  <si>
    <t>Consacá</t>
  </si>
  <si>
    <t>Cumbal</t>
  </si>
  <si>
    <t>Guachucal</t>
  </si>
  <si>
    <t>La Llanada</t>
  </si>
  <si>
    <t>Linares</t>
  </si>
  <si>
    <t>Sandoná</t>
  </si>
  <si>
    <t>Sapuyes</t>
  </si>
  <si>
    <t>Túquerres</t>
  </si>
  <si>
    <t>IMPLEMENTACIÓN DE PROYECTOS DE PAGOS POR SERVICIOS AMBIENTALES PARA LA CONSERVACIÓN DE ECOSISTEMAS ESTRATÉGICOS (CO-G1040)</t>
  </si>
  <si>
    <t>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t>
  </si>
  <si>
    <t>Charta</t>
  </si>
  <si>
    <t>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t>
  </si>
  <si>
    <t>Suratá</t>
  </si>
  <si>
    <t>Tona</t>
  </si>
  <si>
    <t>Totoró</t>
  </si>
  <si>
    <t>FUNDACIÓN NATURA</t>
  </si>
  <si>
    <t>Cooperación Técnica No Reembolsable No.  ATN/CM-19365-CO. Zonificación Ambiental  Participativa para el Ordenamiento Ambiental y  la Gobernanza Territorial</t>
  </si>
  <si>
    <t>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t>
  </si>
  <si>
    <t>Cantagallo</t>
  </si>
  <si>
    <t>San Pablo</t>
  </si>
  <si>
    <t>Simití</t>
  </si>
  <si>
    <t>ESTABLECIMIENTO DE UN TECNO PARQUE DE TRATAMIENTO DE AGUAS EN COLOMBIA</t>
  </si>
  <si>
    <t>aPOYAR EL ESTABLECIMIENTO DE UN TECNO PARQUE DE TRATAMIENTO DE AGUAS EN COLOMBIA, UTILIZANDO LA TECNOLOGÍA, EQUIPOS Y MATERIALES DE TRATAMIENTO DE AGUA DE COREA Y, LA EXPERIENCIA EN LA CONSTRUCCIÓN DE INFRAESTRUCTURA.</t>
  </si>
  <si>
    <t>6.3.Para 2030, mejorar la calidad del agua mediante la reducción de la contaminación, la eliminación de los vertimientos y minimizando la liberación de químicos y materiales peligrosos, reducir a la mitad la proporción de aguas residuales no tratadas, y aumentar el reciclaje y la reutilización segura en x% a nivel mundial.</t>
  </si>
  <si>
    <t xml:space="preserve">Avanzando hacia la recuperación: el sistema de transporte de Bogotá como catalizador de la sostenibilidad ambiental y la igualdad de género en la era post COVID-19 - CSO-LA/2021/ 428-394 </t>
  </si>
  <si>
    <t xml:space="preserve">Hacer del sistema de transporte de Bogota´ D.C un catalizador para la sostenibilidad ambiental y la equidad e igualdad de ge´nero en la era post COVID- 19.
</t>
  </si>
  <si>
    <t>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t>
  </si>
  <si>
    <t>Guachené</t>
  </si>
  <si>
    <t>Puerto Tejada</t>
  </si>
  <si>
    <t>Guadalajara de Buga</t>
  </si>
  <si>
    <t>Carmen del Darién</t>
  </si>
  <si>
    <t>Nóvita</t>
  </si>
  <si>
    <t>5.1.Acabar todas las formas de discriminación contra todas las mujeres y niñas en todas partes.</t>
  </si>
  <si>
    <t>Recuperación socioeconómica justa e incluyente de la población venezolana y de acogida en Ecuador, Perú y Colombia</t>
  </si>
  <si>
    <t>Contribuir al ejercicio de derechos y a la integración socioeconómica y cultural entre la población migrante y/o refugiada y de la comunidad de acogida en zonas receptoras de migrantes en colombia, ecuador y perú.</t>
  </si>
  <si>
    <t>AYUDA EN ACCIÓN</t>
  </si>
  <si>
    <t>AYUNTAMIENTO DE MADRID</t>
  </si>
  <si>
    <t>3.8.Lograr la cobertura sanitaria universal, incluida la protección contra los riesgos financieros, el acceso a servicios de salud esenciales de calidad y el acceso a medicamentos y vacunas inocuos, eficaces, asequibles y de calidad para todos</t>
  </si>
  <si>
    <t>Padilla</t>
  </si>
  <si>
    <t>Santa Rosa</t>
  </si>
  <si>
    <t>Silvia</t>
  </si>
  <si>
    <t>Suárez</t>
  </si>
  <si>
    <t>Villa rica</t>
  </si>
  <si>
    <t>Amalfi</t>
  </si>
  <si>
    <t>San José de Uré</t>
  </si>
  <si>
    <t>12.5.En el 2030, reducir sustancialmente la generación de residuos mediante la prevención, la reducción, el reciclaje y la reutilización.</t>
  </si>
  <si>
    <t>AGENCIA ALEMANA PARA LA COOPERACIÓN INTERNACIONAL - GIZ</t>
  </si>
  <si>
    <t>PARAMOS PARA LA VIDA - 112904</t>
  </si>
  <si>
    <t>El objetivo del proyecto es conservar los ecosistemas de páramos por medio de la promoción de sistemas sostenibles para la conservación de la biodiversidad, los servicios ecosistémicos y agrobiodiversidad y la gestión adecuada de conflictos socioambientales</t>
  </si>
  <si>
    <t>Mompós</t>
  </si>
  <si>
    <t>Barichara</t>
  </si>
  <si>
    <t>Salamina</t>
  </si>
  <si>
    <t>REDD EARLY MOVERS COLOMBIA VISION AMAZONIA II (REM COLOMBIA II)</t>
  </si>
  <si>
    <t>Contribuir a la reducción significativa de emisiones de gases efecto invernadero provenientes de la deforestación y degradación de los bosques en Colombia.</t>
  </si>
  <si>
    <t>BANCO DE DESARROLLO ALEMÁN</t>
  </si>
  <si>
    <t>MINISTERIO DE CLIMA Y MEDIO AMBIENTE DEL REINO DE NORUEGA</t>
  </si>
  <si>
    <t>Entornos protectores:garantias y oportunidades para niños, niñas y adolecentes en riesgo de reclutamiento por actores armados - NDICI-HR-INTPA/2022/440-872</t>
  </si>
  <si>
    <t xml:space="preserve">Contribuir al fortalecimiento de las capacidades de la sociedad civil para prevenir, proteger, observar e incidir en las políticas estatales de la protección y atención de niños, niñas, adolescentes y jóvenes, indígenas, afrodescendientes, raizales, y mestizos de origen campesino desde una perspectiva de equidad de género a fin de prevenir su vinculación/uso en el conflicto armado del país. </t>
  </si>
  <si>
    <t>3. Promover una cultura de paz, justicia y lucha contra la desigualdad</t>
  </si>
  <si>
    <t>Pueblo Rico</t>
  </si>
  <si>
    <t>REAL EMBAJADA DE NORUEGA</t>
  </si>
  <si>
    <t>Reactivar la paz: una apuesta de las mujeres y sus organizaciones</t>
  </si>
  <si>
    <t>Contribuir a la construccio´n de una paz estable y duradera protagonizada por las mujeres y sus organizaciones, para que la sociedad colombiana avance hacia la igualdad, la realizacio´n y el goce de los derechos, y la consolidacio´n de una democracia incluyente. Para conseguirlo.</t>
  </si>
  <si>
    <t>Corozal</t>
  </si>
  <si>
    <t>Morroa</t>
  </si>
  <si>
    <t>San Pedro</t>
  </si>
  <si>
    <t>María La Baja</t>
  </si>
  <si>
    <t>Zambrano</t>
  </si>
  <si>
    <t>Asistencia vital con intervenciones específicas de protección y salud para la población migrante, desplazados internos colombianos, retornados y las comunidades de acogida en las zonas fronterizas entre Colombia y Venezuela - ECHO/-AM/BUD/2022/91031</t>
  </si>
  <si>
    <t>El tarra</t>
  </si>
  <si>
    <t>ENTRE EL RIO Y LA MONTAñA: Gobernanza territorial y desarrollo sostenible en las cuencas del Samaná Norte y el Magdalena Medio Colombiano-NDICI CSO/2022/441-131</t>
  </si>
  <si>
    <t>Contribuir al fortalecimiento de los procesos de gobernanza territorial para el desarrollo sostenible de los municipios de las cuencas del Samana´ Norte y el Magdalena Medio Colombiano.</t>
  </si>
  <si>
    <t>Puerto Triunfo</t>
  </si>
  <si>
    <t xml:space="preserve"> PRotierras expansion </t>
  </si>
  <si>
    <t>1. 1.500 ti´tulos de propiedad formalizados
2. 1.200 productores rurales mejoran la productividad
agri´cola y los ingresos
3. Desarrollar la capacidad y los vi´nculos de mercado
para las asociaciones de productores agri´colas</t>
  </si>
  <si>
    <t>8.9.Para 2030 diseñar e implementar políticas para promover el turismo sostenible que cree puestos de trabajo, promueva la cultura y los productos locales.</t>
  </si>
  <si>
    <t>Sibundoy</t>
  </si>
  <si>
    <t>Impulso de la autonomía económica de las mujeres en torno al ecosistema de los oficios y los saberes locales. Fase II</t>
  </si>
  <si>
    <t xml:space="preserve">Promover la autonomía y la inserción laboral de las mujeres para contribuir a la reducción de la brecha de género en Colombia 
</t>
  </si>
  <si>
    <t>CONSERVA  AVES:  FASE  DE  IMPLEMENTACIÓN</t>
  </si>
  <si>
    <t>APOYAR    LA IMPLEMENTACIÓN DE LA INICIATIVA CONSERVA AVES, LLEVANDO A CABO TODOS LOS ASPECTOS DEL PROYECTO RELACIONADOS CON SU IMPLEMENTACIÓN EN COLOMBIA.</t>
  </si>
  <si>
    <t>NATIONAL AUDUBON SOCIEY INC</t>
  </si>
  <si>
    <t>Proyecto para la creación de la cadena de valor de la carne bovina mediante la optimización de la microbioma del rumen y el manejo de forrajes utilizando una plataforma digital</t>
  </si>
  <si>
    <t xml:space="preserve">Establecer una base tecnológica para fortalecer la cadena de valor de la carne de bovino alimentado con forraje utilizando una plataforma digital (pd) </t>
  </si>
  <si>
    <t>9.b.Ayudar al desarrollo de la tecnología local, la investigación y la innovación en los países en desarrollo garantizando un entorno normativo propicio para, entre otras cosas, la diversificación
industrial y la adición de valor a los productos básicos.</t>
  </si>
  <si>
    <t>Jóvenes y mujeres resilientes: una estrategia integral para el  desarrollo sostenible y la gobernanza en el sur de Bolívar, Colombia - NDICI CSO/2022/441-094</t>
  </si>
  <si>
    <t xml:space="preserve">Promover el desarrollo sostenible, la gobernanza y la mejora de las condiciones de vida de mujeres y jóvenes rurales del Sur de Bolívar para la construcción de paz y resiliencia territorial.
</t>
  </si>
  <si>
    <t>Arenal</t>
  </si>
  <si>
    <t>6.4.Para 2030, aumentar sustancialmente la eficiencia del uso del agua en todos los sectores y garantizar la extracción y el suministro sostenible de agua dulce para abordar la escasez de agua, y reducir sustancialmente el número de personas que sufren de escasez de agua.</t>
  </si>
  <si>
    <t>Fortalecimiento de capacidades de los actores institucionales y comunitarios para el desarrollo de la Ruta Integral de Atención para la Promoción y Mantenimiento de la Salud, y de la Ruta Integral de Atención en Salud Materno –Perinatal - 2022/SPE/0000400138</t>
  </si>
  <si>
    <t xml:space="preserve">Mejorar los resultados de salud de las y los migrantes y de las comunidades de acogida en los territorios priorizados
</t>
  </si>
  <si>
    <t>Atenciones en salud individuales paa la población migrante irregular. Fase 1 (Proyecto LAIF salUD migración)</t>
  </si>
  <si>
    <t>Atenciones en salud individuales paa la población migrante irregular. Fase 2 (Proyecto LAIF salud migración)</t>
  </si>
  <si>
    <t>FORTALECIMIENTO DE LA EQUIDAD DE GÉNERO Y LA PARTICIPACIÓN PARA LA PROMOCIÓN DE LA PAZ EN cOLOMBIA - PAZ DIVERSA</t>
  </si>
  <si>
    <t>El programa tiene como objetivo fortalecer las capacidades de instituciones estatales y de la sociedad civil para la implementación de las medidas enfocadas en género del Acuerdo Final de Paz (AFP), aplicando un enfoque interseccional. 
Está dirigido a la población en los departamentos Meta, Norte de Santander, Caquetá y en el nivel nacional que se benefician de la implementación de las medidas de género del Acuerdo Final de Paz. En especial, organizaciones sociales de mujeres, de LGBTIQ+, organizaciones étnicas, e instituciones estatales responsables de la implementación de medidas del AFP con enfoque de género. Los mediadores y mediadoras son el personal técnico y directivo de las respectivas organizaciones e instituciones.</t>
  </si>
  <si>
    <t>Programa de Protección Ambiental Municipal en Área de Saneamiento (FINDETER) II</t>
  </si>
  <si>
    <t>Mejorar acceso de las instituciones relevantes a créditos para inversiones en los sectores de agua potable, saneamiento básico y residuos sólidos en Colombia</t>
  </si>
  <si>
    <t>13.3.Mejorar la educación, la sensibilización y la capacidad humana e institucional en la mitigación del cambio climático, la adaptación, la reducción del impacto y de alerta temprana.</t>
  </si>
  <si>
    <t>Atrato</t>
  </si>
  <si>
    <t>Cértegui</t>
  </si>
  <si>
    <t>El Cantón del San Pablo</t>
  </si>
  <si>
    <t>lloró</t>
  </si>
  <si>
    <t>Unión Panamericana</t>
  </si>
  <si>
    <t>Tiquisio</t>
  </si>
  <si>
    <t>"Implementación y Financiamiento de la Adaptación Basada en Ecosistemas (AbE)  por el Sector de Alimentación y Agricultura para reducir el riesgo climático los impactos  ambientales en América Latina</t>
  </si>
  <si>
    <t>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t>
  </si>
  <si>
    <t xml:space="preserve">INTERNATIONAL CLIMATE INITIATIVE </t>
  </si>
  <si>
    <t>Fortalecimiento de la capacidad del sector salud en Colombia y el acceso de las y los migrantes a los servicios de salud en contexto COVID-19. Adquisición de equipos biomédicos y apoyo a la realización de brigadasde salud”, Ref.Expediente no 2022/SPE/0000400234</t>
  </si>
  <si>
    <t>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t>
  </si>
  <si>
    <t>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t>
  </si>
  <si>
    <t>Baranoa</t>
  </si>
  <si>
    <t>Barrancabermeja</t>
  </si>
  <si>
    <t>FEDERACIÓN INTERNACIONAL POR LOS DERECHOS HUMANOS</t>
  </si>
  <si>
    <t>Respuesta Inmediata de Salud Pública para  Contener y Controlar el Coronavirus y Mitigar su Efecto en la  Prestación del Servicio en la Frontera con Perú” Convenio de financiamiento no reembolsable para inversion  N° GRT/PC-19832-CO</t>
  </si>
  <si>
    <t>Contribuir a reducir la morbilidad y la mortalidad por COVID 19, y a mitigar los efectos indirectos de la pandemia sobre la salud en los departamentos de frontera con Perú.</t>
  </si>
  <si>
    <t>El Encanto</t>
  </si>
  <si>
    <t>3.d.Reforzar la capacidad de todos los países, en particular los países en desarrollo, en materia de alerta temprana, reducción de riesgos y gestión de los riesgos para la salud nacional y mundial</t>
  </si>
  <si>
    <t>La Pedrera</t>
  </si>
  <si>
    <t>Mirití-Paraná</t>
  </si>
  <si>
    <t>Puerto Alegría</t>
  </si>
  <si>
    <t>Puerto Arica</t>
  </si>
  <si>
    <t>Puerto Nariño</t>
  </si>
  <si>
    <t>Puerto Santander</t>
  </si>
  <si>
    <t>Tarapacá</t>
  </si>
  <si>
    <t xml:space="preserve">contribuir a la implementacion de la politica nacional de emprendimiento y empleabilidad sostenible para la juventud rural, a través del acceso equitativo para hombres y mujeres campesinas, etnicas y diversas de la ruralidad colombiana. </t>
  </si>
  <si>
    <t>8.b.En 2020 desarrollar y poner en práctica una estrategia global para el empleo de los jóvenes y poner en práctica el Pacto Mundial para el Empleo de la OIT.</t>
  </si>
  <si>
    <t>Empoderamiento de la Mujer - Women ´s Empowerment (WE)</t>
  </si>
  <si>
    <t>Contribuir en la formación integral de mujeres ubicadas en diferentes zonas del país y pertenecientes a uno de los programas de la organización, a través del fortalecimiento de sus capacidades, valores morales y formación académica.</t>
  </si>
  <si>
    <t>CONVOY OF HOPE</t>
  </si>
  <si>
    <t>5.c.Adoptar y reforzar políticas sólidas y una legislación aplicable para la promoción de la igualdad de género y el empoderamiento de las mujeres y las niñas en todos los niveles.</t>
  </si>
  <si>
    <t>La Tebaida</t>
  </si>
  <si>
    <t>Montenegro</t>
  </si>
  <si>
    <t>Agricultura – Agriculture (AG)</t>
  </si>
  <si>
    <t>Fortalecer la seguridad alimentaria con familias cuyos hijos pertenezcan al programa de nutrición, a través de las estrategias planteadas por el programa de agricultura.</t>
  </si>
  <si>
    <t>Proyecto de agua y saneamiento para el litoral pacifico colombiano para acceso a mejores serivcios y calidad - CO-T1647</t>
  </si>
  <si>
    <t>mejorar de condiciones en las que habita la población con la implementación las acciones en agua y saneamiento básico</t>
  </si>
  <si>
    <t>Apoyar al Ministerio de Salud y Protección Social en la transformación digital del sistema de salud / Support the Ministry of Health and Social Protection in the digital transformation of the health system - CO-T1672</t>
  </si>
  <si>
    <t>apoyar al Ministerio de Salud y Protección Social (MSPS) en la transformación digital del sistema de salud, fortaleciendo el conocimiento sobre la implementación de herramientas digitales de salud, principalmente a través de (i) desarrollar e implementar un piloto de interoperabilidad de transformación digital del sistema de salud (SGSSS), y (ii) la capacitación del personal en el uso eficiente de la salud digital.</t>
  </si>
  <si>
    <t>FONDO COREANO PARA LA REDUCCIÓN DE LA POBREZA - KOREA POVERTY REDUCTION FUND</t>
  </si>
  <si>
    <t>3.c.Aumentar considerablemente la financiación de la salud y la contratación, el perfeccionamiento, la capacitación y la retención del personal sanitario en los países en desarrollo, especialmente en los países menos adelantados y los pequeños Estados insulares en desarrollo</t>
  </si>
  <si>
    <t>Jóvenes constructores del tejido social para la paz y la reconciliación en Colombia - NDICI CSO/2022/441-146</t>
  </si>
  <si>
    <t>Apoyo complementario “Economía Inclusiva, Verde y Competitiva”. Número de Identificación: LA/2022/431-997</t>
  </si>
  <si>
    <t>9.1.Desarrollar infraestructura de calidad, fiable, sostenible y resistente, incluidas la infraestructura regional y transfronteriza,
para apoyar el desarrollo económico y el bienestar humano, con un enfoque en el acceso asequible y equitativo para todos.</t>
  </si>
  <si>
    <t>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t>
  </si>
  <si>
    <t>8.10.Fortalecer la capacidad de las instituciones financieras locales para promover la expansión del acceso a la banca, los seguros y los servicios financieros para todos.</t>
  </si>
  <si>
    <t>4.2.Para 2030 garantizar que todas las niñas y los niños tengan acceso a un desarrollo de calidad en la primera infancia, al cuidado y la educación infantil para que estén listos para la educación primaria.</t>
  </si>
  <si>
    <t>10.4.Adoptar políticas, especialmente fiscales, salariales y de protección social y lograr progresivamente mayores niveles de igualdad.</t>
  </si>
  <si>
    <t>Iniciativa alimentaria para niños (CFI Children Fedding Initiatives)</t>
  </si>
  <si>
    <t>Contribuir al mejoramiento del estado nutricional en niños pertenecientes a familias diagnosticadas en inseguridad alimentaria a través de alimentos complementarios e iniciativas de educación integrales en diferentes zonas del país</t>
  </si>
  <si>
    <t>2.1Para 2030 erradicar el hambre y asegurar el acceso de todas las personas, en particular de los pobres y de las personas en situación de vulnerabilidad, incluyendo los infantes, a alimentos seguros, nutritivos y suficientes durante todo el año.</t>
  </si>
  <si>
    <t>FORTALECER LA CAPACIDAD TÉCNICA DE LA BRIGADA DE DESMINADO HUMANITARIO - fase ii</t>
  </si>
  <si>
    <t>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("APC-Colombia"),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("Presupuesto Quinquenal de Sostenibilidad Operacional para la Brigada de Desminado Humanitario de Colombia")</t>
  </si>
  <si>
    <t>Puerto Berrío</t>
  </si>
  <si>
    <t>Santa Fé de Antioquia</t>
  </si>
  <si>
    <t>Güicán de la sierra</t>
  </si>
  <si>
    <t xml:space="preserve">Fortalecimiento de la capacidad del sector salud en Colombia y el acceso de las y los migrantes a los servicios de salud en contexto COVID–19. Proyecto LAIF. Aporte en especie. </t>
  </si>
  <si>
    <t xml:space="preserve">Mejorar los resultados de salud de las y los migrantes y de las comunidades de acogida en los territorios priorizados.
</t>
  </si>
  <si>
    <t>APOYAR LA ESTRUCTURACIÓN DE PROYECTOS DE INFRAESTRUCTURA QUE CONTRIBUYAN AL CRECIMIENTO ECONÓMICO Y LA IGUALDAD EN COLOMBIA a traves del papic</t>
  </si>
  <si>
    <t xml:space="preserve">contribuir recursos para el desarrollo total o parcial de los estudios de prefactibilidad y factibilidad para la estructuración integral de proyectos de infraestructura en Colombia, a través de la participación en el patrimonio autónomo vehículo de preinversión de colombia (PApic)
</t>
  </si>
  <si>
    <t>12.8.Para 2030 asegurar que todas las poblaciones tengan la información y el conocimiento relevante para el desarrollo sostenible y los estilos de vida en armonía con la naturaleza.</t>
  </si>
  <si>
    <t>Funes</t>
  </si>
  <si>
    <t>Guaitarilla</t>
  </si>
  <si>
    <t>FUNDACIÓN SUIZA DE COOPERACIÓN PARA EL DESARROLLO TÉCNICO SWISSCONTACT</t>
  </si>
  <si>
    <t>Buesaco</t>
  </si>
  <si>
    <t>Portugal</t>
  </si>
  <si>
    <t>CAMOES. INSTITUTO DE COOPERACIÓN Y DE LA LENGUA PORTUGUESA</t>
  </si>
  <si>
    <t>San Lorenzo</t>
  </si>
  <si>
    <t>Taminango</t>
  </si>
  <si>
    <t>3.7.De aquí a 2030, garantizar el acceso universal a los servicios de salud sexual y reproductiva, incluidos los de planificación familiar, información y educación, y la integración de la salud reproductiva en las estrategias y los programas nacionales</t>
  </si>
  <si>
    <t>Entornos protectores, facilitadores del empoderamiento y garantía de derechos de los colectivos más vulnerables (niñas, niños, jóvenes, mujeres, y líderes/as sociales) en Tumaco y Buenaventura - NDICI-HR-INTPA/2022/440-873</t>
  </si>
  <si>
    <t>contribuir en la Construcción de un entorno habilitante en el que se garantice la protección de los Derechos Humanos, civiles y políticos de todas las personas, haciendo especial énfasis en aquellos sectores de la población más vulnerable, alineado con las prioridades de la
convocatoria en cuanto al fortalecimiento del trabajo de las OSC para la exigibilidad de derechos desde los enfoques de género y étnico, a través del fortalecimiento de las capacidades técnicas, operativas y de gestión; el impulso de entornos protectores para los niños, niñas, adolescentes y jóvenes (NNAJ) en riesgo de violencias y reclutamiento forzado , mujeres víctimas y sobrevivientes de violencias basadas en género (VBG), líderes, lideresas, defensoras de derechos humanos que por su labor comunitaria y de exigibilidad de derechos, enfrentan violencias, riesgos, amenazas afectando la integridad de sus vidas.</t>
  </si>
  <si>
    <t>16.4.En 2030 reducir significativamente los flujos financieros y de armas ilícitas, fortalecer la recuperación y devolución de activos robados, y combatir todas las formas de delincuencia organizada.</t>
  </si>
  <si>
    <t>MPTF</t>
  </si>
  <si>
    <t>4.7.En 2030 asegurar que todos los alumnos adquieran el conocimiento y las habilidades necesarias para promover el desarrollo sostenible, a través de la educación para el desarrollo sostenible y estilos de vida sostenibles, derechos humanos, igualdad de género, promoción de una cultura de paz y no violencia, ciudadanía global y la apreciación de la diversidad cultural y de la contribución de la cultura al desarrollo sostenible</t>
  </si>
  <si>
    <t>LA OFICINA DE ASUNTOS INTERNACIONALES DE NARCÓTICOS Y APLICACIÓN DE LA LEY DEL DEPARTAMENTO DE ESTADO DE EE.UU</t>
  </si>
  <si>
    <t>SWHARC 19AQMM23D0049</t>
  </si>
  <si>
    <t xml:space="preserve">PRESTACION DE SERVICIOS PROFESIONALES, ADMINISTRATIVOS Y DE SOPORTE PARA CUMPLIR CON LOS OBJETIVOS DE DESEMPEÑO Y LOS REQUISITOS COMERCIALES DE LA EMBAJADA DE ESTADOS UNIDOSEN LA OFICINA DE ASUNTOS INTERNACIONALES DE NARCOTICOS Y APLICACIÓN DE LA LEY. </t>
  </si>
  <si>
    <t>"PROYECTO DE GESTIÓN INTEGRADA DE LA CUENCA HIDROGRÁFICA DEL RÍO PUTUMAYO-IÇÁ TF0B8254-6L  "</t>
  </si>
  <si>
    <t xml:space="preserve">FORTALECER LAS CONDICIONES QUE PERMITAN A LOS PAÍSES PARTICIPANTES GESTIONAR LOS ECOSISTEMAS DE AGUA DULCE COMPARTIDOS EN LA CUENCA DEL PUTUMAYO-IÇÁ EN LA REGIÓN DEL AMAZONAS. </t>
  </si>
  <si>
    <t xml:space="preserve">Contribuir a reforzar la respuesta comunitaria e individual ante las amenazas a la protección, las violaciones de derechos y las necesidades básicas insatisfechas de las poblaciones afectadas por el conflicto armado y desplazamientos. </t>
  </si>
  <si>
    <t>7.b.En 2030 ampliar la infraestructura y mejorar la tecnología para el suministro de servicios energéticos modernos y sostenibles para todos en los países en desarrollo, especialmente los PMA y los PEID.</t>
  </si>
  <si>
    <t>5.4.Reconocer y valorar el trabajo doméstico y de cuidado no remunerado a través de la provisión de servicios públicos, infraestructura, políticas de protección social y la promoción de la responsabilidad compartida en el hogar y la familia según corresponda a nivel nacional.</t>
  </si>
  <si>
    <t>13.2.Integrar medidas de cambio climático en las políticas, estrategias y planificación nacional.</t>
  </si>
  <si>
    <t>9.3.Aumentar el acceso de las pequeñas empresas industriales y de otro tipo, en particular en los países en desarrollo, a los servicios financieros, incluyendo crédito asequible y su integración en las cadenas de valor y los mercados</t>
  </si>
  <si>
    <t>S-JTIP-CA- 0024 cuyo objetivo es “Fortalecer la capacidad del Gobierno de la Republica de Colombia y la sociedad civil para combatir la trata de personas en niños, niñas y adolescentes”</t>
  </si>
  <si>
    <t>Fortalecer la capacidad del Gobierno de Colombia y de la sociedad civil para prevenir y enfrentar el reclutamiento forzado de menores de edad por parte de grupos armados ilegales.</t>
  </si>
  <si>
    <t>Los Palmitos</t>
  </si>
  <si>
    <t>Visión Estratégica MRV 2030 de Colombia - 6226/10121</t>
  </si>
  <si>
    <t>Fortalecer las capacidades estatales para disminuir brechas poblacionales y territoriales y avanzar hacia la igualdad y la movilidad social con un enfoque diferenciado y sensible al género.</t>
  </si>
  <si>
    <t>BUREAU OF INTERNATIONAL NARCOTICS AND LAW ENFORCEMENT AFFAIRS</t>
  </si>
  <si>
    <t>Piedecuesta</t>
  </si>
  <si>
    <t>Futuro orgánico e inclusivo para organizaciones de pequeños productores en la Sierra Nevada de Santa Marta -  NDICI CSO/2022/441-066</t>
  </si>
  <si>
    <t>Promover y generar condiciones habilitantes para el ejercicio de una coordinación territorial con participación inclusiva de las y los integrantes de las organizaciones campesinas e indígenas a partir de su desarrollo socioeconómico, contribuyendo a la construcción de paz y el balance social y ecosistémico en territorios PDET (Planes de Desarrollo con Enfoque Territorial en el marco de los acuerdos de paz) de la Sierra Nevada de Santa Marta (SNSM).</t>
  </si>
  <si>
    <t>11.3.Para 2030 mejorar la urbanización sostenible e inclusiva y las capacidades para la planificación y gestión participativa de los asentamientos humanos integrada y sostenible de todos los países.</t>
  </si>
  <si>
    <t>17.1.Fortalecer la movilización de recursos internos, incluyendo a través del apoyo internacional a los países en desarrollo para mejorar la capacidad nacional para la recaudación de impuestos y otros ingresos.</t>
  </si>
  <si>
    <t>San Andrés</t>
  </si>
  <si>
    <t>KIAT INSTITUTO COREANO PARA EL AVANCE DE LA TECNOLOGÍA - KOREAN INSTITUTE OF TECHNOLOGY</t>
  </si>
  <si>
    <t>La Unión</t>
  </si>
  <si>
    <t>Palmito</t>
  </si>
  <si>
    <t>Herencia Colombia Financiación de Proyectos para la Permanencia: Haciendo realidad los Objetivos Marinos 30 x 30 de Colombia</t>
  </si>
  <si>
    <t xml:space="preserve">garantizar la protección permanente de al menos 32 millones de hectáreas de áreas protegidas y sus paisajes circundantes, de acuerdo con las condiciones acordadas en el Acuerdo de Cierre Único (Memorándum of Understanding-MOU) e incluido dentro del Manual Operativo HECO (MOP). En un período de 10 años, HECO apoyará la creación de más de 2 M ha de nuevas áreas protegidas terrestres y más de 19,4 M ha de nuevas áreas protegidas marinas; mejorar la gestión de 5,5 millones ha de áreas marinas protegidas existentes y casi 6 M ha en 101 áreas terrestres existentes nacionales, regionales y privadas protegidas dentro del SINAP; y promover modelos productivos sostenibles en 7 corredores para mejorar la conectividad y mantener los servicios de los ecosistemas. (Ver Anexo 2 para el mapa del alcance completo del PFP). </t>
  </si>
  <si>
    <t>BEZOS EARTH FUND</t>
  </si>
  <si>
    <t>14.5.Para 2020, conservar al menos el 10% de las zonas marinas y costeras, en armonía con la legislación nacional e internacional y con base en la mejor información científica disponible</t>
  </si>
  <si>
    <t xml:space="preserve"> ICTJ Colombia 2022-2026 (Centro internacionacional para la justicia transicional Colombia)</t>
  </si>
  <si>
    <t>11.4.Fortalecer los esfuerzos para proteger y salvaguardar el patrimonio cultural y natural del mundo.</t>
  </si>
  <si>
    <t>15253 Reincorporation Colombia-We Effect (Reincorporation Colombia-We Effect)</t>
  </si>
  <si>
    <t>Contribuir a la construcción de paz y al proceso de reintegración de mujeres y hombres excombatientes de las FARC, para el pleno ejercicio de los derechos y la ciudadanía en condiciones de igualdad.</t>
  </si>
  <si>
    <t xml:space="preserve">Garantizar el libre ejercicio del derecho de libertad de prensa y expresión por parte de periodistas y comunicadores comunitarios en departamentos fronterizos. . Expediente nº 2023QdV00243 </t>
  </si>
  <si>
    <t xml:space="preserve">Fortalecer el ejercicio de libertad de prensa como derecho fundamental para el ejercicio de la democracia
</t>
  </si>
  <si>
    <t>Fortalecimiento de la gobernabilidad territorial y nacional de la Juntanza Nacional Afrocolombiana Fase II. Expediente 2023QdV00284</t>
  </si>
  <si>
    <t xml:space="preserve">Mejora de la participación política efectiva de los pueblos negros, afrocolombianos, raizales y palenqueros a través de la consolidación de la gobernabilidad territorial de la juntanza Nacional Afrocolombiana.
</t>
  </si>
  <si>
    <t>PRIMERA subvención DE Financiación DE DONANTES PRIVADOS PARA EL COMPONENTE MARINO DE HERENCIA COLOMBIA (HECO) para proyecto de permanencia  / FIRST GRANT OF PRIVATE DONOR FUNDING FOR THE MARINE COMPONENT OF THE HERENCIA COLOMBIA (HECO) PROJECT FINANCE FOR PERMANENCE PROJECT – FT16611</t>
  </si>
  <si>
    <t>Proporcionar fondos para el Fondo de Transición para ciertas actividades dentro del proyecto Herencia Colombia - Project Finance for Permanence (el "PFP")</t>
  </si>
  <si>
    <t>WORLD WILDLIFE FUNDATION</t>
  </si>
  <si>
    <t>Proteger Colombia Orinoquia / Colombia Orinoquia Protect</t>
  </si>
  <si>
    <t xml:space="preserve">Apoyar al Socio en la compra de predios y posterior donaciÛn a nombre de Parques Nacionales Naturales de Colombia en el marco oficial de la declaratoria del Parque Nacional Natural SerranÌa de ManacacÌas, mediante aportes para el pago del precio de la compraventa y hasta el 1.66% de dicha suma para efecto del pago de costos y gastos e impuestos notariales y de registro. </t>
  </si>
  <si>
    <t>THE NATURE CONSERVANCY</t>
  </si>
  <si>
    <t xml:space="preserve">ALEMANIA </t>
  </si>
  <si>
    <t>8.5.Para 2030 lograr el empleo pleno y productivo y el trabajo decente para todas las mujeres y hombres, incluidos los jóvenes y las personas con discapacidad, y la igualdad de remuneración para el trabajo de igual valor.</t>
  </si>
  <si>
    <t>Fortalecimiento de los procesos de empoderamiento, autonomía y preservación de la vida de las mujeres del pueblo awá del departamento de Nariño (municipios de Tumaco y Barbacoas) No. 2023QdV00285</t>
  </si>
  <si>
    <t>fortalecer los procesos de protección y prevención de 
violencias de género contra las mujeres Awá su 
posicionamiento e incidencia política y su 
empoderamiento económico.</t>
  </si>
  <si>
    <t>EL AGUA EN EL CORAZÓN DE LAS COMUNIDADES CAFETERAS DE TOLIMA FASE II</t>
  </si>
  <si>
    <t>FORTALECER E IMPLEMENTAR SISTEMAS DE PRODUCCIÓN DE CAFÉ SOSTENIBLE EN FINCAS CAFETERAS DE LOS MUNICIPIOS DE LÍBANO, VILLAHERMOSA, ROVIRA, VALLE DE SAN JUAN Y SAN LUIS, QUE PROPICIEN LA CALIDAD Y LA RENTABILIDAD, RESALTANDO QUE EL RECURSO HÍDRICO DEBE PROTEGERSE.</t>
  </si>
  <si>
    <t>Líbano</t>
  </si>
  <si>
    <t>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
políticas encaminados a poner fin a la pobreza en todas sus dimensiones</t>
  </si>
  <si>
    <t>Rovira</t>
  </si>
  <si>
    <t>KONINKLIJKE DOUWE EGBERTS B.V</t>
  </si>
  <si>
    <t>5.6.Asegurar el acceso universal a la salud sexual y reproductiva y los derechos reproductivos según lo acordado de conformidad con el Programa de Acción de la CIPD y de la Plataforma de Acción de Beijing y los documentos finales de sus conferencias de examen.</t>
  </si>
  <si>
    <t>Copacabana</t>
  </si>
  <si>
    <t>Girardota</t>
  </si>
  <si>
    <t>La Estrella</t>
  </si>
  <si>
    <t>Sabaneta</t>
  </si>
  <si>
    <t>GENERALITAT DE VALENCIA</t>
  </si>
  <si>
    <t xml:space="preserve"> ENTEREZAS: Proteger la vida garantizando la seguridad y el acceso a la justicia de mujeres LBT del Caribe y el Pacífico colombiano. nº 2023QdV00267</t>
  </si>
  <si>
    <t>: Consecución de una sociedad más justa, pacífica e 
inclusiva para las mujeres lesbianas, trans y bisexuales 
(LBT) que viven en las regiones del Caribe y del Pacífico
de Colombia, en el marco de las recomendaciones del 
Informe de la Comisión de la Verdad.</t>
  </si>
  <si>
    <t>Amazonia + Iniciativa de la cuenca amazonica.  NDICI LA/2022/441-281</t>
  </si>
  <si>
    <t>Apoyar a los países socios amazónicos (Bolivia, Brasil, Colombia, Ecuador, Guyana, Perú, Surinam y Venezuela) en la mitigación de las emisiones de CO2, la adaptación a los efectos del cambio climático y la mejora de la protección de la biodiversidad</t>
  </si>
  <si>
    <t xml:space="preserve">Adquisición e instalación de tecnología de mitigación del óxido de nitrógeno en la planta de producción de ácido nítrico de Monómeros Colombo Venezolanos S.A. En Barranquilla- Purchase and installation of nitrous oxide abatement technology at Monomeros Colombo Venezolanos SA’s nitric acid production facility in Barranquilla </t>
  </si>
  <si>
    <t xml:space="preserve">Instalar y poner en marcha un sistema de 
abatimiento secundario de gases de N2O, el cual es un 
gas de efecto invernadero, en la planta de producción de cido nítrico de la empresa Monómeros Colombo 
Venezolanos S.A., ubicada en Barranquilla, Colombia.
</t>
  </si>
  <si>
    <t>Herencia Colombia (HECO):  Maximizando las contribuciones de los Paisajes Manejados Sosteniblemente en Colombia para el logro de los Objetivos Climáticos</t>
  </si>
  <si>
    <t xml:space="preserve">Asegurar la conservación y financiación a largo plazo de 32  millones de hectáreas, que representan el 16% del territorio del  país, a través del incremento de la cobertura, el manejo  efectivo y la gobernabilidad del SINAP y otras estrategias de  conservación, en paisajes sostenibles como espacios de  inclusión y construcción de paz, generando oportunidades  para el desarrollo humano en el contexto de cambio climático,  que permitirán el fortalecimiento y consolidación del SINAP en  sus atributos de representatividad, completitud y efectividad y  equidad de su gestión. </t>
  </si>
  <si>
    <t>Apoyo a la implementación del Plan Integral Especial para el desarrollo de Buenaventura (PIEDB) en el marco de su modelo de gobernanza</t>
  </si>
  <si>
    <t xml:space="preserve">Fortalecer los mecanismos institucionales y sociales para construir paz y desarrollo territorial, inclusivo y sostenible en el distrito de Buenaventuda, con efectiva participación de las mujeres y las juventudes a través de la aplicación del enfoque de derechos y enfoques diferenciales de género, étnico y generacional.
</t>
  </si>
  <si>
    <t>Implementación del Plan de Revitalización del Nasa Yuwe, en Toribio Cauca Colombia Exp.2023/SPE/0000400114</t>
  </si>
  <si>
    <t xml:space="preserve">Contribuir a la realización de los derechos linguisticos del pueblo nasa y del sueño de vida del PVPN (2016-2050) "Todos hablan y vivencian el idioma propio de manera permanente (en 2050)", profundizando la participación de la comunidad y fomentando un desarrollo equitativo y respetuoso con la naturaleza, acorde a la cosmivisión nasa. 
</t>
  </si>
  <si>
    <t>Formulación, actualización e implementación de planes regionales de búsqueda con enfoque territorial, diferencial y de género en Colombia para contribuir a la búsqueda, verdad y reparación, e intercambio de experiencias con entidades españolas especializadas en medicina legal y forense y reparación moral de las víctimas. . Expediente nº 2023QdV00168.</t>
  </si>
  <si>
    <t xml:space="preserve">Promover la aplicación del derecho de los familiares de las víctimas a la justicia a conocer la verdad y a la reparación moral en el proceso de búsqueda, prospección, recuperación e impulso a la identificación de personas dadas por desaparecidad, en el contexto y en razón del conflicto armado, a través de la actualización e implementación de Planes Regionales de Búsqueda (PRB)
</t>
  </si>
  <si>
    <t>12.b.Desarrollar e implementar herramientas para monitorear los impactos en materia de desarrollo sostenible del turismo sostenible, que cree puestos de trabajo, promueva la cultura y los
productos locales.</t>
  </si>
  <si>
    <t>Herencia Colombia (HECO): Maximizando las contribuciones de los Paisajes Manejados Sosteniblemente en Colombia para el logro de los Objetivos Climáticos</t>
  </si>
  <si>
    <t>Asegurar la conservación y financiación a largo plazo de 32 millones de hectáreas, que representan el 16% del territorio del país, a través del incremento de la cobertura, el manejo efectivo y la gobernabilidad del SINAP y otras estrategias de conservación, en paisajes sostenibles como espacios de inclusión y construcción de paz, generando oportunidades para el desarrollo humano en el contexto de cambio climático, que permitirán el fortalecimiento y consolidación del SINAP en sus atributos de representatividad, completitud y efectividad y equidad de su gestión</t>
  </si>
  <si>
    <t>Fortaleciendo capacidades del Ministerio de Igualdad y Equidad y su despliegue territorial en la región pacífica. Expediente No 2023QdV00251</t>
  </si>
  <si>
    <t>Contribuir con el fortalecimiento de las políticas públicas de promoción de la igualdad de trato y no discriminación en Colombia y la consolidación del Ministerio de Igualdad y Equidad.</t>
  </si>
  <si>
    <t>Escuelas de liderazgo juvenil para la participación e incidencia en la construcción de paz territorial en Tumaco, Buenaventura, Tibú, y Cúcuta. Exp.  2023QdV00286</t>
  </si>
  <si>
    <t xml:space="preserve">Contribuir al logro de sociedades más pacíficas e incluyentes en Colombia
</t>
  </si>
  <si>
    <t>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t>
  </si>
  <si>
    <t>Turismo sostenible y economía circular: aporte a la protección del patrimonio cultural y natural en los municipios de Quibdó y Rio Quito,  departamento del Chocó. Exp 2023/SPE/0000400039</t>
  </si>
  <si>
    <t>contribuir al desarrollo ambiental sostenible del territorio, promoviendo un turismo 
que dinamice la economía local, preserve la identidad cultural y aporte a la equidad 
e inclusión social.</t>
  </si>
  <si>
    <t>Herencia Colombia (HECO): Realizar la meta en Colombia 30x30 Áreas marinas y terrestres</t>
  </si>
  <si>
    <t>Apoyar la creación de más de 2 millones de hectáreas de nuevas áreas terrestres protegidas y más de 19,4 millones de hectáreas de nuevas áreas marinas protegidas. Mejorar la gestión de 5,5 millones de hectáreas de áreas marinas protegidas existentes y casi 6 millones de hectáreas en 101 áreas protegidas terrestres nacionales, regionales y privadas existentes
dentro del Sistema Nacional de Áreas Protegidas SINAP; y promover los modelos de producción sostenible en 7 corredores para mejorar la conectividad y mantener los servicios ecosistémicos.</t>
  </si>
  <si>
    <t>NEW VENTURE FUND</t>
  </si>
  <si>
    <t>Fortalecimiento del Estado colombiano para el abordaje integral de la lucha contra la trata de personas en los departamentos de Nariño, Chocó, Antioquia, La Guajira y Norte de Santander. Exp nº 2023QdV00322</t>
  </si>
  <si>
    <t>Fortalecer las capacidades técnicas del Estado colombiano en materia de lucha 
contra la trata y el tráfico de personas.</t>
  </si>
  <si>
    <t>Fortalecimiento de la incidencia de las organizaciones de la sociedad civil de América latina y el Caribe en el diálogo, seguimiento y evaluación de la agenda del Decenio Internacional Afrodescendiente</t>
  </si>
  <si>
    <t>Apoyar el cumplimiento de los objetivos del Decenio Internacional,
incluyendo la evaluación de último período del Decenio, el
seguimiento de la agenda del Foro Permanente para los/las
Afrodescendientes, la adopción de una Declaración Internacional
sobre los Derechos de los Afrodescendientes, el Foro de
Seguimiento del Capítulo I Afrodescendientes del Consenso de
Montevideo y la adopción de planes nacionales de acción para los
pueblos afrodescendientes en los países de la región.</t>
  </si>
  <si>
    <t>Mujeres tejiendo un futuro de paz-NDICI CSO/2022/441-758</t>
  </si>
  <si>
    <t xml:space="preserve">Fortalecer las capacidades de incidencia, veeduría y control social para la ejecución, seguimiento y rendición de cuentas de las políticas públicas de género de OSC de mujeres en 7 municipios del medio y bajo Putumayo con el fin de reforzar los espacios de gobernanza que,
con una focalización de género, contribuyan a la preservación del medio ambiente, a la construcción de paz y a las mejoras socio-económicas de las comunidades
</t>
  </si>
  <si>
    <t>Fortalecimiento del Estado colombiano para el abordaje integral de la lucha contra la trata de personas en los departamentos de Nariño, Chocó, Antioquia, La Guajira y Norte de Santander. Exp nº 2023QdV00322. Fase II</t>
  </si>
  <si>
    <t xml:space="preserve">Fortalecer las capacidades técnicas del Estado Colombiano en materia de lucha contra la trata y el tráfico de personas
</t>
  </si>
  <si>
    <t>Contribuir a la armonización y digitalización del área de la cadena de
suministro en el sector humanitario en Colombia, a través de la
creación de un sistema de información, que incluya el fortalecimiento
de competencias mínimas en la cadena de suministro para ONG y
proveedores</t>
  </si>
  <si>
    <t>Fortalecimiento y conexión de los corredores de protección de conectividad ecológica para la gestión sostenible de los recursos hídricos en la cuenca hidrográfica del río Amaime, Valle del Cauca, Colombia</t>
  </si>
  <si>
    <t>Establecimiento de corredores de conectividad ecológica para fomentar el flujo de biodiversidad a lo largo de la cuenca.</t>
  </si>
  <si>
    <t>el Cerrito</t>
  </si>
  <si>
    <t>6.5.En 2030 aplicar la gestión integrada de los recursos hídricos en todos los niveles, incluso mediante la cooperación transfronteriza según sea el caso.</t>
  </si>
  <si>
    <t>BONSUCRO</t>
  </si>
  <si>
    <t>"Lidero por Vos", juventudes y mujeres participan en la construcción de la paz territorial, el cuidado de la vida y el medio ambiente - NDICI CSO/2022/441- 145</t>
  </si>
  <si>
    <t>Fortalecer el rol de las Organizaciones de la Sociedad Civil (OSC) colombianas como agentes que contribuyen al desarrollo territorial sostenible, la gobernanza local y una sociedad más reconciliada, respetuosa e igualitaria, donde se cierren las brechas de género y se responda a los retos de inequidad y falta de oportunidades que enfrentan la juventud, las mujeres y los grupos históricamente vulnerados.</t>
  </si>
  <si>
    <t xml:space="preserve">PLAN INTERNACIONAL  SUECIA </t>
  </si>
  <si>
    <t>Alianza para la Implementación de Mercados - Partnership for Market Implementation Colombia (PMI Colombia) TF0C3527-CO</t>
  </si>
  <si>
    <t>Apoyar al gobierno de Colombia en completar el diseño y apoyar la implementación del Programa Nacional de Cupos Transables de Emisión de GEI (PNCTE), así como apoyar la estructuración de elementos habilitantes que permitan el
inicio del funcionamiento del PNCTE, incluyendo el alistamiento y el funcionamiento del Reporte Obligatorio de Emisiones de Gases de Efecto invernadero (ROE)</t>
  </si>
  <si>
    <t>REHABILITACIÓN DEL CONVENTO NUESTRA SEÑORA DE LA CANDELARIA Fase I</t>
  </si>
  <si>
    <t>Rehabilitación del convento Nuestra Señora de La Candelaria para sede del Centro Cultural de la Cooperación Española
(Fase l)</t>
  </si>
  <si>
    <t xml:space="preserve">REHABILITACIÓN DEL CONVENTO NUESTRA SEÑORA DE LA CANDELARIA Fase II </t>
  </si>
  <si>
    <t xml:space="preserve">
?
Catalina Soto Muñoz
?
Fortalecimiento en Bogotá de la cooperación cultural para el desarrollo a partir de la creación de espacios que permitan desarrollar programas y proyectos que contribuyan a la creación del Espacio Cultural Iberoamericano y a la promoción de la cultura española</t>
  </si>
  <si>
    <t>Reactivar la paz: una apuesta de las mujeres y sus organizaciones” NDICI-HR-INTPA/2022/440-862</t>
  </si>
  <si>
    <t xml:space="preserve">CONTRIBUIR A LA CONTRUCCION DE UNA PAZ ESTABLE Y DURADERA PROTAGONIZADA POR LAS MUJERES Y SUS ORGANIZACIONES PARA QUE LA SOCIEDAD COLOMBIANA AVANCE HACIA LA IGUALDAD, LA REALIZACION Y EL GOCE DE LOS DERECHOS Y LA CONSOLIDACION DE UNA DEMOCRACIA INCLUYENTE </t>
  </si>
  <si>
    <t>Fortalecer la prevención de las violencias basadas en género, protección y atención de las niñas, mujeres y personas LGTBIQ+ en territorios de Colombia Fase I</t>
  </si>
  <si>
    <t>Contribuir al empoderamiento de las mujeres, niñas y personas LGBTIQ+para una vida libre de violencias a través del desarrollo de acciones que
contribuyan a la autonomía de las mujeres y la prevención de las
violencias basadas en género.</t>
  </si>
  <si>
    <t>Fortalecer la prevención de las violencias basadas en género, protección y atención de las niñas, mujeres y personas LGTBIQ+ en territorios de Colombia Fase II</t>
  </si>
  <si>
    <t>CONTRIBUIR AL EMPODERAMIENTO DE LAS MUJERES, NIÑAS Y PERSONAS LGBTIQ+PARA UNA VIDA LIBRE DE VIOLENCIAS A TRAVÉS DEL DESARROLLO DE ACCIONES QUE
CONTRIBUYAN A LA AUTONOMÍA DE LAS MUJERES Y LA PREVENCIÓN DE LAS
VIOLENCIAS BASADAS EN GÉNERO.</t>
  </si>
  <si>
    <t xml:space="preserve"> Fortalecer la prevención de las violencias basadas en género, protección y atención de las niñas, mujeres y personas LGTBIQ+ en territorios de Colombia Fase IIi</t>
  </si>
  <si>
    <t>OBSERVATORIO NACIONAL DE DEMOGRAFÍA EMPRESARIAL DE LAS EMPRESAS COLOMBIANAS</t>
  </si>
  <si>
    <t>apoyar la creación y desarrollo de un Observatorio de Movilidad Empresarial. Se espera que los datos recopilados como parte de este Observatorio permitan producir una agenda de investigación que sirva para identificar, monitorear y generar conocimiento sólido sobre los determinantes de la demografía empresarial de las mipymes en Colombia, con especial atención a las mipymes lideradas por mujeres. También se espera que genere información valiosa sobre las empresas que potencialmente podría usarse para facilitar su acceso a financiamiento o su acceso a programas de apoyo</t>
  </si>
  <si>
    <t xml:space="preserve">Programa de Empleos Verdes en la Economía Circular PREVEC II </t>
  </si>
  <si>
    <t>"Los actores estatales y del sector privado pueden implementar medidas de economía circular, relevantes para el clima y el empleo."</t>
  </si>
  <si>
    <t>Monitoreo, Análisis, Reconocimiento, Logística, Inteligencia y Servicios de Red (MARLINS) / GSO00Q14QADU313</t>
  </si>
  <si>
    <t>mediante el Convenio General para Ayuda Económica, Técnica y Afín suscrito entre el Gobierno de los Estados Unidos de América y el Gobierno de la Republica de Colombia, el Gobierno de los Estados Unidos de América está ejecutando programas de utilidad común orientados a beneficiar el Plan Nacional y Territorial de Desarrollo vigentes y el fortalecimiento de las relaciones entre ambos gobiernos, dentro de los cuales se está implementando el programa del Centro de Entrenamiento Avanzado de Ala Rotatoria (CEAAR), en el Fuerte Militar de Tolemaida</t>
  </si>
  <si>
    <t>DEPARTAMENTO DE DEFENSA DE LOS ESTADOS UNIDOS</t>
  </si>
  <si>
    <t>Programa Global de Calidad y Normas (GQSP) Colombia fase II: Fortalecimiento de la calidad y estándares en la cadena de valor fitoterapéutica</t>
  </si>
  <si>
    <t>fortalecer la calidad y los estándares en la cadena de valor fitoterapéutica para fomenar la integración de Colombia en los sistemas de comercio subnacionales, regionales y multilaterales a través del fortalecimiento del Subsistema Nacional de la Calidad (SICAL) en el marco de las prioridades de la cadena de valor fitoterapéutica</t>
  </si>
  <si>
    <t>8.a.Aumentar la Ayuda para el Comercio para los países en desarrollo, especialmente los PMA, incluyendo mediante el Marco Integrado Mejorado para los PMA.</t>
  </si>
  <si>
    <t xml:space="preserve">"Ciudades circulares" Cooperación entre la ciudad de Zúrich (Suiza) y las ciudades de Santa Cruz de la Sierra (Bolivia) y Santiago de Cali (Colombia) en el ámbito de la gestión de residuos sólidos </t>
  </si>
  <si>
    <t xml:space="preserve">El proyecto de cooperación entre ciudades (C2CC) "Ciudades Circulares" busca contribuir con sus resultados al cumplimiento de los Objetivos de Desarrollo Sostenible (ODS) a través de:
1. Reducir los contaminantes ambientales mediante el aumento de la tasa de reciclaje en Santa Cruz de la Sierra y Santiago de Cali, al tiempo que se generan políticas para la reducción de la generación de residuos, lo que contribuirá a la transición de ambas ciudades hacia una economía circular.
2. Reducir el uso de materias primas vírgenes a través de la promoción de la economía circular.
3. Contribuir a mejorar las condiciones de vida y dignidad de los recicladores y sus familias, mejorando su enfoque laboral y apoyando su formalización. </t>
  </si>
  <si>
    <t>ALCALDIA DE ZÚRICH - CIUDAD DE ZÚRICH</t>
  </si>
  <si>
    <t>10.3.Garantizar la igualdad de oportunidades y reducir las desigualdades de los resultados, en particular mediante la eliminación de leyes, políticas y prácticas discriminatorias y promover la legislación adecuada, las políticas y acciones en este sentido.</t>
  </si>
  <si>
    <t>MINISTERIOR FEDERAL DE RELACIONES EXTERIORES</t>
  </si>
  <si>
    <t>9.2.Promover la industrialización incluyente y sostenible, y en 2030 aumentar de manera significativa la participación de la industria en empleo y en el PIB de acuerdo con las circunstancias nacionales, y duplicar su participación en los PMA.</t>
  </si>
  <si>
    <t>Alianza para la Transformación Social</t>
  </si>
  <si>
    <t>Fortalecer la capacidad y supervivencia del sector social y las organizaciones, para contribuir a la recuperación económica del COVID-19.</t>
  </si>
  <si>
    <t>FUNDACIÓN FORD</t>
  </si>
  <si>
    <t>Proyecto de desarrollo del recurso humano para implementar la acción integral contra minas antipersonal en Colombia</t>
  </si>
  <si>
    <t>Se fortalece la seguridad de los ciudadanos 
colombianos a través de la acción contra minas antipersonal</t>
  </si>
  <si>
    <t>PROMOVER EL EJERCICIO DE LOS DDHH Y LA CULTURA DE PAZ PARA LA PREVENCIÓN Y ATENCIÓN DE LAS VIOLENCIAS BASADAS EN GÉNERO EN LOS MONTES DE MARÍA (COLOMBIA), FASE II</t>
  </si>
  <si>
    <t>contribuir a la cultura de paz, el ejercicio pleno de los DDHH y la eliminación de las Violencias Basadas en Género -VBG- en la región de los Montes de María</t>
  </si>
  <si>
    <t>Mahates</t>
  </si>
  <si>
    <t>AGENCIA ANDALUZA DE COOPERACIÓN PARA EL DESARROLLO</t>
  </si>
  <si>
    <t>CORPORACIÓN DESARROLLO SOLIDARIO - CDS</t>
  </si>
  <si>
    <t>Francisco Pizarro</t>
  </si>
  <si>
    <t>Familias unidas - reunificadas. Exp. 2023QdV00326</t>
  </si>
  <si>
    <t xml:space="preserve">"Contribuir a la reactivación de las relaciones de cooperación entre Colombia y Venezuela a través del desarrollo de acciones articuladas para promover la garantía y restablecimiento de derechos de los niños, niñas y adolescentes (NNA) que se encuentran en situación de movilidad humana.
"
</t>
  </si>
  <si>
    <t>Gestión resiliente de los ecosistemas estratégicos y biodiversidad en las regiones del Pacífico y Caribe de Colombia</t>
  </si>
  <si>
    <t>Colaborar con comunidades e instituciones para gestionar de forma adaptativa sus ecosistemas estratégicos integrando instrumentos, nuevos conocimientos y oportunidades económicas para la protección del clima y la biodiversidad. Este enfoque fortalecerá los procesos de toma de decisiones en esquemas de gobernanza, mejorará los sistemas de información relevantes, permitirá el acceso a mecanismos financieros y promoverá negocios verdes locales. Estos esfuerzos contribuyen al cumplimiento de los objetivos de Colombia en materia de cambio climático y biodiversidad.</t>
  </si>
  <si>
    <t>7.2.Aumentar sustancialmente el porcentaje de energías renovables en el mix energético mundial para 2030.</t>
  </si>
  <si>
    <t xml:space="preserve">Proyecto de construcción de marca territorial para el desarrollo local inclusivo </t>
  </si>
  <si>
    <t>Se fortalece la cohesión social y la independencia de la comunidad para la revitalización local que contribuye a la paz de Colombia y al desarrollo local inclusivo en América
Latina y el Caribe.</t>
  </si>
  <si>
    <t>8.6.Para el 2020 reducir sustancialmente la proporción de jóvenes sin empleo, educación o formación.</t>
  </si>
  <si>
    <t xml:space="preserve">Programa Work 4 Progress Colombia - Escalado de prototipos innovadores y fortalecimiento del ecosistema emprendedor para el empleo en Necoclí Colombia </t>
  </si>
  <si>
    <t>Promover la generación de empleo a través del fortalecimiento del ecosistema emprendedor del municipio de Necoclí, Antioquia, implementando y acelerando prototipos innovadores en los sectores de agroindustria y turismo</t>
  </si>
  <si>
    <t>FUNDACIÓN BANCARIA LA CAIXA</t>
  </si>
  <si>
    <t>FUNDACIÓN COOPERACIÓN AL DESARROLLO Y PROMOCIÓN DE ACTIVIDADES ASISTENCIALES - CODESPA</t>
  </si>
  <si>
    <t>emprendimiento rural para mujeres en  desarrollo rural agrícola - reward</t>
  </si>
  <si>
    <t xml:space="preserve">INCREMENTAR LA VIABILIDAD DE LOS NEGOCIOS RURALES, FORTALECER LOS INSTRUMENTOS DE INVERSIÓN FIANCIERA Y AUMENTAR LA CAPACIDAD DE DECISIÓN Y LA INFLUENCIA DE LAS MUJERES EMPRENDEDORAS Y LOS LIDERES SOCIALES EN LOS NEGOCIOS RURALES Y EL LIDERAZGO DE ORGANZACIONES DE LAS COMUNIDADES. </t>
  </si>
  <si>
    <t>SOCIEDADES SOLIDARIAS:  COMPARTIR RESPONSABILIDADES DEL CUIDADO PARA AVANZAR EN LA IGUALDAD DE GENERO (ECONOMIA DEL CUIDADO)</t>
  </si>
  <si>
    <t>Proyecto de Conservación y Uso Sostenible de Recursos Naturales</t>
  </si>
  <si>
    <t>Garantizar que las áreas protegidas no sólo puedan 
apoyar los objetivos climáticos y de biodiversidad del país y los compromisos internacionales, sino que también 
sirvan como espacios para la inclusión y la construcción 
de la paz, creando oportunidades para el bienestar y el 
desarrollo humano.</t>
  </si>
  <si>
    <t>Paisajes boscosos productivos en Colombia (probosques II)</t>
  </si>
  <si>
    <t>LOS PROCESOS DE MANEJO FORESTAL EN LOS BOSQUES NATURALES DE LA REGIÓN AMAZÓNICA DE COLOMBIA SON MEJORADOS EN TÉRMINOS DE IMPLEMENTACIÓN ADECUADA, INTEGRAL Y SOSTENIBLE.</t>
  </si>
  <si>
    <t>Programa IKI-SPAR6C - Apoyo a la preparación para la cooperación en virtud del Artículo 6 - Article 6 cooperative approaches for high ambition NDC implementation</t>
  </si>
  <si>
    <t>Apoyar a diversos países (entre ellos Colombia) a acelerar la puesta en marcha de un mercado internacional de comercio de reducciones de emisiones, generalmente denominadas resultados de mitigación en el marco del Acuerdo de París.</t>
  </si>
  <si>
    <t>MINISTERIO FEDERAL DE ECONOMÍA Y PROTECCIÓN DEL CLIMA - BMWK</t>
  </si>
  <si>
    <t>Programa Fi Wi Riif - “nuestro arrecife". Primera fase</t>
  </si>
  <si>
    <t>Proteger y recuperar la salud de arrecifes de coral resilientes en las islas de San Andrés, Providencia, Santa Catalina y sus cayos.</t>
  </si>
  <si>
    <t>Providencia</t>
  </si>
  <si>
    <t>FONDO MUNDIAL PARA LOS ARRECIFES DE CORAL - GLOBAL FUND FOR CORAL REEFS (GFCR)</t>
  </si>
  <si>
    <t>EMBAJADA DEL JAPÓN EN COLOMBIA</t>
  </si>
  <si>
    <t>4.a.Construir y mejorar las instalaciones educativas para hacerlas sensibles a los niños, las personas con discapacidad y el género y proporcionar entornos de aprendizaje seguros, no violentos, inclusivos y eficaces para todos.</t>
  </si>
  <si>
    <t xml:space="preserve">Envejecer con calidad: Economía del Cuidado como  Oportunidad de Innovación, Inclusión y Emprendimiento </t>
  </si>
  <si>
    <t>El objetivo del proyecto es apoyar el desarrollo de 
soluciones enfocadas en la formación de 
trabajadores de cuidados, oferta de servicios de 
cuidado o prevención de la dependencia en personas 
mayores.</t>
  </si>
  <si>
    <t>BID LAB</t>
  </si>
  <si>
    <t>FUNDACIÓN ARTURO Y ENRICA SESANA</t>
  </si>
  <si>
    <t>GRUPO DE ANALISIS PARA EL DESARROLLO-GROUP FOR THE ANALYSIS OF DEVELOPMENT</t>
  </si>
  <si>
    <t>Acuerdo de Largo Plazo para acompañar a las organizaciones solidarias de reincorporación en el fortalecimiento de sus capacidades asociativas, bajo los principios de economía solidaria y cooperativismo, que contribuyan a su sostenibilidad económica y social.-UNDP-COL-10037</t>
  </si>
  <si>
    <t>Establecer un Acuerdo a Largo Plazo (LTA por sus siglas en inglés) para acompañar a las organizaciones solidarias de
reincorporación en el fortalecimiento de sus capacidades asociativas, bajo los principios de economía solidaria y
cooperativismo, que contribuyan a su sostenibilidad económica y social</t>
  </si>
  <si>
    <t>Agua de Dios</t>
  </si>
  <si>
    <t>Cabrera</t>
  </si>
  <si>
    <t>Facatativá</t>
  </si>
  <si>
    <t>Pandi</t>
  </si>
  <si>
    <t>Viotá</t>
  </si>
  <si>
    <t>Turbaco</t>
  </si>
  <si>
    <t>Cunday</t>
  </si>
  <si>
    <t>Dolores</t>
  </si>
  <si>
    <t>Icononzo</t>
  </si>
  <si>
    <t>Algeciras</t>
  </si>
  <si>
    <t>Comunicación Estratégica y Diplomacia Pública de la Unión Europea en Colombia 2023-2025 No. NDICI LA/2023/  446-501</t>
  </si>
  <si>
    <t>El objetivo general del presente contrato es mejorar el
perfil y el rol de la Unión Europea como un socio
estratégico para Colombia y estrechar las relaciones hacia
un mayor entendimiento, confianza e interés mutuo entre
ambas partes.</t>
  </si>
  <si>
    <t>Resiliencia al cambio climático con el uso de bioproductos - No. ATN/RF-20638-RG.</t>
  </si>
  <si>
    <t>Generar una estrategia para mejorar la producción (+5%) y la resiliencia del cultivo de maíz al cambio climático mediante el uso e integración de hongos benéficos.</t>
  </si>
  <si>
    <t>SOLNATURA: PROMOVIENDO SOLUCIONES BASADAS EN LA NATURALEZA  PARA UN DESARROLLO TERRITORIAL RESILIENTE, BAJO EN CARBONO Y  BIODIVERSO Fase ii</t>
  </si>
  <si>
    <t>El objetivo general del Proyecto es fortalecer el apoyo financiero para la implementación de soluciones 
basadas en la naturaleza.</t>
  </si>
  <si>
    <t>Yarumal</t>
  </si>
  <si>
    <t>Ganadería Sostenible Comunitaria (GSC) una apuesta para la construcción de paz, el mejoramiento de la sostenibilidad, y la competitividad territorial en zonas afectadas por el conflicto en el Departamento del Cauca - GCP /COL/157/SWE -  Cauca Dairy Network</t>
  </si>
  <si>
    <t>La producción lechera del Departamento del Cauca se ha fortalecido, mediante el desarrollo de un modelo de producción sostenible y escalable, que articula los esfuerzos de la cooperación internacional y la empresa privada; como aporte al Plan Nacional de Desarrollo</t>
  </si>
  <si>
    <t>SUECIA</t>
  </si>
  <si>
    <t>Candelaria</t>
  </si>
  <si>
    <t xml:space="preserve">AMAZONiA + </t>
  </si>
  <si>
    <t>Fortalecer la prevención de la deforestación y degradación forestal en la Selva Amazónica en cooperación con pueblos indígenas y comunidades locales</t>
  </si>
  <si>
    <t>ProDefensoras II. WOMEN LEADERS AND DEFENDERS PREVENTION AND PROTECTION PROGRAMME ASIGNACIÓN 2023 (Women Leaders and Defenders Prevention and Protection Programme -PHAse II) - 2000248</t>
  </si>
  <si>
    <t xml:space="preserve"> avanzar en la consolidación de una estrategia territorial e integral de mitigación de riesgos para las Defensoras de Derechos Humanos, incluyendo firmantes de paz, y de protección para ellas y su tejido asociativo desde una perspectiva preventiva y sostenible, que incluya un rol más decidido de las entidades con competencia, no sólo la Defensoría del Pueblo como la entidad nacional de derechos humanos, sino también otras entidades que serán parte de la respuesta estatal en materia de prevención y protección en el marco de la política de paz total del nuevo gobierno. </t>
  </si>
  <si>
    <t>Mujeres latinoamericanas y del caribe fortalecen su ciudadanía para la participación política y el liderazgo: una apuesta formativa desde la intersectorialidad, los feminismos y la educación popular. Exp 2023Qde00094</t>
  </si>
  <si>
    <t xml:space="preserve">Impulsar procesos e iniciativas que contribuyan a promover la participación política plena, el liderazgo activo, efectivo y la igualdad de oportunidades para las mujeres en sus diversidades, en América Latina y el Caribe desde un enfoque interseccional y feminista.
</t>
  </si>
  <si>
    <t xml:space="preserve"> HUB Diversidad Digital Colombia. Réplica de un modelo de éxito de educación digital para el empleo de Personas con Discapacidad. Expediente No 2023/ACDE/000787</t>
  </si>
  <si>
    <t xml:space="preserve">Contribuir al goce efectivo del derecho al trabajo de las personas con discapacidad en Colombia
</t>
  </si>
  <si>
    <t>Agricultura Tropical 4.0: Gestión Eficiente del Agua - No. ATN/RF-20634-RG.</t>
  </si>
  <si>
    <t>Incrementar el uso eficiente del agua aplicando tecnologías de Agricultura 4.0 en cultivos tropicales de importancia comercial y social.</t>
  </si>
  <si>
    <t>la Unión</t>
  </si>
  <si>
    <t>la Victoria</t>
  </si>
  <si>
    <t>Obando</t>
  </si>
  <si>
    <t>Roldanillo</t>
  </si>
  <si>
    <t>Toro</t>
  </si>
  <si>
    <t>Zarzal</t>
  </si>
  <si>
    <t>Innovaciones para Reducir Emisiones de Metano en Rumiantes - No. ATN/RF-20637-RG.</t>
  </si>
  <si>
    <t>Disminuir un 10% la intensidad de emisión (g de CO2Eq/kg Carne) en sistemas de producción bovina a través de la implementación de innovaciones tecnológicas desarrolladas en América Latina para la cuantificación y mitigación de emisiones de gases de efecto invernadero.</t>
  </si>
  <si>
    <t>Protección, asistencia humanitaria y gestión de riesgo de desastres (GRD) con un enfoque multi afectación en los departamentos del Chocó y Arauca (Colombia). Expediente No 2023/ACHU/000050</t>
  </si>
  <si>
    <t xml:space="preserve">"Contribuir a la restitución de derechos de población víctima de multiafectación en Chocó-Arauca"
</t>
  </si>
  <si>
    <t>CARITAS ESPAÑA</t>
  </si>
  <si>
    <t>Redes comunitarias de café con mujeres caficultoras, el camino a la acción en debida diligencia</t>
  </si>
  <si>
    <t>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t>
  </si>
  <si>
    <t>ALDI EINKAUF SE &amp; CO. OHG</t>
  </si>
  <si>
    <t>12.3. En el 2030 reducir a la mitad el desperdicio de alimentos per cápita mundial a nivel de punto de venta y consumo, y reducir las pérdidas de alimentos a lo largo de las cadenas de producción y suministro, incluyendo las pérdidas
posteriores a la cosecha.</t>
  </si>
  <si>
    <t>Oporapa</t>
  </si>
  <si>
    <t>Pitalito</t>
  </si>
  <si>
    <t>Timaná</t>
  </si>
  <si>
    <t>Jóvenes constructores de una cultura de reconciliación y paz Fase 3.  No 226-003-1054ZG</t>
  </si>
  <si>
    <t>Jóvenes como agentes de cambio inciden local y regionalmente en la construcción de una cultura de reconciliación y de paz.</t>
  </si>
  <si>
    <t>Yondó</t>
  </si>
  <si>
    <t>Conservación y recuperación de los ecosistemas naturales mediante el fortalecimiento del turismo ecológico y comunitario en la Región Pacífico. EXP. 2024QDE00031</t>
  </si>
  <si>
    <t>Contribuir a la protección, conservación y restauración de la biodiversidad en comunidades del pacifico colombiano que desarrollan actividades de turismo ecológico y comunitario.</t>
  </si>
  <si>
    <t>Vijes</t>
  </si>
  <si>
    <t>Yotoco</t>
  </si>
  <si>
    <t>Coordinadora Humanitaria- Asesoría técnica a los procesos  territoriales en metodología, seguimiento y articulación  interinstitucional exp.2024QdV00008</t>
  </si>
  <si>
    <t>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t>
  </si>
  <si>
    <t>Protección comunitaria e institucional con enfoque étnico frente a la VdG para personas con discapacidad y diversidad sexual y de género. Exp 2023/PRYC/000571</t>
  </si>
  <si>
    <t>Contribuir al derecho a una vida libre de violencia en Tumaco, Barbacoas y Buenaventura (Colombia)</t>
  </si>
  <si>
    <t>Innovación tecnológica y social para la construcción de una paz sostenible en EL SUROCCIDENTE colombiano-2023/ACDE/001204</t>
  </si>
  <si>
    <t>Se busca la consolidación de procesos de reincorporación económica y social de firmantes de paz en articulación con actores sociales , institucionales y privados para garantizar la paz territorial y el desarrollo local.</t>
  </si>
  <si>
    <t>Guacarí</t>
  </si>
  <si>
    <t>ASOCIACIÓN CATALANA POR LA PAZ (ASOCIACIÓ CATALANA PER LA PAU)</t>
  </si>
  <si>
    <t>UNIVERSIDAD POLITECNICA DE CATALUÑA</t>
  </si>
  <si>
    <t>Fortalecimiento productivo y comercial del proceso artesanal de tejido en lana de las mujeres tejedoras de Cumbal, Nariño</t>
  </si>
  <si>
    <t>El objetivo general del Proyecto es fortalecer la capacidad productiva y comercial de las 
mujeres tejedoras de la etnia Pastos, del Resguardo Cumbal, ubicado en el Departamento 
de Nariño, Colombia, para promover su empoderamiento e inclusión socioeconómica</t>
  </si>
  <si>
    <t>Transformación del subsector Panela de Colombia a través de la implementación  inicial del NAMA (CPS-NAMA) - CAF02 / GEF9581</t>
  </si>
  <si>
    <t xml:space="preserve">Contribuir a la implementación de la NAMA a través de la transformación productiva y tecnológica del subsector Panela. Área Focal: Mitigación al cambio climático.
</t>
  </si>
  <si>
    <t>COMUNIDAD DE MADRID - CAM</t>
  </si>
  <si>
    <t>CRUZ ROJA ESPAÑOLA - CRE</t>
  </si>
  <si>
    <t>Bonos de Impacto Social, Fase II: Ampliación de Intervenciones Financieras Basadas en Resultados en Perú y Colombia.  No.ATN/CF-20665-CO, ATN/CF-20368-RG y ATN/CF-19740-RG.</t>
  </si>
  <si>
    <t>expandir los modelos de la financiación basada en resultados en Colombia, buscando fortalecer las instituciones públicas, el sector privado y los mercados para mejorar el impacto del financiamiento para el desarrollo, con posibles intervenciones en otros países miembros prestatarios del BID.</t>
  </si>
  <si>
    <t>17.3.Movilizar recursos financieros adicionales para los países en desarrollo a partir de múltiples fuentes.</t>
  </si>
  <si>
    <t>Fortalecimiento Institucional de las Sociedades Nacionales de la Cruz Roja en Ecuador y Colombia</t>
  </si>
  <si>
    <t>Las Sociedades de la Cruz Roja de Ecuador y Colombia han reforzado sus capacidades a nivel central y local, así como en el sector del voluntariado y del personal, y han consolidado su posición frente a los socios estatales.</t>
  </si>
  <si>
    <t>Cravo Norte</t>
  </si>
  <si>
    <t>Ábrego</t>
  </si>
  <si>
    <t>Fortalecimiento de la soberanía alimentaria, economía familiar y las organizaciones propias de las mujeres índigenas Pastos.</t>
  </si>
  <si>
    <t xml:space="preserve">Contribuir al buen vivir de las campesinas del pueblo Pasto en el sur andino de Nariño: El buen vivir se entiende como concepto de realización propia que incluye dimensiones tanto de espiritualidad como de materialidad en todos los ámbitos de la vida sean
</t>
  </si>
  <si>
    <t>Puerres</t>
  </si>
  <si>
    <t xml:space="preserve">Contribuir a la garantía de los derechos de las víctimas, especialmente las de desplazamiento forzado, y a su participación en la construcción de paz y la no repetición en Colombia - Ref. Expediente nº 2024QdV00003 </t>
  </si>
  <si>
    <t>Contribuir al logro del goce efectivo de los derechos de las víctimas del conflicto armado interno, especialmente las víctimas de desplazamiento forzado, incluidos sus derechos como víctimas en Colombia.</t>
  </si>
  <si>
    <t xml:space="preserve">CONTRIBUIR A SALVAR VIDAS POR MEDIO DE ASISTENCIA HUMANITARIA Y PROTECCIÓN DE LA POBLACIÓN MIGRANTE, COLOMBIANOS DESPLAZADOS INTERNOS, VÍCTIMAS DEL CONFLICTO, COLOMBIANOS RETORNADOS Y COMUNIDADES DE ACOGIDA EN ZONAS FRONTERIZAS ENTRE COLOMBIA Y VENEZUELA. </t>
  </si>
  <si>
    <t xml:space="preserve">consolidacion de la paz en colombia - PROPAZ ii 2024 </t>
  </si>
  <si>
    <t>EL PROGRAMA TIENE COMO OBJETIVO FORTALECER LA PROTECCIÓN, EL FOMENTO Y LAS GARANTÍAS DE LOS DERECHOS DE LAS VÍCTIMAS EN EL MARCO DE LOS PROCESOS DE VERDAD, JUSTICIA Y REPARACIÓN A NIVEL NACIONAL, REGIONAL Y LOCAL.
ESTÁ DIRIGIDO A GRUPOS DE POBLACIÓN AFECTADOS POR EL CONFLICTO ARMADO EN LOS DEPARTAMENTOS META, NORTE DE SANTANDER Y CAQUETÁ QUE ACUDEN A LAS CORRESPONDIENTES INSTITUCIONES ESTATALES NACIONALES, REGIONALES Y LOCALES, ASÍ COMO A ORGANIZACIONES SOCIALES DEDICADAS A CUESTIONES DE VÍCTIMAS. LOS MEDIADORES Y MEDIADORAS SON EL PERSONAL TÉCNICO Y DIRECTIVO DE LAS RESPECTIVAS ORGANIZACIONES E INSTITUCIONES. 
SE AMPLÍA EL ENFOQUE DEL PROGRAMA A LA CONSTRUCCIÓN DE PAZ A NIVEL MUNICIPAL Y EL FORTALECIMIENTO DE JÓVENES Y GRUPOS ÉTNICOS.</t>
  </si>
  <si>
    <t>Las formas asociativas de firmantes del Acuerdo de Paz ECOMUN y FEMNCAFÉ cuentan con estrategias y herramientas que fortalecen sus procesos productivos y organizativos con enfoque de sostenibilidad - Ref. Expediente 2024QdV00005</t>
  </si>
  <si>
    <t>Contribuir a la sostenibilidad de la reincorporación social y económica de la población firmante del Acuerdo Final de Paz de Colombia</t>
  </si>
  <si>
    <t>Frontino</t>
  </si>
  <si>
    <t>Manaure Balcón del Cesar</t>
  </si>
  <si>
    <t>TOMA DE DECISIONES BASADA EN LA EVIDENCIA - EVIDEM. GESTIÓN DE LA INFORMACIÓN A TRAVÉS DE LA TOMA DE DECISIONES BASADA EN LA EVIDENCIA PARA UNA MEJOR RESPUESTA HUMANITARIA EN COLOMBIA - ECHO/-AM/BUD/2023/91012 - adenda 1</t>
  </si>
  <si>
    <t>REFORZAR LA RESPUESTA HUMANITARIA EN COLOMBIA MEDIANTE UNA MEJOR TOMA DE DECISIONES FACILITADA POR LA GESTIÓN DE LA INFORMACIÓN DESDE LA RECOGIDA DE LOS DATOS HASTA SU ANÁLISIS.</t>
  </si>
  <si>
    <t>Programa Territorios Forestales Sostenibles (TEFOS ) - Pilar 3: “Medios de Vida Sostenible”</t>
  </si>
  <si>
    <t>Apoyar el desarrollo de actividades para incentivar medios de vida sostenibles en comunidades localizadas en los núcleos de desarrollo forestal en la región Amazónica en cumplimiento del plan de contención de la deforestación.</t>
  </si>
  <si>
    <t xml:space="preserve">OFICINA DE ASUNTOS EXTERIORES, COMMONWEALTH Y DESARROLLO DE REINO UNIDO </t>
  </si>
  <si>
    <t>Fortalecimiento de organizaciones de jóvenes y mujeres en la defensa del Derecho de la Participación y a la Gobernanza Democrática para la Construcción de Paz en la región Caribe de Colombia</t>
  </si>
  <si>
    <t>Promover la construcción de paz desde la gobernanza democrática local en los departamentos de Magdalena y La Guajira en Colombia</t>
  </si>
  <si>
    <t>Fortalecimiento de la gobernanza local</t>
  </si>
  <si>
    <t>Promover sociedades pacíficas e incluyentes para el desarrollo sostenible en dos subregiones PDET</t>
  </si>
  <si>
    <t>17.15.Respetar el espacio político y el liderazgo de cada país para establecer y poner en práctica políticas para la erradicación de la pobreza y el desarrollo sostenible.</t>
  </si>
  <si>
    <t>RETORNOS REPARACION COLECTIVA - 119321</t>
  </si>
  <si>
    <t>Apoyar la implementación de 17 esquemas especiales de acompañamiento de retornos y reubicaciones y de 4 medidas de reparación colectiva en comunidades étnicas y no étnicas en territorios PDET en alianza con la UARIV</t>
  </si>
  <si>
    <t>Urrao</t>
  </si>
  <si>
    <t>CONTRIBUIR AL MEJORAMIENTO DE LA SALUD DE POBLACIONES VULNERABLES QUE SUFREN AFECTACIÓN MÚLTIPLE POR CAUSA DEL CONFLICTO AMADO, MIGRACIÓN Y DESASTRES NATURALES EN LA REGIÓN PACIFICA COLOMBIANA.</t>
  </si>
  <si>
    <t>Medio Atrato</t>
  </si>
  <si>
    <t>PRODUCTIVIDAD AGRÍCOLA</t>
  </si>
  <si>
    <t>crear prosperidad, reducir la pobreza y cerrar las brechas en los territorios rurales de Colombia</t>
  </si>
  <si>
    <t>Contribuir al desarrollo económico y social mediante el envio de cooperantes japonesescapacitados en alguna de las áreas de experticiaconsideradas parte del programa</t>
  </si>
  <si>
    <t>17.9.Mejorar el apoyo internacional para la aplicación de creación de capacidad efectiva y focalizada en los países en desarrollo para apoyar los planes nacionales para aplicar todos los objetivos de desarrollo sostenible, mediante la cooperación triangular NorteSur y Sur-Sur</t>
  </si>
  <si>
    <t>Salvaguardar los ecosistemas pasados por alto: Proteger, gestionar y restaurar praderas y sabanas en Argentina, Colombia y Paraguay</t>
  </si>
  <si>
    <t xml:space="preserve">Proteger, gestionar y restaurar sabanas y pastizales en Argentina, Colombia y Paraguay mediante la participación multisectorial y el intercambio de conocimientos.
</t>
  </si>
  <si>
    <t>15.5.Tomar medidas urgentes y significativas para reducir la degradación del hábitat natural, detener la pérdida de biodiversidad, y en 2020 de proteger y evitar la extinción de especies amenazadas.</t>
  </si>
  <si>
    <t>COMERCIALIZACION-UNDP-COL-00134158</t>
  </si>
  <si>
    <t>Programa: Work4Progress Colombia (en Necoclí, Antioquia)</t>
  </si>
  <si>
    <t>Aceleración y escalado de la cartera de prototipos de negocios y servicios ya diseñados por el programa Work4Progress, buscando en todo momento su viabilidad comercial y financiera.</t>
  </si>
  <si>
    <t>Abordaje de los motores criminales de la deforestación en las áreas más afectadas por el fenómeno en Colombia</t>
  </si>
  <si>
    <t>Fortalecimiento de las capacidades de instituciones colombianas en la lucha contra la deforestación ilegal para reducir deforestación en los territorios seleccionados</t>
  </si>
  <si>
    <t>EMBAJADA DEL REINO UNIDO</t>
  </si>
  <si>
    <t>Educación digital: mujeres diversas con discapacidad. Exp 2023/ACDE/001191</t>
  </si>
  <si>
    <t xml:space="preserve">Fortalecer el derecho a una educación de calidad de las niñas y mujeres con discapacidad
</t>
  </si>
  <si>
    <t>FUNDACIÓN ONCE</t>
  </si>
  <si>
    <t>Proyecto de Inclusión de la Población Migrante, bajo el Programa de Biodiverciudad y Equidad Urbana en Barranquilla</t>
  </si>
  <si>
    <t>Apoyar la integración de la población migrante en Barranquilla, mediante asistencia al Distrito en la implementación del Estatuto Temporal de Protección para Migrantes Venezolanos y acciones de apoyo para su integración social, económica y cultural en la ciudad</t>
  </si>
  <si>
    <t>Resiliencia de la Economia Azul : Prorgama de Barrios Resilientes</t>
  </si>
  <si>
    <t>Apoya la resiliencia y el bienestar de comunidades vulnerables a través de un programa multisectorial que abarca medios de vida, nutrición, salud y WASH (agua, saneamiento e higiene). El programa también apoya un Fondo de Respuesta a Emergencias previamente posicionado, junto con el trabajo en educación para el desarrollo, participación pública y resiliencia</t>
  </si>
  <si>
    <t>Irlanda</t>
  </si>
  <si>
    <t>DEPARTAMENTO DE ASUNTOS INTERNACIONALES DE IRLANDA - IRISH AID</t>
  </si>
  <si>
    <t>Apoyo al Ecosistema de Innovación Sectorial en Colombia</t>
  </si>
  <si>
    <t>promover instancias
de colaboración entre los prestadores y/o organizaciones comunitarias que
administran soluciones de agua, saneamiento y residuos sólidos (ASRS), tanto
pequeños, como medianos , e innovadores locales en ASRS, en Colombia, en
las que se desarrollen soluciones innovadoras que permitan avanzar en el cierre
de brechas en el acceso a estos servicios en el país, acorde con el contexto
geográfico, económico y sociocultural de las comunidades.</t>
  </si>
  <si>
    <t>11.1.Para 2030, asegurar el acceso para todos a una vivienda adecuada, segura y asequible, y a los servicios básicos y mejorar los tugurios.</t>
  </si>
  <si>
    <t>Bioeconomía y Acción por el Clima</t>
  </si>
  <si>
    <t>Reducir la vulnerabilidad climática y financiera de la 
población más vulnerable del país, al tiempo que se 
reducen las emisiones de gases de efecto invernadero 
como medida de mitigación del cambio climático en 
algunas de las zonas climáticamente más vulnerables del 
país</t>
  </si>
  <si>
    <t>Apoyo al fortalecimiento de la misión de la Jurisdicción Especial para la Paz, para la consolidación de la transición hacia la paz en Colombia – Fase III.  Ref. Expediente nº 2024QdV00004</t>
  </si>
  <si>
    <t>Apoyo a la Jurisdicción Especial para la Paz, para la consolidación de la transición hacia la paz en Colombia garantizando los derechos de las víctimas y la seguridad jurídica de los comparecientes, con enfoque territorial, diferencial y de género.</t>
  </si>
  <si>
    <t>Construyendo puentes, tejiendo caminos: acciones para la protección de personas LGBTIQ+ en situación de movilidad humana -  Ref. Expediente nº 2024QdV00222</t>
  </si>
  <si>
    <t>Mejoradas las condiciones de las personas LGTBIQ+ en situación de movilidad: procesos migratorios y de desplazamiento, en la región, así como en los procesos de integración socioeconómica</t>
  </si>
  <si>
    <t>Apoyo a la implementación de la Convención de las Naciones Unidas contra la corrupción en Colombia  - COLX03 (fase iii, adicion 2024)</t>
  </si>
  <si>
    <t>Fortalecer las capacidades institucionales para implementar la Convención de las Naciones Unidas contra la Corrupción-UNCAC y la creación de una cultura de la integridad y la legalidad.</t>
  </si>
  <si>
    <t>FUNDACION SIEMENS</t>
  </si>
  <si>
    <t>Montecristo</t>
  </si>
  <si>
    <t>Calima</t>
  </si>
  <si>
    <t>15.9.En 2020, integrar los valores de los ecosistemas y la biodiversidad en la planificación nacional y local, los procesos de desarrollo, estrategias de reducción de la pobreza, y la contabilidad.</t>
  </si>
  <si>
    <t>Sipí</t>
  </si>
  <si>
    <t>Mallama</t>
  </si>
  <si>
    <t>Mistrató</t>
  </si>
  <si>
    <t>Apoyo a la Estrategia de Prevención contra la trata y trafico ilegal de migrantes en Colombia</t>
  </si>
  <si>
    <t>El objetivo de la cooperación técnica es apoyar al Gobierno Nacional en la
implementación de acciones para mitigar la violencia basada en género (VBG), la trata
de personas y el tráfico ilícito de migrantes a través de: (i) Fortalecimiento de
instrumentos para la formulación e implementación de Planes de Acción Territorial
(PAT); (ii) Adecuación de campañas de prevención y difusión de los PAT y rutas de
atención a la VBG y (iii) Fortalecimiento institucional para la respuesta al tráfico ilícito
de migrantes. De igual forma, la CT busca implementar el segundo tramo del
Préstamo Programático (CO-L1272), apoyando los esfuerzos realizados por el país
en combatir los factores de vulnerabilidad asociados a la trata y tráfico de migrantes.</t>
  </si>
  <si>
    <t>Apoyo al Fortalecimiento institucional del Grupo Bicentenario CO-T1718</t>
  </si>
  <si>
    <t>apoyar el
fortalecimiento institucional del GRUPO BICENTENARIO para mejorar su contribución en el logro del
crecimiento económico, inclusivo y sostenible en Colombia.</t>
  </si>
  <si>
    <t>El territorio habla y el Centro Nacional de Memoria Escucha: promoviendo  los derechos de las víctimas en los departamentos de Chocó y Valle del  Cauca.  -2024QdV00002</t>
  </si>
  <si>
    <t xml:space="preserve">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
</t>
  </si>
  <si>
    <t>El territorio habla y el Centro Nacional de Memoria Escucha: promoviendo los derechos de las víctimas en los departamentos de Chocó y Valle del Cauca -2024QdV00002</t>
  </si>
  <si>
    <t>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t>
  </si>
  <si>
    <t>4.3.En 2030 garantizar la igualdad de acceso de todas las mujeres y hombres a la educación técnica, profesional y superior, de calidad y asequible, incluyendo la Universidad.</t>
  </si>
  <si>
    <t>TetraPak &amp; FAO: Red lechera en Colombia (construcción de paz) -15362 (TetraPak &amp; FAO: Dairy network in Colombia (peacebuilding)</t>
  </si>
  <si>
    <t>El objetivo del proyecto es contribuir al fortalecimiento de un sistema de producción lechera sostenible y replicable para pequeños productores de los municipios de Cajibío, Totoro, Silvia y Sotará en el Departamento del Cauca (Colombia). El objetivo principal es Conflicto, Paz y Seguridad, Género y Medio Ambiente.</t>
  </si>
  <si>
    <t>Sector privado y construcción de paz en Colombia 2023-2026 - 16063 ( Private sector &amp; Peacebuilding Colombia 2023-2026)</t>
  </si>
  <si>
    <t>El aporte tiene como objetivo coordinar los esfuerzos de las tres organizaciones para promover un enfoque integral que incluya insumos e información para los responsables políticos y la opinión pública, construya puentes entre los gobiernos nacionales y regionales y las empresas, concientice a las empresas privadas sobre los buenos ejemplos de conducta empresarial responsable junto con el impacto que podrían tener en la construcción de la paz y, finalmente, promueva vínculos comerciales entre grandes empresas y pequeños agricultores campesinos de las regiones afectadas por el conflicto, estimulando así las oportunidades económicas en las regiones seleccionadas.</t>
  </si>
  <si>
    <t>Reincorporación en Colombia-Efecto nosotros - 15253 (We Effect - återintegrering Colombia 2022-2026) desembolso 2023</t>
  </si>
  <si>
    <t>El apoyo al proyecto We Effect en Colombia tiene como objetivo facilitar el proceso de reincorporación de mujeres y hombres excombatientes conjuntamente con sus comunidades vecinas, a través de la implementación de modelos económicos sostenibles basados ??en modelos cooperativos con perspectiva de género incluida. El aporte tiene su enfoque geográfico en la región de los Montes de María (Sucre, Bolívar y Córdoba), que son regiones afectadas por conflictos.</t>
  </si>
  <si>
    <t>Estrategia de desarrollo rural integral con enfoque de género - CO-T1709</t>
  </si>
  <si>
    <t xml:space="preserve">El objetivo de esta cooperación técnica (CT) es apoyar al gobierno de Colombia en el
diseño y la implementación de esta Reforma Rural Integral con enfoque de género para la generación de programas y políticas encaminadas a aumentar los ingresos, la productividad y la autonomía económica de las mujeres rurales, considerando la
economía del cuidado. </t>
  </si>
  <si>
    <t>Politica Fiscal para el Cambio Climático en Colombia</t>
  </si>
  <si>
    <t xml:space="preserve">apoyar al Ministerio de Hacienda y Crédito Público de Colombia (MHCP) y al Departamento
Nacional de Planeación (DNP) en la integración de la acción climática en su política y
gestión fiscal y de la inversión pública. </t>
  </si>
  <si>
    <t>Prevención de violencias basadas en género en municipios con alta presencia de grupos étnicos</t>
  </si>
  <si>
    <t>El objetivo central de esta Cooperación Técnica es apoyar la formulación e implementación de instrumentos para la prevención y atención integral de las violencias basadas en género con enfoque étnico y territorial para pueblos indígenas, afrodescendientes y campesinos de la Amazonía colombiana.</t>
  </si>
  <si>
    <t>Programa de inclusión laboral para inmigrantes y población de acogida en trabajos no convencionales de transporte</t>
  </si>
  <si>
    <t xml:space="preserve">
El objetivo general es apoyar la inclusión laboral de mujeres, migrantes y locales de acogida.
Poblaciones del sector transporte del Distrito de Bogotá. </t>
  </si>
  <si>
    <t xml:space="preserve">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t>
  </si>
  <si>
    <t>Fortalecimiento de la capacidad de preparación y respuesta ante desastres de los primeros respondedores, apoyo a la implementación del Plan de Acción Nacional de Escuelas Seguras de Colombia y garantía de acceso y retención en el sistema educativo -  ECHO/-AM/BUD/2024/91029</t>
  </si>
  <si>
    <t>fortalecer la gestión para atención de desastres y capacidad de respuesta de primeros respondientes, apoyando la implementación del Plan Nacional de Colombia de Escuelas Seguras y asegurando el acceso y retención en el sistema educativo.</t>
  </si>
  <si>
    <t>Senior Expert Contact Colombia - Ofrecer asesoramiento personalizado a pequeñas empresas en crecimiento a través de una red de expertos sénior de América Latina y Europa - GR-079844</t>
  </si>
  <si>
    <t>Ofrecer apoyo a la medida a empresas colombianas, principalmente pequeñas y medianas, para que aumenten sus ventas y generen nuevos empleos a través de una red de expertos senior voluntarios en Colombia, América Latina y Europa; y promover el intercambio de experticia entre los países de América Latina.</t>
  </si>
  <si>
    <t>FUNDACIÓN ARGIDIUS</t>
  </si>
  <si>
    <t>MINISTERIO PARA EUROPA Y DE ASUNTOS EXTERIORES</t>
  </si>
  <si>
    <t>NATURE AND CULTURE INTERNATIONAL</t>
  </si>
  <si>
    <t>COLOMBIA: CERRO NEGRO - SAN FRANCISCO - 2-CO-1212-23-3-a</t>
  </si>
  <si>
    <t>Declarar al ecosistema de Páramo Cerro Negro – San Francisco, ubicado en los municipios de como área protegida bajo la figura Parque Natural Regional (PNR) Andino Amazónico.</t>
  </si>
  <si>
    <t>RAINFOREST TRUST</t>
  </si>
  <si>
    <t>Potosí</t>
  </si>
  <si>
    <t>Crear paz y oportunidades en Colombia, a traves del desminado humanitario con un enfoque de la reduccion de la violencia armada” S07-40-440.70 /COL/COL/HI/2024/01</t>
  </si>
  <si>
    <t>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t>
  </si>
  <si>
    <t>Fi Wi Riif (“Nuestro Arrecife”): Resiliencia y Recuperación Humana y de los Ecosistemas para el Archipiélago de San Andrés y Providencia del Caribe Colombiano, en una Realidad de Cambio Climático - 09_31_24-29_FondoAccion_CO</t>
  </si>
  <si>
    <t>Mejorar, para el año 2029, la resiliencia de los ecosistemas costeros y marinos y la capacidad de las comunidades para recuperarse y adaptarse al cambio climático y a las amenazas a la biodiversidad en el Archipiélago de San Andrés, Providencia Vieja (Providencia) y Santa Catalina (ASAPSC) en el Caribe colombiano, a través de un sistema mejorado de áreas protegidas, una estrategia para recuperar y restaurar la salud de los ecosistemas, y la mejora de los medios de vida de las poblaciones locales y autóctonas.</t>
  </si>
  <si>
    <t>BLUE ACTION FUND</t>
  </si>
  <si>
    <t>cacao amazónico y paz colombia: mejores condiciones de vida de las comunidades rurales mediante el cultivo agroecológico del cacao y cadenas de suministro sin deforestación</t>
  </si>
  <si>
    <t>Promover modelo de producción de cacao cero deforestación y mejorar la calidad de vida de los productores de cacao en las zonas priorizadas para la implementación del acuerdo de paz.</t>
  </si>
  <si>
    <t>WWF ALEMANIA - WWF DEUTSCHLAND</t>
  </si>
  <si>
    <t>Conexión Colombia Anfitriones 2024 – 2026</t>
  </si>
  <si>
    <t>Los Anfitriones para la Paz dinamizan destinos turísticos 
en La Guajira, Magdalena y Putumayo como estrategia de conservación de los 
ecosistemas e inclusión socio-económica</t>
  </si>
  <si>
    <t>KERK IN ACTIE</t>
  </si>
  <si>
    <t xml:space="preserve">Confluencia de los pueblos indígenas del Chocó desde la diversidad étnico cultural y la defensa del territorio fase III.  Ref. Expediente n° 2024/SPE/0000400098 </t>
  </si>
  <si>
    <t>Contribuir a la consolidación de la cultura de paz en la región del Pacífico colombiano promoviendo el diálogo intercultural, y la cohesión social.</t>
  </si>
  <si>
    <t>Belen de Bajira</t>
  </si>
  <si>
    <t>Bagadó</t>
  </si>
  <si>
    <t>Río Iró</t>
  </si>
  <si>
    <t>Alianzas Público-Comunitarias para el Cuidado (APPC) en Colombia</t>
  </si>
  <si>
    <t xml:space="preserve">Explorar la implementación, evaluación y escalabilidad de los Proponemos Asociaciones de Atención publico Comunitaria (PCCP) como modelo de bienes sociales comunes para la economia del cuidado 
</t>
  </si>
  <si>
    <t>Cuarta Comunicación Nacional, Primer y Segundo Informe Bienal de Transparencia (1BTR, 4NC+2BTR)</t>
  </si>
  <si>
    <t>Preparar y presentar el Primer Informe Bienal de Transparencia (BTR1) y la Cuarta Comunicación Nacional sobre Cambio Climático (4NC)
en combinación con el Segundo Informe Bienal de Transparencia (BTR2) y cumplir con las obligaciones de información de Colombia en virtud de la CMNUCC y el Acuerdo de París, de conformidad con las Modalidades, Procedimientos y Directrices (MPG) para el Marco de Transparencia Reforzada para la Acción Climática y el apoyo a la Decisión 13 del Acuerdo de París (Decisión 18/CMA.1) y orientaciones sobre la aplicación de las MPGM en virtud de la decisión 5/CMA.3.</t>
  </si>
  <si>
    <t>APOYO POR PARTE DE RE:ARC A ECOMUN EN PROYECTO UBICADO EN CIMITARRA - SANTANDER -  desarrollar distintas iniciativas que contribuyan al proceso de reincorporación económica y social de firmantes de paz -  00410</t>
  </si>
  <si>
    <t>desarrollar distintas iniciativas que contribuyan al proceso de reincorporación económica y social de firmantes de paz.</t>
  </si>
  <si>
    <t>RE:ARC INSTITUTE</t>
  </si>
  <si>
    <t>AGENCIA VASCA DE COOPERACIÓN PARA EL DESARROLLO</t>
  </si>
  <si>
    <t>Fortalecimiento y articulación de organizaciones, redes y plataformas de sociedad civil de ALC para el seguimiento de las cumbres CELAC-UE</t>
  </si>
  <si>
    <t>Garantizar la participación significativa y efectiva de la sociedad civil de América Latina y Caribe para el seguimiento de las Cumbres CELAC-UE.</t>
  </si>
  <si>
    <t>Territorios de vida: conservacion biocultural y enfoque de salud ünica en la Amazonia colombiana-</t>
  </si>
  <si>
    <t>Contribuir al dialogo intercultural para la conservación de la biodiversidad la protección de la diversidad cultural y la mejora de la salud humana.</t>
  </si>
  <si>
    <t>RESPIN Reforzar las interfaces entre ciencia y política para impulsar la eficacia y la interconexión de las políticas sobre biodiversidad y clima - Contrato 101135490 — RESPIN — HORIZON-CL6-2023-BIODIV-01. Horizon Europe</t>
  </si>
  <si>
    <t>Contribuir a fortalecer las capacidades de apoyo científico- político a la toma de decisiones y la elaboración de políticas sobre biodiversidad y clima, abordando lasinterconexiones entre la biodiversidad y las políticas climáticas, en el nexo entre las plataformas IPBES e IPCC.</t>
  </si>
  <si>
    <t>San Juan de Arama</t>
  </si>
  <si>
    <t>Coyaima</t>
  </si>
  <si>
    <t>provisión de asistencia humanitaria a poblaciones vulnerables sujetas a múltiples afectaciones (Conflicto interno, Migración y/o Desastre) en colombia - ECHO/-AM/BUD/2024/91027</t>
  </si>
  <si>
    <t>Reducir el impacto de las consecuencias humanitarias provocadas por las múltiples afectaciones en Colombia.</t>
  </si>
  <si>
    <t>CRUZ ROJA ALEMANA</t>
  </si>
  <si>
    <t>AYMURAY: Fortalecimiento de la capacidad de respuesta y adaptación de pequeños productores a los efectos deeventos climáticos y conflictos sociales. SAI_CICL/2023/1961. Fase II</t>
  </si>
  <si>
    <t xml:space="preserve">Incrementar la estabilidad económica y social en las zonas más afectadas por crisis ambientales y sociales, como forma de contribuir a los procesos de desarrollo sostenible
</t>
  </si>
  <si>
    <t>Áreas Protegidas y Paz – Mejoramiento de la efectividad de las Áreas protegidas, combatiendo las causas subyacentes de la deforestación y la degradación en Colombia - Enmienda 2024</t>
  </si>
  <si>
    <t>contribuir a superar los conflictos relacionados con la tierra en y alrededor de las áreas protegidas, entre las vertientes andinas orientales, la selva amazónica y el Orinoco, y a la implementación del primer capítulo del Acuerdo de Paz - Desarrollo Rural Integral - en beneficio de los pequeños agricultores locales. De esta manera, se haría también una contribución a la disminución de la deforestación y a la preservación de la biodiversidad. Porque en las áreas protegidas de Colombia, los pequeños agricultores viven sin derechos sobre la tierra, lo que en el vacío de poder, después de 52 años de guerra civil, intensifica los conflictos por la tierra y la degradación de los recursos naturales.</t>
  </si>
  <si>
    <t>Actividades de Desminado Humanitario en Cumaribo, Urrao, Montelíbano y San José de Uré, Colombia</t>
  </si>
  <si>
    <t>La población de Cumaribo (Vichada), Urrao (Antioquia), Montelíbano y San José de Uré
(Córdoba) mejoran su calidad de vida, aumentan sus oportunidades económicas y tienen más fácil acceso a bienes y servicios, como resultado de la liberación de tierras por  contaminación de minas/REG</t>
  </si>
  <si>
    <t xml:space="preserve">CONCERTACIÓN SOCIAL PARA EL DESARROLLO TERRITORIAL SOSTENIBLE EN EL SUROCCIDENTE DE COLOMBIA. “SINCHISUYU” (TERRITORIO FUERTE) </t>
  </si>
  <si>
    <t>Contribuir al bienestar y la paz territorial de las comunidades indígenas y campesinas del sur de Colombia.</t>
  </si>
  <si>
    <t>Chachagüí</t>
  </si>
  <si>
    <t>Colón</t>
  </si>
  <si>
    <t>La Cruz</t>
  </si>
  <si>
    <t>Yacuanquer</t>
  </si>
  <si>
    <t>Santiago</t>
  </si>
  <si>
    <t>Proyecto de Desarrollo Territorial y construcción de paz  en Nariño</t>
  </si>
  <si>
    <t>Contribuir a la paz territorial en el departamento de Nariño, a través del empoderamiento social, económico y político de las mujeres y jóvenes en 5 municipios de la Costa Pacífica del departamento de Nariño.</t>
  </si>
  <si>
    <t>Proyecto de Desarrollo Territorial y construcción de paz  en Nariño - desembolso 2025</t>
  </si>
  <si>
    <t>Anserma</t>
  </si>
  <si>
    <t>Espinal</t>
  </si>
  <si>
    <t>Chinchiná</t>
  </si>
  <si>
    <t>Articulación institucional para avanzar en la ruta de reparación y restitución de las víctimas del conflicto armado en Colombia - desembolso 2024</t>
  </si>
  <si>
    <t>Contribuir a la implementación de medidas de reparación transformadoras por parte de las entidades del Sistema Nacional de Reparación Integral a las Víctimas (SNARIV) que 
garanticen la protección y los derechos de las víctimas del conflicto armado con un enfoque de género, étnico y territorial.</t>
  </si>
  <si>
    <t>Articulación institucional para avanzar en la ruta de reparación y restitución de las víctimas del conflicto armado en Colombia - desembolso 2025</t>
  </si>
  <si>
    <t>Fortalecimiento de  Capacidades de Grupos étnicos para Reducir  la Deforestación y Mejorar la Gestión de los  Bosques -  ATN/CM-18742-CO</t>
  </si>
  <si>
    <t>impulsar en comunidades étnicas procesos que fortalezcan la gobernanza territorial y ambiental, la reducción de la deforestación y propicien la conservación en el marco de los acuerdos establecidos en el proceso de consulta previa  del Plan Nacional de Desarrollo.</t>
  </si>
  <si>
    <t>Respuesta de protección integral de las comunidades indígenas y afro de Bojayá y Rio Quito - 2024/ACHU/001167</t>
  </si>
  <si>
    <t>Contribuir a la protección integral en Bojayá y Río Quito, Chocó, en contexto de crisis  humanitaria</t>
  </si>
  <si>
    <t>FUNDACIÓN MUNDUBAT</t>
  </si>
  <si>
    <t>TRANSICIÓN ECOLÓGICA Y JUSTICIA DE GÉNERO - SOLPCD/2023/0131</t>
  </si>
  <si>
    <t>Contribuir al desarrollo humano sostenible desde un enfoque étnico y de justicia de género en el Norte del Cauca.</t>
  </si>
  <si>
    <t>Contribuir al Fortalecimiento del Sistema de Salud pública en Colombia a través del apoyo al sistema nacional de vigilancia en salud. Exp  2024Qde00093</t>
  </si>
  <si>
    <t xml:space="preserve">Reforzar la capacidad de Colombia, en materia de alerta temprana, reducción de riesgos y gestión de los riesgos para la salud naciona y mundial
</t>
  </si>
  <si>
    <t>Fortalecimiento integral de la competitividad de mujeres privadas de la libertad a partir de la puesta en valor de los oficios y saberes propios de la actividad artesanal. Exp 2024/SPE/0000400205 FaseI</t>
  </si>
  <si>
    <t xml:space="preserve">Contribuir al cierre de brechas sociales, con enfoque diferencial de género para el empoderamiento y la inclusión productiva de las mujeres privadas de la libertad
</t>
  </si>
  <si>
    <t>La Dorada</t>
  </si>
  <si>
    <t>Fortalecimiento integral de la competitividad de mujeres privadas de la libertad a partir de la puesta en valor de los oficios y saberes propios de la actividad artesanal. Exp 2024/SPE/0000400205 Fase II</t>
  </si>
  <si>
    <t>Creación de un banco de extractos y bioprospección con tecnologías de cribado de alto rendimiento para buscar nuevos compuestos en la flora Amazónica de Colombia - CT ATN/NL-19267-RG</t>
  </si>
  <si>
    <t>Realizar un piloto de bioprospección utilizando tecnologías de cribado de alto rendimiento (“High Throughput Screening” – HTS) de flora amazónica en Colombia, que incremente las capacidades del Instituto SINCHI para lograr un mayor conocimiento y aprovechamiento de la biodiversidad como estrategia para la consolidación de la bioeconomía en el país.</t>
  </si>
  <si>
    <t>Red Nacional de Jóvenes por la Reconciliación y La Paz Territorial</t>
  </si>
  <si>
    <t>l proyecto busca fortalecer la participación de las y los jóvenes de 15 a 24 años en la
construcción de paz a través de un proceso dialógico, formativo e innovador, basado en las necesidades e
intereses diferenciales de la juventud desde un enfoque de género, promoviendo espacios de reconciliación
y procesos de dignificación de las víctimas, en particular de las víctimas de desaparición, en pro de la no
repetición del conflicto armado.</t>
  </si>
  <si>
    <t>Mujeres y jóvenes del Pacífico nariñense construyendo paz y autonomía económica en el territorio colombiano -  Ref exp no° 2023/PRYC/ 000723</t>
  </si>
  <si>
    <t>Contribuira la paz y el desarrollo sosteniblee inclusivo en el Pacifico colombiano</t>
  </si>
  <si>
    <t>San Diego</t>
  </si>
  <si>
    <t>Implementación de Sistemas Agroforestales Sostenibles para Fincas Cacaoteras-GRT/CM-21027-CO</t>
  </si>
  <si>
    <t xml:space="preserve">El objetivo de la presente Operación de Inversión No Reembolsable (IGR) es fortalecer los sistemas productivos agropecuarios sostenibles para fincas cacaoteras, que reduzcan la presión sobre la ampliación de la frontera agropecuaria y que a su vez generen ingresos a los pequeños productores. Los objetivos específicos del proyecto son: (i) mejorar el modelo de producción de cacao </t>
  </si>
  <si>
    <t>MUJERES AWÁ DEL PACÍFICO NARIÑENSE CONSTRUYENDO AUTONOMÍA ECONÓMICA Y PAZ EN EL TERRITORIO - SOLPCD/2023/0127</t>
  </si>
  <si>
    <t>Contribuir al "buen vivir", la autonomía y gobierno propio del pueblo Awá desde un enfoque de género, étnico y basado en DDHH, como requisito para una vida próspera, sostenible y libre de violencias en el Pacifico colombiano</t>
  </si>
  <si>
    <t>Programa Global de Parques Eco-Industriales  (GEIPP II) - 220183</t>
  </si>
  <si>
    <t>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t>
  </si>
  <si>
    <t>ONUDI</t>
  </si>
  <si>
    <t>Partners for Water (Alianza por el Agua): Water as Leverage Cartagena -equipo ‘Raíces de Cartagena’  - PfW-2-PIPP23CO06</t>
  </si>
  <si>
    <t>Asistencia técnica para la formulación de proyectos de infraestructura sostenible relacionados con retos hídricos y climáticos en la ciudad de Cartagena. La asistencia técnica incluye la elaboración de diseños y estudios de pre-factibilidad y factibilidad.</t>
  </si>
  <si>
    <t>MINISTERIO DE INFRAESTRUCTURA Y GESTIÓN DEL AGUA DE LOS PAÍSES BAJOS</t>
  </si>
  <si>
    <t>Partners for Water (Alianza por el Agua): Conservación del Área Ramsar CGSM a través de Tecnologías de Eficiencia y Descontaminación del Agua en la Producción de Café - PfW-3-PVW523CO09</t>
  </si>
  <si>
    <t xml:space="preserve">apoyar a contrapartes locales y nacionales en sus esfuerzos por conservar el área Ramsar CGSM, trabajando con el sector cafetero de las cuencas de los ríos Fundación y Aracataca en la implementación de tecnologías de eficiencia y descontaminación del agua. </t>
  </si>
  <si>
    <t>Asistencia humanitaria a las comunidades afectadas or el conflicto armado y la movilidad humana en Colombia. Exp 2024/ACHU/000478</t>
  </si>
  <si>
    <t xml:space="preserve">Mejorar las condiciones de vida de población afectada por el conflicto armado y movilidad humana.
</t>
  </si>
  <si>
    <t xml:space="preserve"> Implementación de la Alianza para la  Conservación de Sitios de Extinción Cero (AZE) y Prevención de Extinciones Globales -  GEF AZE - PNUMA/ECOSYSTEMS/GEFBD-LD/AZE</t>
  </si>
  <si>
    <t>implementar el proyecto del Fondo para el Medio Ambiente Mundial (GEF), Implementando la 
Alianza para la Conservación de Sitios de Extinción Cero (AZE) y Previniendo Extinciones Globales, en adelante Proyecto GEF AZE. El proyecto tiene 3 componentes principales a nivel global. El componente 1 busca mejorar el estado de conservación de 20 sitios AZE y especies 
desencadenantes AZE asociadas en 4 países: Madagascar, Chile, República Dominicana y Colombia. El componente 2 establece la integración de la conservación de sitios AZE a 
nivel mundial y nacional. Y el componente 3 busca la gestión del conocimiento para mejorar la comprensión y el interés en la conservación de sitios AZE en todos los sectores.</t>
  </si>
  <si>
    <t>Programa de Fortalecimiento y Respuesta a la Corrupción y el Lavado de Dinero de las Autoridades del Sector Justicia- SINLEC24LA5113</t>
  </si>
  <si>
    <t>La Policía Nacional (PNC), la Fiscalía General de la República (FGN) y el poder judicial colombiano refuerzan sus esfuerzos en la investigación, procesamiento y resolución de casos de delitos financieros y corrupción en Colombia.</t>
  </si>
  <si>
    <t xml:space="preserve">AGENCIA EXTREMEÑA DE COOPERACIÓN PARA EL DESARROLLO </t>
  </si>
  <si>
    <t>MUNDUKIDE FUNDAZIOA</t>
  </si>
  <si>
    <t>Asesoría política y técnica sobre el uso beneficioso de los sedimentos marinos dragados para la aplicación de soluciones basadas en la naturaleza en Colombia</t>
  </si>
  <si>
    <t xml:space="preserve">Brindar asistencia técina relacionada con a adaptación del martco regulatorio, aspectos técnicos , formulación de proyectos y otros componentes que conduzcan a una mayor reutilización de los materiales dragados en Colombia con usos benéficos e impacto ambiental favorable </t>
  </si>
  <si>
    <t xml:space="preserve"> Las Escuelas Taller de Colombia promueven la transformación social en los territorios culturales fortaleciendo el vínculo de los patrimonios integrados y los oficios tradicionales con el turismo sostenible y el desarrollo comunitario </t>
  </si>
  <si>
    <t xml:space="preserve">Fortalecimiento del ecosistema de las economías populares y creativas como  estrategia para el desarrollo local y la consolidación de la paz en los territorios. Con los siguientes  elementos esenciales
</t>
  </si>
  <si>
    <t>Puerto Colombia</t>
  </si>
  <si>
    <t>Grant Facility Agreement entre la AFD y Bancoldex para el apoyo a Bancoldex en su alineación al clima, la biodiversidad, diversidad equidad e inclusión - N.° DE CONVENIO AFD CCO 1144 02 L y 01 K</t>
  </si>
  <si>
    <t xml:space="preserve"> apoyar y transformar BANCOLDEX mediante la mejora de su estrategia de gobernanza y sostenibilidad, asegurando la alineación con el Acuerdo de París, el Marco Global de Biodiversidad y los esfuerzos para abordar el género, la equidad y la inclusión </t>
  </si>
  <si>
    <t>Accion humanitaria con poblacion migrante en norte de santander</t>
  </si>
  <si>
    <t xml:space="preserve">Contribuir a la protección y bienestar de la población migrante venezolana en Norte de Santander, a través de la provisión de atención humanitaria, información sobre regularización migratoria, orientación para el acceso a derechos, y la implementación de estrategias de prevención del reclutamiento forzado y la trata de personas, promoviendo su integración social y el respeto a su dignidad. </t>
  </si>
  <si>
    <t>Fortalecimiento de la calidad y la capacidad de cumplimiento de las normas de las cadenas de valor de la acuicultura de camarón y tilapia en Colombia para facilitar el acceso al mercado - Programa Global de Acceso a Mercados (GMAP Colombia) - ID 200025</t>
  </si>
  <si>
    <t>Facilitar el acceso a los mercados de los productores y las micro, pequeñas y medianas empresas (mipymes) mediante el fortalecimiento de su capacidad de calidad y cumplimiento de las normas.</t>
  </si>
  <si>
    <t>14.b.Proporcionar acceso de los pescadores artesanales de pequeña escala a los recursos marinos y los mercados.</t>
  </si>
  <si>
    <t>Camino a una reparación integral de las víctimas de desplazamiento y despojo forzado a través de la representación judicial y administrativa en los casos emblemáticos mediante un litigio estratégico- 01002877</t>
  </si>
  <si>
    <t>Promover el acceso de las víctimas de desplazamiento forzado y despojo de tierras a la justicia transicional y ordinaria, a través de la representación legal, asistencia, seguimiento y acompañamiento psicosocial, que permitan una participación activa de las comunidades para la transformación veredal de los procesos adelantados y que tienen amplio impacto ambiental en las parcelaciones de Michoacán y El Toco, correspondientes al corredor minero.</t>
  </si>
  <si>
    <t>IDEAS: Inclusión Digital y DEsArrollo Sostenible en dos subregiones del departamento de Caldas-Colombia - NDICI CSO-2024-459-856</t>
  </si>
  <si>
    <t xml:space="preserve">Promover el desarrollo territorial sostenible, resiliente y regenerativo en dos subregiones del departamento de Caldas, conciliando prosperidad y eficiencia económica,sociedades pacíficas, inclusión social y responsabilidad medioambiental. </t>
  </si>
  <si>
    <t>Belalcázar</t>
  </si>
  <si>
    <t>Filadelfia</t>
  </si>
  <si>
    <t>La Merced</t>
  </si>
  <si>
    <t>Marmato</t>
  </si>
  <si>
    <t>San José</t>
  </si>
  <si>
    <t>Supía</t>
  </si>
  <si>
    <t>Viterbo</t>
  </si>
  <si>
    <t>las mujeres lideran en emergencias czz3620 01</t>
  </si>
  <si>
    <t xml:space="preserve">Aumentar la participación y el liderazgo de las organizaciones, colectivos y redes de mujeres (formales e informales) en el diseño e implementación de respuesta a crisis, en particular en la prevención y respuesta a conflicto, así como en la adaptación al cambio climático.
</t>
  </si>
  <si>
    <t>Angostura</t>
  </si>
  <si>
    <t>agrocadenas - alianzas público privadas para la consolidación de la paz a través del fortalecimiento de la comercialización y de los servicios prioritarios para el agro colombiano</t>
  </si>
  <si>
    <t xml:space="preserve">fortalecer las cadenas agro productivas colombianas desde el punto de vista técnico, cooperativo y de gestión, impulsando la colaboración entre el sector público y privado. </t>
  </si>
  <si>
    <t>Co-crear y poner a prueba un programa de mini-subvenciones flexibles (FMG) para empoderar a las organizaciones comunitarias y dirigidas por refugiados que operan fuera del sistema formal de coordinación humanitaria -  ECHO/ERC/BUD/2024/91012</t>
  </si>
  <si>
    <t>Aumentar la capacidad de respuesta global a través de un programa adaptado de pequeñas subvenciones flexibles que se pondrá a prueba en Colombia y estará dirigido a organizaciones de base comunitaria, dirigidas por refugiados y/o voluntarias</t>
  </si>
  <si>
    <t>AgroTechGreen: Modelo de Agricultura Inteligente para la sostenibilidad y trazabilidad de las cadenas de valor Agrosostenibles - 922-AIV-1/2023-058</t>
  </si>
  <si>
    <t>Incrementar la capacidad de la oferta agroalimentaria (cacao) de Colombia para el cumplimiento de los criterios de sostenibilidad y trazabilidad exigidos por los mercados europeos en el Pacto Verde.</t>
  </si>
  <si>
    <t xml:space="preserve">Fortalecimiento de reformas de partidos políticos, la construcción de consensos y la transparencia legislativa - 2024-4-072 </t>
  </si>
  <si>
    <t xml:space="preserve"> Fortalecer las prácticas de las organizaciones políticas y el diálogo con la sociedad civil en la creación de consensos para la reforma política</t>
  </si>
  <si>
    <t xml:space="preserve">FUNDACIÓN NACIONAL PARA LA DEMOCRACIA - NATIONAL ENDOWMENT FOR DEMOCRACY -  NED </t>
  </si>
  <si>
    <t>Soluciones climáticamente inteligentes y mercados para pequeños productores de cacao en Colombia</t>
  </si>
  <si>
    <t>Expandir el acceso a los mercados de carbono de pequeños productores de cacao en Colombia a través de la plataforma ACORN, que facilita su registro y monitoreo en el mercado de carbono</t>
  </si>
  <si>
    <t>Inglaterra</t>
  </si>
  <si>
    <t>UK PARTNERING FOR ACCELERATED CLIMATE TRANSITION - UK PACT</t>
  </si>
  <si>
    <t>Mejorar el acceso a los derechos sexuales y reproductivos de las mujeres Emberá chami y Wayuu - 2024QdV00364</t>
  </si>
  <si>
    <t>Lograr la igualdad entre los géneros y empoderar a todas las mujeres y las niñas, asegurando el acceso universal a la salud sexual y reproductiva y los derechos reproductivos</t>
  </si>
  <si>
    <t>Promoviendo ecosistemas de economía circular en el norte del Cauca para el desarrollo sostenible y la construcción de paz-2024/PRYC/000585</t>
  </si>
  <si>
    <t>El Objetivo General del proyecto es Contribuir al desarrollo económico sostenible y la construcción de paz en el norte del Cauca, mediante el fomento de iniciativas de economía circular articulando la empresa privada, la academia y las organizaciones sociales</t>
  </si>
  <si>
    <t>Fomento a las dinámicas juveniles activas en los escenarios de consolidación de la paz y ciudadanía en el sur de Córdoba -  226-041-1037 ZG</t>
  </si>
  <si>
    <t xml:space="preserve"> La población civil en Córdoba recupera sus espacios de organización y participación afectados por el conflicto armado. Superar la exclusión de jóvenes que se vieron afectados por el
conflicto armado en el Sur del departamento de Córdoba y que ahora se convertirán en protagonistas de la consolidación de una paz duradera de la región.</t>
  </si>
  <si>
    <t>Proyecto de servicios de apoyo al Programa en Colombia y Ecuador - Field Suport Services Proyect in Colombia and Ecuador - FSSP</t>
  </si>
  <si>
    <t>Mejorar la eficacia del trabajo que se adelanta el Programa de Cooperación en Colombia y Ecuador con diversos socios y aumentar el impacto de la asistencia internacional de  Canadá en ambos países. Aproximadamente 75-80% del presupuesto está asignado para Actividades en Colombia.</t>
  </si>
  <si>
    <t xml:space="preserve">Asistencia técnica que brinda AFD a Empresas Públicas de Medellín - EPM </t>
  </si>
  <si>
    <t>otorgar una subvención para cooperación técnica mediante la contratación de un tercero por parte de AFD  para la prestación de una asistencia técnica para el desarrollo de dos iniciativas de EPM, una para el negocio de Generación de Energía y otra para el negocio de Gestión de Aguas Residuales.</t>
  </si>
  <si>
    <t>CAF-BID- GEF 38: Eficiencia Energética para la Transición a Ciudades Carbono Neutrales en Colombia</t>
  </si>
  <si>
    <t>Contribuir a la reducción de emisiones de CO2 incrementando la eficiencia energética en el sector de la construcción en Barranquilla, Pasto y Cali mediante el desarrollo de acciones que involucren las diferentes etapas del ciclo de vida de las edificaciones e intervenciones en el espacio público.</t>
  </si>
  <si>
    <t>EL PROYECTO PARA EL MEJORAMIENTO DE LAS INSTALCIONES DE LA INSTITUCIÓN EDUCATIVA DEL LICEO DE LA AMISTAD</t>
  </si>
  <si>
    <t>La construcción y adecuación de rampas (4 lugares), adecuación de escaleras (con pasamanos, en 3 lugares), adecuación de andenes (3 lugares), y compactación y aterrazamiento del terreno en la Institución Educativa del Liceo de la Amistad (con una superficie total de 430.87 m²), en el municipio de Santiago de Cali, tiene como objetivo garantizar un entorno físico seguro dentro de la institución. Esto contribuirá a fortalecer la educación básica y a ofrecer un entorno inclusivo a los usuarios de las instituciones incluyendo los habitantes de la zona.</t>
  </si>
  <si>
    <t>ACORDES DE PAZ, INNOVACIÓN ARTE Y CULTURA AFROCOLOMBIANA PARA LA RECONCILIACIÓN Y LA TRANSFORMACIÓN SOCIAL - NDICI CSO/2024/ 461-955</t>
  </si>
  <si>
    <t xml:space="preserve">Contribuir al fortalecimiento del rol de las Organizaciones de la Sociedad Civil (OSC) del Pacífico Colombiano comprometidas con el rescate y puesta en valor de su conocimiento, cultura y arte, como catalizadoras del desarrollo territorial sostenible, democrático e inclusivo en los departamentos de Chocó y Valle del Cauca. </t>
  </si>
  <si>
    <t>Fortalecimiento de la inclusión socioeconómica en los municipios de frontera en la región de Norte de Santander de Colombia - 2024QdV00374</t>
  </si>
  <si>
    <t>Fomentar la dinamización socioeconómica de la frontera colombo venezolana.</t>
  </si>
  <si>
    <t>Conectando a los no conectados - Redes comunitarias de internet como vehículo para reducir la brecha digital en zonas rurales de Colombia - NDICI CSO/2023/451-673</t>
  </si>
  <si>
    <t>Contribuir a la reducción de la brecha digital en zonas rurales a través de la promoción de redes comunicativas de internet y la apropiación significativa y con propósito de las herramientas digitales</t>
  </si>
  <si>
    <t>acceso a los servicios a través de acciones regionales en latam (astral) - echo/-am/bud/2024/91022</t>
  </si>
  <si>
    <t xml:space="preserve">En Colombia, IRC tiene como objetivo alcanzar a 14,680 personas a través de actividades de salud sexual y reproductiva (SSR) y la gestión integral de casos para sobrevivientes de violencia basada en género (VBG). Para ello, implementará un enfoque integral que incluirá el Paquete Mínimo Inicial de Servicios (PMIS) para SSR en situaciones de emergencia, complementado con servicios de salud mental y apoyo psicosocial (MHPSS), mediante una estrategia holística que abarca diversas modalidades de atención. Estas incluirán centros de salud fijos, telemedicina, y actividades de extensión con equipos móviles para identificar y atender a mujeres migrantes en tránsito y poblaciones desplazadas. </t>
  </si>
  <si>
    <t>JÓVENES, TEATRO Y COMUNIDAD: ACTUANDO DERECHOS POR LA PAZ  - CSO-LA/2024/459-086</t>
  </si>
  <si>
    <t>CONTRIBUIR A LA CONSTRUCCIÓN DE LA PAZ TERRITORIAL EN EL VALLE DEL CAUCA, DESDE LA ANIMACIÓN TEATRAL, IMPULSANDO LA GENERACIÓN DE RELACIONES PACÍFICAS QUE FORTALEZCAN EL TEJIDO SOCIAL DE LAS COMUNIDADES Y FUNDAMENTEN UNA CULTURA DE PAZ Y RECONCILIACIÓN</t>
  </si>
  <si>
    <t>Fronteras para la vida, integración de Colombia con la región y garantía de los derechos de la población migrante</t>
  </si>
  <si>
    <t>Desarrollar estudios de preinversión que optimicen la infraestructura en pasos fronterizos prioritarios, fortaleciendo la gestión migratoria y comercial en puntos estratégicos para promover la integración de Colombia en la región.</t>
  </si>
  <si>
    <t>16.8.Ampliar y fortalecer la participación de los países en desarrollo en las instituciones de gobernanza global.</t>
  </si>
  <si>
    <t>El derecho a defender derechos,  juntanzas para la proteccIOn garantIas - NDICI HR INTPA/2024/459- 650</t>
  </si>
  <si>
    <t>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t>
  </si>
  <si>
    <t>CIVIL RIGHTS DEFENDERS</t>
  </si>
  <si>
    <t>Estrategias de sostenibilidad financiera para proyectos de innovación social de la Gobernación del Valle del Cauca - CAF -FAFIS</t>
  </si>
  <si>
    <t>Generar estrategias de sostenibilidad para los proyectos de innovación pública de la gobernación del Valle del Cauca (Voy en Bici al Colegio, Roperos de inclusión Comedores comunitarios, Jardines infantiles nocturnos “arrullo”, Modelo organizativo para la salvaguardia y dinamización de la cadena de valor del viche/biche), que pretenden reducir las brechas territoriales para fomentar desarrollo en el Departamento, garantizando así la continuación y autonomía de los mismos, además de generar eficiencia en el gasto público</t>
  </si>
  <si>
    <t>Respuesta comunitaria e individual fortalecida ante amenazas de protección, violaciones de derechos y necesidades básicas en situación de desplazamiento-ECHO/ AM/BUD/2023/91007- FASE II ADENDA 2</t>
  </si>
  <si>
    <t>Hambre y conflicto: proteger a las personas en situaciones de conflicto armado y violencia relacionada con la inseguridad alimentaria, fomentando el cumplimiento del DIH ECHO/ERC/BUD/2022/91013 FASE II ADENDA 1</t>
  </si>
  <si>
    <t>Contribuir a reducir el impacto de los conflictos armados y la violencia conexa en la seguridad alimentaria y los medios de subsistencia, mejorando el cumplimiento del DIH.</t>
  </si>
  <si>
    <t>ASEGURAMIENTO DE LA SOSTENIBILIDAD DE LA CADENA DE VALOR DEL CAFÉ COLOMBIANO - 922-AIV-1/2023-045</t>
  </si>
  <si>
    <t>Aseguramiento de la sostenibilidad de cadenas de valor de café de especialidad colombiano para el cumplimiento con la regulación y ambiciones europeas de sostenibilidad e.g. Pacto Verde Europeo y
Directiva de Diligencia Debida, mediante el apoyo directo a 200 MiPymes productoras, comercializadoras y exportadoras de café a Europa, integradas a cadenas de valor trazables y libres de deforestación, con especial enfoque en la generación de capacidades, prácticas sostenibles y justas para pequeñas empresas colombianas.</t>
  </si>
  <si>
    <t>Camino a la reparación: acceso a la justicia, fortalecimiento de liderazgos feministas para la paz y autonomía económica para mujeres LBT - 2024/PRYC/000401</t>
  </si>
  <si>
    <t>Contribuir a la consolidación de la paz en Colombia garantizando los derechos de las mujeres LBT.</t>
  </si>
  <si>
    <t>La Minga: un enfoque comunitario a largo plazo para impulsar la conservación marina en la Costa Pacífica de Colombia - 05_15_21-25_FondoAccion_Colombia</t>
  </si>
  <si>
    <t>apoyar la conservación actual y futura de acciones de desarrollo sostenible que forman parte de los planes a largo plazo de tres Áreas Marinas Protegidas (AMP) con presencia de las comunidades de la Costa Pacífica de Colombia.</t>
  </si>
  <si>
    <t>DEPARTAMENTO DE RELACIONES EXTERIORES Y COMERCIO DE IRLANDA -DFAT/ DEPARTMENT OF FOREIGN AFFAIIRS AN TRADE OF IRELAND - DFAT</t>
  </si>
  <si>
    <t>Mundo Verde-Una apuesta por la adopción e implementación de prácticas sostenibles - 922-AIV-2/2023-045</t>
  </si>
  <si>
    <t>Fortalecer las MiPymes del Eje Cafetero y Bucaramanga mediante la generación de capacidades y adopción de prácticas sostenibles y digitales en cooperación con la Unión Europea, promoviendo una economía baja en carbono, eficiente en el uso de los recursos y más circulares.</t>
  </si>
  <si>
    <t>Fortalecimiento de la Sostenibilidad Ambiental, Social y Económica en el Núcleo de Desarrollo Forestal y de Biodiversidad Yaguara II - GRT/AZ-21456-CO</t>
  </si>
  <si>
    <t>contribuir a proteger la biodiversidad y los sumideros de carbono existentes en el resguardo indígena ubicado en el núcleo de desarrollo forestal y de biodiversidad (ndfyb) yaguara ii</t>
  </si>
  <si>
    <t>Eficiencia Energética para la Transición a Ciudades Carbono Neutrales en Colombia -  No.  ATN/FM- 20857-CO</t>
  </si>
  <si>
    <t>Contribuir a la reducción de emisiones de CO2 mediante el aumento de la eficiencia energética en el sector de la construcción, en particular en las ciudades de Barranquilla, Cali y Pasto, mediante el desarrollo de acciones que involucren diferentes etapas del ciclo de vida de las edificaciones e intervenciones en el espacio público, mediante el logro de los siguientes resultados: (i) fortalecimiento de la capacidad institucional local mediante la dotación de herramientas técnicas, normativas y metodológicas; y (ii) mejora del intercambio y difusión del conocimiento organizacional mediante el desarrollo de comunicaciones de gestión del conocimiento. El Proyecto aborda las barreras identificadas durante la elaboración del Formulario de Identificación de Proyecto (PIF) relacionado con la eficiencia energética en edificaciones y espacios públicos en Colombia, en consonancia con la necesidad de reducir las emisiones de gases de efecto invernadero (GEI) asociadas.</t>
  </si>
  <si>
    <t>7.3. Doblar la tasa mundial de mejora de la eficiencia energética de aquí a 2030.</t>
  </si>
  <si>
    <t>Un café para la sostenibilidad y la productividad: comunidades inteligentes para la adaptación y mitigación al cambio climático y la regeneración de los paisajes cafeteros - REF: 922-AIV-1/2023-056</t>
  </si>
  <si>
    <t xml:space="preserve">Promover cadenas de valor cafeteras inteligentes, sostenibles y regenerativas en Risaralda, elevando la competitividad de las MYPIMES fortaleciendo la seguridad alimentaria y la productividad, impulsando el desarrollo económico local y preservando
los ecosistemas mediante la colaboración comunitaria. </t>
  </si>
  <si>
    <t>Anzá</t>
  </si>
  <si>
    <t>Caicedo</t>
  </si>
  <si>
    <t>ECOPYMES TURÍSTICAS: Pymes del Sector Turístico gestoras de huella hídrica, sostenibilidad, eficiencia energética y económica - REF: 922-AIV-2/2023-050</t>
  </si>
  <si>
    <t>Implementar practicas sobre el uso eficiente del agua y/o economía circular como estrategia de sostenibilidad del sector turístico de Colombia.</t>
  </si>
  <si>
    <t>CÁMARA DE COMERCIO COLOMBO HOLANDESA - HOLLAND HOUSE</t>
  </si>
  <si>
    <t>Estrategias de reconciliación entre ciudadanos y de estos con la sociedad y la naturaleza en Santiago de Cali, Capital Pacífica de Colombia</t>
  </si>
  <si>
    <t xml:space="preserve">Diseñar estrategias de reconciliación entre ciudadanos y de estos con la sociedad y la naturaleza de Santiago de Cali, Capital Pacífica de Colombia, mediante la formulación de un modelo pedagógico para la reconciliación y la cultura ciudadana, y el apoyo a la creación de un parque para la recuperación ambiental y la integración social. </t>
  </si>
  <si>
    <t>9.a.Facilitar el desarrollo de infraestructuras sostenibles y resilientes en los países en desarrollo a través de un mayor apoyo financiero,
tecnológico y técnico a los países africanos, los PMA, PDSL y los PEID.</t>
  </si>
  <si>
    <t>Apoyo al desarrollo economico sostenible y la participación juvenil en territorios de alta vulneabilidad con enfoque en turismmo comunitario, y fortalecimiento institucional</t>
  </si>
  <si>
    <t>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t>
  </si>
  <si>
    <t>ACDI VOCA</t>
  </si>
  <si>
    <t>ELABORACIÓN DE ESTUDIOS Y DISEÑOS DEL HOSPITAL DE SUÁREZ, CAUCA</t>
  </si>
  <si>
    <t>Realizar de manera integral, contemplando todas las etapas, los estudios y diseños para la construcción del hospital de Suárez, Cauca con el fin de mejorar la prestación de salud en el territorio</t>
  </si>
  <si>
    <t xml:space="preserve">Saneamiento Básico Buenavista, Ciénaga Grande de Santa Marta FASE II </t>
  </si>
  <si>
    <t>Crear un prototipo replicable de vivienda con gestión sostenible del agua, mediante el acompañamiento técnico a un proceso de autoconstrucción en la comunidad palafítica de Buenavista en la Ciénaga Grande de Santa Marta, con el fin de hacer un uso eficiente del agua, disminuir la incidencia de enfermedades de origen hídrico y reducir la contaminación del ecosistema.</t>
  </si>
  <si>
    <t>San Sebastián de Buenavista</t>
  </si>
  <si>
    <t>Estrategia de Reconciliación e integridad de los ciudadanos en santiago de Cali, capital pacifica de Colombia</t>
  </si>
  <si>
    <t>Diseñar estrategias de reconciliación entre ciudadanos y de estos con la sociedad y la naturaleza de Santiago de Cali, Capital Pacífica de Colombia, mediante la formulación de un modelo pedagógico para la reconciliación y la cultura ciudadana, y el apoyo a la creación de un parque para la recuperación ambiental y la integración social</t>
  </si>
  <si>
    <t>17.16.Fortalecer la asociación mundial para el desarrollo sostenible complementada por asociaciones multipartes (multi-stakeholder
partnerships) para movilizar y compartir los conocimientos, la experiencia, las tecnologías y los recursos financieros para apoyar el logro de los objetivos de desarrollo sostenible en todos
los países, en particular en los países en desarrollo.</t>
  </si>
  <si>
    <t>EJES: Mejorar el acceso a los mercados para las MIPYME en cadenas de suministro sostenibles o libres de deforestación en regiones rurales de Colombia y Costa Rica concedido por Sequa Gmbh- 922-AIV-1/2023-053</t>
  </si>
  <si>
    <t>Desarrollar cadenas de suministro transparentes y verificadas en Colombia y Costa Rica para productos que no contribuyan a la deforestación y degradación de los bosques, y así impulsar su competitividad en el mercado de la UE y otros mercados globales.</t>
  </si>
  <si>
    <t>Bilingüismo para la equidad (Bienestar Integral para Comunidades más Inspiradas - B.I.C.I.)</t>
  </si>
  <si>
    <t xml:space="preserve">Promover el fortalecimiento de habilidades, capacidades y autoconocimiento de 100 jóvenes entre los 12 y los 18 años, de la Escuela de Participación Juvenil (EPJ), para disminuir las brechas de desigualdad presentes en su educación y contexto social para tener acceso a mejores oportunidades de estudio y empleabilidad. </t>
  </si>
  <si>
    <t>Fortalecimiento estratégico al Ministerio de Hacienda y Crédito Público de Colombia para la gestión del Crédito Público periodo 2024-2026, Etapa I</t>
  </si>
  <si>
    <t>Contar con un equipo de consultores altamente calificado para acompañar y apoyar la ejecución del Plan Financiero del Gobierno Nacional, fortaleciendo las capacidades de la Dirección General de Crédito Público y Tesoro Nacional para llevar a cabo Operaciones de crédito público y asimiladas, manejo de deuda y actividades conexas, lineadas con los principios del Plan Nacional de Desarrollo.</t>
  </si>
  <si>
    <t>15400 - ICTJ Colombia 2022-2026 (Centro internacionacional para la justicia transicional Colombia)</t>
  </si>
  <si>
    <t>Este es un proyecto de apoyo asignado al ICTJ (Centro Internacional para la Justicia Transicional) en Colombia</t>
  </si>
  <si>
    <t>CS1239 - Promover las oportunidades de integración y la resiliencia comunitaria para refugiados, migrantes y comunidades de acogida, a través de acciones centradas en el nexo humanitario-desarrollo-paz. (Promoting integration opportunity and community resilience for Refugees, Migrants and Host Communities, through actions focusing on the Humanitarian-Development-Peace nexus.)</t>
  </si>
  <si>
    <t>Apoyar la integración sostenible de las personas refugiadas y migrantes de Venezuela mediante la implementación de un enfoque integral que comprende tres pilares fundamentales: asistencia humanitaria, empoderamiento económico e integración social en las comunidades destinatarias.</t>
  </si>
  <si>
    <t>FUNDACIÓN BOTNAR</t>
  </si>
  <si>
    <t>Empoderamiento de comunidades y gobiernos para sistemas de preparación ante desastres que incluyan el desplazamiento y tengan en cuenta las cuestiones de género en Bolivia, Chile, Colombia, Ecuador y Panamá. - EP0055</t>
  </si>
  <si>
    <t>Fortalecer los sistemas de preparación para desastres integrando dinámicas sensibles al desplazamiento y con perspectiva de género en las estrategias y políticas a nivel subregional y nacional para informar al nivel mundial.</t>
  </si>
  <si>
    <t>1. Promover la lucha contra el cambio climatico, la justicia ambiental y la transformación productiva</t>
  </si>
  <si>
    <t>SMA ID 201409 - GEF-11047 Acelerar el cumplimiento del Convenio de Minamata mediante una mejor comprensión y control del comercio de mercurio en América Latina</t>
  </si>
  <si>
    <t>Acelerar el cumplimiento del Convenio de Minamata mediante una mejor comprensión de las tendencias del comercio de mercurio en América Latina y la promoción de la cooperación regional para un mejor control de los principales flujos de mercurio.</t>
  </si>
  <si>
    <t>THE GEF SMALL GRANTS PROGRAMME</t>
  </si>
  <si>
    <t>Fortalecer las capacidades institucionales del Departamento de Prosperidad Social (DPS) para formular e implementar su estrategia de inclusión productiva en Colombia.</t>
  </si>
  <si>
    <t>Implementación de un Mecanismo de Respuesta Rápida (MRR) en el Meta y el Guaviare para atender crisis humanitarias, garantizar necesidades básicas y fortalecer capacidades locales con enfoque diferencial - COL-24-R-NG0-34482</t>
  </si>
  <si>
    <t>Brindar atención a emergencias por conflicto armado y desastres naturales en Meta y Guaviare, mediante el despliegue del EMT-BHSR, para ofrecer servicios básicos de salud, fortalecer capacidades institucionales y comunitarias y llevar a cabo misiones de prevención de violencia basada en género (VBG) y agua, saneamiento e Higiene (WASH) a 2.600 personas, bajo un modelo de atención etnocultural, diferencial y multisectorial.</t>
  </si>
  <si>
    <t>OCHA</t>
  </si>
  <si>
    <t>3.9.De aquí a 2030, reducir considerablemente el número de muertes y enfermedades causadas por productos químicos peligrosos y por la polución y contaminación del aire, el agua y el suelo</t>
  </si>
  <si>
    <t xml:space="preserve">RISE UP, Acelerarla aplicación del Acuerdo de París aumentando la resiliencia climática de los pobres de las zonas urbanas - M1-32FOD-000243 </t>
  </si>
  <si>
    <t>Fortalecerlas capacidades hacia la resiliencia climática de las comunidades urbanas pobres en Bolivia, Colombia, Etiopía, Jordania y Túnez.</t>
  </si>
  <si>
    <t>Albán</t>
  </si>
  <si>
    <t>Aldana</t>
  </si>
  <si>
    <t>Arboleda</t>
  </si>
  <si>
    <t>Belén</t>
  </si>
  <si>
    <t>Contadero</t>
  </si>
  <si>
    <t>Cuaspúd</t>
  </si>
  <si>
    <t>El Tablón de Gómez</t>
  </si>
  <si>
    <t>Gualmatán</t>
  </si>
  <si>
    <t>Iles</t>
  </si>
  <si>
    <t>Imués</t>
  </si>
  <si>
    <t>La Florida</t>
  </si>
  <si>
    <t>Mosquera</t>
  </si>
  <si>
    <t>Ospina</t>
  </si>
  <si>
    <t>Pupiales</t>
  </si>
  <si>
    <t>San Bernardo</t>
  </si>
  <si>
    <t>San Pedro de Cartago</t>
  </si>
  <si>
    <t>Tangua</t>
  </si>
  <si>
    <t>Fortalecimiento del Parque Tecnológico Guatiguará para Potenciar el Sector de la Tecnología de la Información en Colombia - ATN/PS-20993-CO</t>
  </si>
  <si>
    <t xml:space="preserve">Potenciar las capacidades de Tecnología de la Información (TI) del Parque Tecnológico Guatiguará (PTG), que es un actor y activo estratégico para la estructuración y el desarrollo del ecosistema industrial digital en Santander, Colombia. </t>
  </si>
  <si>
    <t xml:space="preserve">ASOCIACIÓN DE PARQUES TECNOLÓGICOS DE COREA </t>
  </si>
  <si>
    <t>Paz, justicia e institucionalidad sólida a través del fortalecimiento del Sistema Integral de Paz en Colombia / (Peace, justice, and strong institutions through the strengthening of the Comprehensive Peace System in Colombia) - PB0114</t>
  </si>
  <si>
    <t>Contribuir a garantizar los derechos de las víctimas del conflicto armado colombiano de todos los géneros, edades, capacidades y otras diversidades, favoreciendo su recuperación y resiliencia para la estabilización y la construcción de la paz</t>
  </si>
  <si>
    <t>Aumentar la resiliencia de los refugiados, los migrantes y las comunidades de acogida vulnerables para mejorar sus condiciones económicas, acceder a los servicios de salud y mantener condiciones de vivienda dignas - IS0172</t>
  </si>
  <si>
    <t>Aumentar la resiliencia de los refugiados, los migrantes y las comunidades de acogida vulnerables para mejorar sus condiciones económicas, acceder a los servicios de salud y mantener condiciones de vivienda dignas.</t>
  </si>
  <si>
    <t>Alianza multiactor para la cadena de valor de la yuca industrial en municipios PDET de Sucre. - CD0112</t>
  </si>
  <si>
    <t>Productores y productoras se integran socialmente, disponen de medios de vida sostenibles y adaptados al cambio climático y contribuyen al desarrollo sostenible, basado en las economías locales y regionales dinamizadas con el sector privado.</t>
  </si>
  <si>
    <t>CO-T1773 Cooperación técnica para la estructuración de proyectos urbanos y de infraestructura relacionados con hábitat, reúso de edificaciones y generación de vivienda</t>
  </si>
  <si>
    <t>Facilitar la estructuración de proyectos urbanos detonantes en las principales ciudades de Colombia asociados al hábitat, reutilización de edificaciones y generación de vivienda.</t>
  </si>
  <si>
    <t>Part of SMA ID 198885-2: ACCESS: Acelerar el acceso a soluciones de movilidad urbana bajas en carbono a través de la digitalización</t>
  </si>
  <si>
    <t>Descarbonización del sector transporte a través de la digitalización.</t>
  </si>
  <si>
    <t>Reforzar la Resiliencia y mejorar las condiciones de vida y los ingresos de los grupos indígenas,  Colombia - P7860</t>
  </si>
  <si>
    <t>Las comunidades wayuu están utilizando con eficacia la capacidad y los recursos recién creados para lograr resultados inmediatos en los ámbitos del abastecimiento sostenible de agua, la seguridad alimentaria, el desarrollo económico y la resiliencia medioambiental.</t>
  </si>
  <si>
    <t>SMA ID 160083 - GEF-10921 Aumento de la Voluntad Política para el Financiamiento de Áreas Protegidas Sostenibles</t>
  </si>
  <si>
    <t>Aprovechar el modelo de caucus de conservación para aumentar la sostenibilidad de los fondos para los sistemas de áreas protegidas.</t>
  </si>
  <si>
    <t>17.14.Mejorar la coherencia de las políticas para el desarrollo sostenible.</t>
  </si>
  <si>
    <t>CO-T1774 Apoyo a la estructuración de una plataforma de Transición Energética Justa</t>
  </si>
  <si>
    <t>apoyar al Gobierno de Colombia en la estructuración de una 
Plataforma Nacional de Transición Energética Justa ambiciosa. Se financiarán análisis 
que prioricen y estimen las inversiones requeridas, así como los impactos de estas 
inversiones, entre otros.</t>
  </si>
  <si>
    <t>Financiamiento de Soluciones Basadas en la Naturaleza (SbN) para una recuperación verde e inclusiva en América Latina</t>
  </si>
  <si>
    <t>Este proyecto tiene como objetivo mejorar el marco de la política fiscal agropecuaria en Colombia con la finalida de cumplir con las NDC de reduccion de 51% de GEI para el 2030.</t>
  </si>
  <si>
    <t>CUENTA DE LAS NACIONES UNIDAS PARA EL DESARROLLO / UNITED NATIONS DEVELOPMENT ACCOUNT (UNDA)</t>
  </si>
  <si>
    <t>CO-T1764 Apoyo al Grupo Bicentenario para Canalizar Financiamiento a Proyectos en la Amazonia Colombiana</t>
  </si>
  <si>
    <t>Apoyar el fortalecimiento institucional de las las IFPs del Grupo Bicentenario  (GB) para mejorar su contribución a canalizar más recursos públicos y privados hacia proyectos en la Amazonía colombiana que favorezcan el cumplimiento de los Objetivos de Desarrollo Sostenible (ODS</t>
  </si>
  <si>
    <t>Reducir los plásticos marinos y la contaminación plástica en ciudades de América Latina y el Caribe a través de un enfoque de economía circular</t>
  </si>
  <si>
    <t>Reducir los plásticos marinos y la contaminación plástica en la región de América Latina y el Caribe facilitando acciones circulares a nivel de ciudad para acelerar la transición hacia una economía circular, en línea con los compromisos gubernamentales y empresariales para abordar los plásticos marinos y la contaminación plástica.</t>
  </si>
  <si>
    <t>14.a.Aumentar el conocimiento científico, el desarrollo de las capacidades de investigación y la transferencia de tecnología marina, teniendo en cuenta los criterios y directrices de la Comisión Oceanográfica Intergubernamental sobre la transmisión de tecnología marina, con el fin de mejorar la salud de los océanos y aumentar la contribución de la biodiversidad marina para el desarrollo de los países en desarrollo, en particular los PEID y los PMA.</t>
  </si>
  <si>
    <t>CO-T1786 Apoyar el uso de la IA para generar eficiencias en el Sistema de Salud Colombiano</t>
  </si>
  <si>
    <t>apoyar el uso de inteligencia artificial para aumentar la eficiencia del Sistema General de Seguridad Social en Salud en 
Colombia</t>
  </si>
  <si>
    <t>Anapoima</t>
  </si>
  <si>
    <t>La Mesa</t>
  </si>
  <si>
    <t>San Cayetano</t>
  </si>
  <si>
    <t>Villeta</t>
  </si>
  <si>
    <t>CO-T1770 Apoyar el proceso de integración de los servicios de atención a la primera infancia y la juventud en Bogotá D.C.</t>
  </si>
  <si>
    <t>Apoyar el desarrollo de estrategias integrales que mejoren la provisión de los servicios de atención para a la primera infancia y la juventud en Bogotá D.C.</t>
  </si>
  <si>
    <t>CO-T1748 Apoyo al desarrollo del proyecto piloto de BID Clima en Colombia</t>
  </si>
  <si>
    <t>Apoyar la implementación de la Hoja de Ruta del Programa Piloto BID CLIMA (Hoja de Ruta BID CLIMA) en Colombia, en el marco de la operación de crédito CO-L1287 con la Financiera de Desarrollo Nacional (FDN)</t>
  </si>
  <si>
    <t>CO-T1690 Apoyo al Desarrollo de los Servicios de Atención Primaria de Salud en la Amazonía Colombiana</t>
  </si>
  <si>
    <t>mejorar el acceso efectivo a los servicios de salud de la población vulnerable mediante el fortalecimiento de la atención primaria de salud, con el propósito de garantizar acciones de promoción de la salud y prevención de enfermedades, así como la continuidad y disponibilidad de los servicios en los territorios priorizados.</t>
  </si>
  <si>
    <t>CO-T1738 Apoyo al sistema integral de información migratoria en Colombia</t>
  </si>
  <si>
    <t>Mejorar la interoperabilidad y gestión de datos para un intercambio eficiente y seguro de información migratoria entre entidades que producen o consumen datos relacionados, apoyando políticas basadas en evidencia y procesos de toma de decisiones para la integración socioeconómica de los migrantes y las comunidades de acogida. La CT contribuirá a la consolidación de un sistema integrado de información migratoria en Colombia en el corto y mediano plazo</t>
  </si>
  <si>
    <t>CO-T1751 Apoyo al fortalecimiento institucional del sector minero-energetico</t>
  </si>
  <si>
    <t>Fortalecer capacidades institucionales que aceleren la transformación digital del sector minero energético en 
Colombia</t>
  </si>
  <si>
    <t>CO-T1745 Apoyo a la Implementación del Programa Reformulado de Catastro Multipropósito</t>
  </si>
  <si>
    <t>Fortalecimiento institucional de las entidades del gobierno central responsables de la implementación de la política de catastro multipropósito en Colombia, en particular DNP, IGAC, ANT y SNR.  Esto se logrará a través de apoyo operativo a la implementación del préstamo CO-L1164, "Programa para la Adopción e Implementación de un Catastro Multipropósito rural-urbano", que está en proceso de reformulación y extensión y cuyo objetivo general es mejorar la gestión de tierras en Colombia a través de la implementación de un sistema catastral multipropósito que incluya el fortalecimiento institucional y tecnológico de las entidades responsables, para así aumentar la seguridad jurídica en la tenencia de la propiedad, fortalecer la gestión fiscal, y lograr un ordenamiento territorial más efectivo.</t>
  </si>
  <si>
    <t>CO-T1741 Apoyo para la implementación del Sistema Nacional de Cuidado</t>
  </si>
  <si>
    <t>Apoyar al Ministerio de Igualdad y Equidad en la implementación del Sistema Nacional de Cuidados.</t>
  </si>
  <si>
    <t>CO-T1749 Apoyo a la ejecución de las Líneas 1 y 2 del Metro de Bogotá</t>
  </si>
  <si>
    <t>apoyar la ejecución de los proyectos Línea 1 y Línea 2 del Metro de Bogotá, a través de soporte técnico, financiero y gerencial que permita fortalecer la gestión social, ambiental, técnica y de riesgos de la EMB, para así garantizar una correcta construcción de la red de metro en la ciudad.</t>
  </si>
  <si>
    <t>CO-T1758 Apoyo para el desarrollo de políticas y programas para mejorar el acceso y graduación en la educación media</t>
  </si>
  <si>
    <t>apoyar el diseño de estrategias para mejorar el acceso y la graduación en la educación media (EM) en Colombia.</t>
  </si>
  <si>
    <t>CO-T1750 Apoyo a la agenda de ciberseguridad y gobierno digital de Colombia</t>
  </si>
  <si>
    <t xml:space="preserve">fortalecer capacidades institucionales que aceleren la transformación digital del sector público y el desarrollo de la seguridad digital en Colombia. </t>
  </si>
  <si>
    <t>230189 - Programa Global de Calidad y Estándares Colombia fase II: Fortalecimiento de la calidad y estándares en la cadena de valor fitoterapéutica (GQSP II)</t>
  </si>
  <si>
    <t>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t>
  </si>
  <si>
    <t>17.10.Promover un sistema multilateral de comercio universal, abierto, no discriminatorio y equitativo en la OMC mediante la conclusión de las negociaciones dentro del Programa de Doha para el Desarrollo.</t>
  </si>
  <si>
    <t>CO-T1769 Fortalecimiento de la gestión integrada del riesgo de desastres y el cambio climático</t>
  </si>
  <si>
    <t>Apoyar al país en el fortalecimiento institucional de la gestión integral de riesgos climáticos y de desastres.</t>
  </si>
  <si>
    <t>Brindar acompañamiento técnico especializado a las ciudades de Bogotá y Medellín para orientar la implementación efectiva y sostenible de los instrumentos y servicios de CTI de sus Distritos de Innovación (DI).</t>
  </si>
  <si>
    <t>CO-T1731 Integración de Energía Renovable - apoyo a proyectos de hidrógeno verde</t>
  </si>
  <si>
    <t>Proporcionar asistencia técnica para acelerar la transición energética limpia e inclusiva de Colombia, apoyando el desarrollo de proyectos de hidrógeno verde que contribuirán a la descarbonización de sectores dificiles de electrificar.</t>
  </si>
  <si>
    <t>CO-T1746 Impulso de bionegocios de mujeres en la Amazonía colombiana</t>
  </si>
  <si>
    <t>diseñar e implementar un programa de formación y acompañamiento para mujeres emprendedoras en bionegocios en la Amazonía colombiana</t>
  </si>
  <si>
    <t>CO-G1051 Fortalecimiento productivo y comercial del proceso artesanal de tejido en lana de las mujeres tejedoras de Cumbal, Nariño</t>
  </si>
  <si>
    <t>Fortalecer la capacidad productiva y comercial de las mujeres tejedoras de la etnia Pastos, del Resguardo Cumbal, ubicado en el Departamento de Nariño, Colombia, para promover su empoderamiento e inclusión socioeconómica</t>
  </si>
  <si>
    <t>CO-G1038 Implementación de Sistemas Agroforestales Sostenibles para Fincas Cacaoteras</t>
  </si>
  <si>
    <t>Fortalecer los sistemas productivos agropecuarios sostenibles para fincas cacaoteras, que reduzcan la presión sobre la ampliación de la frontera agropecuaria y que a su vez generen ingresos a los pequeños productores</t>
  </si>
  <si>
    <t>Igualmente Justas: Puerta hacia el reconocimiento - Innovaciones desde la justicia feminista interseccional para el fin de la impunidad - NDICI HR INTPA/2024/460-759</t>
  </si>
  <si>
    <t>Contribuir a lograr una justicia más eficaz en casos de violencia contra las mujeres y las personas LGTBIQ+ en el marco de los procesos de paz en Colombia.</t>
  </si>
  <si>
    <t>CO-T1781 Sanar para Crecer: Escalando el Impacto en Colombia</t>
  </si>
  <si>
    <t>Desarrollar y evaluar experimentalmente un modelo de capacitación de educadores infantiles subcontratados de Heal to Grow (Sanar para Crecer). La CT contribuirá a la comprensión de la relación entre los problemas clave de ejecución y la eficacia de los programas educativos.</t>
  </si>
  <si>
    <t>CO-T1780 Evaluando el rol del trabajo de cuidado no remunerado en la economía rural de Colombia</t>
  </si>
  <si>
    <t xml:space="preserve">Medir los efectos causales de una iniciativa piloto que incluye inversiones complementarias de trabajo de cuidado rural  en proyectos de agricultura sostenible en Colombia, y que buscan reconocer, reducir, redistribuir, representar y recompensar las actividades de Trabajo de Cuidado Rural. La evaluación analizará el impacto de dichas intervenciones en: (i) los ingresos de los hogares; (ii) la seguridad alimentaria; (iii) el empoderamiento de las mujeres; (iv) la carga de trabajo de las mujeres; y (v) el desempeño de las actividades productivas agrícolas. </t>
  </si>
  <si>
    <t>CO-T1762 Diseño y Evaluación de Programas de Certificación de Habilidades para Trabajadores Migrantes en América Latina y el Caribe</t>
  </si>
  <si>
    <t>Esta cooperación técnica tiene como objetivo evaluar la efectividad de la operación CO-L1250 financiada por el BID, diseñada para mejorar la empleabilidad de los migrantes mediante la mitigación de brechas informativas con certificaciones de habilidades.</t>
  </si>
  <si>
    <t>Construyendo futuros seguros: Mujeres, niñas, niños y jóvenes afectados por la crisis mejoran el acceso a la asistencia humanitaria - 2024/ACHU/000454</t>
  </si>
  <si>
    <t>Mejorar el acceso a la asistencia humanitaria para mujeres, niñas, niños y jóvenes afectados por la crisis humanitaria en el municipio de Buenaventura, Valle del Cauca, Colombia, con el fin de incrementar sus mecanismos de protección, el acceso a servicios de agua y promoción de las prácticas de higiene.</t>
  </si>
  <si>
    <t>FUNDACION OXFAM COLOMBIA (OCO)</t>
  </si>
  <si>
    <t>INTERMÓN OXFAM</t>
  </si>
  <si>
    <t>WAR CHILD INTERNATIONAL</t>
  </si>
  <si>
    <t>Proyecto para la asistencia de la acción de desminado humanitario en Dabei-ba en Departamento de Antioquia</t>
  </si>
  <si>
    <t>promover el desarrollo local y actividades económicas del Resguardo Embera Katio de Cañaverales Antadó y mejorar la condición de vida de los habitantes de la zona, mediante la operación del desminado  humanitario en aproximadamente 9,000? de áreas peligrosas ubicadas en el mismo resguardo.</t>
  </si>
  <si>
    <t>RLA/23/05/CAN- Fortalecimiento de la capacidad de los actores públicos y la sociedad civil para mejorar la integración socioeconómica de las mujeres refugiadas y migrantes de Venezuela en Colombia, Ecuador y Perú (Strengthening the capacity of public actors and civil society to improve the socio-economic integration of women refugees and migrants from Venezuela in Colombia, Ecuador, and Peru)</t>
  </si>
  <si>
    <t>El objetivo del proyecto es fortalecer la capacidad del gobierno, las organizaciones de trabajadores y empleadores, y los actores de la sociedad civil para mejorar la integración socioeconómica de las mujeres refugiadas y migrantes de Venezuela en Colombia, Ecuador y Perú. También mejorará el acceso a los Servicios Públicos de Empleo (SPE) para las personas migrantes mediante un enfoque inclusivo y no discriminatorio, junto con servicios de desarrollo empresarial, con el fin de facilitar la integración laboral y productiva de las personas refugiadas y migrantes, especialmente de las mujeres y las personas transgénero.</t>
  </si>
  <si>
    <t>DEPARTAMENTO DE INMIGRACION, REFUGIADOS Y CIUDADANIA DE CANADA</t>
  </si>
  <si>
    <t>ALIANZA POR LOS DERECHOS, LA IGUALDAD Y LA SOLIDARIDAD INTERNACIONAL</t>
  </si>
  <si>
    <t>2000144-Entornos que cuidan: Compartir  responsabilidades de cuidado para avanzar la  igualdad de género (Caring Cities: sharing care responsibilities to advance gender equality)</t>
  </si>
  <si>
    <t>Apoyo a la incorporación del enfoque de género en la acción humanitaria.</t>
  </si>
  <si>
    <t>CO-T1744 Acción climática a nivel subnacional en línea con la NDC y el LTS de Colombia</t>
  </si>
  <si>
    <t>fortalecer capacidades para la acción  climática y la conservación de la biodiversidad a nivel subnacional en Colombia, en 
línea con las metas y prioridades de descarbonización y adaptación al cambio climático establecidas en la Contribución Nacionalmente Determinada (NDC) y la Estrategia Climática de Largo Plazo (E2050) del país</t>
  </si>
  <si>
    <t>CO-T1747 Bioeconomía en la Amazonía: entornos habilitantes, desarrollo de políticas y fortalecimiento institucional</t>
  </si>
  <si>
    <t>apoyar la elaboración de políticas públicas e instrumentos técnicos que permitan potenciar el desarrollo competitivo de la 
bioeconomía en la región amazónica de Colombia, en coordinación con gobiernos subnacionales a nivel departamental</t>
  </si>
  <si>
    <t>CO-T1784 Modelos de Inteligencia Artificial para la predicción de congestión y la gestión óptima del tráfico en Bogotá</t>
  </si>
  <si>
    <t>Mejorar la predicción y optimización del flujo de tráfico en Bogotá, aprovechando la inteligencia artificial (IA) como una herramienta clave, utilizando los recursos de datos existentes para la gestión del tráfico y la planificación del transporte, y estableciendo un camino claro para la integración de la IA en la gestión de la movilidad.</t>
  </si>
  <si>
    <t>CO-T1778 Siguen siendo importantes las condiciones para las transferencias en efectivo?</t>
  </si>
  <si>
    <t>Esta CT proporcionará conocimientos para abordar una brecha de conocimientos estratégicos en torno al papel de las condiciones en las transferencias monetarias condicionadas. Si bien las transferencias monetarias condicionadas han sido fundamentales para aliviar la pobreza en la región, eliminar las condiciones que ya no son necesarias podría ahorrarle al gobierno costos de seguimiento. Además, el requisito de cumplir con las corresponsabilidades puede excluir a algunas de las familias más necesitadas. Reevaluar el impacto de las condiciones proporcionará conocimientos estratégicos novedosos al Banco y a sus clientes.</t>
  </si>
  <si>
    <t>CO-G1046 Fortalecimiento de la sostenibilidad ambiental, social y económica en el núcleo de desarrollo forestal y de biodiversidad Yaguará II</t>
  </si>
  <si>
    <t>contribuir a recuperar la biodiversidad y los sumideros de carbono impactados por la deforestación en el Núcleo de Desarrollo Forestal y Biodiversidad Yaguara II</t>
  </si>
  <si>
    <t>2000557-Nota estratégica sobre contribuciones no asignadas 2024-2027-SUECIA II</t>
  </si>
  <si>
    <t>El proyecto busca fortalecer a organizaciones de la sociedad civil (OSC) de mujeres y personas LGBTQI+ que representan a sobrevivientes de violencia sexual y basada en género en el marco del conflicto armado, dentro de los macro casos de la JEP. Para ello, se implementará un Fondo Concursable que apoyará sus capacidades en tres áreas clave: litigio e incidencia, atención psicosocial, e iniciativas de protección y autocuidado. El objetivo es garantizar la participación efectiva de las sobrevivientes en la JEP, cubriendo un vacío en la atención y financiamiento de estas acciones en el contexto de la justicia transicional.</t>
  </si>
  <si>
    <t>GLO/22/33/DEU - Regiones de innovación para una transición energética justa (Innovation Regions for a Just Energy Transition)</t>
  </si>
  <si>
    <t>Se fortalecen las capacidades de las partes interesadas en las regiones carboníferas de los países en desarrollo y las economías emergentes para elaborar e implementar planes y políticas de transición energética justa.</t>
  </si>
  <si>
    <t>MÉDICOS SIN FRONTERAS ESPAÑA</t>
  </si>
  <si>
    <t>CO-T1754 Fortalecimiento del Parque Tecnológico Guatiguará (PTG) para potenciar el sector de Tecnología de la Información en Colombia</t>
  </si>
  <si>
    <t>El objetivo de esta operación de cooperación técnica es potenciar las capacidades de tecnología de la información (TI) del Parque Tecnológico Guatiguará (PTG), que es un actor y activo estratégico para la estructuración y el desarrollo del ecosistema industrial digital en Santander, Colombia. Santander es uno de los departamentos más estratégicos de Colombia para el desarrollo del sector de TI en vista de sus capacidades de investigación, desarrollo y utilización de capital humano especializado en relación con el resto del país</t>
  </si>
  <si>
    <t>2000579-Tejiendo Dignidad: justicia, protección y participación en la Jurisdicción Especial para la Paz para sobrevivientes de violencia sexual y de género en el marco del conflicto armado colombiano</t>
  </si>
  <si>
    <t>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t>
  </si>
  <si>
    <t>COLOC4-Fortalecimiento de las políticas de prevención del delito, seguridad ciudadana y lucha contra el crimen organizado en Colombia</t>
  </si>
  <si>
    <t xml:space="preserve">Apoyar al Estado colombiano en la implementación de estrategias de seguridad, prevención del delito y lucha contra el crimen organizado
</t>
  </si>
  <si>
    <t>UNTFHS</t>
  </si>
  <si>
    <t>Trayectorias de paz y desarrollo cod. 1003065</t>
  </si>
  <si>
    <t>Trayectorias de paz y desarrollo</t>
  </si>
  <si>
    <t>Apoyo Complementario al programa de Apoyo Presupuestario Bosques Asistencia Técnica al programa Bosques para la biodiversidad, el clima y la paz en Colombia – OPSYS 700002082</t>
  </si>
  <si>
    <t>contribuir a la mitigación de los efectos del cambio climático en Colombia, impulsando el desarrollo sostenible con un enfoque de biodiversidad, cero deforestación, clima y paz; en este sentido el programa pretende contribuir al fortalecimiento de las capacidades nacionales y regionales, preservando la biodiversidad y promoviendo prácticas sostenibles asociadas a la economía forestal.</t>
  </si>
  <si>
    <t>Fortalecer la prevención de las violencias basadas en género, protección y atención de las niñas, mujeres y personas LGBTIQ+ en territorios de Colombia FASE IV</t>
  </si>
  <si>
    <t>Contribuir al empoderamiento de las mujeres, niñas y personas LGBTIQ+ para una vida libre de violencias a través del desarrollo de acciones que contribuyan a la autonomía de las mujeres y la prevención de las violencias basadas en género y contra las personas LGBTIQ+.</t>
  </si>
  <si>
    <t>COLAB7- Fortalecimiento de las capacidades de instituciones colombianas en la lucha contra la deforestación ilegal</t>
  </si>
  <si>
    <t>Fortalecer las capacidades de instituciones colombianas en la lucha contra la deforestación ilegal.</t>
  </si>
  <si>
    <t>INICIATIVA INTERNACIONAL SOBRE CLIMA Y BOSQUES DE NORUEGA (NICFI) / NORWAYS INTERNATIONAL CLIMATE AND FOREST INITIATIVE</t>
  </si>
  <si>
    <t>CLT04 Mejorando el conocimiento sobre conservación en Qhapaq Ñan, sistema vial andino</t>
  </si>
  <si>
    <t xml:space="preserve">Mejorar la aplicación Ayllu en sus funciones y seguridad, además de fortalecer las capacidades de conservación, monitoreo y gestión del Qhapaq Ñan a través de un taller para evaluar la experiencia de las comunidades locales y especialistas en el uso de la aplicación. 
</t>
  </si>
  <si>
    <t>UNESCO</t>
  </si>
  <si>
    <t>SC06 Desarrollo territorial con énfasis en el recurso hídrico</t>
  </si>
  <si>
    <t xml:space="preserve">Contribuir al ordenamiento territorial alrededor del agua mediante la implementación de la Estrategia Nacional de Restauración 2023-2026 (ENR), promoviendo soluciones basadas en la naturaleza (SbN) que sean efectivas, eficientes y equitativas frente a los conflictos socioambientales.
</t>
  </si>
  <si>
    <t>Fortalecer la prevención de las violencias basadas en género, protección y atención de las niñas, mujeres y personas LGBTIQ+ en territorios de Colombia FASE V</t>
  </si>
  <si>
    <t>Iniciativas de Divulgación de Activos Climáticos de América Latina - 1_I_434_Lateinamerika_A_LACADI</t>
  </si>
  <si>
    <t>Facilitar la inclusión de oportunidades y riesgos del cambio climático en las decisiones de inversión, generan-do herramientas y propiciando un ambiente colaborativo para que direccione las inversiones de los mayores dueños de activos en la región a dos tipos de actores: Empresas grandes y Micro, pequeñas y medianas empresas</t>
  </si>
  <si>
    <t>Implementación de un modelo agroforestal y de gestión forestal sostenible para el Putumayo GCP /COL/180/KOR</t>
  </si>
  <si>
    <t>Incrementar los ingresos de productores de pimienta, derivados del buen manejo del cultivo y el mejoramiento de la comercialización; como contribución al Plan Departamental de Desarrollo 2024-2027 (Desafío 1: Un campo productivo para la gente - Inclusión productiva de pequeños productores rurales)</t>
  </si>
  <si>
    <t>COLAD3 - Desarrollo, implementación y monitoreo de las estrategias de reducción de cultivos ilícitos, desarrollo alternativo y fortalecimiento integral de los territorios priorizados por el Gobierno de Colombia</t>
  </si>
  <si>
    <t>Apoyar el desarrollo, implementación y monitoreo de las estrategias de reducción de cultivos ilícitos, desarrollo alternativo y fortalecimiento integral de los territorios priorizados por el Gobierno de Colombia.</t>
  </si>
  <si>
    <t>La Esperanza</t>
  </si>
  <si>
    <t>Aranzazu</t>
  </si>
  <si>
    <t>Samaná</t>
  </si>
  <si>
    <t>Asistencia para el Ministerio de Igualdad y Equidad en la estructuración de proyectos para la superación de las brechas de desigualdad e inequidad</t>
  </si>
  <si>
    <t>Contribuir a la formulación e implementación de las políticas públicas dirigidas a la superación de las brechas de desigualdad e inequidad, a través de la estructuración de programas y proyectos de alto impacto con enfoque territorial para poblaciones marginadas y en municipios excluidos</t>
  </si>
  <si>
    <t>Finanzas de Impacto y Transformación de Empleos en Colombia rural (FITEC) - NDICI CSO/2024/459-712</t>
  </si>
  <si>
    <t>Fortalecer las OSC en su rol y accionar como actores que contribuyen al desarrollo territorial sostenible basado en la transformación digital y las transiciones justas, la promoción y protección de los derechos humanos y las libertades fundamentales; y promover los derechos económicos, sociales y culturales de la población beneficiaria, mejorando su acceso al empleo y emprendimiento para generar inclusión social y una vida digna.</t>
  </si>
  <si>
    <t>CLT02 Fortalecimiento de las oportunidades profesionales para músicos emergentes en Colombia”.</t>
  </si>
  <si>
    <t>Impulsar el desarrollo profesional de músicos emergentes en Colombia, brindándoles herramientas para fortalecer su trayectoria en la industria musical.</t>
  </si>
  <si>
    <t>SC07 Reserva de Biosfera transfronteriza en el ámbito del Corredor Marino del pacífico oriental cmAR (COL, CRI, ECU, PAN)</t>
  </si>
  <si>
    <t>Promover la gestión sostenible del Corredor Marino del Pacífico Oriental Tropical (CMAR) mediante la cooperación regional entre Colombia, Costa Rica, Ecuador y Panamá.</t>
  </si>
  <si>
    <t>programa de voluntarios para la cooperación con ultramar - JOCV AF 2025</t>
  </si>
  <si>
    <t>DEPARTAMENTO FEDERAL DE ASUNTOS EXTERIORES DE SUIZA / SWISS FEDERAL DEPARTMENT OF FOREING AFFAIRS (FDFA)</t>
  </si>
  <si>
    <t>1002110-Ventana III - ANDES</t>
  </si>
  <si>
    <t>Acompañamiento desde el rol de agente de gestión (AG)a iniciativas aprobadas por el MPTFpara contribuir a la promoción de la reforma rural integral, el desarrollo rural y la seguridad humana conel objetivo de cerrar brechas históricas, reducir la inequidad y fortalecer la seguridad.</t>
  </si>
  <si>
    <t>Bélgica</t>
  </si>
  <si>
    <t>Apoyo al programa Nacional de Conectividad fija de Colombia con énfasis en soluciones de banda ancha fija para hogares, compañías e instituciones públicas de gobierno</t>
  </si>
  <si>
    <t>Asistir al MINTIC de Colombia para contribuir con información, datos y recomendaciones que establezcan la base de la formulación de los proyectos de inversión para el desarrollo de infraestructura de telecomunicaciones en zonas periurbanas, rurales y remotas de Colombia</t>
  </si>
  <si>
    <t>LATIN AMERICAN INVESTMENT FACILITY - LAIF</t>
  </si>
  <si>
    <t>17.8.Operacionalizar plenamente el Banco de Tecnología e CT&amp;amp;I, mecanismo de creación de capacidad para los PMA para el año 2017, y mejorar el uso de tecnologías de apoyo, en particular las TIC.</t>
  </si>
  <si>
    <t>Acompañamiento en el diseño de Iniciativas de cobertura de Infraestructura estratégica y fortalecimiento de las capacidades de gestión del territorio de Santa Marta</t>
  </si>
  <si>
    <t>Acompañar el diseño de iniciativas de cobertura de infraestructura estratégica e identitaria y de fortalecimiento de las capacidades de gestión de la Alcaldía de Santa Marta para alcanzar su implementación efectiva.</t>
  </si>
  <si>
    <t>1002232 -  PIMS-9725 GEF COL/24 REPORTS 1BTR, 4NC+2BTR</t>
  </si>
  <si>
    <t>Fortalecer las capacidades técnicas e institucionales de Colombia para cumplir con sus obligaciones de reporte ante la CMNUCC y el Acuerdo de París, mediante la preparación y presentación del Primer Informe Bienal de Transparencia (BTR1), así como del informe combinado Cuarta Comunicación Nacional (4NC) y Segundo Informe Bienal de Transparencia (BTR2), promoviendo la integración del cambio climático en las prioridades de desarrollo nacional y sectorial.</t>
  </si>
  <si>
    <t>1000266 - Etapa III Eliminación del Consumo HCFC</t>
  </si>
  <si>
    <t>pROMOVER LA  ELIMINACIÓN DEL CONSUMO DE HCFC EN EL SECTOR DE SERVICIOS DE REFRIGERACIÓN Y AIRE ACONDICIONADO</t>
  </si>
  <si>
    <t>PROTOCOLO DE MONTREAL</t>
  </si>
  <si>
    <t>Apoyo a la educación en imagen y animación en los países andinos "OTROS OJOS COLOMBIA"</t>
  </si>
  <si>
    <t>OTROS OJOS tiene varios desafíos en la mira: estimular el regreso de los espectadores a las salas de cine, fomentar la educación al público en diversidad cultural, buscar la sostenibilidad económica de los creadores independientes mediante alianzas entre los sectores público y privado y aumentar la cuota de cine independiente latinoamericano en las salas de cine de la región andina.</t>
  </si>
  <si>
    <t>EMBAJADA DE FRANCIA EN COLOMBIA</t>
  </si>
  <si>
    <t>1002107-Ventana III - Humanicemos</t>
  </si>
  <si>
    <t>1001514-Fortalecimiento para la respuesta a crisis y recuperación temprana en Colombia</t>
  </si>
  <si>
    <t>Fortalecer las capacidades institucionales y comunitarias en Colombia para la gestión efectiva y coordinada de crisis relacionadas con el desplazamiento interno y los riesgos de desastres, mediante un enfoque de desarrollo sostenible que promueva soluciones resilientes a largo plazo frente a los desafíos actuales y futuros, incluyendo los inducidos por el cambio climático.</t>
  </si>
  <si>
    <t>1002166-PROYECTOS INTEGRADORES PDET NORTE DEL CAUCA</t>
  </si>
  <si>
    <t>PROYECTOS INTEGRADORES PDET NORTE DEL CAUCA</t>
  </si>
  <si>
    <t>Ciudades biodiversas, resilientes, inclusivas y sostenibles en Colombia</t>
  </si>
  <si>
    <t xml:space="preserve">CONTRIBUIR AL DESARROLLO URBANO SOSTENIBLE, RESILIENTE Y ORIENTADO A LA BIODIVERSIDAD DE LAS CIUDADES INTERMEDIAS DE COLOMBIA. </t>
  </si>
  <si>
    <t>15253 - We Effect - återintegrering Colombia 2022-2026 (Desembolso 2024)</t>
  </si>
  <si>
    <t>facilitar el proceso de reincorporación de mujeres y hombres excombatientes conjuntamente con sus comunidades vecinas</t>
  </si>
  <si>
    <t>1002303- FORTALECIMIENTO INSTITUCIONAL FASE XIV - UTO</t>
  </si>
  <si>
    <t>Este proyecto tiene como objetivo impulsar estrategias transversales que potencien las capacidades nacionales en la generación de instrumentos normativos y de gestión, así como en actividades de difusión, sensibilización y articulación para la implementación efectiva de los diversos proyectos ejecutados por la Unidad Técnica Ozono. Específicamente, durante este periodo se considera el cumplimiento de objetivos de la Etapa III del Plan de Manejo para la Eliminación del Consumo de hidroclorofluorocarbonos en Colombia (HPMP), con el fin de alcanzar las metas de eliminación del consumo de HCFC, la preparación de la Fase I del Plan de reducción de HFC (KIP) e inicio de ejecución de actividades del proyecto.</t>
  </si>
  <si>
    <t>2000889-Fortalecimiento de las capacidades de la JEP y la PGN para la investigación y esclarecimiento de graves crímenes de lesa humanidad y crímenes de guerra desde un enfoque dialógico, de género y restaurativo para la construcción de paz en Colombia.</t>
  </si>
  <si>
    <t>Fortalecer las capacidades de la JEP y de la Procuraduría Delegada ante la JEP para investigar y judicializar crímenes de lesa humanidad y guerra, generar escenarios restaurativos, y brindar garantías de participación para las víctimas y comparecientes desde una perspectiva dialógica y diferencial.</t>
  </si>
  <si>
    <t>PBF</t>
  </si>
  <si>
    <t>RLA/24/50/EUR - Conducta Empresarial Responsable en América Latina y el Caribe (Fase II)</t>
  </si>
  <si>
    <t>Este proyecto tiene como objetivo fomentar un crecimiento inteligente, sostenible e inclusivo en la UE y América Latina y el Caribe mediante el apoyo a prácticas de conducta empresarial responsable, en consonancia con los principios internacionalmente acordados y establecidos en los instrumentos de las Naciones Unidas, la OIT y la OCDE, y teniendo en cuenta la evolución normativa y política de la UE en materia de Conducta Empresarial Responsable (CER) y diligencia debida. Considerando la experiencia del Proyecto RBCLAC hasta la fecha y la evolución de las prioridades de la UE.</t>
  </si>
  <si>
    <t>Innovación rural y sostenible para el desarrollo regional bajo la variabilidad climática en la región central de RAP-E</t>
  </si>
  <si>
    <t xml:space="preserve">La acción pretende contribuir a la implementación del «Pacto de Sumapaz», que prevé el fortalecimiento de los procesos de conservación de la biodiversidad y los servicios ecosistémicos de importancia regional y nacional.  Específicamente, planea promover Paisajes Productivos social y económicamente sostenibles que mejoren los medios de vida y la conectividad en la Región Administrativa y de Planificación Central de Colombia - RAP-E Región Central.  </t>
  </si>
  <si>
    <t xml:space="preserve">Prêt à Bogota - Assitance technique-CCO 1085 </t>
  </si>
  <si>
    <t>Cierre de brechas de généro</t>
  </si>
  <si>
    <t>Igualitarias: transformando territorios - FEF-OSC - PROGRAMAS 209</t>
  </si>
  <si>
    <t>Mejorar las condiciones de vida de las niñas y las mujeres en Colombia</t>
  </si>
  <si>
    <t>1001218 - Piloto para el uso de alternativas en la disminución impacto HFC y mejora del Consumo Energético</t>
  </si>
  <si>
    <t>Piloto para promover el uso de alternativas de bajo o nulo potencial de calentamiento global (PCG) con el fin disminuir el impacto ambiental directo (reducción de emisiones de HFC) y mejorar el consumo energético de los sistemas de refrigeración centralizados en el subsector supermercados (tiendas).</t>
  </si>
  <si>
    <t>CANADA</t>
  </si>
  <si>
    <t>11.6.En el 2030, reducir el impacto ambiental per cápita adverso de las ciudades, prestando especial atención a la calidad del aire, y la gestión municipal de residuos municipal y otras.</t>
  </si>
  <si>
    <t>Mujeres Echando Raices-CZZ3150</t>
  </si>
  <si>
    <t>El objetivo principal del proyecto Mujeres Echando Raíces (MERA) es contribuir a reforzar la protección y la integración socioeconómica de las mujeres migrantes venezolanas en las comunidades de acogida de Cali y Quito</t>
  </si>
  <si>
    <t xml:space="preserve">Apoyar al gobierno colombiano en la implementación exitosa de la reforma rural integral. </t>
  </si>
  <si>
    <t>GCP /GLO/1169/GER -  Ampliar las capacidades para la gobernanza responsable de la tenencia del agua en apoyo de la seguridad alimentaria, la resiliencia climática y la inclusión social (ScaleWat)</t>
  </si>
  <si>
    <t>Fortalecer las capacidades de gobernanza para que los Estados miembros, actores no estatales y organizaciones de las Naciones Unidas en dos regiones y dos países piloto avancen hacia un marco coherente de tenencia del agua, mediante la mejora de los datos, la contabilidad del agua y la administración de los derechos hídricos, en línea con las recomendaciones del COAG y del CSA sobre agua, seguridad alimentaria y nutrición</t>
  </si>
  <si>
    <t>15400 - ICTJ Colombia 2022-2026, Övergångsrättvisa (desembolso 2024)</t>
  </si>
  <si>
    <t>apoyar al ICTJ (Centro Internacional para la Justicia Transicional) en colombia</t>
  </si>
  <si>
    <t>sater-cco1127</t>
  </si>
  <si>
    <t xml:space="preserve">Contribuir a mejorar la consideración de las cuestiones climáticas por parte de los actores locales para fortalecer la resiliencia ambiental y la soberanía alimentaria de los territorios ante los impactos del cambio climático. </t>
  </si>
  <si>
    <t>16558 - NIR - Responsabilidad y sostenibilidad en la minería latinoamericana / 16558 - NIR - Responsibility and sustainability in Latin American Mining (desembolso 2024)</t>
  </si>
  <si>
    <t>Financiamiento a la ONG sueca NIR (Consejo Internacional de la Industria Sueca) para un trabajo sobre minería sostenible en Colombia, con dos componentes: 1) minería de oro a pequeña escala coordinada con los distritos mineros del gobierno colombiano, y 2) minería de cobre responsable, relevante para la agenda de transición energética del gobierno colombiano y de interés para las empresas suecas.</t>
  </si>
  <si>
    <t>16063 - Sector privado y construcción de paz Colombia 2023-2026</t>
  </si>
  <si>
    <t xml:space="preserve">La contribución tiene como objetivo coordinar los esfuerzos de las tres organizaciones para promover un enfoque integral que incluya insumos e información para los responsables de la formulación de políticas, así como para la opinión pública, construya puentes entre los gobiernos nacionales y regionales y las empresas, sensibilice a las empresas privadas sobre buenos ejemplos de conducta empresarial responsable junto con el impacto que podrían desempeñar en la construcción de la paz. y, por último, promueve los vínculos comerciales entre las grandes empresas y los pequeños agricultores de las regiones afectadas por conflictos, estimulando así las oportunidades económicas en determinadas regiones.
</t>
  </si>
  <si>
    <t>Turismo sostenible y valorización de la muralla de Cartagena de Indias</t>
  </si>
  <si>
    <t>Incrementar la protección del patrimonio cultural y natural para el bienestar socioeconomico.</t>
  </si>
  <si>
    <t>16008 - Cooperación policial Colombia 2024-2027 / 16008 - Police cooperation Colombia 2024-2027 (desembolso 2024)</t>
  </si>
  <si>
    <t>apoyo para el desarrollo de capacidades de la Policía Colombiana, a través de la asistencia técnica prestada por la Autoridad Policial de Suecia</t>
  </si>
  <si>
    <t>2000965-Alianza entre ONU Mujeres y la Embajada de Francia en el marco del FEF-OSC 2024-118</t>
  </si>
  <si>
    <t>Asesorar la implementación de la Convocatoria impulsada por la Embajada de Francia para mejorar las condiciones de vida de las niñas y las mujeres en Colombia bajo los énfasis temáticos propuestos, con enfoque en el fortalecimiento de capacidades de las organizaciones participantes.</t>
  </si>
  <si>
    <t>GOBIERNO DE FRANCIA / GOVERNMENT OF FRANCE</t>
  </si>
  <si>
    <t>Vamos por la Paz-CCO1131</t>
  </si>
  <si>
    <t xml:space="preserve">Contribuir a la construcción de la paz territorial en Colombia, desde una perspectiva de diálogos multiactor y multinivel </t>
  </si>
  <si>
    <t>16464 - FONDO ACCIÓN: Bioeconomía y Acción Climática en Colombia / 16464 - FONDO ACCION: Bioeconomy &amp; Climate Action in Colombia. (desembolso 2024)</t>
  </si>
  <si>
    <t>El proyecto "Bioeconomía, Acción Climática y Restauración Ecológica"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t>
  </si>
  <si>
    <t>COL08DATPATR-proyectos integradores</t>
  </si>
  <si>
    <t>Formular 5 proyectos integradores que activen que activen iniciativas para acelerar la implementación del PATR en 5 municipios del nodo del norte del Cauca de la Subregión Alto Patía y Norte del Cauca mediante la estructuración colaborativa de proyectos integradores y el inicio de su implementación</t>
  </si>
  <si>
    <t>Cacao Bioandino Fase II-CZZ3483</t>
  </si>
  <si>
    <t>Subvención destinada a contribuir a la sostenibilidad, trazabilidad y comercialización del cacao ecológico de aroma fino producido por pequeños agricultores familiares en sistemas agroforestales y comercializado a través del comercio justo en Colombia, Ecuador y Perú. Apoyará a 26 organizaciones de productores de estos 3 países y a más de 6.000 familias</t>
  </si>
  <si>
    <t>Programa global para fortalecer la intervención de la red FIDH para aumentar el poder de acción de defensores y organizaciones locales de derechos humanos-CZZ3716 01 E</t>
  </si>
  <si>
    <t>Incrementar el poder de acción de los defensores y de las organizaciones locales de derechos humanos fortaleciendo la red de la FIDH</t>
  </si>
  <si>
    <t>Women Lead In Emergencies - CZZ3620</t>
  </si>
  <si>
    <t>El objetivo general del proyecto es aumentar la participación y el liderazgo de las organizaciones, colectivos y redes de mujeres (formales e informales) en el diseño e implementación de respuestas a las crisis, incluida la prevención y respuesta a conflictos y la adaptación al cambio climático</t>
  </si>
  <si>
    <t>02000904 - Unpaid care, disability and gender transformative approach -Cuidados no remunerados, discapacidad y enfoque transformador de género</t>
  </si>
  <si>
    <t>Influir en los sistemas nacionales de cuidados y apoyo, prestando especial atención a los cuidados no remunerados, para crear un entorno político más inclusivo y transformador en materia de género.</t>
  </si>
  <si>
    <t>Proyecto para la reducción de brechas de género a través de estrategias de cuidado - Cuídate: la vida es Colectiva-CCO1138 01 N</t>
  </si>
  <si>
    <t>Contribuir a la reducción de las desigualdades de género a través del reconocimiento, reducción y redistribución del tiempo dedicado al trabajo doméstico/de cuidados no remunerado y la promoción del empoderamiento económico de las mujeres en 9 municipios del Departamento de Antioquia</t>
  </si>
  <si>
    <t>Hacia la sostenibilidad del Cañón del Chicamocha como destino integrado y responsable - CCO1147 01 N</t>
  </si>
  <si>
    <t>Garantizar la apropiación local y la gestión autónoma y sostenible del Destino Chicamocha</t>
  </si>
  <si>
    <t>1002893 - Iniciativa de Financiamiento de la Biodiversidad - Fase II (BIOFIN Colombia) -  The Biodiversity Finance Initiative - Phase II (BIOFIN Colombia)</t>
  </si>
  <si>
    <t>Iniciativa de Financiamiento de la Biodiversidad - Fase II (BIOFIN Colombia)</t>
  </si>
  <si>
    <t>1002605 -  PIMS-10040 Programa Marco para Apoyar la Actualización de la ENB y el Séptimo Informe Nacional - Colombia -PIMS-10040 Umbrella Programme to Support NBSAP Update and the 7th National Reports-Colombia</t>
  </si>
  <si>
    <t>PIMS-10040 Programa Marco para Apoyar la Actualización de la ENB y el Séptimo Informe Nacional - Colombia</t>
  </si>
  <si>
    <t>SC240940 COLOMBIA:Activar el acceso efectivo a los servicios de protección social y empleo (COLOMBIA:Triggering effective access to social protection and jobs services)</t>
  </si>
  <si>
    <t>COLOMBIA:Activar el acceso efectivo a los servicios de protección social y empleo</t>
  </si>
  <si>
    <t>16559 - NESsT - Fortalecimiento de empresas sociales verdes y equitativas / 16559 - NESsT - Strengthening green and equitable social enterprises (desembolso 2024)</t>
  </si>
  <si>
    <t>Promover componente sobre negocios verdes en regiones conflictivas de Colombia</t>
  </si>
  <si>
    <t>Academia de emprendimiento juvenil en Colombia. Youth Start-up Academy in Colombia</t>
  </si>
  <si>
    <t>Desarrollar jovenes emprendedores y crear un ecosistema de emprendimientos aplicando el modelo de academia de emprendimientos online</t>
  </si>
  <si>
    <t>LA AGENCIA DE PEQUEÑAS,  MEDIANAS EMPRESAS Y STARTUPS DE COREA / KOREA SMES AND STAR-UP AGENCY - KOSME</t>
  </si>
  <si>
    <t>Establecimiento del Tecnoparque Colombia y Apoyo a la Formación Profesional para el Fortalecimiento de Capacidades Digitales.  Establishing Colombia Technopark and Support of Nurturing Professional for Strengthening Digital Capability</t>
  </si>
  <si>
    <t>Fomentar la industria digital de Colombia y fomentar las empresas y profesionales digitales mediante el apoyo al establecimiento del Tecnoparque Colombia y la promocion de las capacidades digitales y la transformacion digital de Colombia.</t>
  </si>
  <si>
    <t>Asistencia técnica al programa de Aeródromo de Servicios Esenciales (ASAE) de Colombia - FASE 2</t>
  </si>
  <si>
    <t>Apoyar al Gobierno de Colombia (GoCo) en la implementación del Programa de Aeródromos de Servicios Esenciales (ASAE) – 2ª Fase</t>
  </si>
  <si>
    <t>Proyecto para la Construcción del Centro del Banco de Alimentos en Buenaventura</t>
  </si>
  <si>
    <t>Ampliar la capacidad de almacenamiento del Banco de Alimentos de Buenaventura, a través de la construcción de una bodega contigua de 200 m^2, la cual contenga espacios de almacenamiento y espacios de selección y clasificación de alimentos y no alimentos, que contribuyan al mejoramiento del impacto nutricional y dignificar las condiciones de vida de cerca de 43.300 personas en condición de vulnerabilidad en Buenaventura y sus municipios aledaños</t>
  </si>
  <si>
    <t>Proyecto para la construcción de una biblioteca para la niñez en el municipio de rovira</t>
  </si>
  <si>
    <t>Incrementar los niveles de lectura de la población del municipio de Rovira Tolima.</t>
  </si>
  <si>
    <t>ACUAFASA - Acuaponía  familiar para la soberanía  alimentaria y la producción  sostenible de alimentos en  comunidades vulnerables de  La Guajira, Antioquia y  Chocó (Colombia) - 2024/ACDE/000954</t>
  </si>
  <si>
    <t xml:space="preserve">Contribuir a la seguridad alimentaria sostenible y equitativa mediante la acuaponía familiar. </t>
  </si>
  <si>
    <t>La Jagua del Pilar</t>
  </si>
  <si>
    <t>FUNDACIÓN MAGTEL</t>
  </si>
  <si>
    <t xml:space="preserve">UNIVERSIDAD DE SEVILLA </t>
  </si>
  <si>
    <t> Respuesta Integral y Acceso a Servicios en Contextos de Emergencia (RIASCE) - ECHO/-AM/BUD/2025/91005</t>
  </si>
  <si>
    <t>Ofrecer una respuesta de emergencia en zonas de difícil acceso controladas por actores armados, afectadas por múltiples crisis prolongadas (conflicto, migración, desplazamiento).</t>
  </si>
  <si>
    <t>Bucarasica</t>
  </si>
  <si>
    <t>Apoyo y coordinación preliminar de Colombia Evidencia Potencial en Educación - IMG-23-008</t>
  </si>
  <si>
    <t>Colombia Evidencia Potencial en Educación promoverá activamente la creación de alianzas multifacéticas dentro de las comunidades locales para desarrollar iniciativas basadas en evidencia mediante un enfoque centrado en la comunidad.</t>
  </si>
  <si>
    <t>Economía para la vida: Una apuesta solidaria y sostenible de organizaciones campesinas e indígenas del suroccidente de Colombia FASE II - DESEMBOLSO 2024</t>
  </si>
  <si>
    <t>Contribuir a la construcción de alternativas de Desarrollo Territorial Sostenible y Equitativo en el departamento de Nariño como aporte a la Paz, la construcción de la igualdad de género, la garantía de la soberanía alimentaria y la reducción de la pobreza rural.</t>
  </si>
  <si>
    <t>FUNDACION ALBOAN</t>
  </si>
  <si>
    <t>FUNDACIÓN SUYUSAMA</t>
  </si>
  <si>
    <t>GOBIERNO DE NAVARRA</t>
  </si>
  <si>
    <t>Economía para la vida: Una apuesta solidaria y sostenible de organizaciones campesinas e indígenas del suroccidente de Colombia FASE II - DESEMBOLSO 2025</t>
  </si>
  <si>
    <t>Economía para la vida: Una apuesta solidaria y sostenible de organizaciones campesinas e indígenas del suroccidente de Colombia FASE II - DESEMBOLSO 2026</t>
  </si>
  <si>
    <t>Colombia Evidencia Potencial en Educación – IMG-3-008</t>
  </si>
  <si>
    <t>Colombia Evidencia Potencial en Educación promoverá  activamente la creación de alianzas multifacéticas dentro de las comunidades locales para desarrollar</t>
  </si>
  <si>
    <t>Cosechas de esperanza Cadenas de valor agroecológicas para el desarrollo territorial sostenible del suroccidente colombiano - 2024/PRYC/000604</t>
  </si>
  <si>
    <t>Contribuir al desarrollo humano y territorial sostenible en comunidades indígenas y campesinas PDET en 3 municipios del departamento del Valle del Cauca, Tuluá, Pradera y Florida.</t>
  </si>
  <si>
    <t>Fortalecimiento gremial y de derechos para mujeres recicladoras de base - SUBV/COOP/DESA/0017/2024 (FASE II)</t>
  </si>
  <si>
    <t>Contribuir en el fortalecimiento de ARSOC como garante de la dignificación y el respeto a los derechos de las mujeres recicladoras de base del suroccidente colombiano afianzando su capacidad de
intercooperación regional, nacional e internacional y su aportación a la economía circular inclusive.</t>
  </si>
  <si>
    <t>DIPUTACIÓN FORAL DE BIZKAIA</t>
  </si>
  <si>
    <t>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t>
  </si>
  <si>
    <t>Contribuir a la protección y asistencia a hogares vulnerables afectados por desastres y el conflicto armado en el departamento del Cauca en Colombia.</t>
  </si>
  <si>
    <t>PROTEGER A LAS MUJERES, EMPODERAR A LAS COMUNIDADES: Apoyar el acceso a la salud y la protección de las comunidades afectadas por el conflicto y la migración en Colombia. Acuerdo 14966. desembolso 2025</t>
  </si>
  <si>
    <t>Las comunidades marginadas afectadas por el conflicto y la migración han mejorado el acceso a los servicios de salud y protección en Norte de Santander y Arauca, Colombia.</t>
  </si>
  <si>
    <t xml:space="preserve"> Resiliencia juvenil en Buenaventura / Youth Resilience in Buenaventura</t>
  </si>
  <si>
    <t>Prevenir que los jóvenes de Buenaventura se involucren en mecanismos de afrontamiento destructivos, incluida la asociación con grupos armados, grupos criminales organizados y grupos armados no estatales (GANE)
Prevent young people in Buenaventura from becoming involved in destructive coping mechanisms, including association with armed groups, organized criminal groups, and non-state armed groups.</t>
  </si>
  <si>
    <t>EMBAJADA DE PAÍSES BAJOS</t>
  </si>
  <si>
    <t>Protección de la selva tropical a través de la gobernanza indígena (Fase 3) - COL 25-0005</t>
  </si>
  <si>
    <t>Proteger la integridad territorial de 8,3 millones de hectáreas de la Amazonía Oriental Colombiana y los sistemas de conocimiento que la han sostenido, mediante el fortalecimiento de la autonomía de los gobiernos indígenas y la consolidación de formas asociativas de gobernanza territorial y ambiental.</t>
  </si>
  <si>
    <t>MINISTERIO DE RELACIONES EXTERIORES DE NORUEGA/ MINISTRY OF FOREIGN AFFAIRS NORWAY</t>
  </si>
  <si>
    <t>Marea / Apoyar a las organizaciones locales en temas de salud de las mujeres subrepresentadas (en todas las diversidades) mediante el fortalecimiento de las capacidades de incidencia y cabildeo.</t>
  </si>
  <si>
    <t>Apoyar a las organizaciones locales en temas de salud de las mujeres subrepresentadas (en todas las diversidades) mediante el fortalecimiento de las capacidades de incidencia y cabildeo.</t>
  </si>
  <si>
    <t>Apoyo a Ministerio del Interior y Ministerio de Defensa en Derechos Humanos</t>
  </si>
  <si>
    <t>_Fortalecer programas de protección a líderes y defensor@s del Ministerio del Interior. 
_Crear un sistema de información del Ministerio de Defensa sobre denuncias de violaciones a DDHH por parte de miembros de Fuerza Pública.</t>
  </si>
  <si>
    <t>Cumare: Voces de los Pueblos de la Amazonía y Orinoquia</t>
  </si>
  <si>
    <t>Fortalecer las emisoras comunitarias y locales en los procesos sociales y en el ejercicio y compromiso a través de sus reporteros/as capacitados en Periodismo Ambiental y en sus respectivas comunidades para mitigar los efectos del Cambio Climático y su incidencia en la construcción de Paz local y en la preservación de la vida y del Gran Bioma Amazónico.</t>
  </si>
  <si>
    <t xml:space="preserve"> Juventud y seguridad alimentaria en Magdalena / Youth &amp; Food Security in Magdalena</t>
  </si>
  <si>
    <t xml:space="preserve">Este proyecto tiene como objetivo incidir significativamente en la seguridad alimentaria y los derechos humanos al empoderar a los jóvenes rurales para que lideren y defiendan prácticas sostenibles de producción de alimentos y un desarrollo comunitario equitativo.
This project aims to significantly impact food security and human rights by empowering rural youth to lead and advocate for sustainable food production practices and equitable community development. </t>
  </si>
  <si>
    <t>Consorcio MIRE+: Mecanismo de Respuesta Rápida, ayuda humanitaria a las comunidades afectadas por el conflicto en Colombia – ECHO/-AM/BUD/2025/91008</t>
  </si>
  <si>
    <t>Comunidades en Colombia, superan sus necesidades básicas, fortaleciendo sus capacidades de autogestión y resiliencia para reducir el impacto por el conflicto armado, desastres y doble afectación</t>
  </si>
  <si>
    <t>Naturaleza Positiva - GoNaturePositive - HORIZON-CL6-2023-BIODIV-01-10</t>
  </si>
  <si>
    <t>EUROPANA -PROMOCIÓN GLOBAL DE LA RESPUESTA HUMANITARIA TRANSFRONTERIZA Y LOCALIZADA Y DE LA PROTECCIÓN DE LOS MIGRANTES, LOS REFUGIADOS Y LAS VÍCTIMAS DE LA VIOLENCIA EN SITUACIONES DE EMERGENCIA CONTEXTOS DE EMERGENCIA - ECHO/-AM/BUD/2024/91020 (ADENDA)</t>
  </si>
  <si>
    <t>ROCKEFELLER PHILANTHROPY ADVISORS INC</t>
  </si>
  <si>
    <t xml:space="preserve">ALIANZA PARA ACELARAR LA TRANSICIÓN CLIMATICA (UK PACT) </t>
  </si>
  <si>
    <t xml:space="preserve">aliviar la pobreza, trabajando principalmente a través de la reducción de las emisiones de gases de efecto invernadero. </t>
  </si>
  <si>
    <t>Planeta Rica</t>
  </si>
  <si>
    <t>Tauramena</t>
  </si>
  <si>
    <t>Taraira</t>
  </si>
  <si>
    <t>Articulaciones/coaliciones para apoyar procesos políticos hacia una transición agroecológica en América Latina</t>
  </si>
  <si>
    <t>Analizar colectivamente el estado de la transición agroecológica e identificar las oportunidades y desafíos para generar articulaciones entre distintos actores y sectores relevantes para avanzar en la
incidencia en políticas públicas a favor de la transición hacia sistemas agroalimentarios saludables e inclusivos.</t>
  </si>
  <si>
    <t xml:space="preserve">Resiliencia Comunitaria en San José del Guaviare para la seguridad alimentaria y WASH - 24-R-NGO-34551 </t>
  </si>
  <si>
    <t>Promover la resiliencia comunitaria en las veredas El Morro y Dunas mediante la mejora de la seguridad alimentaria, el acceso al agua potable y saneamiento básico, y seguridad alimentaria.</t>
  </si>
  <si>
    <t>FONDO NORUEGO PARA LOS DERECHOS HUMANOS</t>
  </si>
  <si>
    <t>SI AGER - Cacao para la Conservación: Fortalecimiento de las cadenas de suministro libres de deforestación y positivas para la naturaleza - 243 /P00000861</t>
  </si>
  <si>
    <t>El objetivo del proyecto es facilitar el cumplimiento de los requisitos de la cadena de suministro de la UE para las cooperativas de cacao, crear accesodirecto al mercado para el cacao libre de deforestación y conversión, y pilotear soluciones de cadena de suministropositivas para la naturaleza, libres de deforestación yconversión, con actores del mercado europeo. Además,busca establecer un marco para monitorear lascontribuciones a la conservación de la biodiversidad anivel de finca y paisaje, contribuyendo así a laimplementación del Marco Global de Biodiversidad (GBF)y las Estrategias y Planes de Acción Nacionales deBiodiversidad (NBSAP) de Colombia.</t>
  </si>
  <si>
    <t>Arte y Protección para la Vida: Fortalecimiento de capacidades de niñas, niños y adolescentes en situación de riesgo a través del arte y la mejora de condiciones de bienestar en Benposta Bogotá</t>
  </si>
  <si>
    <t>Garantizar el desarrollo psicoafectivo y social de 90 niños, niñas y adolescentes ubicados en la sede de Benposta – Bogotá, a través del buen funcionamiento de una Escuela de artes.</t>
  </si>
  <si>
    <t>EMBAJADA DE PORTUGAL</t>
  </si>
  <si>
    <t>Renovación del Recinto Policial de Tibú</t>
  </si>
  <si>
    <t>Fortalecer las condiciones de seguridad y convivencia ciudadana en algunos municipios de Colombia, beneficiando comunidades vulnerables y generando desarrollo.</t>
  </si>
  <si>
    <t>Compromiso Mujer: Una apuesta por la integración y autonomía económica - 25-SB3365</t>
  </si>
  <si>
    <t>Mejorar los indicadores de integración y autonomía económica de las mujeres migrantes venezolanas y de población acogida residentes en la comuna 15 de la ciudad de Cali a través de acceso a bienes y servicios enfocados en la generación de ingresos
desde la legalidad.</t>
  </si>
  <si>
    <t>EXPERTISE FRANCE</t>
  </si>
  <si>
    <t>Fondo de Transición Energética: Acoger y fomentar una transición energética justa en Colombia: diálogo social y transición de la mano de obra – Energy Transition Fund: Embracing and fostering Just energy transition in Colombia: social dialogue, and workforce transition - G-24-2143486</t>
  </si>
  <si>
    <t>Fomentar una transición energética justa en Colombia a través del diálogo social, la transición laboral y el seguimiento a la transición en términos de justicia.</t>
  </si>
  <si>
    <t>Protección local y asistencia humanitaria para las personas afectadas por el conflicto armado y los flujos migratorios mixtos – ECHO/-AM/BUD/2025/91006</t>
  </si>
  <si>
    <t>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t>
  </si>
  <si>
    <t>DIAKONIE KATASTROPHENHILFE (DKH)</t>
  </si>
  <si>
    <t>Sembrando Economías de Paz: Jóvenes y mujeres indígenas, mestizas y campesinas transformando sus territorios a través de procesos sostenibles de construcción de paz</t>
  </si>
  <si>
    <t>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t>
  </si>
  <si>
    <t>Matanza</t>
  </si>
  <si>
    <t>Visibles: Generaciones sin violencia - Standing Out: Generations Beyond Violence</t>
  </si>
  <si>
    <t>Reducción de la Violencia Basada en Género (VBG) contra niñas, adolescentes y jóvenes en los territorios de Uribia, Dibulla (La Guajira), Medellín y Cali.</t>
  </si>
  <si>
    <t>Apoyo a la Implementación del Programa de Apoyo a la Transición Energética - convenio de financiamiento no reembolsable para inversión N° GRT/SX-21261-CO</t>
  </si>
  <si>
    <t>apoyar la descarbonización de la economía colombiana, acelerando el financiamiento de proyectos de transición energética justa y fortaleciendo las capacidades e instrumentos de la FDN que contribuyan a su eventual acceso a los mercados temáticos de capital verde en la escala necesaria.</t>
  </si>
  <si>
    <t>Estudio de viabilidad para la preparación de la producción de biometano a partir de residuos orgánicos en Bogotá</t>
  </si>
  <si>
    <t xml:space="preserve">El principal objetivo del proyecto es mejorar el manejo y gestión de los residuos orgánicos y apoyar y acelerar el desarrollo e introducción del biometano en sector transporte en Colombia. </t>
  </si>
  <si>
    <t>SWEDFUND</t>
  </si>
  <si>
    <t>Entornos protectores para los niños contra la trata con fines de explotación sexual y mendicidad forzada – Alianza CPC - SSJTIP22CA0033</t>
  </si>
  <si>
    <t>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t>
  </si>
  <si>
    <t>Transformando comunidades, una historia a la vez. Programa de facilitación de procesos participativos comunitarios en comunidades vulnerables en La Guajira - CBPF-COL-24-S-NGO-33962</t>
  </si>
  <si>
    <t>Fortalecer y promover la organización y resiliencia comunitaria en comunidades del municipio de Riohacha con énfasis en víctimas del conflicto armado y la violencia facilitando procesos participativos para el fortalecimiento de capacidades y el diseño e implementación de hasta 3 proyectos (soluciones) concretas que contribuyan al desarrollo local desde un enfoque centrado en las personas.</t>
  </si>
  <si>
    <t>Diálogo en acción: reforzar el diálogo con el sector privado para mejorar la gobernanza medioambiental - 81317027</t>
  </si>
  <si>
    <t>mejorar la gobernanza ambiental mediante procesos de diálogo entre los actores relevantes y el sector privado. Al identificar y abordar las barreras que impiden un diálogo efectivo, este proyecto de investigación busca fortalecer las prácticas democráticas en los marcos de gobernanza ambiental, garantizando que se escuchen
y se tengan en cuenta voces diversas en la construcción de soluciones sostenibles.</t>
  </si>
  <si>
    <t>13.b.Promover mecanismos para aumentar las capacidades de planificación y gestión eficaz relacionadas con el cambio climático, en los PMA, incluyendo atención a las mujeres, los jóvenes, las comunidades locales y marginadas.</t>
  </si>
  <si>
    <t>Fecha de creación del plan de trabajo departamental</t>
  </si>
  <si>
    <t xml:space="preserve">Monto total </t>
  </si>
  <si>
    <t>Monto por APC</t>
  </si>
  <si>
    <t>Resiliencia climática, conservación y transición energética en la puerta de oro de la amazonía – PROGEA</t>
  </si>
  <si>
    <t>RED ADELCO</t>
  </si>
  <si>
    <t xml:space="preserve"> Camões – Instituto da Cooperação e da Língua, I.P. de Portugal </t>
  </si>
  <si>
    <t>Coordinadora Humanitaria- Asesoría técnica a los procesos territoriales en metodología, seguimiento y articulación interinstitucional</t>
  </si>
  <si>
    <t xml:space="preserve">Corporación Vivamos Humanos </t>
  </si>
  <si>
    <t>Agencia Española de Cooperación Internacional para el Desarrollo -AECID-</t>
  </si>
  <si>
    <t>“Contribuir a la garantía de los derechos de las víctimas, especialmente las de desplazamiento forzado, y a su participación en la construcción de paz y la no repetición en Colombia”</t>
  </si>
  <si>
    <t xml:space="preserve">Consultoría para los Derechos Humanos y el Desplazamiento-CODHES </t>
  </si>
  <si>
    <t xml:space="preserve">Conservación y restauración del Cedro Negro (Juglans neotropica) y otras especies de árboles amenazadas de los bosques andinos - Fase II </t>
  </si>
  <si>
    <t>Wildlife Conservation Society - WCS</t>
  </si>
  <si>
    <t xml:space="preserve">Fundación Franklinia </t>
  </si>
  <si>
    <t>Coordinadora Humanitaria- Asesoría técnica a los procesos territoriales en metodología, seguimiento y articulación interinstitucional.</t>
  </si>
  <si>
    <t xml:space="preserve">Las formas asociativas de firmantes del Acuerdo de Paz ECOMUN y FEMNCAFE cuentan con estrategias y herramientas que fortalecen sus procesos productivos y organizativos con enfoque de sostenibilidad.                                                 </t>
  </si>
  <si>
    <t xml:space="preserve">Corporación Vivamos Humanos      </t>
  </si>
  <si>
    <t xml:space="preserve">FEMNCAFE       </t>
  </si>
  <si>
    <t xml:space="preserve">Consultoría para los Derechos Humanos y el Desplazamiento-CODHES              </t>
  </si>
  <si>
    <t>CODIGO</t>
  </si>
  <si>
    <t>NOMBRE DEL INTERCAMBIO</t>
  </si>
  <si>
    <t>OBJETIVO DEL INTERCAMBIO</t>
  </si>
  <si>
    <t>BUENA PRÁCTICA</t>
  </si>
  <si>
    <t>LÍNEA TEMÁTICA</t>
  </si>
  <si>
    <t>DEPARTAMENTO EN EL QUE SE DESARROLLÓ</t>
  </si>
  <si>
    <t>DEPARTAMENTOS PARTICIPANTES</t>
  </si>
  <si>
    <t>MES DE REALIZACIÓN</t>
  </si>
  <si>
    <t>ENTIDAD SOCIA NACIONAL</t>
  </si>
  <si>
    <t>OTRAS ENTIDADES SOCIAS</t>
  </si>
  <si>
    <t>COOPERANTE 1</t>
  </si>
  <si>
    <t>PRESUPUESTO ESTIMADO APC COLOMBIA</t>
  </si>
  <si>
    <t>RUBRO ASUMIDO</t>
  </si>
  <si>
    <t>Territorios que cuidan: diálogos entre saberes comunitarios y voces de la niñez hacia la acción fronteriza</t>
  </si>
  <si>
    <t>Contribuir a la prevención de la Explotación Sexual y Comercial de Niñas, Niños y Adolescentes (ESCNNA) y la trata de personas con fines de explotación sexual, fortaleciendo los conocimientos sobre la Ruta Amazónica en prevención de ESCNNA, a través de espacios de capacitación a la institucionalidad, la red de mujeres de Protectoras Semillas de Vida que hace parte de la Asociación Ticoya en los municipios de Leticia y Puerto Nariño en el departamento de Amazonas. </t>
  </si>
  <si>
    <t>Fundación Renacer</t>
  </si>
  <si>
    <t>Prevención ESCNNA</t>
  </si>
  <si>
    <t>Amazonas</t>
  </si>
  <si>
    <t>Julio</t>
  </si>
  <si>
    <t>Instituto Colombiano de Bienestar Familiar - ICBF</t>
  </si>
  <si>
    <t>Ejército Nacional</t>
  </si>
  <si>
    <t>Tiquetes
Alimentación
Hospedaje</t>
  </si>
  <si>
    <t>La Guajira</t>
  </si>
  <si>
    <t>Norte de Santander</t>
  </si>
  <si>
    <t>Oportunidades que conectan territorios: cooperación internacional al alcance local </t>
  </si>
  <si>
    <t>Fortalecer las capacidades técnicas en la gestión y administración de cooperación internacional, dirigida a gobiernos departamentales y territoriales en el marco del Sistema Nacional de Cooperación Internacional. </t>
  </si>
  <si>
    <t>Chocó: Política Pública
Guaviare: Planeación
Sucre: Gestión de Proyectos (Koica)
Caquetá:Articulación y gobernanza</t>
  </si>
  <si>
    <t>Cooperación Internacional</t>
  </si>
  <si>
    <t>Virtual</t>
  </si>
  <si>
    <t>Septiembre</t>
  </si>
  <si>
    <t>APC Colombia</t>
  </si>
  <si>
    <t>Antioquia</t>
  </si>
  <si>
    <t>Atlántico</t>
  </si>
  <si>
    <t>Bolivar</t>
  </si>
  <si>
    <t>Boyacá</t>
  </si>
  <si>
    <t>Caquetá</t>
  </si>
  <si>
    <t>Cesar</t>
  </si>
  <si>
    <t>Chocó</t>
  </si>
  <si>
    <t>Cundinamarca</t>
  </si>
  <si>
    <t>Guaviare</t>
  </si>
  <si>
    <t>Huila</t>
  </si>
  <si>
    <t>Magdalena</t>
  </si>
  <si>
    <t>Meta</t>
  </si>
  <si>
    <t>Quindío</t>
  </si>
  <si>
    <t>Santander</t>
  </si>
  <si>
    <t>Tolima</t>
  </si>
  <si>
    <t>Valle del Cauca</t>
  </si>
  <si>
    <t>DEPARTAMENTOS MAY</t>
  </si>
  <si>
    <t>Sin información</t>
  </si>
  <si>
    <t>Vichada</t>
  </si>
  <si>
    <t>ROL</t>
  </si>
  <si>
    <t>PARTICIPANTE</t>
  </si>
  <si>
    <t>PRESENTÓ BUENA PRÁCTICA</t>
  </si>
  <si>
    <t>CODIGO INTERVENCION</t>
  </si>
  <si>
    <t>FECHA INICIAL</t>
  </si>
  <si>
    <t>VALOR APORTE (USD)</t>
  </si>
  <si>
    <t>PAIS ACTOR</t>
  </si>
  <si>
    <t>SECTORES GOB</t>
  </si>
  <si>
    <t>Colombia</t>
  </si>
  <si>
    <t>Putumayo</t>
  </si>
  <si>
    <t>Cauca</t>
  </si>
  <si>
    <t>Casanare</t>
  </si>
  <si>
    <t>Guainía</t>
  </si>
  <si>
    <t>Venezuela</t>
  </si>
  <si>
    <t>Vaupés</t>
  </si>
  <si>
    <t>Vivienda Ciudad y Territorio</t>
  </si>
  <si>
    <t>Salud y Protección Social</t>
  </si>
  <si>
    <t>Educación Nacional</t>
  </si>
  <si>
    <t>Trabajo</t>
  </si>
  <si>
    <t>Comercio, Industria y Turismo</t>
  </si>
  <si>
    <t>Agricultura y Desarrollo Rural</t>
  </si>
  <si>
    <t>Interior</t>
  </si>
  <si>
    <t>Ambiente y Desarrollo Sostenible</t>
  </si>
  <si>
    <t>Presidencia de la República</t>
  </si>
  <si>
    <t>Ciencia, Tecnología e innovación</t>
  </si>
  <si>
    <t>Minas y Energía</t>
  </si>
  <si>
    <t>Cultura</t>
  </si>
  <si>
    <t>Inclusión Social y Reconciliación</t>
  </si>
  <si>
    <t>Corporaciones Autónomas Regionales y de Desarrollo Sostenible</t>
  </si>
  <si>
    <t>Justicia y del Derecho</t>
  </si>
  <si>
    <t>Organización Electoral</t>
  </si>
  <si>
    <t>Planeación</t>
  </si>
  <si>
    <t>Rama Judicial</t>
  </si>
  <si>
    <t>Hacienda y Crédito Público</t>
  </si>
  <si>
    <t>Transporte</t>
  </si>
  <si>
    <t>Protección Social</t>
  </si>
  <si>
    <t>Relaciones Exteriores</t>
  </si>
  <si>
    <t>Defensa Nacional</t>
  </si>
  <si>
    <t>Archipiélago de San Andrés, Providencia y Santa Catalina</t>
  </si>
  <si>
    <t>R-ML-16-11684</t>
  </si>
  <si>
    <t>Tecnologías de la Información y las Comunicaciones</t>
  </si>
  <si>
    <t>Nueva York</t>
  </si>
  <si>
    <t>R-AO-18-1209</t>
  </si>
  <si>
    <t>R-AO-20-1408</t>
  </si>
  <si>
    <t>R-AO-20-1410</t>
  </si>
  <si>
    <t>R-AO-20-1411</t>
  </si>
  <si>
    <t>R-AO-19-1512</t>
  </si>
  <si>
    <t>R-AO-19-1770</t>
  </si>
  <si>
    <t>R-AO-20-1821</t>
  </si>
  <si>
    <t>R-AO-21-2005</t>
  </si>
  <si>
    <t>R-AO-21-2490</t>
  </si>
  <si>
    <t>R-AO-21-2662</t>
  </si>
  <si>
    <t>R-AO-21-2671</t>
  </si>
  <si>
    <t>R-AO-21-2786</t>
  </si>
  <si>
    <t>R-AO-20-3005</t>
  </si>
  <si>
    <t>R-AO-21-3122</t>
  </si>
  <si>
    <t>R-AO-19-3450</t>
  </si>
  <si>
    <t>R-AO-21-3451</t>
  </si>
  <si>
    <t>R-AO-21-3455</t>
  </si>
  <si>
    <t>R-AO-22-3514</t>
  </si>
  <si>
    <t>R-FP-21-3701</t>
  </si>
  <si>
    <t>R-AO-22-3728</t>
  </si>
  <si>
    <t>R-AO-22-3738</t>
  </si>
  <si>
    <t>R-AO-21-3762</t>
  </si>
  <si>
    <t>R-AO-22-3854</t>
  </si>
  <si>
    <t>R-AO-22-3856</t>
  </si>
  <si>
    <t>R-AO-22-3861</t>
  </si>
  <si>
    <t>Rama Legislativa</t>
  </si>
  <si>
    <t>R-AO-22-3936</t>
  </si>
  <si>
    <t>R-AO-22-3951</t>
  </si>
  <si>
    <t>R-AO-22-3953</t>
  </si>
  <si>
    <t>R-AO-22-4006</t>
  </si>
  <si>
    <t>Igualdad y Equidad</t>
  </si>
  <si>
    <t>R-AO-22-4214</t>
  </si>
  <si>
    <t>R-AO-22-4218</t>
  </si>
  <si>
    <t>R-AO-22-4240</t>
  </si>
  <si>
    <t>R-AO-22-4262</t>
  </si>
  <si>
    <t>R-AO-22-4279</t>
  </si>
  <si>
    <t>R-AO-22-4284</t>
  </si>
  <si>
    <t>R-AO-23-4298</t>
  </si>
  <si>
    <t>R-AO-23-4301</t>
  </si>
  <si>
    <t>R-AO-22-4311</t>
  </si>
  <si>
    <t>R-FP-22-4323</t>
  </si>
  <si>
    <t>R-AO-22-4333</t>
  </si>
  <si>
    <t>R-FP-22-4341</t>
  </si>
  <si>
    <t>R-AO-22-4350</t>
  </si>
  <si>
    <t>R-AO-23-4354</t>
  </si>
  <si>
    <t>R-AO-22-4359</t>
  </si>
  <si>
    <t>R-AO-22-4372</t>
  </si>
  <si>
    <t>R-AO-23-4373</t>
  </si>
  <si>
    <t>R-AO-23-4400</t>
  </si>
  <si>
    <t>R-AO-22-4403</t>
  </si>
  <si>
    <t>R-AO-22-4411</t>
  </si>
  <si>
    <t>R-AO-22-4430</t>
  </si>
  <si>
    <t>R-AO-23-4445</t>
  </si>
  <si>
    <t>R-AO-23-4454</t>
  </si>
  <si>
    <t>R-AO-23-4461</t>
  </si>
  <si>
    <t>R-FP-23-4471</t>
  </si>
  <si>
    <t>R-FP-23-4475</t>
  </si>
  <si>
    <t>R-AO-23-4474</t>
  </si>
  <si>
    <t>R-AO-23-4494</t>
  </si>
  <si>
    <t>R-AO-23-4497</t>
  </si>
  <si>
    <t>R-AO-22-4498</t>
  </si>
  <si>
    <t>R-FP-23-4523</t>
  </si>
  <si>
    <t>R-FP-23-4548</t>
  </si>
  <si>
    <t>R-AO-23-4557</t>
  </si>
  <si>
    <t>R-AO-23-4563</t>
  </si>
  <si>
    <t>R-AO-23-4629</t>
  </si>
  <si>
    <t>R-AO-23-4646</t>
  </si>
  <si>
    <t>R-AO-22-4647</t>
  </si>
  <si>
    <t>R-AO-22-4704</t>
  </si>
  <si>
    <t>R-AO-22-4708</t>
  </si>
  <si>
    <t>R-AO-23-4735</t>
  </si>
  <si>
    <t>R-FP-22-4844</t>
  </si>
  <si>
    <t>R-AO-22-4860</t>
  </si>
  <si>
    <t>R-AO-23-4900</t>
  </si>
  <si>
    <t>R-AO-23-4951</t>
  </si>
  <si>
    <t>R-AO-23-4978</t>
  </si>
  <si>
    <t>R-FP-23-5006</t>
  </si>
  <si>
    <t>R-FP-23-5008</t>
  </si>
  <si>
    <t>R-AO-23-5085</t>
  </si>
  <si>
    <t>R-FP-23-5102</t>
  </si>
  <si>
    <t>R-AO-23-5113</t>
  </si>
  <si>
    <t>R-AO-23-5115</t>
  </si>
  <si>
    <t>R-AO-23-5136</t>
  </si>
  <si>
    <t>R-FP-23-5138</t>
  </si>
  <si>
    <t>R-AO-23-5144</t>
  </si>
  <si>
    <t>R-AO-23-5147</t>
  </si>
  <si>
    <t>R-AO-23-5148</t>
  </si>
  <si>
    <t>R-AO-23-5156</t>
  </si>
  <si>
    <t>R-AO-23-5172</t>
  </si>
  <si>
    <t>R-AO-23-5187</t>
  </si>
  <si>
    <t>R-AO-23-5201</t>
  </si>
  <si>
    <t>R-FP-23-5207</t>
  </si>
  <si>
    <t>R-AO-23-5210</t>
  </si>
  <si>
    <t>R-AO-23-5214</t>
  </si>
  <si>
    <t>R-AO-23-5217</t>
  </si>
  <si>
    <t>R-AO-24-5237</t>
  </si>
  <si>
    <t>R-AO-23-5240</t>
  </si>
  <si>
    <t>R-FP-24-5248</t>
  </si>
  <si>
    <t>R-AO-23-5249</t>
  </si>
  <si>
    <t>R-AO-23-5250</t>
  </si>
  <si>
    <t>R-AO-23-5253</t>
  </si>
  <si>
    <t>R-AO-24-5254</t>
  </si>
  <si>
    <t>R-AO-23-5256</t>
  </si>
  <si>
    <t>R-AO-23-5257</t>
  </si>
  <si>
    <t>R-AO-24-5258</t>
  </si>
  <si>
    <t>R-AO-25-5259</t>
  </si>
  <si>
    <t>R-AO-23-5263</t>
  </si>
  <si>
    <t>R-AO-24-5265</t>
  </si>
  <si>
    <t>R-AO-22-5268</t>
  </si>
  <si>
    <t>R-AO-23-5271</t>
  </si>
  <si>
    <t>R-AO-24-5278</t>
  </si>
  <si>
    <t>R-FP-21-5289</t>
  </si>
  <si>
    <t>R-AO-23-5291</t>
  </si>
  <si>
    <t>R-AO-24-5292</t>
  </si>
  <si>
    <t>R-AO-23-5321</t>
  </si>
  <si>
    <t>R-AO-24-5329</t>
  </si>
  <si>
    <t>R-AO-23-5338</t>
  </si>
  <si>
    <t>R-FP-24-5345</t>
  </si>
  <si>
    <t>R-AO-23-5346</t>
  </si>
  <si>
    <t>R-AO-23-5348</t>
  </si>
  <si>
    <t>R-AO-22-5363</t>
  </si>
  <si>
    <t>R-AO-24-5367</t>
  </si>
  <si>
    <t>R-AO-22-5385</t>
  </si>
  <si>
    <t>R-AO-23-5388</t>
  </si>
  <si>
    <t>R-AO-23-5422</t>
  </si>
  <si>
    <t>R-AO-24-5424</t>
  </si>
  <si>
    <t>R-AO-23-5435</t>
  </si>
  <si>
    <t>R-AO-24-5446</t>
  </si>
  <si>
    <t>R-AO-24-5447</t>
  </si>
  <si>
    <t>R-AO-23-5469</t>
  </si>
  <si>
    <t>R-AO-22-5491</t>
  </si>
  <si>
    <t>R-AO-23-5495</t>
  </si>
  <si>
    <t>R-AO-23-5512</t>
  </si>
  <si>
    <t>R-AO-23-5516</t>
  </si>
  <si>
    <t>R-AO-24-5519</t>
  </si>
  <si>
    <t>R-AO-24-5520</t>
  </si>
  <si>
    <t>R-AO-23-5521</t>
  </si>
  <si>
    <t>R-FP-23-5523</t>
  </si>
  <si>
    <t>R-FP-23-5524</t>
  </si>
  <si>
    <t>R-AO-24-5527</t>
  </si>
  <si>
    <t>R-AO-24-5529</t>
  </si>
  <si>
    <t>R-AO-23-5530</t>
  </si>
  <si>
    <t>R-AO-23-5533</t>
  </si>
  <si>
    <t>R-AO-24-5534</t>
  </si>
  <si>
    <t>R-AO-22-5536</t>
  </si>
  <si>
    <t>R-AO-24-5539</t>
  </si>
  <si>
    <t>R-AO-24-5546</t>
  </si>
  <si>
    <t>R-AO-22-5562</t>
  </si>
  <si>
    <t>R-AO-24-5564</t>
  </si>
  <si>
    <t>R-AO-24-5568</t>
  </si>
  <si>
    <t>R-AO-24-5572</t>
  </si>
  <si>
    <t>R-AO-24-5587</t>
  </si>
  <si>
    <t>R-AO-24-5599</t>
  </si>
  <si>
    <t>R-AO-23-5614</t>
  </si>
  <si>
    <t>R-AO-22-5623</t>
  </si>
  <si>
    <t>R-AO-16-5631</t>
  </si>
  <si>
    <t>R-AO-22-5712</t>
  </si>
  <si>
    <t>R-AO-24-5716</t>
  </si>
  <si>
    <t>R-AO-22-5717</t>
  </si>
  <si>
    <t>R-FP-24-5739</t>
  </si>
  <si>
    <t>R-AO-20-5748</t>
  </si>
  <si>
    <t>R-AO-23-5768</t>
  </si>
  <si>
    <t>R-AO-23-5812</t>
  </si>
  <si>
    <t>R-AO-23-5819</t>
  </si>
  <si>
    <t>R-AO-23-5829</t>
  </si>
  <si>
    <t>R-AO-24-5839</t>
  </si>
  <si>
    <t>R-AO-24-5841</t>
  </si>
  <si>
    <t>R-AO-24-5843</t>
  </si>
  <si>
    <t>R-AO-24-5847</t>
  </si>
  <si>
    <t>R-AO-23-5859</t>
  </si>
  <si>
    <t>R-AO-23-5861</t>
  </si>
  <si>
    <t>R-AO-24-5860</t>
  </si>
  <si>
    <t>R-AO-25-5863</t>
  </si>
  <si>
    <t>R-AO-23-5874</t>
  </si>
  <si>
    <t>R-AO-23-5875</t>
  </si>
  <si>
    <t>R-AO-23-5909</t>
  </si>
  <si>
    <t>R-AO-24-5913</t>
  </si>
  <si>
    <t>R-AO-23-5915</t>
  </si>
  <si>
    <t>R-AO-23-5917</t>
  </si>
  <si>
    <t>R-AO-23-5918</t>
  </si>
  <si>
    <t>R-AO-24-5929</t>
  </si>
  <si>
    <t>R-FP-24-5933</t>
  </si>
  <si>
    <t>R-FP-24-5956</t>
  </si>
  <si>
    <t>R-AO-24-5974</t>
  </si>
  <si>
    <t>R-FP-24-5976</t>
  </si>
  <si>
    <t>R-AO-23-5981</t>
  </si>
  <si>
    <t>R-FP-24-5987</t>
  </si>
  <si>
    <t>R-AO-24-6006</t>
  </si>
  <si>
    <t>R-AO-24-6007</t>
  </si>
  <si>
    <t>R-AO-24-6008</t>
  </si>
  <si>
    <t>R-FP-24-6013</t>
  </si>
  <si>
    <t>R-AO-24-6031</t>
  </si>
  <si>
    <t>R-AO-22-6034</t>
  </si>
  <si>
    <t>R-AO-24-6035</t>
  </si>
  <si>
    <t>R-AO-24-6041</t>
  </si>
  <si>
    <t>R-AO-25-6044</t>
  </si>
  <si>
    <t>R-AO-24-6046</t>
  </si>
  <si>
    <t>R-AO-24-6048</t>
  </si>
  <si>
    <t>R-AO-24-6049</t>
  </si>
  <si>
    <t>R-AO-24-6050</t>
  </si>
  <si>
    <t>R-AO-25-6051</t>
  </si>
  <si>
    <t>R-AO-24-6062</t>
  </si>
  <si>
    <t>R-AO-25-6063</t>
  </si>
  <si>
    <t>R-AO-21-6065</t>
  </si>
  <si>
    <t>R-AO-24-6073</t>
  </si>
  <si>
    <t>R-AO-24-6075</t>
  </si>
  <si>
    <t>R-AO-24-6077</t>
  </si>
  <si>
    <t>R-AO-24-6079</t>
  </si>
  <si>
    <t>R-AO-25-6080</t>
  </si>
  <si>
    <t>R-AO-24-6083</t>
  </si>
  <si>
    <t>R-AO-24-6085</t>
  </si>
  <si>
    <t>R-AO-24-6086</t>
  </si>
  <si>
    <t>R-AO-24-6088</t>
  </si>
  <si>
    <t>R-AO-24-6089</t>
  </si>
  <si>
    <t>R-AO-24-6090</t>
  </si>
  <si>
    <t>R-AO-23-6092</t>
  </si>
  <si>
    <t>R-AO-24-6094</t>
  </si>
  <si>
    <t>R-AO-24-6099</t>
  </si>
  <si>
    <t>R-AO-24-6108</t>
  </si>
  <si>
    <t>R-AO-24-6109</t>
  </si>
  <si>
    <t>R-AO-24-6123</t>
  </si>
  <si>
    <t>R-AO-24-6125</t>
  </si>
  <si>
    <t>R-AO-24-6128</t>
  </si>
  <si>
    <t>R-AO-24-6129</t>
  </si>
  <si>
    <t>R-AO-21-6131</t>
  </si>
  <si>
    <t>R-AO-24-6132</t>
  </si>
  <si>
    <t>R-AO-25-6137</t>
  </si>
  <si>
    <t>R-AO-24-6138</t>
  </si>
  <si>
    <t>R-AO-21-6141</t>
  </si>
  <si>
    <t>R-AO-25-6149</t>
  </si>
  <si>
    <t>R-AO-24-6148</t>
  </si>
  <si>
    <t>R-AO-25-6150</t>
  </si>
  <si>
    <t>R-AO-24-6156</t>
  </si>
  <si>
    <t>R-AO-24-6157</t>
  </si>
  <si>
    <t>R-AO-24-6158</t>
  </si>
  <si>
    <t>R-FP-24-6159</t>
  </si>
  <si>
    <t>R-AO-24-6160</t>
  </si>
  <si>
    <t>R-AO-24-6165</t>
  </si>
  <si>
    <t>R-AO-25-6166</t>
  </si>
  <si>
    <t>R-AO-25-6169</t>
  </si>
  <si>
    <t>R-AO-25-6171</t>
  </si>
  <si>
    <t>R-AO-24-6172</t>
  </si>
  <si>
    <t>R-AO-24-6173</t>
  </si>
  <si>
    <t>R-AO-24-6180</t>
  </si>
  <si>
    <t>R-AO-25-6182</t>
  </si>
  <si>
    <t>R-AO-24-6181</t>
  </si>
  <si>
    <t>R-AO-25-6183</t>
  </si>
  <si>
    <t>R-AO-24-6185</t>
  </si>
  <si>
    <t>R-AO-24-6186</t>
  </si>
  <si>
    <t>R-AO-25-6190</t>
  </si>
  <si>
    <t>R-AO-24-6196</t>
  </si>
  <si>
    <t>R-AO-24-6199</t>
  </si>
  <si>
    <t>R-AO-21-6203</t>
  </si>
  <si>
    <t>R-AO-24-6212</t>
  </si>
  <si>
    <t>R-AO-25-6213</t>
  </si>
  <si>
    <t>R-AO-24-6215</t>
  </si>
  <si>
    <t>R-AO-24-6217</t>
  </si>
  <si>
    <t>R-AO-24-6222</t>
  </si>
  <si>
    <t>R-AO-24-6223</t>
  </si>
  <si>
    <t>R-AO-24-6232</t>
  </si>
  <si>
    <t>R-AO-24-6234</t>
  </si>
  <si>
    <t>R-AO-24-6247</t>
  </si>
  <si>
    <t>R-AO-24-6248</t>
  </si>
  <si>
    <t>R-AO-24-6256</t>
  </si>
  <si>
    <t>R-AO-24-6263</t>
  </si>
  <si>
    <t>R-AO-24-6264</t>
  </si>
  <si>
    <t>R-AO-22-6274</t>
  </si>
  <si>
    <t>R-AO-23-6276</t>
  </si>
  <si>
    <t>R-AO-24-6289</t>
  </si>
  <si>
    <t>R-AO-25-6298</t>
  </si>
  <si>
    <t>R-AO-24-6297</t>
  </si>
  <si>
    <t>R-AO-25-6299</t>
  </si>
  <si>
    <t>R-AO-24-6303</t>
  </si>
  <si>
    <t>R-AO-25-6307</t>
  </si>
  <si>
    <t>R-AO-24-6310</t>
  </si>
  <si>
    <t>R-AO-24-6313</t>
  </si>
  <si>
    <t>R-AO-24-6314</t>
  </si>
  <si>
    <t>R-AO-24-6321</t>
  </si>
  <si>
    <t>R-AO-24-6320</t>
  </si>
  <si>
    <t>R-AO-24-6318</t>
  </si>
  <si>
    <t>R-AO-23-6322</t>
  </si>
  <si>
    <t>R-AO-24-6325</t>
  </si>
  <si>
    <t>R-AO-23-6324</t>
  </si>
  <si>
    <t>R-AO-24-6331</t>
  </si>
  <si>
    <t>R-AO-22-6333</t>
  </si>
  <si>
    <t>R-AO-24-6334</t>
  </si>
  <si>
    <t>R-AO-24-6339</t>
  </si>
  <si>
    <t>R-AO-24-6340</t>
  </si>
  <si>
    <t>R-AO-24-6341</t>
  </si>
  <si>
    <t>R-AO-24-6342</t>
  </si>
  <si>
    <t>R-AO-24-6343</t>
  </si>
  <si>
    <t>R-AO-24-6344</t>
  </si>
  <si>
    <t>R-AO-24-6347</t>
  </si>
  <si>
    <t>R-AO-24-6348</t>
  </si>
  <si>
    <t>R-AO-24-6349</t>
  </si>
  <si>
    <t>R-AO-24-6350</t>
  </si>
  <si>
    <t>R-AO-23-6363</t>
  </si>
  <si>
    <t>R-AO-24-6369</t>
  </si>
  <si>
    <t>R-AO-24-6372</t>
  </si>
  <si>
    <t>R-AO-23-6374</t>
  </si>
  <si>
    <t>R-AO-24-6375</t>
  </si>
  <si>
    <t>R-AO-24-6377</t>
  </si>
  <si>
    <t>R-AO-24-6384</t>
  </si>
  <si>
    <t>R-AO-25-6386</t>
  </si>
  <si>
    <t>R-AO-24-6387</t>
  </si>
  <si>
    <t>R-AO-24-6389</t>
  </si>
  <si>
    <t>R-AO-24-6394</t>
  </si>
  <si>
    <t>R-AO-24-6395</t>
  </si>
  <si>
    <t>R-AO-25-6396</t>
  </si>
  <si>
    <t>R-AO-24-6401</t>
  </si>
  <si>
    <t>R-AO-23-6413</t>
  </si>
  <si>
    <t>R-AO-24-6415</t>
  </si>
  <si>
    <t>R-AO-24-6416</t>
  </si>
  <si>
    <t>R-AO-24-6417</t>
  </si>
  <si>
    <t>R-AO-24-6419</t>
  </si>
  <si>
    <t>R-AO-25-6420</t>
  </si>
  <si>
    <t>R-AO-23-6422</t>
  </si>
  <si>
    <t>R-AO-23-6428</t>
  </si>
  <si>
    <t>R-AO-24-6439</t>
  </si>
  <si>
    <t>R-AO-23-6442</t>
  </si>
  <si>
    <t>R-AO-24-6445</t>
  </si>
  <si>
    <t>R-AO-24-6446</t>
  </si>
  <si>
    <t>R-AO-24-6447</t>
  </si>
  <si>
    <t>R-AO-24-6448</t>
  </si>
  <si>
    <t>R-AO-19-6451</t>
  </si>
  <si>
    <t>R-AO-25-6452</t>
  </si>
  <si>
    <t>R-AO-25-6453</t>
  </si>
  <si>
    <t>R-AO-25-6455</t>
  </si>
  <si>
    <t>R-AO-24-6458</t>
  </si>
  <si>
    <t>R-AO-24-6461</t>
  </si>
  <si>
    <t>R-AO-19-6465</t>
  </si>
  <si>
    <t>R-AO-24-6463</t>
  </si>
  <si>
    <t>R-AO-24-6470</t>
  </si>
  <si>
    <t>R-AO-24-6473</t>
  </si>
  <si>
    <t>R-AO-21-6483</t>
  </si>
  <si>
    <t>R-AO-25-6500</t>
  </si>
  <si>
    <t>R-AO-23-6524</t>
  </si>
  <si>
    <t>R-AO-24-6530</t>
  </si>
  <si>
    <t>R-AO-24-6538</t>
  </si>
  <si>
    <t>R-AO-24-6541</t>
  </si>
  <si>
    <t>R-AO-23-6546</t>
  </si>
  <si>
    <t>R-AO-24-6564</t>
  </si>
  <si>
    <t>R-AO-23-6572</t>
  </si>
  <si>
    <t>R-AO-24-6576</t>
  </si>
  <si>
    <t>R-AO-24-6593</t>
  </si>
  <si>
    <t>R-AO-24-6592</t>
  </si>
  <si>
    <t>R-AO-24-6598</t>
  </si>
  <si>
    <t>R-AO-24-6599</t>
  </si>
  <si>
    <t>R-AO-24-6604</t>
  </si>
  <si>
    <t>R-AO-24-6605</t>
  </si>
  <si>
    <t>R-AO-24-6612</t>
  </si>
  <si>
    <t>R-AO-23-6601</t>
  </si>
  <si>
    <t>R-AO-24-6633</t>
  </si>
  <si>
    <t>R-AO-24-6639</t>
  </si>
  <si>
    <t>R-AO-23-6641</t>
  </si>
  <si>
    <t>R-AO-24-6644</t>
  </si>
  <si>
    <t>R-AO-24-6645</t>
  </si>
  <si>
    <t>R-AO-24-6651</t>
  </si>
  <si>
    <t>R-AO-23-6659</t>
  </si>
  <si>
    <t>R-AO-24-6660</t>
  </si>
  <si>
    <t>R-AO-24-6658</t>
  </si>
  <si>
    <t>R-AO-24-6664</t>
  </si>
  <si>
    <t>R-AO-24-6666</t>
  </si>
  <si>
    <t>R-AO-24-6672</t>
  </si>
  <si>
    <t>R-AO-23-6668</t>
  </si>
  <si>
    <t>R-AO-24-6667</t>
  </si>
  <si>
    <t>R-AO-24-6681</t>
  </si>
  <si>
    <t>R-AO-24-6689</t>
  </si>
  <si>
    <t>R-AO-24-6710</t>
  </si>
  <si>
    <t>R-AO-24-6714</t>
  </si>
  <si>
    <t>R-AO-24-6722</t>
  </si>
  <si>
    <t>R-AO-24-6723</t>
  </si>
  <si>
    <t>R-AO-24-6729</t>
  </si>
  <si>
    <t>R-AO-24-6730</t>
  </si>
  <si>
    <t>R-AO-24-6740</t>
  </si>
  <si>
    <t>R-AO-24-6748</t>
  </si>
  <si>
    <t>R-AO-24-6752</t>
  </si>
  <si>
    <t>R-AO-24-6753</t>
  </si>
  <si>
    <t>R-AO-24-6766</t>
  </si>
  <si>
    <t>R-AO-24-6775</t>
  </si>
  <si>
    <t>R-AO-25-6778</t>
  </si>
  <si>
    <t>R-AO-25-6783</t>
  </si>
  <si>
    <t>R-AO-24-6785</t>
  </si>
  <si>
    <t>R-AO-25-6786</t>
  </si>
  <si>
    <t>R-AO-24-6788</t>
  </si>
  <si>
    <t>R-AO-24-6789</t>
  </si>
  <si>
    <t>R-AO-25-6790</t>
  </si>
  <si>
    <t>R-AO-26-6791</t>
  </si>
  <si>
    <t>R-AO-24-6794</t>
  </si>
  <si>
    <t>R-AO-24-6795</t>
  </si>
  <si>
    <t>R-AO-24-6797</t>
  </si>
  <si>
    <t>R-AO-24-6798</t>
  </si>
  <si>
    <t>R-AO-25-6803</t>
  </si>
  <si>
    <t>R-AO-25-6805</t>
  </si>
  <si>
    <t>R-AO-25-6808</t>
  </si>
  <si>
    <t>R-AO-24-6810</t>
  </si>
  <si>
    <t>R-AO-23-6811</t>
  </si>
  <si>
    <t>R-AO-24-6818</t>
  </si>
  <si>
    <t>R-AO-24-6822</t>
  </si>
  <si>
    <t>R-AO-25-6824</t>
  </si>
  <si>
    <t>R-AO-25-6827</t>
  </si>
  <si>
    <t>R-AO-24-6828</t>
  </si>
  <si>
    <t>R-AO-25-6829</t>
  </si>
  <si>
    <t>R-AO-24-6833</t>
  </si>
  <si>
    <t>R-AO-25-6840</t>
  </si>
  <si>
    <t>R-AO-25-6842</t>
  </si>
  <si>
    <t>R-AO-24-6846</t>
  </si>
  <si>
    <t>R-AO-25-6847</t>
  </si>
  <si>
    <t>R-AO-25-6848</t>
  </si>
  <si>
    <t>R-AO-25-6849</t>
  </si>
  <si>
    <t>R-AO-24-6851</t>
  </si>
  <si>
    <t>R-AO-25-6852</t>
  </si>
  <si>
    <t>R-AO-24-6853</t>
  </si>
  <si>
    <t>R-AO-25-6854</t>
  </si>
  <si>
    <t>R-AO-25-6856</t>
  </si>
  <si>
    <t>R-AO-25-6858</t>
  </si>
  <si>
    <t>R-AO-22-6865</t>
  </si>
  <si>
    <t>R-AO-25-6866</t>
  </si>
  <si>
    <t>R-AO-25-6868</t>
  </si>
  <si>
    <t>Etiquetas de fila</t>
  </si>
  <si>
    <t>Total general</t>
  </si>
  <si>
    <t xml:space="preserve">COOPERANTE </t>
  </si>
  <si>
    <t>Suma de VALOR APORTE (USD)</t>
  </si>
  <si>
    <t>Valor estimativo de inversión de cooperación internacional (Valor aporte en USD)</t>
  </si>
  <si>
    <t>MUNICIPIOS INTERVENIDOS</t>
  </si>
  <si>
    <t>NOMBRE ACTOR FINANCIADOR</t>
  </si>
  <si>
    <t>NOMBRE DE ACTOR IMPLEMENTADOR</t>
  </si>
  <si>
    <t>MONTO DEL PROYECTO</t>
  </si>
  <si>
    <t>ODS ASOCIADO</t>
  </si>
  <si>
    <t>Banca Multilateral</t>
  </si>
  <si>
    <t>SIN ALINEAR</t>
  </si>
  <si>
    <t>Multilateral</t>
  </si>
  <si>
    <t>Donante</t>
  </si>
  <si>
    <t>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t>
  </si>
  <si>
    <t>BANCO INTERAMERICANO DE DESARROLLO - BID</t>
  </si>
  <si>
    <t>Empresas</t>
  </si>
  <si>
    <t>ESAL</t>
  </si>
  <si>
    <t>R-AO-22-3829</t>
  </si>
  <si>
    <t>Sistemas Silvopastoriles Multipropósito y Ganadería Familiar en Perú y Colombia</t>
  </si>
  <si>
    <t>Mejorar  la  productividad  ganadera  familiar  en Perú y Colombia mediante la implementación de sistemas silvopastoriles  multipropósito  de  validada  sostenibilidad ambiental</t>
  </si>
  <si>
    <t>Alvarado</t>
  </si>
  <si>
    <t>FONDO REGIONAL DE TECNOLOGIA AGROPECUARIA - FONTAGRO</t>
  </si>
  <si>
    <t>Colombia/Centro Oriente/Bogotá D.C./Bogotá D.C.</t>
  </si>
  <si>
    <t>Piedras</t>
  </si>
  <si>
    <t>Purificación</t>
  </si>
  <si>
    <t>Colombia/Pacífico/Valle del Cauca</t>
  </si>
  <si>
    <t>ASOPATIA CORPONARIÑO</t>
  </si>
  <si>
    <t xml:space="preserve">BAVARIA </t>
  </si>
  <si>
    <t>CORPORACIÓN PARA EL DESARROLLO DEL CAUCA - CORPOCAUCA</t>
  </si>
  <si>
    <t>CORTOLIMA</t>
  </si>
  <si>
    <t>FUNDACIÒN ALIANZA BIOCUENCA</t>
  </si>
  <si>
    <t>FUNDACIÓN BAVARIA</t>
  </si>
  <si>
    <t>2. Contribuir a la lucha contra el hambre y la atención humanitaria a la poblacion</t>
  </si>
  <si>
    <t>R-AO-22-4425</t>
  </si>
  <si>
    <t xml:space="preserve">#Sin Etiquetas: Transformando el ecosistema de salud para la  atención de las personas trans (Fase III)  - BOG-MRF-2022-03 Actividad #4000006148 </t>
  </si>
  <si>
    <t xml:space="preserve">Contribuir a la promoción y garantía de la salud de las personas Trans en Colombia mediante la mejora de condiciones
normativas y políticas, así como impulsando cambios positivos 
entre los actores de salud, de la academia y comunitarios. </t>
  </si>
  <si>
    <t>EMBAJADA DEL REINO DE LOS PAÍSES BAJOS EN COLOMBIA</t>
  </si>
  <si>
    <t>COLECTIVO DE ABOGADOS JOSÉ ALVEAR RESTREPO - CAJAR</t>
  </si>
  <si>
    <t>juventudes: el campo en movimiento</t>
  </si>
  <si>
    <t>Avanzar en la reconstrucción del tejido social en Colombia para tener una sociedad más pacífica, incluyente y reconciliada, mediante prácticas testeadas de pedagogía para la paz y empoderamiento de las y los jóvenes con enfoque de género.</t>
  </si>
  <si>
    <t xml:space="preserve"> Receptor</t>
  </si>
  <si>
    <t>Regional</t>
  </si>
  <si>
    <t>BANCO DE DESARROLLO DE AMÉRICA LATINA - CAF</t>
  </si>
  <si>
    <t>FEDERACIÓN NACIONAL DE CAFETEROS</t>
  </si>
  <si>
    <t>CORPORACIÓN CARIBE AFIRMATIVO</t>
  </si>
  <si>
    <t>R-AO-23-5211</t>
  </si>
  <si>
    <t>gobernanza en derechos humanos para proteger la vida e integridad en los territorios</t>
  </si>
  <si>
    <t>mejorar la implementación de programas y políticas para la protección de los derechos humanos y de la vida e integridad de comunidades y personas defensoras de derechos humanos</t>
  </si>
  <si>
    <t>Desarrollo y despliegue de un sistema de información para Organizaciones no gubernamentales internacionales y nacionales y sus proveedores con el objetivo de mejorar la eficacia, la eficiencia y la rendición de cuentas de los procesos logísticos humanitarios en Colombia. -  ECHO/HLP/BUD/2023/91006</t>
  </si>
  <si>
    <t>ASOCIACION DE USUARIOS DE LAS AGUAS SUPERFICIALES Y SUBTERRANEAS DE LA CUENCA DEL RIO BOLO - ASOBOLO</t>
  </si>
  <si>
    <t>Colombia/Pacífico/Valle del Cauca/Pradera</t>
  </si>
  <si>
    <t>ASOCIACIÓN DE USUARIOS DE LOS RIOS AMAIME Y NIMA - ASOAMAIME</t>
  </si>
  <si>
    <t>MANUELITA S.A</t>
  </si>
  <si>
    <t>RG &amp; CIA S.A.S</t>
  </si>
  <si>
    <t>4. Fortalecimiento institucional para la gestión de la cooperación internacional</t>
  </si>
  <si>
    <t>ASOCIACIÓN AGROPECUARIA ECOLOGICA SOSTENIBLE CATIVO</t>
  </si>
  <si>
    <t>Colombia/Eje Cafetero/Antioquia/Necoclí</t>
  </si>
  <si>
    <t>FUNDACIÓN GRUPO SOCIAL</t>
  </si>
  <si>
    <t>OCTUPUS FORCE MERCH AND TECHNOLOGY DEVELOPMENT CENTER</t>
  </si>
  <si>
    <t>EL PROYECTO ABORDA LA DISTRIBUCIÓN DESIGUAL DEL TRABAJO DE CUIDADOS REMUNERADO Y NO REUMERADO</t>
  </si>
  <si>
    <t>FUNDACIÓN SALDARRIAGA CONCHA</t>
  </si>
  <si>
    <t>SKN CARIBECAFE S.A.S</t>
  </si>
  <si>
    <t>CORPORACIÓN VIVAMOS HUMANOS</t>
  </si>
  <si>
    <t>CORPORACIÓN CENTRO DE PROMOCIÓN DEL DESARROLLO TERRITORIAL CEPRODET</t>
  </si>
  <si>
    <t>FEDERACIÓN NACIONAL DE FORMAS ASOCIATIVAS PARA LAS ECONOMÍAS SOCIALES DEL COMÚN - ECOMUN</t>
  </si>
  <si>
    <t>CORPORACIÓN INTERACTUAR</t>
  </si>
  <si>
    <t>Colombia/Eje Cafetero/Antioquia/Bello</t>
  </si>
  <si>
    <t>FUNDACIÓN LUKER</t>
  </si>
  <si>
    <t xml:space="preserve">SUCESORES DE JOSE JESUS RESTREPO Y CIA S.A - CASALUKER S.A - LUKER S.A </t>
  </si>
  <si>
    <t>COORDINADORA NACIONAL DE ORGANIZACIONES DE PERSONAS CON LIMITACIÓN VISUAL</t>
  </si>
  <si>
    <t>FONDO ACCIÓN</t>
  </si>
  <si>
    <t>ASOCIACIÓN PARA EL DESARROLLO CAMPESINO</t>
  </si>
  <si>
    <t>PROFAMILIA</t>
  </si>
  <si>
    <t>ACCIÓN CONTRA EL HAMBRE COLOMBIA</t>
  </si>
  <si>
    <t xml:space="preserve">ASOCIACION NACIONAL CACAOTERA DE COLOMBIA </t>
  </si>
  <si>
    <t xml:space="preserve">FUNDACION TECNALIA COLOMBIANA </t>
  </si>
  <si>
    <t>ASOCIACIÓN PARA LA PROMOCIÓN SOCIAL ALTERNATIVA - MINGA</t>
  </si>
  <si>
    <t>CORPORACIÓN JURÍDICA LIBERTAD</t>
  </si>
  <si>
    <t>2.2.De aquí a 2030, poner fin a todas las formas de malnutrición, incluso logrando, a más tardar en 2025, las metas convenidas internacionalmente sobre el retraso del crecimiento y la emaciación de los niños menores de 5 años, y abordar las necesidades de nutrición de las adolescentes, las mujeres embarazadas y lactantes y las personas de edad</t>
  </si>
  <si>
    <t>Colombia/Centro Sur/Huila/Neiva</t>
  </si>
  <si>
    <t>CÁMARA DE COMERCIO DE LA GUAJIRA</t>
  </si>
  <si>
    <t>CÁMARA DE COMERCIO DE MANIZALES POR CALDAS</t>
  </si>
  <si>
    <t>CÁMARA DE COMERCIO DE SANTA MARTA</t>
  </si>
  <si>
    <t>CO-T1715 Apoyo técnico para fortalecer la Estrategia de Inclusión Productiva del Departamento de Prosperidad Social - ATN/OC-21275-CO</t>
  </si>
  <si>
    <t>FUNDACION TERRAZUL CENTRO DE DESARROLLO TECNOLOGICO</t>
  </si>
  <si>
    <t>CO-T1765 Distritos de Ciencia, Tecnología e Innovación como motores de la productividad y el crecimiento de las ciudades colombianas - ATN/OC-21110-CO</t>
  </si>
  <si>
    <t>CENTRO DE FORMACIÓN Y EMPODERAMIENTO PARA LAS MUJERES_ AMBULUA</t>
  </si>
  <si>
    <t>R-AO-24-6423</t>
  </si>
  <si>
    <t>Fortalecimiento de la Competitividad de los Productores de Mango en Colombia y Perú a través del Aprovechamiento Integral del Fruto y Desarrollo de Nuevos Productos - ATN/RF-21037-RG</t>
  </si>
  <si>
    <t>El proyecto tiene como objetivo maximizar el uso del mango, incluyendo su cáscara, pulpa y semilla, para desarrollar nuevos productos y procesos sostenibles en Colombia y Perú.</t>
  </si>
  <si>
    <t>Coello</t>
  </si>
  <si>
    <t>Guamo</t>
  </si>
  <si>
    <t>Curazao</t>
  </si>
  <si>
    <t>MINISTERIO DE JUSTICIA</t>
  </si>
  <si>
    <t>FUNDACIÓN ALEMANA DE CAJAS DE AHORRO PARA LA COOPERACIÓN INTERNACIONAL</t>
  </si>
  <si>
    <t xml:space="preserve">Apoyo a la reforma rural integral en Colombia - ARRIC </t>
  </si>
  <si>
    <t>FUNDACIÓN INSTITUTO MAYOR CAMPESINO - IMCA</t>
  </si>
  <si>
    <t>FUNDACIÓN RENACER</t>
  </si>
  <si>
    <t>R-FP-25-6871</t>
  </si>
  <si>
    <t>Territorio y Justicia Socioambiental de las comunidades campesinas de ASOQUIMBO-NHRFCOLOMBIA -6878O</t>
  </si>
  <si>
    <t>Fortalecer el ejercicio efectivo e integral de los derechos de las comunidades campesinas de Asoquimbo, promoviendo su acceso a la tierra, su permanencia en el territorio, la defensa del ambiente y su derecho a la participación como sujetos de especial protección</t>
  </si>
  <si>
    <t>Agrado</t>
  </si>
  <si>
    <t>Altamira</t>
  </si>
  <si>
    <t>R-AO-25-6872</t>
  </si>
  <si>
    <t>Empoderar a jóvenes líderes y sus iniciativas de conservación del bosque tropical de Turbaco</t>
  </si>
  <si>
    <t>Establecer alianzas sostenibles entre el Jardín Botánico “Guillermo Piñeres” (JBGP) y seis instituciones educativas del municipio de Turbaco, mediante un proceso inicial de identificación, contacto y selección basado en criterios de disposición e interés institucional, que permita consolidar relaciones de colaboración a largo plazo en torno a la conservación del bosque seco tropical (BST).</t>
  </si>
  <si>
    <t>R-AO-25-6878</t>
  </si>
  <si>
    <t>Cooperación Técnica No Reembolsable  No ATN/PS-21561-CO Consolidación de las  Mejores Prácticas de Desarrollo Corporativo en el  Sector de Agua y Saneamiento en Colombia</t>
  </si>
  <si>
    <t>El objetivo general del Proyecto es contribuir al mejoramiento de la calidad y sostenibilidad de los servicios de agua y saneamiento urbanos mediante la consolidación 
de los resultados de desarrollo corporativo en el sector de agua y saneamiento de Colombia.</t>
  </si>
  <si>
    <t>R-AO-25-6880</t>
  </si>
  <si>
    <t>Nuevas Estrategías de Adaptación Ambíental para las ComuNidades y los Ecosístemas - NAANE - AID 013244/05/5</t>
  </si>
  <si>
    <t>romover la resiliencia climática y la conservación de la biodiversidad a través d e la gestión sostenible e inclusiva de la tierra en las comunidades indígenas y otras comunidades en el Departamento de Amazonas, en línea con los Objetivos de Desarrollo Sostenible 13.1 y 15.9.</t>
  </si>
  <si>
    <t>R-AO-25-6886</t>
  </si>
  <si>
    <t>Un Proceso de Paz Incluyente en Nariño - actividad N° 25-0000617</t>
  </si>
  <si>
    <t>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t>
  </si>
  <si>
    <t>R-AO-25-6888</t>
  </si>
  <si>
    <t>Apoyo humanitario al retorno seguro y digno de Amba Patato con garantías para su reintegración en el resguardo del que fue expulsada por la violencia</t>
  </si>
  <si>
    <t>proporcionar asistencia y protección humanitaria al retorno seguro y digno de la comunidad indígena embera Ambá Patato del municipio de Juradó.</t>
  </si>
  <si>
    <t>R-AO-25-6889</t>
  </si>
  <si>
    <t>Respuesta Humanitaria inmediata y de Protección a Víctimas del Conflicto  Armado y desplazamiento interno en los departamentos de Putumayo y Caquetá-CBPF-COL-24-S-NGO-33984</t>
  </si>
  <si>
    <t xml:space="preserve">Contribuir a la atención humanitaria inmediata coordinada con los ELCs, promoviendo la reducción de impactos negativos generados por el Conflicto armado interno y otras situaciones de violencia en las comunidades de los departamentos de Putumayo y Caquetá.
</t>
  </si>
  <si>
    <t>R-AO-25-6890</t>
  </si>
  <si>
    <t>42° Congreso de la Federación Internacional por los Derechos Humanos: contribuir a una transición hacia un mundo sostenible, derechos universales y sociedades justas</t>
  </si>
  <si>
    <t>Reforzar el trabajo del movimiento mundial de derechos humanos a favor de un mundo sostenible, derechos universales y sociedades justas.</t>
  </si>
  <si>
    <t>R-AO-25-6893</t>
  </si>
  <si>
    <t>Reducir riesgos de protección de jóvenes de Buenaventura en contextos de vulnerabilidad, fortaleciendo habilidades y promoviendo acceso a oportunidades laborales -  CBPF-COL-24-R-NGO-34477</t>
  </si>
  <si>
    <t>Reducir riesgos de protección de jóvenes de Buenaventura en contextos de vulnerabilidad, fortaleciendo habilidades y promoviendo acceso a oportunidades laborales.</t>
  </si>
  <si>
    <t>R-AO-25-6898</t>
  </si>
  <si>
    <t xml:space="preserve">Fortalecimiento de los Procesos Productivos Agricolas en el Departamento del Putumayo - GRT/IE-21547-CO / GRT/IE-21548-CO </t>
  </si>
  <si>
    <t>incrementar los ingresos de las comunidades productoras a través de mejores prácticas de producción y comercialización de caña, miel y pimienta en los municipios de Puerto Asís, Puerto Leguízamo y Valle del Guamuez en el departamento de Putumayo.</t>
  </si>
  <si>
    <t>FUNDACIÓN TECNI AGRO</t>
  </si>
  <si>
    <t>R-AO-24-6902</t>
  </si>
  <si>
    <t>Las mujeres afrodescendientes y defensoras de DDHH del Cauca lideran la cons-trucción de paz en de una sociedad más justa – Fase 2025</t>
  </si>
  <si>
    <t xml:space="preserve">Construir la paz y defender el derecho a una vida libre de discriminaciones y violencias </t>
  </si>
  <si>
    <t>R-AO-25-6903</t>
  </si>
  <si>
    <t>las mujeres lideran en emergencias - czz3620  - ADENDA 2025</t>
  </si>
  <si>
    <t>Aumentar la participación y el liderazgo de las organizaciones, colectivos y redes de mujeres (formales e informales) en el diseño e implementación de respuesta a crisis, en particular en la prevención y respuesta a conflicto, así como en la adaptación al cambio climático.</t>
  </si>
  <si>
    <t>R-AO-25-6904</t>
  </si>
  <si>
    <t>PROYECTO DE FORTALECIMIENTO DE LA  TRANSPARENCIA A TRAVÉS DEL AVANCE DEL  PORTAL ANTICORRUPCIÓN EN COLOMBIA</t>
  </si>
  <si>
    <t>A. Mejora de la calidad de los servicios administrativos mediante la vinculación de los sistemas de denuncia anticorrupción entre instituciones públicas para el fortalecimiento del ejercicio del control social y la veeduría ciudadana. B. Fortalecimiento de la capacidad de la Secretaría de Transparencia del  DAPRE en la gestión de denuncias, para contribuir a la lucha contra la corrupción.</t>
  </si>
  <si>
    <t>R-AO-25-6905</t>
  </si>
  <si>
    <t>Reducción del riesgo de artefactos explosivos y aumento de resiliencia comunitaria a través de la Acción Integral contra Minas Antipersonal (AICMA) – Convenio 01001365 – 01004468</t>
  </si>
  <si>
    <t>Comunidades afectadas en Sardinata, Norte de Santander, cuentan con las condiciones habilitantes para su
desarrollo y mejoran su capacidad de respuesta ante la presencia de artefactos explosivos y la violencia de género, particularmente dirigida a mujeres y población LGBTIQ+, después de la intervención de Acción Integral Contra Minas Antipersonal.</t>
  </si>
  <si>
    <t>R-AO-25-6907</t>
  </si>
  <si>
    <t>Prevención de Riesgos por Artefactos Explosivos y Acceso Seguro a la Tierra con Enfoque Diferencial en Tumaco, Nariño -  01001365 - 01004468</t>
  </si>
  <si>
    <t>Disminuir la amenaza y el riesgo de accidentes por Artefactos Explosivos (AE) bajo un enfoque diferencial de edad, género y diversidad (incluyendo etnia, discapacidad, orientación sexual etc.) que contribuya a la transformación del territorio y garantice el acceso seguro a la tierra en el municipio de Tumaco, Nariño.</t>
  </si>
  <si>
    <t>R-AO-22-6910</t>
  </si>
  <si>
    <t>Hacia la transición ecológica justa en los sectores minero energético y agrícola de los países andinos con énfasis en el trabajo decente - 2022/PCONV/000412</t>
  </si>
  <si>
    <t>Contribuir a que los sindicatos de la zona andina impulsen una transición ecológica en los sectores minero energético y agrícola, que integre estrategias  de mitigación y adaptación al cambio climático y que se realice de una forma justa para las trabajadoras/es y poblaciones</t>
  </si>
  <si>
    <t>CENTRAL UNITARIA DE TRABAJADORES DE COLOMBIA - CUT</t>
  </si>
  <si>
    <t>CORPORACIÓN AURY SARÁ MARRUGO</t>
  </si>
  <si>
    <t>R-AO-25-6911</t>
  </si>
  <si>
    <t>Impulso Colectivo: Acelerando la Paz Productiva - 01001365 – 01002882</t>
  </si>
  <si>
    <t>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t>
  </si>
  <si>
    <t>R-AO-25-6912</t>
  </si>
  <si>
    <t>Apoyo a la Construcción de Paz a través de actividades AICMA en Nariño, Zona 4 Barbacoas y San Andrés de Tumaco, resguardos de Kuejuambí, Feliciana, Santa Rosita y Hojal la Turbia - CONVENIO 01001365 – 01004468</t>
  </si>
  <si>
    <t>Disminuir el riesgo de accidentes por artefactos explosivos en los resguardos de Kuejuambí
Feliciana, Santa Rosita y Hojal la Turbia en la Zona 4 de Barbacoas y San Andrés de Tumaco, como acción humanitaria que contribuye al aumento de oportunidades de acceso a bienes y servicios de las comunidades.</t>
  </si>
  <si>
    <t>R-AO-24-6916</t>
  </si>
  <si>
    <t>Cacao Bio-Andino Fase 2 - CZZ 3483</t>
  </si>
  <si>
    <t>contribuir a la sostenibilidad, trazabilidad y comercialización del cacao ecológico de sabor fino producido por pequeños agricultores familiares en sistemas agroforestales de Colombia, Ecuador y Perú comercializado a través del comercio justo.</t>
  </si>
  <si>
    <t>R-AO-25-6917</t>
  </si>
  <si>
    <t>RESPUESTA DE PROTECCION INTEGRAL ANTE LA CRISIS HUMANITARIA PROVOCADA POR EL CONFLICTO ARMADO EN EL CHOCO, CON ENFOQUE DIFERENCIAL ETNICO Y DE GÉNERO</t>
  </si>
  <si>
    <t>Garantizar una respuesta rápida en la atención humanitaria a las comunidades étnicas, de manera digna, diferencial y culturalmente pertinente, mediante la coordinación de la acción institucional y fortalecimiento de capacidades de las organizaciones étnico- Territoriales.</t>
  </si>
  <si>
    <t>R-AO-24-6919</t>
  </si>
  <si>
    <t>RUTA PROSPERA: Promoviendo el desarrollo economico local y el empoderamiento de emprendimientos en poblaciones vulnerables de Medellin y municipios aledaños (Colombia)</t>
  </si>
  <si>
    <t>romover un modelo de desarrollo económico equitativo y sostenible. Apoyar el desarrollo económico local sostenible, acompañando los procesos productivos, los emprendimientos económicos y promoviendo la economía social y el comercio justo.</t>
  </si>
  <si>
    <t>R-AO-25-6920</t>
  </si>
  <si>
    <t>AICMA ACCION INTEGRAL PARA LA REDUCCION DE LA VIOLENCIA ARMADA EN LOS DEPARTAMENTOS DE ANTIOQUIA, CAUCA, CORDOBA Y NARIÑO -  FL-0001.526.038-3</t>
  </si>
  <si>
    <t>Mejorar la calidad de vida de las personas afectadas por la violencia armada, facilitando entornos más seguros, el acceso a los servicios básicos y el desarrollo socioeconómico en las comunidades más vulnerables de los departamentos de Antioquia, Cauca, Cordoba y Nariño, bajo un enfoque inclusivo.</t>
  </si>
  <si>
    <t>MEDICOR FOUNDATION</t>
  </si>
  <si>
    <t>Liechtenstein</t>
  </si>
  <si>
    <t>R-AO-25-6927</t>
  </si>
  <si>
    <t>Mecanismo de respuesta rápida a comunidades étnicas, afectadas por  emergencias masivas de confinamiento y/o desplazamiento forzado por  conflicto armado en el departamento del Chocó.  CBPF-COL-24-R-NGO-34539</t>
  </si>
  <si>
    <t>Reforzar la atención humanitaria inmediata a través de un mecanismo de respuesta rápida en las  comunidades étnicas, afectadas por confinamiento y desplazamiento con ocasión del conflicto armado en el departamento del Chocó</t>
  </si>
  <si>
    <t>CBPF - OCHA</t>
  </si>
  <si>
    <t>R-AO-24-6928</t>
  </si>
  <si>
    <t>WCS contra el tráfico de vida silvestre en América Latina - SINLEC24GR5309</t>
  </si>
  <si>
    <t>La Sociedad para la Conservación de la Vida Silvestre mejorará la legislación y la normativa para prevenir el tráfico de especies silvestres, mejorará la capacidad de las fuerzas del orden para disuadir, detectar, investigar, enjuiciar y juzgar los casos de tráfico de especies silvestres</t>
  </si>
  <si>
    <t>15.7.Tomar medidas urgentes para poner fin a la caza furtiva y el tráfico de especies protegidas de flora y fauna, y afrontar tanto la demanda como la oferta de productos ilegales silvestres.</t>
  </si>
  <si>
    <t>R-AO-25-6929</t>
  </si>
  <si>
    <t>Aporte a la reconciliación, la paz y el desarrollo de territorios seguros y sostenibles a través de la AICMA y sus enfoques transversales en el Municipio de Frontino, Antioquia - 01001365 – 01004468</t>
  </si>
  <si>
    <t xml:space="preserve">Promover la reconciliación y la paz en el municipio de Frontino, Antioquia, una de las zonas más afectadas por el conflicto social y  Armado y la contaminación por artefactos explosivos, mediante la AICMA y la implementación de TOAR bajo el principio de Acción
Sin Daño. </t>
  </si>
  <si>
    <t>R-AO-25-6931</t>
  </si>
  <si>
    <t>Conectadas y seguras: fortalecimiento de capacidades frente a las violencias de genero digitales en Bogota</t>
  </si>
  <si>
    <t>FORTALECER LAS CAPACIDADES INSTITUCIONALES Y COMUNITARIAS PARA
IDENTIFICAR, PREVENIR Y VISIBILIZAR LAS VIOLENCIAS DIGITALES DE GÉNERO
MEDIANTE PROCESOS DE FORMACIÓN, PRODUCCIÓN DE MATERIALES PEDAGÓGICOS.</t>
  </si>
  <si>
    <t>R-AO-25-6933</t>
  </si>
  <si>
    <t xml:space="preserve">ALIANZAS QUE TRANSFORMAN: IMPULSANDO LA  PARTICIPACIÓN DEL SECTOR EMPRESARIAL EN LA TRANSFORMACIÓN TERRITORIAL - 01004470 </t>
  </si>
  <si>
    <t>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t>
  </si>
  <si>
    <t>R-FP-25-6934</t>
  </si>
  <si>
    <t xml:space="preserve"> Conservacion; fortalecimiento de capacidades NCI</t>
  </si>
  <si>
    <t xml:space="preserve">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t>
  </si>
  <si>
    <t>R-AO-24-6935</t>
  </si>
  <si>
    <t>Horizontes Seguros: Alianza Andina para la Educación Resiliente ante Desastres - ECHO/-AM/BUD/2024/91009</t>
  </si>
  <si>
    <t xml:space="preserve">Contribuir a mejorar el acceso seguro e inclusivo a la educación para todos los niños y adolescentes en regiones propensas a desastres en Bolivia, Colombia y Perú, así como
la continuidad educativa durante y después de las emergencias.
</t>
  </si>
  <si>
    <t>R-AO-25-6938</t>
  </si>
  <si>
    <t>Juntas Somos Poderosas - Participación Política de las Mujeres por una de-mocracia feminista (Fase II)</t>
  </si>
  <si>
    <t>Impulsar procesos e iniciativas destinadas a asegurar la participación plena y el liderazgo activo y efectivo de las mujeres y la igualdad de oportunidades en los niveles decisorios de la esfera política, social y cultural.</t>
  </si>
  <si>
    <t>R-FP-25-6942</t>
  </si>
  <si>
    <t>Colombia: Apoyo al proceso de paz mediante elecciones de Circunscripciones Transitorias Especiales de Paz</t>
  </si>
  <si>
    <t>Fortalecer la capacidad de la ciudadanía y las y los candidatos para participar pacíficamente en las elecciones y los procesos políticos de las CITREP.</t>
  </si>
  <si>
    <t>R-AO-24-6943</t>
  </si>
  <si>
    <t>Armonización de las acciones de atención humanitaria y de protección a la población migrante y local en la frontera del Darién</t>
  </si>
  <si>
    <t>Atender las necesidades humanitarias y de protección asociadas a la
crisis migratoria en el Darién</t>
  </si>
  <si>
    <t>R-AO-25-6945</t>
  </si>
  <si>
    <t>SHARP - FORTALECIMIENTO DE LA RESPUESTA Y LA PROTECCION DE LA ACCION HUMANITARIA EN SITUACIONES DE DESPLAZAMIENTO - ECHO/-AM/BUD/2023/91007</t>
  </si>
  <si>
    <t>R-AO-25-6946</t>
  </si>
  <si>
    <t>Promoción de la restitución de derechos territoriales para fortalecer la gobernanza y la sostenibilidad ambiental en comunidades étnicas – Convenio 01001365 – 01002881</t>
  </si>
  <si>
    <t>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t>
  </si>
  <si>
    <t>Barrancominas</t>
  </si>
  <si>
    <t>La Guadalupe</t>
  </si>
  <si>
    <t>Pana Pana</t>
  </si>
  <si>
    <t>San Felipe</t>
  </si>
  <si>
    <t>R-AO-25-6949</t>
  </si>
  <si>
    <t>INSO Haiti + Colombia -  ECHO/-AM/BUD/2025/91031</t>
  </si>
  <si>
    <t>Mejorar la seguridad del personal humanitario y fortalecer el acceso humanitario en contextos de riesgo.</t>
  </si>
  <si>
    <t>R-AO-25-6951</t>
  </si>
  <si>
    <t>REDD EARLY MOVERS COLOMBIA  VISION AMAZONIA II - Adenda</t>
  </si>
  <si>
    <t>R-AO-25-6952</t>
  </si>
  <si>
    <t>FAO - Construyendo las capacidades subregionales para la implementación de la Hoja de Ruta de la Meta 2 para la planificación, el monitoreo y la presentación de informes sobre la restauración efectiva de los ecosistemas /  Building sub-regional capacity to deliver the Target 2 Roadmap for planning, monitoring and reporting on effective ecosystem restoration - Accelerating Innovative Monitoring for Nature Restoration (AIM4NatuRe) uNJP/GLO/795/UNJ-Baby09</t>
  </si>
  <si>
    <t>Desarrollar la capacidad subregional para cumplir la Hoja de ruta de la Meta 2 para la planificación, el seguimiento y la presentación de informes sobre la restauración eficaz de los ecosistemas, en consonancia con el Marco Mundial de Kunming-Montreal para la Diversidad Biológica (KMGBF) y el Decenio de las Naciones Unidas para la Restauración de los Ecosistemas.</t>
  </si>
  <si>
    <t>DEPARTAMENTO DE SEGURIDAD ENERGÉTICA Y CERO NETO - DEPARTMENT FOR ENERGY SECURITY AND NET ZERO (DESNZ)</t>
  </si>
  <si>
    <t>R-AO-25-6954</t>
  </si>
  <si>
    <t>FAO - Restauración participativa para mejorar la prestación de servicios ecosistémicos y la conectividad a escala paisajística en Colombia (COLOMBIA RESTORATION) / Participatory restoration to improve ecosystem service provision and connectivity at the landscape scale in Colombia (COLOMBIA RESTORATION) - UNUN/COL/184/UEP-F</t>
  </si>
  <si>
    <t>Desarrollar una propuesta de proyecto integral para guiar la implementación del Proyecto a Gran Escala (FSP) financiado por el FMAM «Restauración participativa para mejorar la prestación de servicios ecosistémicos y la conectividad a escala paisajística en Colombia».</t>
  </si>
  <si>
    <t>PNUMA</t>
  </si>
  <si>
    <t>R-AO-25-6955</t>
  </si>
  <si>
    <t>oit - Fondo Visión Cero (VZF) sobre Seguridad y Salud en el Trabajo (SST) en las cadenas de suministro mundiales / Vision Zero Fund (VZF) on Occupational Safety and Health (OSH) in Global Supply Chains - GLO/25/08/EUR</t>
  </si>
  <si>
    <t>A través de esta Acción de Fase III «Mejora de la seguridad y la salud en las cadenas de suministro agrícolas mundiales», cofinanciada por la Unión Europea, el Fondo combina actividades interregionales y nacionales en Brasil y Colombia para consolidar y ampliar los resultados obtenidos hasta la fecha a través de su labor en las cadenas de suministro del café y la caña de azúcar, centrándose en la transferencia de conocimientos sobre buenas prácticas y lecciones aprendidas, así como de metodologías y herramientas existentes en materia de SST a los mandantes de la OIT y otras partes interesadas del sector, según proceda. El Fondo Visión Cero forma parte del programa emblemático «Seguridad y salud para todos» de la OIT.</t>
  </si>
  <si>
    <t>La Virginia</t>
  </si>
  <si>
    <t>R-FP-22-6956</t>
  </si>
  <si>
    <t>Mujeres y jóvenes tejedores de redes para la construcción de paz en el Meta - Proyecto Nº: 226-031-1036 ZG</t>
  </si>
  <si>
    <t>Víctimas de violencia y excombatientes fortalecidos en sus recursos psicosociales han construido escenarios de cultura de paz junto con jóvenes y organizaciones sociales en el Meta.</t>
  </si>
  <si>
    <t>CORPORACIÓN VINCULOS</t>
  </si>
  <si>
    <t>ACNUDH</t>
  </si>
  <si>
    <t>R-AO-25-6969</t>
  </si>
  <si>
    <t>Innovaciones agroecologicas para la construccion de paz en el sur occidente colombiano - 125058 CO GN</t>
  </si>
  <si>
    <t>Fortalecer las capacidades locales mediante la innovación técnica agroecológica en 8 fincas escuela del suroccidente de Colombia, promoviendo el desarrollo sostenible, la resiliencia territorial y la autonomía alimentaria.</t>
  </si>
  <si>
    <t>UNIVERSIDAD PÚBLICA DE NAVARRA</t>
  </si>
  <si>
    <t>R-AO-25-6973</t>
  </si>
  <si>
    <t>Crisis colombiana - Servicios de salud y protecciOn - MEdicos del Mundo 2024 - P015019</t>
  </si>
  <si>
    <t>Proporcionar ayuda humanitaria vital a las personas afectadas por las crisis en Colombia mediante la prestación de servicios de salud y protección.</t>
  </si>
  <si>
    <t>MINISTERIO DE ASUNTOS EXTERIORES, COMERCIO Y DESARROLLO DE CANADÁ</t>
  </si>
  <si>
    <t>R-AO-25-6975</t>
  </si>
  <si>
    <t>Programa Global de Distritos EnergEticos Intervenciones en Colombia - GEDP COLOMBIA -  250077</t>
  </si>
  <si>
    <t>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
adaptación al cambio climático, transición energética y desarrollo urbano sostenible.</t>
  </si>
  <si>
    <t>R-AO-25-6994</t>
  </si>
  <si>
    <t>Aporte a la reconciliación, la paz y el desarrollo de territorios seguros y sostenibles a través de la AICMA y sus enfoques transversales en los municipios de Frontino y Apartadó, Antioquia – Contrato No. 81085914</t>
  </si>
  <si>
    <t>Promover la reconciliación, la paz y el desarrollo sostenible en territorios gravemente afectados por el conflicto social y armado y la contaminación por Artefactos Explosivos, fortaleciendo la seguridad, la cohesión social, la inclusión y elevando la calidad de vida de sus comunidades.</t>
  </si>
  <si>
    <t>R-AO-25-6995</t>
  </si>
  <si>
    <t>10026-SB-005075.10/AECID - España AECID: Seguimiento a la situación de DDHH y a la protección de las personas defensoras de DDHH en Colombia</t>
  </si>
  <si>
    <t xml:space="preserve"> Apoyar la implementación y desarrollo de acciones que garanticen las medidas de prevención, protección, restitución, verdad, justicia, reparación y garantías de no repetición a las víctimas y la estrategia de soluciones duraderas, así como en el fortalecimiento del Sistema Integral de Paz.</t>
  </si>
  <si>
    <t>R-AO-25-6996</t>
  </si>
  <si>
    <t>10026-SB-005075.09 - Canadá: To Support the project entitled "Strengthening Rights and Building Peace un Vulnerable Communities of Colombia (Canadá: Apoyo al proyecto titulado «Fortalecimiento de los derechos y construcción de la paz en comunidades vulnerables de Colombia)</t>
  </si>
  <si>
    <t>Apoyar la implementación y desarrollo de acciones que garanticen las medidas de prevención, protección, restitución, verdad, justicia, reparación y garantías de no repetición a las víctimas y la estrategia de soluciones duraderas, así como en el fortalecimiento del Sistema Integral de Paz</t>
  </si>
  <si>
    <t>R-AO-25-6999</t>
  </si>
  <si>
    <t>LIDERA PAZCIFICO: Una agenda de paz renovada desde y para las juventudes del PacIfico</t>
  </si>
  <si>
    <t>Contribuir al desarrollo sostenible y a la consolidación de la paz en el Pacífico colombiano mediante el fortalecimiento de liderazgos y
organizaciones que, con foco en las juventudes, impulsen soluciones de vanguardia para la transformación territorial y la participación
significativa en la construcción de paz.</t>
  </si>
  <si>
    <t>CORPORACIÓN MANOS VISIBLES</t>
  </si>
  <si>
    <t>R-AO-25-7001</t>
  </si>
  <si>
    <t>Accion contra Minas en Colombia/ HUMANITARIAN MINE ACTION IN COLOMBIA- SPMWRA23GR0044 - ADENDA</t>
  </si>
  <si>
    <t>Llevar a cabo actividades de acción humanitaria contra las minas en todos los municipios asignados a HALO en Colombia.</t>
  </si>
  <si>
    <t>R-AO-25-7008</t>
  </si>
  <si>
    <t>Apoyo a familias y comunidades afectadas por el conflicto armado en algunos municipios de Meta y Guaviare en protección, medios de vida y organización comunitaria-CBPF-COL-24-S-NGO-33952</t>
  </si>
  <si>
    <t xml:space="preserve">Apoyar las familias y comunidades afectadas por el conflicto armado interno a través de acciones de protección, medios de vida y organización comunitaria en los departamentos de Meta, municipio de Mapiripán y Guaviare, en los municipios de Miraflores y San José del Guaviare.
</t>
  </si>
  <si>
    <t>R-AO-25-7011</t>
  </si>
  <si>
    <t>Mecanismo intersectorial de Ayuda Humanitaria y Recuperación temprana MIRE+ Fase 3 2025-2027.</t>
  </si>
  <si>
    <t>Brindar asistencia humanitaria a las poblaciones más vulnerables y potenciar las capacidades de resiliencia de las comunidades a través del acceso a servicios, el fortalecimiento comunitario y la incidencia institucional para iniciar un proceso de desarrollo.</t>
  </si>
  <si>
    <t>R-AO-25-7012</t>
  </si>
  <si>
    <t>Ayuda humanitaria, servicios e inclusión para migrantes, refugiados y víctimas del conflicto armado en Colombia, especialmente mujeres, jóvenes y niños - AID 012907/01/0</t>
  </si>
  <si>
    <t>Contribuir a la mejora de las condiciones de vida de la población en tránsito y de las comunidades locales afectadas por el conflicto armado interno en colombia, mediante la provisión de asistencia humanitaria, el fortalecimiento del acceso a servicios básicos y la promoción de la integración socioeconómica de persoanas refugiadas, migrantes, víctimas del conflicto armado interno y comunidades de acogida, con especial atención a niños, niña, adolescentes, mujeres y personas con discapacidad en situación de vulnerabilidad, en las zonas fronterizas con Venezuela y PAnamá</t>
  </si>
  <si>
    <t>MINISTERIO DE RELACIONES EXTERIORES DE ITALIA</t>
  </si>
  <si>
    <t>R-AO-25-7013</t>
  </si>
  <si>
    <t>Fortaleciendo la confianza ciudadana en la democracia: Control social, participación diversa, pedagogía y diálogo con tomadores de decisión, en el marco de las Elecciones Nacionales 2026 en Colombia.  Expediente nº 2025QdV00260</t>
  </si>
  <si>
    <t>Fomentar un entorno democrático participativo e incluyente en el marco de las elecciones nacionales de 2026 en Colombia, mediante diversas estrategias de diálogo, acción, comunicación y pedagogía que fortalezcan la confianza en los procesos electorales y promuevan la transparencia y el diálogo multiactor, contribuyendo así a la estabilidad democrática en el país.</t>
  </si>
  <si>
    <t>R-AO-25-7016</t>
  </si>
  <si>
    <t>Atención humanitaria en salud a la poblaciín vulnerable que enfrenta multiples afectaciones por el conflicto, moigración o desastres naturales en Colombia ECHO/-AM/BUD/2023/91006 FASE iiI</t>
  </si>
  <si>
    <t>R-AO-25-7017</t>
  </si>
  <si>
    <t>Fortalecimiento del programa RedSerPaz -2025QdV00212</t>
  </si>
  <si>
    <t>Apoyo a la conservación de los  ecosistemas estratégicos, la estabilización y cierre de fronteras agrícolas, y fortalecidas las reservas naturales de la sociedad civil.</t>
  </si>
  <si>
    <t>R-AO-25-7018</t>
  </si>
  <si>
    <t>Fortalecimiento de la respuesta de asistencia humanitaria a situaciones de migración y conflicto armado en Sudamérica-ECHO/-AM/BUD/2025/91026</t>
  </si>
  <si>
    <t>R-AO-25-7019</t>
  </si>
  <si>
    <t>Promoción de Entornos Escolares y Fortalecimiento de la Seguridad Alimentaria: Construcción del comedor escolar en la Vereda La Cabaña, Guachené – Cauca</t>
  </si>
  <si>
    <t>Contribuir a fortalecer la seguridad alimentaria y nutricional de 572 estudiantes de la Institución Educativa La Cabaña, en Guachené (Cauca), mediante la implementación de un comedor escolar que garantice el acceso a alimentos saludables, promueva la educación nutricional y favorezca un entorno escolar inclusivo y de bienestar, en coherencia con los ODS 2, 3, 4 y 10.</t>
  </si>
  <si>
    <t>R-AO-25-7020</t>
  </si>
  <si>
    <t>SOLNATURA: Fomento de soluciones basadas en la naturaleza para un desarrollo territorial  resiliente, bajo en carbono y biodiverso -81319882</t>
  </si>
  <si>
    <t>Implementar con éxito Soluciones Basadas en la Naturaleza (SbN) que transformen los territorios para que sean más resilientes, biodiversos y bajos en carbono, y apoyan la implementación de las Contribuciones Determinadas a Nivel Nacional (NDC).</t>
  </si>
  <si>
    <t>R-AO-25-7021</t>
  </si>
  <si>
    <t xml:space="preserve">Seguridad, conflictividad y medio ambiente en la Amazonia -NDICI CRISIS FPI/2024/458-984 </t>
  </si>
  <si>
    <t xml:space="preserve">
Al 2026 la información generada sobre el avance e incidencia de actividades criminales de la Amazonía Noroccidental y su impacto en la conservación y la población civil (PICL) del Bioma habrá sido puesta a disposición de tomadores de decisión, y utilizada para sensibilizar y mejorar las capacidades de actores clave en materia de protección medioambiental y de derechos humanos.</t>
  </si>
  <si>
    <t>R-AO-25-7022</t>
  </si>
  <si>
    <t>Proyecto de Desarrollo Territorial en la “Ruta Universo Wayuu” -2025QdV00261</t>
  </si>
  <si>
    <t>Contribuir al cierre de brechas sociales y territoriales en el departamento de  la Guajira en base a las fortalezas culturales de la población local.</t>
  </si>
  <si>
    <t>R-FP-25-7023</t>
  </si>
  <si>
    <t>Programa de salud integrado en zonas rurales y semirurales de alto y bajo catatumbo asi como posibles respuestas a emergencias en el departamento de norte de santander</t>
  </si>
  <si>
    <t>CONTRIBUIR A LA REDUCCIÓN DEL IMPACTO DE LA VIOLENCIA EN LAS VÍCTIMAS DEL CONFLICTO, MEJORANDO EL ACCESO INTEGRAL Y OPORTUNO A SERVICIOS DE SALUD EN LA REGIÓN DEL CATATUMBO</t>
  </si>
  <si>
    <t>R-AO-23-7024</t>
  </si>
  <si>
    <t>Fertilizar bien Colombia</t>
  </si>
  <si>
    <t>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t>
  </si>
  <si>
    <t>Saldaña</t>
  </si>
  <si>
    <t>V-AO-25-7025</t>
  </si>
  <si>
    <t>Programa de Inversiones Prioritarias en Municipios (PDET), Fase II y fase iii</t>
  </si>
  <si>
    <t>Mejorar las condiciones de bienestar de Ia poblaciOn en municipios PDET mediante el mejoramiento de infraestructura vial terciaria, infraestructura comunitaria, participaci6n comunitaria y fortalecimiento institucional.</t>
  </si>
  <si>
    <t>09. Industria, innovación e infraestructura</t>
  </si>
  <si>
    <t>R-FP-25-7030</t>
  </si>
  <si>
    <t>Desminado humanitario en Catatumbo, Colombia - COL-001 P0274</t>
  </si>
  <si>
    <t xml:space="preserve"> Mejorar la seguridad y estabilidad regional para comunidades afectadas por el conflicto en Catatumbo a través del despeje de minas antipersonal y otros artefactos explosivos,
incrementando su resiliencia y creando las condiciones necesarias para su desarrollo socio-económico.</t>
  </si>
  <si>
    <t>R-AO-25-7031</t>
  </si>
  <si>
    <t>Empoderamiento de mujeres campesinas e indigenas a traves de fincas agroecologicas en el suroccidente de Colombia / Empoderamiento de mujeres campesinas e indigenas a traves de fincas agroecologicas en el suroccidente de Colombia-2025-018680</t>
  </si>
  <si>
    <t>Contribuir a la transformación social de las comunidades rurales del suroccidente de Colombia mediante el fortalecimiento de las capacidades productivas y organizativas de mujeres campesinas e indígenas para la producción y comercialización de alimentos agroecológicos.</t>
  </si>
  <si>
    <t>AYUNTAMIENTO DE BILBAO</t>
  </si>
  <si>
    <t>R-AO-25-7032</t>
  </si>
  <si>
    <t xml:space="preserve">Aceleración del Ecosistema de Capital Emprendedor e Inversión de  Impacto en Colombia-CO-T1771  ATN/ME-21346-CO-CO-G1058 GRC/ME-21345-CO </t>
  </si>
  <si>
    <t>Este proyecto tiene como objetivo fortalecer el ecosistema de inversión de impacto en Colombia, conectando a actores clave y mejorando el acceso de emprendimientos e iniciativas con impacto social y ambiental a recursos financieros y técnicos. A través de cuatro componentes, se busca incrementar las capacidades de las empresas y Entidades de Soporte al Emprendimiento (ESOs), promoviendo la creación de vehículos financieros que mitiguen riesgos y la implementación de métricas robustas de impacto. Este enfoque permitirá superar barreras de acceso al financiamiento y generar un entorno cohesivo y eficiente para el desarrollo sostenible y el crecimiento inclusivo.</t>
  </si>
  <si>
    <t>R-AO-25-7035</t>
  </si>
  <si>
    <t>Accion contra minas como facilitador de seguridad y desarrollo local en Antioquia y Putumayo - 81085913</t>
  </si>
  <si>
    <t>Mejorar la seguridad, el bienestar y la recuperación productiva de comunidades rurales afectadas por artefactos explosivos, a través de desminado humanitario y fortaleciendo la resiliencia comunitaria</t>
  </si>
  <si>
    <t>Año creación</t>
  </si>
  <si>
    <t xml:space="preserve">Fecha de inicio </t>
  </si>
  <si>
    <t>Tipo de espacio</t>
  </si>
  <si>
    <t>Nombre del espacio</t>
  </si>
  <si>
    <t>Territorial</t>
  </si>
  <si>
    <t xml:space="preserve">BARRANQUILLA </t>
  </si>
  <si>
    <t>CARTAGENA</t>
  </si>
  <si>
    <t>AÑO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</si>
</sst>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 #,##0;[Red]\-&quot;$&quot;\ #,##0"/>
    <numFmt numFmtId="44" formatCode="_-&quot;$&quot;\ * #,##0.00_-;\-&quot;$&quot;\ * #,##0.00_-;_-&quot;$&quot;\ * &quot;-&quot;??_-;_-@_-"/>
    <numFmt numFmtId="43" formatCode="_-* #,##0.00_-;\-* #,##0.00_-;_-* &quot;-&quot;??_-;_-@_-"/>
    <numFmt numFmtId="164" formatCode="&quot;$&quot;\ #,##0.00"/>
    <numFmt numFmtId="165" formatCode="[$USD]\ #,##0"/>
    <numFmt numFmtId="166" formatCode="[$USD]\ #,##0.00"/>
  </numFmts>
  <fonts count="24" x14ac:knownFonts="1">
    <font>
      <sz val="11"/>
      <color theme="1"/>
      <name val="Aptos Narrow"/>
      <family val="2"/>
      <scheme val="minor"/>
    </font>
    <font>
      <b/>
      <sz val="11"/>
      <color theme="0"/>
      <name val="Aptos Narrow"/>
      <family val="2"/>
      <scheme val="minor"/>
    </font>
    <font>
      <b/>
      <sz val="11"/>
      <color theme="1"/>
      <name val="Aptos Narrow"/>
      <family val="2"/>
      <scheme val="minor"/>
    </font>
    <font>
      <u/>
      <sz val="11"/>
      <color theme="10"/>
      <name val="Aptos Narrow"/>
      <family val="2"/>
      <scheme val="minor"/>
    </font>
    <font>
      <sz val="8"/>
      <name val="Aptos Narrow"/>
      <family val="2"/>
      <scheme val="minor"/>
    </font>
    <font>
      <sz val="9"/>
      <color theme="1"/>
      <name val="Aptos Narrow"/>
      <family val="2"/>
      <scheme val="minor"/>
    </font>
    <font>
      <sz val="8"/>
      <color theme="1"/>
      <name val="Aptos Narrow"/>
      <family val="2"/>
      <scheme val="minor"/>
    </font>
    <font>
      <sz val="11"/>
      <color theme="1"/>
      <name val="Aptos Narrow"/>
      <family val="2"/>
      <scheme val="minor"/>
    </font>
    <font>
      <b/>
      <sz val="9"/>
      <color theme="0"/>
      <name val="Aptos Narrow"/>
      <family val="2"/>
      <scheme val="minor"/>
    </font>
    <font>
      <b/>
      <sz val="9"/>
      <color theme="1"/>
      <name val="Aptos Narrow"/>
      <family val="2"/>
      <scheme val="minor"/>
    </font>
    <font>
      <b/>
      <sz val="16"/>
      <color rgb="FF000000"/>
      <name val="Aptos Narrow"/>
      <family val="2"/>
      <scheme val="minor"/>
    </font>
    <font>
      <sz val="14"/>
      <name val="Garamond"/>
      <family val="1"/>
    </font>
    <font>
      <sz val="14"/>
      <color theme="1"/>
      <name val="Garamond"/>
      <family val="1"/>
    </font>
    <font>
      <sz val="12"/>
      <name val="Avenir Next LT Pro Light"/>
      <family val="2"/>
    </font>
    <font>
      <sz val="12"/>
      <color theme="1"/>
      <name val="Avenir Next LT Pro"/>
      <family val="2"/>
    </font>
    <font>
      <b/>
      <sz val="10"/>
      <color theme="0"/>
      <name val="Avenir Next LT Pro"/>
      <family val="2"/>
    </font>
    <font>
      <b/>
      <sz val="9"/>
      <color theme="1"/>
      <name val="Avenir Next LT Pro"/>
      <family val="2"/>
    </font>
    <font>
      <sz val="9"/>
      <color theme="1"/>
      <name val="Avenir Next LT Pro"/>
      <family val="2"/>
    </font>
    <font>
      <b/>
      <sz val="12"/>
      <color rgb="FF00509D"/>
      <name val="Avenir Next LT Pro"/>
      <family val="2"/>
    </font>
    <font>
      <b/>
      <sz val="9"/>
      <color theme="0"/>
      <name val="Avenir Next LT Pro"/>
      <family val="2"/>
    </font>
    <font>
      <sz val="9"/>
      <name val="Aptos Narrow"/>
      <family val="2"/>
      <scheme val="minor"/>
    </font>
    <font>
      <sz val="11"/>
      <name val="Calibri"/>
    </font>
    <font>
      <b/>
      <sz val="10"/>
      <color theme="0"/>
      <name val="Arial"/>
      <family val="2"/>
    </font>
    <font>
      <sz val="10"/>
      <color theme="1"/>
      <name val="Aptos Narrow"/>
      <family val="2"/>
      <scheme val="minor"/>
    </font>
  </fonts>
  <fills count="12">
    <fill>
      <patternFill patternType="none"/>
    </fill>
    <fill>
      <patternFill patternType="gray125"/>
    </fill>
    <fill>
      <patternFill patternType="solid">
        <fgColor theme="4" tint="0.79998168889431442"/>
        <bgColor theme="4" tint="0.79998168889431442"/>
      </patternFill>
    </fill>
    <fill>
      <patternFill patternType="solid">
        <fgColor theme="4"/>
        <bgColor theme="4"/>
      </patternFill>
    </fill>
    <fill>
      <patternFill patternType="solid">
        <fgColor theme="4"/>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rgb="FF00296B"/>
        <bgColor indexed="64"/>
      </patternFill>
    </fill>
    <fill>
      <patternFill patternType="solid">
        <fgColor rgb="FFFFD500"/>
        <bgColor indexed="64"/>
      </patternFill>
    </fill>
    <fill>
      <patternFill patternType="solid">
        <fgColor rgb="FF003F88"/>
        <bgColor indexed="64"/>
      </patternFill>
    </fill>
    <fill>
      <patternFill patternType="solid">
        <fgColor rgb="FF00509D"/>
        <bgColor indexed="64"/>
      </patternFill>
    </fill>
  </fills>
  <borders count="8">
    <border>
      <left/>
      <right/>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style="thin">
        <color theme="4" tint="0.39997558519241921"/>
      </right>
      <top style="thin">
        <color theme="4" tint="0.39997558519241921"/>
      </top>
      <bottom style="thin">
        <color theme="4" tint="0.39997558519241921"/>
      </bottom>
      <diagonal/>
    </border>
    <border>
      <left/>
      <right style="thin">
        <color theme="4" tint="0.39997558519241921"/>
      </right>
      <top style="thin">
        <color theme="4" tint="0.39997558519241921"/>
      </top>
      <bottom/>
      <diagonal/>
    </border>
  </borders>
  <cellStyleXfs count="6">
    <xf numFmtId="0" fontId="0" fillId="0" borderId="0"/>
    <xf numFmtId="0" fontId="3" fillId="0" borderId="0" applyNumberFormat="0" applyFill="0" applyBorder="0" applyAlignment="0" applyProtection="0"/>
    <xf numFmtId="0" fontId="3" fillId="0" borderId="0" applyNumberFormat="0" applyFill="0" applyBorder="0" applyAlignment="0" applyProtection="0"/>
    <xf numFmtId="44" fontId="7" fillId="0" borderId="0" applyFont="0" applyFill="0" applyBorder="0" applyAlignment="0" applyProtection="0"/>
    <xf numFmtId="43" fontId="7" fillId="0" borderId="0" applyFont="0" applyFill="0" applyBorder="0" applyAlignment="0" applyProtection="0"/>
    <xf numFmtId="44" fontId="7" fillId="0" borderId="0" applyFont="0" applyFill="0" applyBorder="0" applyAlignment="0" applyProtection="0"/>
  </cellStyleXfs>
  <cellXfs count="90">
    <xf numFmtId="0" fontId="0" fillId="0" borderId="0" xfId="0"/>
    <xf numFmtId="0" fontId="0" fillId="0" borderId="0" xfId="0" applyAlignment="1">
      <alignment wrapText="1"/>
    </xf>
    <xf numFmtId="0" fontId="0" fillId="2" borderId="1" xfId="0" applyFill="1" applyBorder="1"/>
    <xf numFmtId="0" fontId="0" fillId="0" borderId="1" xfId="0" applyBorder="1"/>
    <xf numFmtId="3" fontId="0" fillId="0" borderId="0" xfId="0" applyNumberFormat="1"/>
    <xf numFmtId="0" fontId="3" fillId="0" borderId="0" xfId="1"/>
    <xf numFmtId="49" fontId="0" fillId="0" borderId="0" xfId="0" applyNumberFormat="1"/>
    <xf numFmtId="0" fontId="2" fillId="0" borderId="0" xfId="0" applyFont="1"/>
    <xf numFmtId="0" fontId="1" fillId="3" borderId="2" xfId="0" applyFont="1" applyFill="1" applyBorder="1"/>
    <xf numFmtId="0" fontId="0" fillId="2" borderId="3" xfId="0" applyFill="1" applyBorder="1"/>
    <xf numFmtId="0" fontId="0" fillId="0" borderId="3" xfId="0" applyBorder="1"/>
    <xf numFmtId="0" fontId="0" fillId="2" borderId="2" xfId="0" applyFill="1" applyBorder="1"/>
    <xf numFmtId="0" fontId="5" fillId="0" borderId="0" xfId="0" applyFont="1" applyAlignment="1">
      <alignment horizontal="left" vertical="top" wrapText="1"/>
    </xf>
    <xf numFmtId="44" fontId="0" fillId="0" borderId="0" xfId="3" applyFont="1"/>
    <xf numFmtId="164" fontId="0" fillId="0" borderId="0" xfId="3" applyNumberFormat="1" applyFont="1"/>
    <xf numFmtId="6" fontId="0" fillId="0" borderId="0" xfId="3" applyNumberFormat="1" applyFont="1"/>
    <xf numFmtId="164" fontId="0" fillId="0" borderId="0" xfId="0" applyNumberFormat="1"/>
    <xf numFmtId="0" fontId="9" fillId="0" borderId="0" xfId="0" applyFont="1" applyAlignment="1">
      <alignment wrapText="1"/>
    </xf>
    <xf numFmtId="0" fontId="5" fillId="0" borderId="0" xfId="0" applyFont="1" applyAlignment="1">
      <alignment wrapText="1"/>
    </xf>
    <xf numFmtId="0" fontId="0" fillId="0" borderId="0" xfId="0" applyAlignment="1">
      <alignment horizontal="left"/>
    </xf>
    <xf numFmtId="0" fontId="5" fillId="0" borderId="1" xfId="0" applyFont="1" applyBorder="1"/>
    <xf numFmtId="14" fontId="5" fillId="0" borderId="1" xfId="0" applyNumberFormat="1" applyFont="1" applyBorder="1"/>
    <xf numFmtId="0" fontId="8" fillId="4" borderId="2" xfId="0" applyFont="1" applyFill="1" applyBorder="1"/>
    <xf numFmtId="14" fontId="8" fillId="4" borderId="2" xfId="0" applyNumberFormat="1" applyFont="1" applyFill="1" applyBorder="1"/>
    <xf numFmtId="0" fontId="8" fillId="5" borderId="2" xfId="0" applyFont="1" applyFill="1" applyBorder="1"/>
    <xf numFmtId="0" fontId="8" fillId="6" borderId="2" xfId="0" applyFont="1" applyFill="1" applyBorder="1"/>
    <xf numFmtId="165" fontId="8" fillId="6" borderId="2" xfId="0" applyNumberFormat="1" applyFont="1" applyFill="1" applyBorder="1"/>
    <xf numFmtId="0" fontId="8" fillId="7" borderId="2" xfId="0" applyFont="1" applyFill="1" applyBorder="1"/>
    <xf numFmtId="0" fontId="5" fillId="0" borderId="3" xfId="0" applyFont="1" applyBorder="1"/>
    <xf numFmtId="14" fontId="5" fillId="0" borderId="3" xfId="0" applyNumberFormat="1" applyFont="1" applyBorder="1"/>
    <xf numFmtId="14" fontId="8" fillId="7" borderId="2" xfId="0" applyNumberFormat="1" applyFont="1" applyFill="1" applyBorder="1"/>
    <xf numFmtId="0" fontId="0" fillId="0" borderId="0" xfId="0" pivotButton="1"/>
    <xf numFmtId="165" fontId="0" fillId="0" borderId="0" xfId="0" applyNumberFormat="1"/>
    <xf numFmtId="0" fontId="10" fillId="0" borderId="0" xfId="0" applyFont="1" applyAlignment="1">
      <alignment horizontal="left" vertical="center"/>
    </xf>
    <xf numFmtId="0" fontId="0" fillId="8" borderId="0" xfId="0" applyFill="1"/>
    <xf numFmtId="0" fontId="11" fillId="0" borderId="0" xfId="0" applyFont="1"/>
    <xf numFmtId="0" fontId="12" fillId="0" borderId="0" xfId="0" applyFont="1"/>
    <xf numFmtId="0" fontId="12" fillId="0" borderId="0" xfId="0" applyFont="1" applyAlignment="1">
      <alignment wrapText="1"/>
    </xf>
    <xf numFmtId="0" fontId="13" fillId="0" borderId="0" xfId="0" applyFont="1" applyAlignment="1">
      <alignment horizontal="left"/>
    </xf>
    <xf numFmtId="3" fontId="13" fillId="0" borderId="0" xfId="0" applyNumberFormat="1" applyFont="1" applyAlignment="1">
      <alignment horizontal="left"/>
    </xf>
    <xf numFmtId="0" fontId="13" fillId="0" borderId="0" xfId="0" applyFont="1" applyAlignment="1">
      <alignment horizontal="left" wrapText="1"/>
    </xf>
    <xf numFmtId="0" fontId="14" fillId="0" borderId="0" xfId="0" applyFont="1"/>
    <xf numFmtId="0" fontId="16" fillId="0" borderId="0" xfId="0" applyFont="1" applyAlignment="1">
      <alignment wrapText="1"/>
    </xf>
    <xf numFmtId="0" fontId="17" fillId="0" borderId="0" xfId="0" applyFont="1" applyAlignment="1">
      <alignment wrapText="1"/>
    </xf>
    <xf numFmtId="164" fontId="17" fillId="0" borderId="0" xfId="0" applyNumberFormat="1" applyFont="1" applyAlignment="1">
      <alignment wrapText="1"/>
    </xf>
    <xf numFmtId="0" fontId="16" fillId="0" borderId="0" xfId="0" applyFont="1" applyAlignment="1">
      <alignment horizontal="left" vertical="center" wrapText="1"/>
    </xf>
    <xf numFmtId="0" fontId="17" fillId="0" borderId="0" xfId="0" applyFont="1" applyAlignment="1">
      <alignment horizontal="left" vertical="center" wrapText="1"/>
    </xf>
    <xf numFmtId="164" fontId="17" fillId="0" borderId="0" xfId="0" applyNumberFormat="1" applyFont="1" applyAlignment="1">
      <alignment horizontal="left" vertical="center" wrapText="1"/>
    </xf>
    <xf numFmtId="0" fontId="16" fillId="0" borderId="0" xfId="0" applyFont="1"/>
    <xf numFmtId="0" fontId="17" fillId="0" borderId="0" xfId="0" applyFont="1"/>
    <xf numFmtId="0" fontId="18" fillId="0" borderId="0" xfId="0" applyFont="1" applyAlignment="1">
      <alignment horizontal="center" vertical="center"/>
    </xf>
    <xf numFmtId="164" fontId="18" fillId="0" borderId="0" xfId="3" applyNumberFormat="1" applyFont="1" applyAlignment="1">
      <alignment horizontal="center" vertical="center"/>
    </xf>
    <xf numFmtId="0" fontId="5" fillId="10" borderId="0" xfId="0" applyFont="1" applyFill="1" applyAlignment="1">
      <alignment horizontal="left" vertical="top" wrapText="1"/>
    </xf>
    <xf numFmtId="14" fontId="5" fillId="10" borderId="0" xfId="0" applyNumberFormat="1" applyFont="1" applyFill="1" applyAlignment="1">
      <alignment horizontal="left" vertical="top" wrapText="1"/>
    </xf>
    <xf numFmtId="0" fontId="15" fillId="9" borderId="0" xfId="0" applyFont="1" applyFill="1" applyAlignment="1">
      <alignment wrapText="1"/>
    </xf>
    <xf numFmtId="0" fontId="19" fillId="11" borderId="0" xfId="0" applyFont="1" applyFill="1"/>
    <xf numFmtId="14" fontId="19" fillId="11" borderId="0" xfId="0" applyNumberFormat="1" applyFont="1" applyFill="1"/>
    <xf numFmtId="0" fontId="12" fillId="0" borderId="0" xfId="0" applyFont="1" applyAlignment="1">
      <alignment horizontal="left" vertical="center" wrapText="1"/>
    </xf>
    <xf numFmtId="0" fontId="0" fillId="8" borderId="0" xfId="0" applyFill="1" applyAlignment="1">
      <alignment horizontal="center" vertical="center"/>
    </xf>
    <xf numFmtId="0" fontId="0" fillId="0" borderId="0" xfId="0" applyAlignment="1">
      <alignment horizontal="center" vertical="center"/>
    </xf>
    <xf numFmtId="0" fontId="12" fillId="0" borderId="0" xfId="0" applyFont="1" applyAlignment="1">
      <alignment horizontal="left" vertical="center"/>
    </xf>
    <xf numFmtId="0" fontId="20" fillId="0" borderId="5" xfId="0" applyFont="1" applyBorder="1"/>
    <xf numFmtId="0" fontId="20" fillId="0" borderId="3" xfId="0" applyFont="1" applyBorder="1"/>
    <xf numFmtId="14" fontId="20" fillId="0" borderId="3" xfId="0" applyNumberFormat="1" applyFont="1" applyBorder="1"/>
    <xf numFmtId="166" fontId="20" fillId="0" borderId="3" xfId="0" applyNumberFormat="1" applyFont="1" applyBorder="1"/>
    <xf numFmtId="0" fontId="21" fillId="0" borderId="0" xfId="0" applyFont="1"/>
    <xf numFmtId="0" fontId="20" fillId="0" borderId="7" xfId="0" applyFont="1" applyBorder="1"/>
    <xf numFmtId="0" fontId="5" fillId="0" borderId="5" xfId="0" applyFont="1" applyBorder="1"/>
    <xf numFmtId="166" fontId="5" fillId="0" borderId="3" xfId="0" applyNumberFormat="1" applyFont="1" applyBorder="1"/>
    <xf numFmtId="0" fontId="5" fillId="0" borderId="7" xfId="0" applyFont="1" applyBorder="1"/>
    <xf numFmtId="0" fontId="5" fillId="0" borderId="4" xfId="0" applyFont="1" applyBorder="1"/>
    <xf numFmtId="166" fontId="5" fillId="0" borderId="1" xfId="0" applyNumberFormat="1" applyFont="1" applyBorder="1"/>
    <xf numFmtId="0" fontId="5" fillId="0" borderId="6" xfId="0" applyFont="1" applyBorder="1"/>
    <xf numFmtId="0" fontId="5" fillId="10" borderId="0" xfId="0" applyFont="1" applyFill="1" applyAlignment="1">
      <alignment horizontal="left" vertical="top"/>
    </xf>
    <xf numFmtId="0" fontId="17" fillId="0" borderId="0" xfId="0" applyFont="1" applyAlignment="1">
      <alignment horizontal="left" vertical="top"/>
    </xf>
    <xf numFmtId="0" fontId="5" fillId="0" borderId="0" xfId="0" applyFont="1" applyAlignment="1">
      <alignment horizontal="left" vertical="top"/>
    </xf>
    <xf numFmtId="14" fontId="5" fillId="10" borderId="0" xfId="0" applyNumberFormat="1" applyFont="1" applyFill="1" applyAlignment="1">
      <alignment horizontal="left" vertical="top"/>
    </xf>
    <xf numFmtId="14" fontId="17" fillId="0" borderId="0" xfId="0" applyNumberFormat="1" applyFont="1" applyAlignment="1">
      <alignment horizontal="left" vertical="top"/>
    </xf>
    <xf numFmtId="0" fontId="6" fillId="0" borderId="0" xfId="0" applyFont="1" applyAlignment="1">
      <alignment horizontal="left" vertical="top"/>
    </xf>
    <xf numFmtId="14" fontId="5" fillId="0" borderId="0" xfId="0" applyNumberFormat="1" applyFont="1" applyAlignment="1">
      <alignment horizontal="left" vertical="top"/>
    </xf>
    <xf numFmtId="0" fontId="23" fillId="2" borderId="1" xfId="0" applyFont="1" applyFill="1" applyBorder="1"/>
    <xf numFmtId="0" fontId="23" fillId="0" borderId="1" xfId="0" applyFont="1" applyBorder="1"/>
    <xf numFmtId="14" fontId="23" fillId="2" borderId="1" xfId="0" applyNumberFormat="1" applyFont="1" applyFill="1" applyBorder="1"/>
    <xf numFmtId="14" fontId="23" fillId="0" borderId="1" xfId="0" applyNumberFormat="1" applyFont="1" applyBorder="1"/>
    <xf numFmtId="49" fontId="0" fillId="0" borderId="1" xfId="0" applyNumberFormat="1" applyBorder="1"/>
    <xf numFmtId="49" fontId="0" fillId="2" borderId="1" xfId="0" applyNumberFormat="1" applyFill="1" applyBorder="1"/>
    <xf numFmtId="14" fontId="22" fillId="3" borderId="2" xfId="0" applyNumberFormat="1" applyFont="1" applyFill="1" applyBorder="1" applyAlignment="1">
      <alignment horizontal="left" vertical="top"/>
    </xf>
    <xf numFmtId="0" fontId="22" fillId="3" borderId="2" xfId="0" applyFont="1" applyFill="1" applyBorder="1" applyAlignment="1">
      <alignment horizontal="left" vertical="top"/>
    </xf>
    <xf numFmtId="0" fontId="23" fillId="2" borderId="3" xfId="0" applyFont="1" applyFill="1" applyBorder="1"/>
    <xf numFmtId="0" fontId="14" fillId="0" borderId="0" xfId="0" applyFont="1" applyAlignment="1">
      <alignment horizontal="left"/>
    </xf>
  </cellXfs>
  <cellStyles count="6">
    <cellStyle name="Hipervínculo" xfId="1" builtinId="8"/>
    <cellStyle name="Hyperlink" xfId="2" xr:uid="{1CE50EB1-8C7E-4641-A052-11D7049A5A2F}"/>
    <cellStyle name="Millares 2" xfId="4" xr:uid="{DB2490F4-01E0-48E5-9852-8EFB05C57282}"/>
    <cellStyle name="Moneda" xfId="3" builtinId="4"/>
    <cellStyle name="Moneda 2" xfId="5" xr:uid="{CECBBE96-85B6-4664-AA44-55D75786C5D1}"/>
    <cellStyle name="Normal" xfId="0" builtinId="0"/>
  </cellStyles>
  <dxfs count="61">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dxf>
    <dxf>
      <border outline="0">
        <bottom style="thin">
          <color theme="4" tint="0.39997558519241921"/>
        </bottom>
      </border>
    </dxf>
    <dxf>
      <font>
        <b/>
        <i val="0"/>
        <strike val="0"/>
        <condense val="0"/>
        <extend val="0"/>
        <outline val="0"/>
        <shadow val="0"/>
        <u val="none"/>
        <vertAlign val="baseline"/>
        <sz val="9"/>
        <color theme="0"/>
        <name val="Aptos Narrow"/>
        <family val="2"/>
        <scheme val="minor"/>
      </font>
      <fill>
        <patternFill patternType="solid">
          <fgColor indexed="64"/>
          <bgColor theme="9" tint="0.39997558519241921"/>
        </patternFill>
      </fill>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65" formatCode="[$USD]\ #,##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9" formatCode="d/mm/yyyy"/>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9" formatCode="d/mm/yyyy"/>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9"/>
        <color theme="1"/>
        <name val="Aptos Narrow"/>
        <family val="2"/>
        <scheme val="minor"/>
      </font>
    </dxf>
    <dxf>
      <border outline="0">
        <bottom style="thin">
          <color theme="4" tint="0.39997558519241921"/>
        </bottom>
      </border>
    </dxf>
    <dxf>
      <font>
        <b/>
        <i val="0"/>
        <strike val="0"/>
        <condense val="0"/>
        <extend val="0"/>
        <outline val="0"/>
        <shadow val="0"/>
        <u val="none"/>
        <vertAlign val="baseline"/>
        <sz val="9"/>
        <color theme="0"/>
        <name val="Aptos Narrow"/>
        <family val="2"/>
        <scheme val="minor"/>
      </font>
      <fill>
        <patternFill patternType="solid">
          <fgColor indexed="64"/>
          <bgColor theme="9" tint="0.39997558519241921"/>
        </patternFill>
      </fill>
    </dxf>
    <dxf>
      <numFmt numFmtId="164" formatCode="&quot;$&quot;\ #,##0.00"/>
    </dxf>
    <dxf>
      <numFmt numFmtId="164" formatCode="&quot;$&quot;\ #,##0.00"/>
    </dxf>
    <dxf>
      <font>
        <b val="0"/>
        <i val="0"/>
        <strike val="0"/>
        <condense val="0"/>
        <extend val="0"/>
        <outline val="0"/>
        <shadow val="0"/>
        <u val="none"/>
        <vertAlign val="baseline"/>
        <sz val="11"/>
        <color theme="1"/>
        <name val="Aptos Narrow"/>
        <family val="2"/>
        <scheme val="minor"/>
      </font>
      <numFmt numFmtId="164" formatCode="&quot;$&quot;\ #,##0.00"/>
    </dxf>
    <dxf>
      <font>
        <b val="0"/>
        <i val="0"/>
        <strike val="0"/>
        <condense val="0"/>
        <extend val="0"/>
        <outline val="0"/>
        <shadow val="0"/>
        <u val="none"/>
        <vertAlign val="baseline"/>
        <sz val="11"/>
        <color theme="1"/>
        <name val="Aptos Narrow"/>
        <family val="2"/>
        <scheme val="minor"/>
      </font>
    </dxf>
    <dxf>
      <alignment horizontal="general" vertical="bottom" textRotation="0" wrapText="1" indent="0" justifyLastLine="0" shrinkToFit="0" readingOrder="0"/>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top style="thin">
          <color theme="4" tint="0.39997558519241921"/>
        </top>
        <bottom style="thin">
          <color theme="4" tint="0.39997558519241921"/>
        </bottom>
      </border>
    </dxf>
    <dxf>
      <border outline="0">
        <bottom style="thin">
          <color theme="4" tint="0.39997558519241921"/>
        </bottom>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Aptos Narrow"/>
        <family val="2"/>
        <scheme val="minor"/>
      </font>
      <fill>
        <patternFill patternType="solid">
          <fgColor theme="4"/>
          <bgColor theme="4"/>
        </patternFill>
      </fill>
    </dxf>
    <dxf>
      <numFmt numFmtId="0" formatCode="General"/>
    </dxf>
    <dxf>
      <numFmt numFmtId="0" formatCode="General"/>
    </dxf>
    <dxf>
      <numFmt numFmtId="0" formatCode="General"/>
    </dxf>
    <dxf>
      <numFmt numFmtId="0" formatCode="General"/>
    </dxf>
    <dxf>
      <numFmt numFmtId="3" formatCode="#,##0"/>
      <alignment horizontal="general" vertical="bottom" textRotation="0" wrapText="0" indent="0" justifyLastLine="0" shrinkToFit="0" readingOrder="0"/>
    </dxf>
  </dxfs>
  <tableStyles count="0" defaultTableStyle="TableStyleMedium2" defaultPivotStyle="PivotStyleLight16"/>
  <colors>
    <mruColors>
      <color rgb="FF00509D"/>
      <color rgb="FFFFD500"/>
      <color rgb="FF003F88"/>
      <color rgb="FF00296B"/>
      <color rgb="FFFDC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[Ficha territorial.xlsm]gráficas!actores</c:name>
    <c:fmtId val="3"/>
  </c:pivotSource>
  <c:chart>
    <c:autoTitleDeleted val="1"/>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DC5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Avenir Next LT Pro" panose="020B0504020202020204" pitchFamily="34" charset="0"/>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layout>
            <c:manualLayout>
              <c:x val="-1.4844632832023311E-16"/>
              <c:y val="-7.874015748031496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Avenir Next LT Pro" panose="020B0504020202020204" pitchFamily="34" charset="0"/>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gráficas!$B$3</c:f>
              <c:strCache>
                <c:ptCount val="1"/>
                <c:pt idx="0">
                  <c:v>Total</c:v>
                </c:pt>
              </c:strCache>
            </c:strRef>
          </c:tx>
          <c:spPr>
            <a:solidFill>
              <a:srgbClr val="FDC5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Avenir Next LT Pro" panose="020B0504020202020204" pitchFamily="34" charset="0"/>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gráficas!$A$4:$A$9</c:f>
              <c:strCache>
                <c:ptCount val="5"/>
                <c:pt idx="0">
                  <c:v>MPTF</c:v>
                </c:pt>
                <c:pt idx="1">
                  <c:v>BANCO DE DESARROLLO DE AMÉRICA LATINA - CAF</c:v>
                </c:pt>
                <c:pt idx="2">
                  <c:v>AGENCIA DE COOPERACIÓN INTERNACIONAL DE KOREA</c:v>
                </c:pt>
                <c:pt idx="3">
                  <c:v>Unión Europea</c:v>
                </c:pt>
                <c:pt idx="4">
                  <c:v>AGENCIA ESPAÑOLA DE COOPERACIÓN INTERNACIONAL PARA EL DESARROLLO</c:v>
                </c:pt>
              </c:strCache>
            </c:strRef>
          </c:cat>
          <c:val>
            <c:numRef>
              <c:f>gráficas!$B$4:$B$9</c:f>
              <c:numCache>
                <c:formatCode>[$USD]\ #,##0</c:formatCode>
                <c:ptCount val="5"/>
                <c:pt idx="0">
                  <c:v>1707305.8366666671</c:v>
                </c:pt>
                <c:pt idx="1">
                  <c:v>2154262.0000000033</c:v>
                </c:pt>
                <c:pt idx="2">
                  <c:v>2274090.8888888899</c:v>
                </c:pt>
                <c:pt idx="3">
                  <c:v>5755284.9766899794</c:v>
                </c:pt>
                <c:pt idx="4">
                  <c:v>6777554.827272729</c:v>
                </c:pt>
              </c:numCache>
            </c:numRef>
          </c:val>
          <c:extLst>
            <c:ext xmlns:c16="http://schemas.microsoft.com/office/drawing/2014/chart" uri="{C3380CC4-5D6E-409C-BE32-E72D297353CC}">
              <c16:uniqueId val="{00000013-DEC1-4AA0-A71C-AF31505B5534}"/>
            </c:ext>
          </c:extLst>
        </c:ser>
        <c:dLbls>
          <c:dLblPos val="outEnd"/>
          <c:showLegendKey val="0"/>
          <c:showVal val="1"/>
          <c:showCatName val="0"/>
          <c:showSerName val="0"/>
          <c:showPercent val="0"/>
          <c:showBubbleSize val="0"/>
        </c:dLbls>
        <c:gapWidth val="182"/>
        <c:axId val="1460422640"/>
        <c:axId val="1460421200"/>
      </c:barChart>
      <c:catAx>
        <c:axId val="14604226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venir Next LT Pro" panose="020B0504020202020204" pitchFamily="34" charset="0"/>
                <a:ea typeface="+mn-ea"/>
                <a:cs typeface="+mn-cs"/>
              </a:defRPr>
            </a:pPr>
            <a:endParaRPr lang="es-CO"/>
          </a:p>
        </c:txPr>
        <c:crossAx val="1460421200"/>
        <c:crosses val="autoZero"/>
        <c:auto val="1"/>
        <c:lblAlgn val="ctr"/>
        <c:lblOffset val="100"/>
        <c:noMultiLvlLbl val="0"/>
      </c:catAx>
      <c:valAx>
        <c:axId val="1460421200"/>
        <c:scaling>
          <c:orientation val="minMax"/>
        </c:scaling>
        <c:delete val="1"/>
        <c:axPos val="b"/>
        <c:numFmt formatCode="[$USD]\ #,##0" sourceLinked="1"/>
        <c:majorTickMark val="none"/>
        <c:minorTickMark val="none"/>
        <c:tickLblPos val="nextTo"/>
        <c:crossAx val="14604226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[Ficha territorial.xlsm]gráficas!ods</c:name>
    <c:fmtId val="1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DC5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Avenir Next LT Pro" panose="020B0504020202020204" pitchFamily="34" charset="0"/>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gráficas!$B$33</c:f>
              <c:strCache>
                <c:ptCount val="1"/>
                <c:pt idx="0">
                  <c:v>Total</c:v>
                </c:pt>
              </c:strCache>
            </c:strRef>
          </c:tx>
          <c:spPr>
            <a:solidFill>
              <a:srgbClr val="FDC5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Avenir Next LT Pro" panose="020B0504020202020204" pitchFamily="34" charset="0"/>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gráficas!$A$34:$A$39</c:f>
              <c:strCache>
                <c:ptCount val="5"/>
                <c:pt idx="0">
                  <c:v>ODS 7</c:v>
                </c:pt>
                <c:pt idx="1">
                  <c:v>ODS 1</c:v>
                </c:pt>
                <c:pt idx="2">
                  <c:v>ODS 10</c:v>
                </c:pt>
                <c:pt idx="3">
                  <c:v>ODS 16</c:v>
                </c:pt>
                <c:pt idx="4">
                  <c:v>ODS 5</c:v>
                </c:pt>
              </c:strCache>
            </c:strRef>
          </c:cat>
          <c:val>
            <c:numRef>
              <c:f>gráficas!$B$34:$B$39</c:f>
              <c:numCache>
                <c:formatCode>[$USD]\ #,##0</c:formatCode>
                <c:ptCount val="5"/>
                <c:pt idx="0">
                  <c:v>2645045.0000000028</c:v>
                </c:pt>
                <c:pt idx="1">
                  <c:v>3160186.6772727277</c:v>
                </c:pt>
                <c:pt idx="2">
                  <c:v>3408084.2115384634</c:v>
                </c:pt>
                <c:pt idx="3">
                  <c:v>5295079.1033333326</c:v>
                </c:pt>
                <c:pt idx="4">
                  <c:v>7798910.7583333366</c:v>
                </c:pt>
              </c:numCache>
            </c:numRef>
          </c:val>
          <c:extLst>
            <c:ext xmlns:c16="http://schemas.microsoft.com/office/drawing/2014/chart" uri="{C3380CC4-5D6E-409C-BE32-E72D297353CC}">
              <c16:uniqueId val="{00000013-5A10-4244-B853-6C57A3549DEB}"/>
            </c:ext>
          </c:extLst>
        </c:ser>
        <c:dLbls>
          <c:dLblPos val="outEnd"/>
          <c:showLegendKey val="0"/>
          <c:showVal val="1"/>
          <c:showCatName val="0"/>
          <c:showSerName val="0"/>
          <c:showPercent val="0"/>
          <c:showBubbleSize val="0"/>
        </c:dLbls>
        <c:gapWidth val="182"/>
        <c:axId val="1275241296"/>
        <c:axId val="1275241776"/>
      </c:barChart>
      <c:catAx>
        <c:axId val="12752412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venir Next LT Pro" panose="020B0504020202020204" pitchFamily="34" charset="0"/>
                <a:ea typeface="+mn-ea"/>
                <a:cs typeface="+mn-cs"/>
              </a:defRPr>
            </a:pPr>
            <a:endParaRPr lang="es-CO"/>
          </a:p>
        </c:txPr>
        <c:crossAx val="1275241776"/>
        <c:crosses val="autoZero"/>
        <c:auto val="1"/>
        <c:lblAlgn val="ctr"/>
        <c:lblOffset val="100"/>
        <c:noMultiLvlLbl val="0"/>
      </c:catAx>
      <c:valAx>
        <c:axId val="1275241776"/>
        <c:scaling>
          <c:orientation val="minMax"/>
        </c:scaling>
        <c:delete val="1"/>
        <c:axPos val="b"/>
        <c:numFmt formatCode="[$USD]\ #,##0" sourceLinked="1"/>
        <c:majorTickMark val="none"/>
        <c:minorTickMark val="none"/>
        <c:tickLblPos val="nextTo"/>
        <c:crossAx val="12752412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[Ficha territorial.xlsm]gráficas!actores</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gráficas!$B$3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gráficas!$A$4:$A$9</c:f>
              <c:strCache>
                <c:ptCount val="5"/>
                <c:pt idx="0">
                  <c:v>MPTF</c:v>
                </c:pt>
                <c:pt idx="1">
                  <c:v>BANCO DE DESARROLLO DE AMÉRICA LATINA - CAF</c:v>
                </c:pt>
                <c:pt idx="2">
                  <c:v>AGENCIA DE COOPERACIÓN INTERNACIONAL DE KOREA</c:v>
                </c:pt>
                <c:pt idx="3">
                  <c:v>Unión Europea</c:v>
                </c:pt>
                <c:pt idx="4">
                  <c:v>AGENCIA ESPAÑOLA DE COOPERACIÓN INTERNACIONAL PARA EL DESARROLLO</c:v>
                </c:pt>
              </c:strCache>
            </c:strRef>
          </c:cat>
          <c:val>
            <c:numRef>
              <c:f>gráficas!$B$4:$B$9</c:f>
              <c:numCache>
                <c:formatCode>[$USD]\ #,##0</c:formatCode>
                <c:ptCount val="5"/>
                <c:pt idx="0">
                  <c:v>1707305.8366666671</c:v>
                </c:pt>
                <c:pt idx="1">
                  <c:v>2154262.0000000033</c:v>
                </c:pt>
                <c:pt idx="2">
                  <c:v>2274090.8888888899</c:v>
                </c:pt>
                <c:pt idx="3">
                  <c:v>5755284.9766899794</c:v>
                </c:pt>
                <c:pt idx="4">
                  <c:v>6777554.827272729</c:v>
                </c:pt>
              </c:numCache>
            </c:numRef>
          </c:val>
          <c:extLst>
            <c:ext xmlns:c16="http://schemas.microsoft.com/office/drawing/2014/chart" uri="{C3380CC4-5D6E-409C-BE32-E72D297353CC}">
              <c16:uniqueId val="{00000012-9E2A-494E-9350-E9F88E6190D7}"/>
            </c:ext>
          </c:extLst>
        </c:ser>
        <c:dLbls>
          <c:dLblPos val="outEnd"/>
          <c:showLegendKey val="0"/>
          <c:showVal val="1"/>
          <c:showCatName val="0"/>
          <c:showSerName val="0"/>
          <c:showPercent val="0"/>
          <c:showBubbleSize val="0"/>
        </c:dLbls>
        <c:gapWidth val="182"/>
        <c:axId val="1460422640"/>
        <c:axId val="1460421200"/>
      </c:barChart>
      <c:catAx>
        <c:axId val="14604226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460421200"/>
        <c:crosses val="autoZero"/>
        <c:auto val="1"/>
        <c:lblAlgn val="ctr"/>
        <c:lblOffset val="100"/>
        <c:noMultiLvlLbl val="0"/>
      </c:catAx>
      <c:valAx>
        <c:axId val="1460421200"/>
        <c:scaling>
          <c:orientation val="minMax"/>
        </c:scaling>
        <c:delete val="1"/>
        <c:axPos val="b"/>
        <c:numFmt formatCode="[$USD]\ #,##0" sourceLinked="1"/>
        <c:majorTickMark val="none"/>
        <c:minorTickMark val="none"/>
        <c:tickLblPos val="nextTo"/>
        <c:crossAx val="14604226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[Ficha territorial.xlsm]gráficas!ods</c:name>
    <c:fmtId val="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gráficas!$B$33</c:f>
              <c:strCache>
                <c:ptCount val="1"/>
                <c:pt idx="0">
                  <c:v>Total</c:v>
                </c:pt>
              </c:strCache>
            </c:strRef>
          </c:tx>
          <c:spPr>
            <a:solidFill>
              <a:schemeClr val="accent1"/>
            </a:solidFill>
            <a:ln>
              <a:noFill/>
            </a:ln>
            <a:effectLst/>
          </c:spPr>
          <c:invertIfNegative val="0"/>
          <c:cat>
            <c:strRef>
              <c:f>gráficas!$A$34:$A$39</c:f>
              <c:strCache>
                <c:ptCount val="5"/>
                <c:pt idx="0">
                  <c:v>ODS 7</c:v>
                </c:pt>
                <c:pt idx="1">
                  <c:v>ODS 1</c:v>
                </c:pt>
                <c:pt idx="2">
                  <c:v>ODS 10</c:v>
                </c:pt>
                <c:pt idx="3">
                  <c:v>ODS 16</c:v>
                </c:pt>
                <c:pt idx="4">
                  <c:v>ODS 5</c:v>
                </c:pt>
              </c:strCache>
            </c:strRef>
          </c:cat>
          <c:val>
            <c:numRef>
              <c:f>gráficas!$B$34:$B$39</c:f>
              <c:numCache>
                <c:formatCode>[$USD]\ #,##0</c:formatCode>
                <c:ptCount val="5"/>
                <c:pt idx="0">
                  <c:v>2645045.0000000028</c:v>
                </c:pt>
                <c:pt idx="1">
                  <c:v>3160186.6772727277</c:v>
                </c:pt>
                <c:pt idx="2">
                  <c:v>3408084.2115384634</c:v>
                </c:pt>
                <c:pt idx="3">
                  <c:v>5295079.1033333326</c:v>
                </c:pt>
                <c:pt idx="4">
                  <c:v>7798910.7583333366</c:v>
                </c:pt>
              </c:numCache>
            </c:numRef>
          </c:val>
          <c:extLst>
            <c:ext xmlns:c16="http://schemas.microsoft.com/office/drawing/2014/chart" uri="{C3380CC4-5D6E-409C-BE32-E72D297353CC}">
              <c16:uniqueId val="{00000012-9F21-4A4C-A666-C41AE7161178}"/>
            </c:ext>
          </c:extLst>
        </c:ser>
        <c:dLbls>
          <c:showLegendKey val="0"/>
          <c:showVal val="0"/>
          <c:showCatName val="0"/>
          <c:showSerName val="0"/>
          <c:showPercent val="0"/>
          <c:showBubbleSize val="0"/>
        </c:dLbls>
        <c:gapWidth val="182"/>
        <c:axId val="1275241296"/>
        <c:axId val="1275241776"/>
      </c:barChart>
      <c:catAx>
        <c:axId val="12752412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275241776"/>
        <c:crosses val="autoZero"/>
        <c:auto val="1"/>
        <c:lblAlgn val="ctr"/>
        <c:lblOffset val="100"/>
        <c:noMultiLvlLbl val="0"/>
      </c:catAx>
      <c:valAx>
        <c:axId val="1275241776"/>
        <c:scaling>
          <c:orientation val="minMax"/>
        </c:scaling>
        <c:delete val="1"/>
        <c:axPos val="b"/>
        <c:numFmt formatCode="[$USD]\ #,##0" sourceLinked="1"/>
        <c:majorTickMark val="none"/>
        <c:minorTickMark val="none"/>
        <c:tickLblPos val="nextTo"/>
        <c:crossAx val="12752412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xdr:col>
      <xdr:colOff>2536372</xdr:colOff>
      <xdr:row>4</xdr:row>
      <xdr:rowOff>130628</xdr:rowOff>
    </xdr:from>
    <xdr:to>
      <xdr:col>7</xdr:col>
      <xdr:colOff>838200</xdr:colOff>
      <xdr:row>9</xdr:row>
      <xdr:rowOff>119743</xdr:rowOff>
    </xdr:to>
    <xdr:sp macro="" textlink="">
      <xdr:nvSpPr>
        <xdr:cNvPr id="13" name="Rectángulo: esquinas redondeadas 12">
          <a:extLst>
            <a:ext uri="{FF2B5EF4-FFF2-40B4-BE49-F238E27FC236}">
              <a16:creationId xmlns:a16="http://schemas.microsoft.com/office/drawing/2014/main" id="{79C9CFA5-5976-88C1-B46A-78144250625F}"/>
            </a:ext>
          </a:extLst>
        </xdr:cNvPr>
        <xdr:cNvSpPr/>
      </xdr:nvSpPr>
      <xdr:spPr>
        <a:xfrm>
          <a:off x="4125686" y="870857"/>
          <a:ext cx="9742714" cy="914400"/>
        </a:xfrm>
        <a:prstGeom prst="roundRect">
          <a:avLst/>
        </a:prstGeom>
        <a:solidFill>
          <a:srgbClr val="003F88"/>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2</xdr:col>
      <xdr:colOff>2525486</xdr:colOff>
      <xdr:row>5</xdr:row>
      <xdr:rowOff>42497</xdr:rowOff>
    </xdr:from>
    <xdr:to>
      <xdr:col>7</xdr:col>
      <xdr:colOff>849086</xdr:colOff>
      <xdr:row>9</xdr:row>
      <xdr:rowOff>108858</xdr:rowOff>
    </xdr:to>
    <xdr:sp macro="" textlink="">
      <xdr:nvSpPr>
        <xdr:cNvPr id="3" name="CuadroTexto 2">
          <a:extLst>
            <a:ext uri="{FF2B5EF4-FFF2-40B4-BE49-F238E27FC236}">
              <a16:creationId xmlns:a16="http://schemas.microsoft.com/office/drawing/2014/main" id="{6C5F8458-CB2D-B50F-F731-1D6041F05425}"/>
            </a:ext>
          </a:extLst>
        </xdr:cNvPr>
        <xdr:cNvSpPr txBox="1"/>
      </xdr:nvSpPr>
      <xdr:spPr>
        <a:xfrm>
          <a:off x="4114800" y="967783"/>
          <a:ext cx="9764486" cy="8065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400" b="1" i="0">
              <a:solidFill>
                <a:schemeClr val="bg1"/>
              </a:solidFill>
              <a:latin typeface="Garamond" panose="02020404030301010803" pitchFamily="18" charset="0"/>
            </a:rPr>
            <a:t>Sistema</a:t>
          </a:r>
          <a:r>
            <a:rPr lang="es-CO" sz="2400" b="1" i="0" baseline="0">
              <a:solidFill>
                <a:schemeClr val="bg1"/>
              </a:solidFill>
              <a:latin typeface="Garamond" panose="02020404030301010803" pitchFamily="18" charset="0"/>
            </a:rPr>
            <a:t> Nacional de Cooperación Internacional de Colombia -SNCIC-</a:t>
          </a:r>
        </a:p>
        <a:p>
          <a:pPr algn="ctr"/>
          <a:r>
            <a:rPr lang="es-CO" sz="2400" b="1" i="0" baseline="0">
              <a:solidFill>
                <a:schemeClr val="bg1"/>
              </a:solidFill>
              <a:latin typeface="Garamond" panose="02020404030301010803" pitchFamily="18" charset="0"/>
            </a:rPr>
            <a:t>Ficha Territorial</a:t>
          </a:r>
          <a:endParaRPr lang="es-CO" sz="2400" b="1" i="0">
            <a:solidFill>
              <a:schemeClr val="bg1"/>
            </a:solidFill>
            <a:latin typeface="Garamond" panose="02020404030301010803" pitchFamily="18" charset="0"/>
          </a:endParaRPr>
        </a:p>
      </xdr:txBody>
    </xdr:sp>
    <xdr:clientData/>
  </xdr:twoCellAnchor>
  <xdr:twoCellAnchor>
    <xdr:from>
      <xdr:col>1</xdr:col>
      <xdr:colOff>701040</xdr:colOff>
      <xdr:row>12</xdr:row>
      <xdr:rowOff>30480</xdr:rowOff>
    </xdr:from>
    <xdr:to>
      <xdr:col>2</xdr:col>
      <xdr:colOff>2446020</xdr:colOff>
      <xdr:row>14</xdr:row>
      <xdr:rowOff>38100</xdr:rowOff>
    </xdr:to>
    <xdr:sp macro="" textlink="">
      <xdr:nvSpPr>
        <xdr:cNvPr id="4" name="CuadroTexto 3">
          <a:extLst>
            <a:ext uri="{FF2B5EF4-FFF2-40B4-BE49-F238E27FC236}">
              <a16:creationId xmlns:a16="http://schemas.microsoft.com/office/drawing/2014/main" id="{2479745E-DD3C-484E-8683-0DD83FC57B4C}"/>
            </a:ext>
          </a:extLst>
        </xdr:cNvPr>
        <xdr:cNvSpPr txBox="1"/>
      </xdr:nvSpPr>
      <xdr:spPr>
        <a:xfrm>
          <a:off x="1493520" y="2407920"/>
          <a:ext cx="2537460" cy="373380"/>
        </a:xfrm>
        <a:prstGeom prst="rect">
          <a:avLst/>
        </a:prstGeom>
        <a:ln>
          <a:noFill/>
          <a:prstDash val="lgDash"/>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pPr algn="l"/>
          <a:r>
            <a:rPr lang="es-CO" sz="1800" b="1" i="0">
              <a:solidFill>
                <a:sysClr val="windowText" lastClr="000000"/>
              </a:solidFill>
              <a:latin typeface="Garamond" panose="02020404030301010803" pitchFamily="18" charset="0"/>
            </a:rPr>
            <a:t>Informació</a:t>
          </a:r>
          <a:r>
            <a:rPr lang="es-CO" sz="1800" b="1" i="0" baseline="0">
              <a:solidFill>
                <a:sysClr val="windowText" lastClr="000000"/>
              </a:solidFill>
              <a:latin typeface="Garamond" panose="02020404030301010803" pitchFamily="18" charset="0"/>
            </a:rPr>
            <a:t>n general</a:t>
          </a:r>
          <a:endParaRPr lang="es-CO" sz="1800" b="1" i="0">
            <a:solidFill>
              <a:sysClr val="windowText" lastClr="000000"/>
            </a:solidFill>
            <a:latin typeface="Garamond" panose="02020404030301010803" pitchFamily="18" charset="0"/>
          </a:endParaRPr>
        </a:p>
      </xdr:txBody>
    </xdr:sp>
    <xdr:clientData/>
  </xdr:twoCellAnchor>
  <xdr:twoCellAnchor>
    <xdr:from>
      <xdr:col>1</xdr:col>
      <xdr:colOff>739139</xdr:colOff>
      <xdr:row>34</xdr:row>
      <xdr:rowOff>152399</xdr:rowOff>
    </xdr:from>
    <xdr:to>
      <xdr:col>4</xdr:col>
      <xdr:colOff>118532</xdr:colOff>
      <xdr:row>38</xdr:row>
      <xdr:rowOff>120650</xdr:rowOff>
    </xdr:to>
    <xdr:sp macro="" textlink="">
      <xdr:nvSpPr>
        <xdr:cNvPr id="5" name="CuadroTexto 4">
          <a:extLst>
            <a:ext uri="{FF2B5EF4-FFF2-40B4-BE49-F238E27FC236}">
              <a16:creationId xmlns:a16="http://schemas.microsoft.com/office/drawing/2014/main" id="{F51C727B-92A7-4242-B1A1-51AAD2550B7C}"/>
            </a:ext>
          </a:extLst>
        </xdr:cNvPr>
        <xdr:cNvSpPr txBox="1"/>
      </xdr:nvSpPr>
      <xdr:spPr>
        <a:xfrm>
          <a:off x="1535006" y="7679266"/>
          <a:ext cx="6948593" cy="7133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s-CO" sz="1800" b="1" i="0">
              <a:solidFill>
                <a:sysClr val="windowText" lastClr="000000"/>
              </a:solidFill>
              <a:latin typeface="Garamond" panose="02020404030301010803" pitchFamily="18" charset="0"/>
              <a:ea typeface="+mn-ea"/>
              <a:cs typeface="+mn-cs"/>
            </a:rPr>
            <a:t>AOD</a:t>
          </a:r>
        </a:p>
        <a:p>
          <a:pPr marL="0" indent="0" algn="l"/>
          <a:r>
            <a:rPr lang="es-CO" sz="1000" b="0" i="0">
              <a:solidFill>
                <a:sysClr val="windowText" lastClr="000000"/>
              </a:solidFill>
              <a:latin typeface="Garamond" panose="02020404030301010803" pitchFamily="18" charset="0"/>
              <a:ea typeface="+mn-ea"/>
              <a:cs typeface="+mn-cs"/>
            </a:rPr>
            <a:t>*Datos tomados de Cíclope con corte a enero</a:t>
          </a:r>
          <a:r>
            <a:rPr lang="es-CO" sz="1000" b="0" i="0" baseline="0">
              <a:solidFill>
                <a:sysClr val="windowText" lastClr="000000"/>
              </a:solidFill>
              <a:latin typeface="Garamond" panose="02020404030301010803" pitchFamily="18" charset="0"/>
              <a:ea typeface="+mn-ea"/>
              <a:cs typeface="+mn-cs"/>
            </a:rPr>
            <a:t> de 2026</a:t>
          </a:r>
          <a:r>
            <a:rPr lang="es-CO" sz="1000" b="0" i="0">
              <a:solidFill>
                <a:sysClr val="windowText" lastClr="000000"/>
              </a:solidFill>
              <a:latin typeface="Garamond" panose="02020404030301010803" pitchFamily="18" charset="0"/>
              <a:ea typeface="+mn-ea"/>
              <a:cs typeface="+mn-cs"/>
            </a:rPr>
            <a:t> </a:t>
          </a:r>
        </a:p>
        <a:p>
          <a:pPr marL="0" indent="0" algn="l"/>
          <a:r>
            <a:rPr lang="es-CO" sz="1000" b="0" i="0">
              <a:solidFill>
                <a:sysClr val="windowText" lastClr="000000"/>
              </a:solidFill>
              <a:latin typeface="Garamond" panose="02020404030301010803" pitchFamily="18" charset="0"/>
              <a:ea typeface="+mn-ea"/>
              <a:cs typeface="+mn-cs"/>
            </a:rPr>
            <a:t>Solo se referencian los proyectos vigentes (fecha de finalización 2026 o posterior)</a:t>
          </a:r>
        </a:p>
        <a:p>
          <a:pPr marL="0" indent="0" algn="l"/>
          <a:endParaRPr lang="es-CO" sz="1000" b="1" i="0">
            <a:solidFill>
              <a:sysClr val="windowText" lastClr="000000"/>
            </a:solidFill>
            <a:latin typeface="Garamond" panose="02020404030301010803" pitchFamily="18" charset="0"/>
            <a:ea typeface="+mn-ea"/>
            <a:cs typeface="+mn-cs"/>
          </a:endParaRPr>
        </a:p>
        <a:p>
          <a:pPr marL="0" indent="0" algn="l"/>
          <a:endParaRPr lang="es-CO" sz="1800" b="1" i="0">
            <a:solidFill>
              <a:sysClr val="windowText" lastClr="000000"/>
            </a:solidFill>
            <a:latin typeface="Garamond" panose="02020404030301010803" pitchFamily="18" charset="0"/>
            <a:ea typeface="+mn-ea"/>
            <a:cs typeface="+mn-cs"/>
          </a:endParaRPr>
        </a:p>
      </xdr:txBody>
    </xdr:sp>
    <xdr:clientData/>
  </xdr:twoCellAnchor>
  <xdr:twoCellAnchor>
    <xdr:from>
      <xdr:col>1</xdr:col>
      <xdr:colOff>736600</xdr:colOff>
      <xdr:row>68</xdr:row>
      <xdr:rowOff>79587</xdr:rowOff>
    </xdr:from>
    <xdr:to>
      <xdr:col>4</xdr:col>
      <xdr:colOff>1742440</xdr:colOff>
      <xdr:row>72</xdr:row>
      <xdr:rowOff>50800</xdr:rowOff>
    </xdr:to>
    <xdr:sp macro="" textlink="">
      <xdr:nvSpPr>
        <xdr:cNvPr id="6" name="CuadroTexto 5">
          <a:extLst>
            <a:ext uri="{FF2B5EF4-FFF2-40B4-BE49-F238E27FC236}">
              <a16:creationId xmlns:a16="http://schemas.microsoft.com/office/drawing/2014/main" id="{23D03CF4-1F65-4051-A433-D69AFC900F0A}"/>
            </a:ext>
          </a:extLst>
        </xdr:cNvPr>
        <xdr:cNvSpPr txBox="1"/>
      </xdr:nvSpPr>
      <xdr:spPr>
        <a:xfrm>
          <a:off x="1532467" y="15649787"/>
          <a:ext cx="8972973" cy="716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s-CO" sz="1800" b="1" i="0">
              <a:solidFill>
                <a:sysClr val="windowText" lastClr="000000"/>
              </a:solidFill>
              <a:latin typeface="Garamond" panose="02020404030301010803" pitchFamily="18" charset="0"/>
            </a:rPr>
            <a:t>Contrapartida</a:t>
          </a:r>
        </a:p>
        <a:p>
          <a:pPr marL="0" marR="0" lvl="0" indent="0" algn="l" defTabSz="914400" eaLnBrk="1" fontAlgn="auto" latinLnBrk="0" hangingPunct="1">
            <a:lnSpc>
              <a:spcPct val="100000"/>
            </a:lnSpc>
            <a:spcBef>
              <a:spcPts val="0"/>
            </a:spcBef>
            <a:spcAft>
              <a:spcPts val="0"/>
            </a:spcAft>
            <a:buClrTx/>
            <a:buSzTx/>
            <a:buFontTx/>
            <a:buNone/>
            <a:tabLst/>
            <a:defRPr/>
          </a:pPr>
          <a:r>
            <a:rPr lang="es-CO" sz="1400" b="1" i="0">
              <a:solidFill>
                <a:sysClr val="windowText" lastClr="000000"/>
              </a:solidFill>
              <a:latin typeface="Garamond" panose="02020404030301010803" pitchFamily="18" charset="0"/>
            </a:rPr>
            <a:t> </a:t>
          </a:r>
          <a:r>
            <a:rPr lang="es-CO" sz="1000" b="1" i="0" baseline="0">
              <a:solidFill>
                <a:sysClr val="windowText" lastClr="000000"/>
              </a:solidFill>
              <a:effectLst/>
              <a:latin typeface="Garamond" panose="02020404030301010803" pitchFamily="18" charset="0"/>
              <a:ea typeface="+mn-ea"/>
              <a:cs typeface="+mn-cs"/>
            </a:rPr>
            <a:t>*</a:t>
          </a:r>
          <a:r>
            <a:rPr lang="es-CO" sz="1000" baseline="0">
              <a:solidFill>
                <a:sysClr val="windowText" lastClr="000000"/>
              </a:solidFill>
              <a:effectLst/>
              <a:latin typeface="Garamond" panose="02020404030301010803" pitchFamily="18" charset="0"/>
              <a:ea typeface="+mn-ea"/>
              <a:cs typeface="+mn-cs"/>
            </a:rPr>
            <a:t>Solo se referencian los proyectos vigentes (2025 - 2026) </a:t>
          </a:r>
        </a:p>
        <a:p>
          <a:pPr marL="0" marR="0" lvl="0" indent="0" algn="l" defTabSz="914400" eaLnBrk="1" fontAlgn="auto" latinLnBrk="0" hangingPunct="1">
            <a:lnSpc>
              <a:spcPct val="100000"/>
            </a:lnSpc>
            <a:spcBef>
              <a:spcPts val="0"/>
            </a:spcBef>
            <a:spcAft>
              <a:spcPts val="0"/>
            </a:spcAft>
            <a:buClrTx/>
            <a:buSzTx/>
            <a:buFontTx/>
            <a:buNone/>
            <a:tabLst/>
            <a:defRPr/>
          </a:pPr>
          <a:r>
            <a:rPr lang="es-CO" sz="1000" baseline="0">
              <a:solidFill>
                <a:sysClr val="windowText" lastClr="000000"/>
              </a:solidFill>
              <a:effectLst/>
              <a:latin typeface="Garamond" panose="02020404030301010803" pitchFamily="18" charset="0"/>
              <a:ea typeface="+mn-ea"/>
              <a:cs typeface="+mn-cs"/>
            </a:rPr>
            <a:t>Datos proporcionados por el equipo de apoyo financiero enero 2026</a:t>
          </a:r>
          <a:endParaRPr lang="es-CO" sz="1100">
            <a:solidFill>
              <a:sysClr val="windowText" lastClr="000000"/>
            </a:solidFill>
            <a:effectLst/>
            <a:latin typeface="Garamond" panose="02020404030301010803" pitchFamily="18" charset="0"/>
          </a:endParaRPr>
        </a:p>
        <a:p>
          <a:pPr algn="l"/>
          <a:endParaRPr lang="es-CO" sz="1400" b="1" i="0" baseline="0">
            <a:solidFill>
              <a:srgbClr val="00B050"/>
            </a:solidFill>
          </a:endParaRPr>
        </a:p>
        <a:p>
          <a:pPr algn="l"/>
          <a:endParaRPr lang="es-CO" sz="1400" b="1" i="0">
            <a:solidFill>
              <a:schemeClr val="accent6">
                <a:lumMod val="50000"/>
              </a:schemeClr>
            </a:solidFill>
          </a:endParaRPr>
        </a:p>
      </xdr:txBody>
    </xdr:sp>
    <xdr:clientData/>
  </xdr:twoCellAnchor>
  <xdr:twoCellAnchor>
    <xdr:from>
      <xdr:col>1</xdr:col>
      <xdr:colOff>751840</xdr:colOff>
      <xdr:row>26</xdr:row>
      <xdr:rowOff>6350</xdr:rowOff>
    </xdr:from>
    <xdr:to>
      <xdr:col>4</xdr:col>
      <xdr:colOff>1276350</xdr:colOff>
      <xdr:row>28</xdr:row>
      <xdr:rowOff>114300</xdr:rowOff>
    </xdr:to>
    <xdr:sp macro="" textlink="">
      <xdr:nvSpPr>
        <xdr:cNvPr id="7" name="CuadroTexto 6">
          <a:extLst>
            <a:ext uri="{FF2B5EF4-FFF2-40B4-BE49-F238E27FC236}">
              <a16:creationId xmlns:a16="http://schemas.microsoft.com/office/drawing/2014/main" id="{7C71A23E-964D-4840-9542-C40CF9A240DF}"/>
            </a:ext>
          </a:extLst>
        </xdr:cNvPr>
        <xdr:cNvSpPr txBox="1"/>
      </xdr:nvSpPr>
      <xdr:spPr>
        <a:xfrm>
          <a:off x="1545590" y="5092700"/>
          <a:ext cx="8379460" cy="476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1800" b="1" i="0">
              <a:solidFill>
                <a:sysClr val="windowText" lastClr="000000"/>
              </a:solidFill>
              <a:latin typeface="Garamond" panose="02020404030301010803" pitchFamily="18" charset="0"/>
            </a:rPr>
            <a:t>Plan de trabajo en el marco de los espacios</a:t>
          </a:r>
          <a:r>
            <a:rPr lang="es-CO" sz="1800" b="1" i="0" baseline="0">
              <a:solidFill>
                <a:sysClr val="windowText" lastClr="000000"/>
              </a:solidFill>
              <a:latin typeface="Garamond" panose="02020404030301010803" pitchFamily="18" charset="0"/>
            </a:rPr>
            <a:t> de articulación del SNCIC</a:t>
          </a:r>
        </a:p>
        <a:p>
          <a:pPr algn="l"/>
          <a:endParaRPr lang="es-CO" sz="1400" b="1" i="0">
            <a:solidFill>
              <a:schemeClr val="accent6">
                <a:lumMod val="50000"/>
              </a:schemeClr>
            </a:solidFill>
          </a:endParaRPr>
        </a:p>
      </xdr:txBody>
    </xdr:sp>
    <xdr:clientData/>
  </xdr:twoCellAnchor>
  <xdr:twoCellAnchor>
    <xdr:from>
      <xdr:col>1</xdr:col>
      <xdr:colOff>756920</xdr:colOff>
      <xdr:row>59</xdr:row>
      <xdr:rowOff>103292</xdr:rowOff>
    </xdr:from>
    <xdr:to>
      <xdr:col>4</xdr:col>
      <xdr:colOff>414020</xdr:colOff>
      <xdr:row>63</xdr:row>
      <xdr:rowOff>25399</xdr:rowOff>
    </xdr:to>
    <xdr:sp macro="" textlink="">
      <xdr:nvSpPr>
        <xdr:cNvPr id="8" name="CuadroTexto 7">
          <a:extLst>
            <a:ext uri="{FF2B5EF4-FFF2-40B4-BE49-F238E27FC236}">
              <a16:creationId xmlns:a16="http://schemas.microsoft.com/office/drawing/2014/main" id="{8E3D64D4-16EB-4B3D-A47C-96BA6754C9E2}"/>
            </a:ext>
          </a:extLst>
        </xdr:cNvPr>
        <xdr:cNvSpPr txBox="1"/>
      </xdr:nvSpPr>
      <xdr:spPr>
        <a:xfrm>
          <a:off x="1552787" y="12583159"/>
          <a:ext cx="7624233" cy="6671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s-CO" sz="1800" b="1" i="0">
              <a:solidFill>
                <a:sysClr val="windowText" lastClr="000000"/>
              </a:solidFill>
              <a:latin typeface="Garamond" panose="02020404030301010803" pitchFamily="18" charset="0"/>
            </a:rPr>
            <a:t>COL</a:t>
          </a:r>
          <a:r>
            <a:rPr lang="es-CO" sz="1800" b="1" i="0" baseline="0">
              <a:solidFill>
                <a:sysClr val="windowText" lastClr="000000"/>
              </a:solidFill>
              <a:latin typeface="Garamond" panose="02020404030301010803" pitchFamily="18" charset="0"/>
            </a:rPr>
            <a:t> - COL </a:t>
          </a:r>
        </a:p>
        <a:p>
          <a:pPr marL="0" marR="0" lvl="0" indent="0" algn="l" defTabSz="914400" eaLnBrk="1" fontAlgn="auto" latinLnBrk="0" hangingPunct="1">
            <a:lnSpc>
              <a:spcPct val="100000"/>
            </a:lnSpc>
            <a:spcBef>
              <a:spcPts val="0"/>
            </a:spcBef>
            <a:spcAft>
              <a:spcPts val="0"/>
            </a:spcAft>
            <a:buClrTx/>
            <a:buSzTx/>
            <a:buFontTx/>
            <a:buNone/>
            <a:tabLst/>
            <a:defRPr/>
          </a:pPr>
          <a:r>
            <a:rPr lang="es-CO" sz="1100" b="1" i="0" baseline="0">
              <a:solidFill>
                <a:sysClr val="windowText" lastClr="000000"/>
              </a:solidFill>
              <a:latin typeface="Garamond" panose="02020404030301010803" pitchFamily="18" charset="0"/>
            </a:rPr>
            <a:t>*</a:t>
          </a:r>
          <a:r>
            <a:rPr lang="es-CO" sz="1000" baseline="0">
              <a:solidFill>
                <a:sysClr val="windowText" lastClr="000000"/>
              </a:solidFill>
              <a:effectLst/>
              <a:latin typeface="Garamond" panose="02020404030301010803" pitchFamily="18" charset="0"/>
              <a:ea typeface="+mn-ea"/>
              <a:cs typeface="+mn-cs"/>
            </a:rPr>
            <a:t>Solo se referencian los proyectos 2025 </a:t>
          </a:r>
        </a:p>
        <a:p>
          <a:pPr marL="0" marR="0" lvl="0" indent="0" algn="l" defTabSz="914400" eaLnBrk="1" fontAlgn="auto" latinLnBrk="0" hangingPunct="1">
            <a:lnSpc>
              <a:spcPct val="100000"/>
            </a:lnSpc>
            <a:spcBef>
              <a:spcPts val="0"/>
            </a:spcBef>
            <a:spcAft>
              <a:spcPts val="0"/>
            </a:spcAft>
            <a:buClrTx/>
            <a:buSzTx/>
            <a:buFontTx/>
            <a:buNone/>
            <a:tabLst/>
            <a:defRPr/>
          </a:pPr>
          <a:r>
            <a:rPr lang="es-CO" sz="1000" baseline="0">
              <a:solidFill>
                <a:sysClr val="windowText" lastClr="000000"/>
              </a:solidFill>
              <a:effectLst/>
              <a:latin typeface="Garamond" panose="02020404030301010803" pitchFamily="18" charset="0"/>
              <a:ea typeface="+mn-ea"/>
              <a:cs typeface="+mn-cs"/>
            </a:rPr>
            <a:t> Datos tomados de la base de datos de COLCOL enero 2026</a:t>
          </a:r>
        </a:p>
        <a:p>
          <a:pPr marL="0" marR="0" lvl="0" indent="0" algn="l" defTabSz="914400" eaLnBrk="1" fontAlgn="auto" latinLnBrk="0" hangingPunct="1">
            <a:lnSpc>
              <a:spcPct val="100000"/>
            </a:lnSpc>
            <a:spcBef>
              <a:spcPts val="0"/>
            </a:spcBef>
            <a:spcAft>
              <a:spcPts val="0"/>
            </a:spcAft>
            <a:buClrTx/>
            <a:buSzTx/>
            <a:buFontTx/>
            <a:buNone/>
            <a:tabLst/>
            <a:defRPr/>
          </a:pPr>
          <a:endParaRPr lang="es-CO" sz="1400" b="1" i="0" baseline="0">
            <a:solidFill>
              <a:srgbClr val="00B050"/>
            </a:solidFill>
          </a:endParaRPr>
        </a:p>
        <a:p>
          <a:pPr algn="l"/>
          <a:endParaRPr lang="es-CO" sz="1400" b="1" i="0">
            <a:solidFill>
              <a:schemeClr val="accent6">
                <a:lumMod val="50000"/>
              </a:schemeClr>
            </a:solidFill>
          </a:endParaRPr>
        </a:p>
      </xdr:txBody>
    </xdr:sp>
    <xdr:clientData/>
  </xdr:twoCellAnchor>
  <xdr:twoCellAnchor>
    <xdr:from>
      <xdr:col>1</xdr:col>
      <xdr:colOff>746760</xdr:colOff>
      <xdr:row>83</xdr:row>
      <xdr:rowOff>91440</xdr:rowOff>
    </xdr:from>
    <xdr:to>
      <xdr:col>2</xdr:col>
      <xdr:colOff>1600200</xdr:colOff>
      <xdr:row>85</xdr:row>
      <xdr:rowOff>38100</xdr:rowOff>
    </xdr:to>
    <xdr:sp macro="ExportarPDF_FichaYProyectos2" textlink="">
      <xdr:nvSpPr>
        <xdr:cNvPr id="16" name="btnExportarPDF">
          <a:extLst>
            <a:ext uri="{FF2B5EF4-FFF2-40B4-BE49-F238E27FC236}">
              <a16:creationId xmlns:a16="http://schemas.microsoft.com/office/drawing/2014/main" id="{077CF1F3-3654-AD6D-58F8-B498C6BC5745}"/>
            </a:ext>
          </a:extLst>
        </xdr:cNvPr>
        <xdr:cNvSpPr/>
      </xdr:nvSpPr>
      <xdr:spPr>
        <a:xfrm>
          <a:off x="1539240" y="18669000"/>
          <a:ext cx="1645920" cy="312420"/>
        </a:xfrm>
        <a:prstGeom prst="roundRect">
          <a:avLst/>
        </a:prstGeom>
        <a:solidFill>
          <a:srgbClr val="003F88"/>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b="1">
              <a:solidFill>
                <a:srgbClr val="FFFFFF"/>
              </a:solidFill>
              <a:latin typeface="Avenir Next LT Pro" panose="020B0504020202020204" pitchFamily="34" charset="0"/>
            </a:rPr>
            <a:t>Exportar PDF</a:t>
          </a:r>
        </a:p>
      </xdr:txBody>
    </xdr:sp>
    <xdr:clientData/>
  </xdr:twoCellAnchor>
  <xdr:twoCellAnchor editAs="oneCell">
    <xdr:from>
      <xdr:col>3</xdr:col>
      <xdr:colOff>2188029</xdr:colOff>
      <xdr:row>1</xdr:row>
      <xdr:rowOff>88365</xdr:rowOff>
    </xdr:from>
    <xdr:to>
      <xdr:col>3</xdr:col>
      <xdr:colOff>3110340</xdr:colOff>
      <xdr:row>3</xdr:row>
      <xdr:rowOff>145142</xdr:rowOff>
    </xdr:to>
    <xdr:pic>
      <xdr:nvPicPr>
        <xdr:cNvPr id="10" name="Imagen 9">
          <a:extLst>
            <a:ext uri="{FF2B5EF4-FFF2-40B4-BE49-F238E27FC236}">
              <a16:creationId xmlns:a16="http://schemas.microsoft.com/office/drawing/2014/main" id="{D7DFF515-4AA0-8821-99D7-EF6FF695BE5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535886" y="273422"/>
          <a:ext cx="922311" cy="426891"/>
        </a:xfrm>
        <a:prstGeom prst="rect">
          <a:avLst/>
        </a:prstGeom>
      </xdr:spPr>
    </xdr:pic>
    <xdr:clientData/>
  </xdr:twoCellAnchor>
  <xdr:twoCellAnchor>
    <xdr:from>
      <xdr:col>2</xdr:col>
      <xdr:colOff>10886</xdr:colOff>
      <xdr:row>47</xdr:row>
      <xdr:rowOff>0</xdr:rowOff>
    </xdr:from>
    <xdr:to>
      <xdr:col>3</xdr:col>
      <xdr:colOff>3614057</xdr:colOff>
      <xdr:row>57</xdr:row>
      <xdr:rowOff>61784</xdr:rowOff>
    </xdr:to>
    <xdr:graphicFrame macro="">
      <xdr:nvGraphicFramePr>
        <xdr:cNvPr id="2" name="Gráfico 1">
          <a:extLst>
            <a:ext uri="{FF2B5EF4-FFF2-40B4-BE49-F238E27FC236}">
              <a16:creationId xmlns:a16="http://schemas.microsoft.com/office/drawing/2014/main" id="{01450A5F-FD8E-4F25-A269-7D644369B8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751115</xdr:colOff>
      <xdr:row>47</xdr:row>
      <xdr:rowOff>32069</xdr:rowOff>
    </xdr:from>
    <xdr:to>
      <xdr:col>11</xdr:col>
      <xdr:colOff>468087</xdr:colOff>
      <xdr:row>57</xdr:row>
      <xdr:rowOff>42366</xdr:rowOff>
    </xdr:to>
    <xdr:graphicFrame macro="">
      <xdr:nvGraphicFramePr>
        <xdr:cNvPr id="9" name="Gráfico 8">
          <a:extLst>
            <a:ext uri="{FF2B5EF4-FFF2-40B4-BE49-F238E27FC236}">
              <a16:creationId xmlns:a16="http://schemas.microsoft.com/office/drawing/2014/main" id="{D57BE4FD-4ECF-45DE-A9B0-D2266F09BE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760592</xdr:colOff>
      <xdr:row>45</xdr:row>
      <xdr:rowOff>87183</xdr:rowOff>
    </xdr:from>
    <xdr:to>
      <xdr:col>3</xdr:col>
      <xdr:colOff>1019672</xdr:colOff>
      <xdr:row>46</xdr:row>
      <xdr:rowOff>205946</xdr:rowOff>
    </xdr:to>
    <xdr:sp macro="" textlink="">
      <xdr:nvSpPr>
        <xdr:cNvPr id="11" name="CuadroTexto 10">
          <a:extLst>
            <a:ext uri="{FF2B5EF4-FFF2-40B4-BE49-F238E27FC236}">
              <a16:creationId xmlns:a16="http://schemas.microsoft.com/office/drawing/2014/main" id="{C21AFF82-8A04-460E-9666-82E9D40D39BD}"/>
            </a:ext>
          </a:extLst>
        </xdr:cNvPr>
        <xdr:cNvSpPr txBox="1"/>
      </xdr:nvSpPr>
      <xdr:spPr>
        <a:xfrm>
          <a:off x="1553484" y="10466859"/>
          <a:ext cx="4347107" cy="3041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1800" b="1" i="0">
              <a:solidFill>
                <a:sysClr val="windowText" lastClr="000000"/>
              </a:solidFill>
              <a:latin typeface="Garamond" panose="02020404030301010803" pitchFamily="18" charset="0"/>
            </a:rPr>
            <a:t>Principales cooperantes</a:t>
          </a:r>
          <a:endParaRPr lang="es-CO" sz="1800" baseline="0">
            <a:solidFill>
              <a:sysClr val="windowText" lastClr="000000"/>
            </a:solidFill>
            <a:effectLst/>
            <a:latin typeface="Garamond" panose="02020404030301010803" pitchFamily="18" charset="0"/>
            <a:ea typeface="+mn-ea"/>
            <a:cs typeface="+mn-cs"/>
          </a:endParaRPr>
        </a:p>
        <a:p>
          <a:endParaRPr lang="es-CO" sz="1800">
            <a:solidFill>
              <a:sysClr val="windowText" lastClr="000000"/>
            </a:solidFill>
            <a:effectLst/>
            <a:latin typeface="Garamond" panose="02020404030301010803" pitchFamily="18" charset="0"/>
          </a:endParaRPr>
        </a:p>
        <a:p>
          <a:pPr algn="l"/>
          <a:endParaRPr lang="es-CO" sz="1800" b="1" i="0">
            <a:solidFill>
              <a:schemeClr val="accent6">
                <a:lumMod val="50000"/>
              </a:schemeClr>
            </a:solidFill>
            <a:latin typeface="Garamond" panose="02020404030301010803" pitchFamily="18" charset="0"/>
          </a:endParaRPr>
        </a:p>
      </xdr:txBody>
    </xdr:sp>
    <xdr:clientData/>
  </xdr:twoCellAnchor>
  <xdr:twoCellAnchor>
    <xdr:from>
      <xdr:col>4</xdr:col>
      <xdr:colOff>859446</xdr:colOff>
      <xdr:row>45</xdr:row>
      <xdr:rowOff>95421</xdr:rowOff>
    </xdr:from>
    <xdr:to>
      <xdr:col>8</xdr:col>
      <xdr:colOff>312101</xdr:colOff>
      <xdr:row>46</xdr:row>
      <xdr:rowOff>214184</xdr:rowOff>
    </xdr:to>
    <xdr:sp macro="" textlink="">
      <xdr:nvSpPr>
        <xdr:cNvPr id="12" name="CuadroTexto 11">
          <a:extLst>
            <a:ext uri="{FF2B5EF4-FFF2-40B4-BE49-F238E27FC236}">
              <a16:creationId xmlns:a16="http://schemas.microsoft.com/office/drawing/2014/main" id="{1D8014D0-2FA6-45D5-8955-0F5334CE62D3}"/>
            </a:ext>
          </a:extLst>
        </xdr:cNvPr>
        <xdr:cNvSpPr txBox="1"/>
      </xdr:nvSpPr>
      <xdr:spPr>
        <a:xfrm>
          <a:off x="9774846" y="10219135"/>
          <a:ext cx="4547169" cy="303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1800" b="1" i="0" baseline="0">
              <a:solidFill>
                <a:sysClr val="windowText" lastClr="000000"/>
              </a:solidFill>
              <a:effectLst/>
              <a:latin typeface="Garamond" panose="02020404030301010803" pitchFamily="18" charset="0"/>
              <a:ea typeface="+mn-ea"/>
              <a:cs typeface="+mn-cs"/>
            </a:rPr>
            <a:t>ODS con mayor financiación</a:t>
          </a:r>
          <a:endParaRPr lang="es-CO" sz="1800" baseline="0">
            <a:solidFill>
              <a:sysClr val="windowText" lastClr="000000"/>
            </a:solidFill>
            <a:effectLst/>
            <a:latin typeface="Garamond" panose="02020404030301010803" pitchFamily="18" charset="0"/>
            <a:ea typeface="+mn-ea"/>
            <a:cs typeface="+mn-cs"/>
          </a:endParaRPr>
        </a:p>
        <a:p>
          <a:endParaRPr lang="es-CO" sz="1800">
            <a:solidFill>
              <a:sysClr val="windowText" lastClr="000000"/>
            </a:solidFill>
            <a:effectLst/>
            <a:latin typeface="Garamond" panose="02020404030301010803" pitchFamily="18" charset="0"/>
          </a:endParaRPr>
        </a:p>
        <a:p>
          <a:pPr algn="l"/>
          <a:endParaRPr lang="es-CO" sz="1800" b="1" i="0">
            <a:solidFill>
              <a:schemeClr val="accent6">
                <a:lumMod val="50000"/>
              </a:schemeClr>
            </a:solidFill>
            <a:latin typeface="Garamond" panose="02020404030301010803"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xdr:row>
      <xdr:rowOff>38100</xdr:rowOff>
    </xdr:from>
    <xdr:to>
      <xdr:col>1</xdr:col>
      <xdr:colOff>1173480</xdr:colOff>
      <xdr:row>4</xdr:row>
      <xdr:rowOff>7620</xdr:rowOff>
    </xdr:to>
    <xdr:sp macro="" textlink="">
      <xdr:nvSpPr>
        <xdr:cNvPr id="2" name="CuadroTexto 1">
          <a:extLst>
            <a:ext uri="{FF2B5EF4-FFF2-40B4-BE49-F238E27FC236}">
              <a16:creationId xmlns:a16="http://schemas.microsoft.com/office/drawing/2014/main" id="{3548CF98-67CA-4D0C-8FC4-7DD2AE834E03}"/>
            </a:ext>
          </a:extLst>
        </xdr:cNvPr>
        <xdr:cNvSpPr txBox="1"/>
      </xdr:nvSpPr>
      <xdr:spPr>
        <a:xfrm>
          <a:off x="0" y="190500"/>
          <a:ext cx="3718560" cy="42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2000" b="1" i="0">
              <a:solidFill>
                <a:schemeClr val="bg1"/>
              </a:solidFill>
              <a:latin typeface="Garamond" panose="02020404030301010803" pitchFamily="18" charset="0"/>
            </a:rPr>
            <a:t>Proyectos</a:t>
          </a:r>
          <a:r>
            <a:rPr lang="es-CO" sz="2000" b="1" i="0" baseline="0">
              <a:solidFill>
                <a:schemeClr val="bg1"/>
              </a:solidFill>
              <a:latin typeface="Garamond" panose="02020404030301010803" pitchFamily="18" charset="0"/>
            </a:rPr>
            <a:t> vigentes - AOD</a:t>
          </a:r>
          <a:endParaRPr lang="es-CO" sz="2000" b="1" i="0">
            <a:solidFill>
              <a:schemeClr val="bg1"/>
            </a:solidFill>
            <a:latin typeface="Garamond" panose="02020404030301010803" pitchFamily="18"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xdr:row>
      <xdr:rowOff>38100</xdr:rowOff>
    </xdr:from>
    <xdr:to>
      <xdr:col>5</xdr:col>
      <xdr:colOff>662940</xdr:colOff>
      <xdr:row>4</xdr:row>
      <xdr:rowOff>7620</xdr:rowOff>
    </xdr:to>
    <xdr:sp macro="" textlink="">
      <xdr:nvSpPr>
        <xdr:cNvPr id="2" name="CuadroTexto 1">
          <a:extLst>
            <a:ext uri="{FF2B5EF4-FFF2-40B4-BE49-F238E27FC236}">
              <a16:creationId xmlns:a16="http://schemas.microsoft.com/office/drawing/2014/main" id="{9EB80E2E-9142-47B6-AFA9-3B090512C5FD}"/>
            </a:ext>
          </a:extLst>
        </xdr:cNvPr>
        <xdr:cNvSpPr txBox="1"/>
      </xdr:nvSpPr>
      <xdr:spPr>
        <a:xfrm>
          <a:off x="0" y="190500"/>
          <a:ext cx="6911340" cy="42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2000" b="1" i="0">
              <a:solidFill>
                <a:schemeClr val="bg1"/>
              </a:solidFill>
              <a:latin typeface="Garamond" panose="02020404030301010803" pitchFamily="18" charset="0"/>
            </a:rPr>
            <a:t>Proyectos</a:t>
          </a:r>
          <a:r>
            <a:rPr lang="es-CO" sz="2000" b="1" i="0" baseline="0">
              <a:solidFill>
                <a:schemeClr val="bg1"/>
              </a:solidFill>
              <a:latin typeface="Garamond" panose="02020404030301010803" pitchFamily="18" charset="0"/>
            </a:rPr>
            <a:t> vigentes (que no se encuentran en Cíclope)</a:t>
          </a:r>
          <a:endParaRPr lang="es-CO" sz="2000" b="1" i="0">
            <a:solidFill>
              <a:schemeClr val="bg1"/>
            </a:solidFill>
            <a:latin typeface="Garamond" panose="02020404030301010803"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701040</xdr:colOff>
      <xdr:row>11</xdr:row>
      <xdr:rowOff>72390</xdr:rowOff>
    </xdr:from>
    <xdr:to>
      <xdr:col>4</xdr:col>
      <xdr:colOff>350520</xdr:colOff>
      <xdr:row>26</xdr:row>
      <xdr:rowOff>72390</xdr:rowOff>
    </xdr:to>
    <xdr:graphicFrame macro="">
      <xdr:nvGraphicFramePr>
        <xdr:cNvPr id="2" name="Gráfico 1">
          <a:extLst>
            <a:ext uri="{FF2B5EF4-FFF2-40B4-BE49-F238E27FC236}">
              <a16:creationId xmlns:a16="http://schemas.microsoft.com/office/drawing/2014/main" id="{23BE5DFB-2723-09D3-5874-339E235FF18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182880</xdr:colOff>
      <xdr:row>29</xdr:row>
      <xdr:rowOff>125730</xdr:rowOff>
    </xdr:from>
    <xdr:to>
      <xdr:col>9</xdr:col>
      <xdr:colOff>0</xdr:colOff>
      <xdr:row>44</xdr:row>
      <xdr:rowOff>125730</xdr:rowOff>
    </xdr:to>
    <xdr:graphicFrame macro="">
      <xdr:nvGraphicFramePr>
        <xdr:cNvPr id="3" name="Gráfico 2">
          <a:extLst>
            <a:ext uri="{FF2B5EF4-FFF2-40B4-BE49-F238E27FC236}">
              <a16:creationId xmlns:a16="http://schemas.microsoft.com/office/drawing/2014/main" id="{B0D8E962-7EF5-C664-C584-A6EB2AFABEB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ana Apache" refreshedDate="46051.68740347222" createdVersion="8" refreshedVersion="8" minRefreshableVersion="3" recordCount="2879" xr:uid="{D354F2BB-747C-434C-AA1F-266572B6139A}">
  <cacheSource type="worksheet">
    <worksheetSource name="ciclope"/>
  </cacheSource>
  <cacheFields count="17">
    <cacheField name="CODIGO INTERVENCION" numFmtId="0">
      <sharedItems/>
    </cacheField>
    <cacheField name="NOMBRE INTERVENCION" numFmtId="0">
      <sharedItems longText="1"/>
    </cacheField>
    <cacheField name="OBJETIVO GENERAL" numFmtId="0">
      <sharedItems containsBlank="1" longText="1"/>
    </cacheField>
    <cacheField name="FECHA INICIAL" numFmtId="14">
      <sharedItems containsSemiMixedTypes="0" containsNonDate="0" containsDate="1" containsString="0" minDate="2016-04-19T00:00:00" maxDate="2026-10-05T00:00:00"/>
    </cacheField>
    <cacheField name="FECHA FINAL" numFmtId="14">
      <sharedItems containsSemiMixedTypes="0" containsNonDate="0" containsDate="1" containsString="0" minDate="2026-01-01T00:00:00" maxDate="2033-07-15T00:00:00"/>
    </cacheField>
    <cacheField name="DEPARTAMENTO" numFmtId="0">
      <sharedItems count="34">
        <s v="Arauca"/>
        <s v="Casanare"/>
        <s v="Meta"/>
        <s v="Vichada"/>
        <s v="Sucre"/>
        <s v="Bolívar"/>
        <s v="Córdoba"/>
        <s v="Antioquia"/>
        <s v="Ámbito Nacional"/>
        <s v="Valle del Cauca"/>
        <s v="Magdalena"/>
        <s v="Bogotá D.C."/>
        <s v="Santander"/>
        <s v="Risaralda"/>
        <s v="Huila"/>
        <s v="Caldas"/>
        <s v="La Guajira"/>
        <s v="Caquetá"/>
        <s v="Guaviare"/>
        <s v="Putumayo"/>
        <s v="Norte de Santander"/>
        <s v="Atlántico"/>
        <s v="Cesar"/>
        <s v="Cundinamarca"/>
        <s v="Amazonas"/>
        <s v="Guainía"/>
        <s v="Vaupés"/>
        <s v="Nariño"/>
        <s v="Cauca"/>
        <s v="Tolima"/>
        <s v="Chocó"/>
        <s v="Boyacá"/>
        <s v="Quindío"/>
        <s v="Archipiélago de San Andrés, Providencia y Santa Catalina"/>
      </sharedItems>
    </cacheField>
    <cacheField name="MUNICIPIO" numFmtId="0">
      <sharedItems/>
    </cacheField>
    <cacheField name="ORIGEN DEL ACTOR" numFmtId="0">
      <sharedItems/>
    </cacheField>
    <cacheField name="VALOR APORTE (USD)" numFmtId="166">
      <sharedItems containsSemiMixedTypes="0" containsString="0" containsNumber="1" minValue="262.66666666666703" maxValue="79604943.709999993"/>
    </cacheField>
    <cacheField name="NOMBRE ACTOR" numFmtId="0">
      <sharedItems count="370">
        <s v="BANCO MUNDIAL"/>
        <s v="THE GREEN CLIMATE FUND"/>
        <s v="GLOBAL AFFAIRS CANADA"/>
        <s v="PAISES BAJOS"/>
        <s v="AGENCIA SUIZA PARA EL DESARROLLO Y LA COOPERACIÓN"/>
        <s v="BANCO INTERAMERICANO DE DESARROLLO - BID"/>
        <s v="REINO UNIDO"/>
        <s v="GLOBAL CONCESSIONAL FINANCING FACILITY - GCFF"/>
        <s v="GLOBAL ENVIRONMENTAL FACILITY "/>
        <s v="AGENCIA DE COOPERACIÓN INTERNACIONAL DEL JAPÓN"/>
        <s v="TIME SQUARE CHURCH"/>
        <s v="DEPARTAMENTO DE ESTADO DE LOS ESTADOS UNIDOS"/>
        <s v="FUNDACION DE FRANCIA (FOUNDATION OF FRANCE)"/>
        <s v="AGENCIA DE COOPERACIÓN INTERNACIONAL DE KOREA"/>
        <s v="Fondo Colombia Sostenible"/>
        <s v="NESTLE"/>
        <s v="AMAZON CONSERVATION TEAM - ACT"/>
        <s v="AGENCIA ITALIANA DE COOPERACIÓN AL DESARROLLO (AICS)"/>
        <s v="CONSERVACIÓN INTERNACIONAL"/>
        <s v="FONDO REGIONAL DE TECNOLOGIA AGROPECUARIA - FONTAGRO"/>
        <s v="FONDO FRANCÉS PARA EL MEDIO AMBIENTE MUNDIAL - FFEM"/>
        <s v="PNUD"/>
        <s v="AGENCIA NORUEGA PARA LA COOPERACIÓN AL DESARROLLO"/>
        <s v="PROGRAMA DE COOPERACIÓN AL DESARROLLO ECONÓMICO EN COLOMBIASECRETARIA DE ESTADO PARA ASUNTOS ECONÓMICOS - SUIZA"/>
        <s v="FUNDACIÓN NATURA"/>
        <s v="KIAT INSTITUTO COREANO PARA EL AVANCE DE LA TECNOLOGÍA - KOREAN INSTITUTE OF TECHNOLOGY"/>
        <s v="Unión Europea"/>
        <s v="AGENCIA ESPAÑOLA DE COOPERACIÓN INTERNACIONAL PARA EL DESARROLLO"/>
        <s v="AYUDA EN ACCIÓN"/>
        <s v="ASOPATIA CORPONARIÑO"/>
        <s v="BAVARIA "/>
        <s v="CORPORACIÓN PARA EL DESARROLLO DEL CAUCA - CORPOCAUCA"/>
        <s v="CORTOLIMA"/>
        <s v="FUNDACIÒN ALIANZA BIOCUENCA"/>
        <s v="FUNDACIÓN BAVARIA"/>
        <s v="BANCO DE DESARROLLO ALEMÁN"/>
        <s v="MINISTERIO DE CLIMA Y MEDIO AMBIENTE DEL REINO DE NORUEGA"/>
        <s v="HOWARD G. BUFFETT FOUNDATION"/>
        <s v="NATIONAL AUDUBON SOCIEY INC"/>
        <s v="MINISTERIO FEDERAL PARA LA COOPERACIÓN ECONOMICA Y EL DESARROLLO"/>
        <s v="INTERNATIONAL CLIMATE INITIATIVE "/>
        <s v="EMBAJADA DEL REINO DE LOS PAÍSES BAJOS EN COLOMBIA"/>
        <s v="COLECTIVO DE ABOGADOS JOSÉ ALVEAR RESTREPO - CAJAR"/>
        <s v="FEDERACIÓN INTERNACIONAL POR LOS DERECHOS HUMANOS"/>
        <s v="CONVOY OF HOPE"/>
        <s v="FONDO COREANO PARA LA REDUCCIÓN DE LA POBREZA - KOREA POVERTY REDUCTION FUND"/>
        <s v="BANCO DE DESARROLLO DE AMÉRICA LATINA - CAF"/>
        <s v="LA OFICINA DE ASUNTOS INTERNACIONALES DE NARCÓTICOS Y APLICACIÓN DE LA LEY DEL DEPARTAMENTO DE ESTADO DE EE.UU"/>
        <s v="BEZOS EARTH FUND"/>
        <s v="AGENCIA SUECA PARA EL DESARROLLO INTERNACIONAL - ASDI/ SWEDISH INTERNATIONAL DEVELOPMENT COOPERATION AGENCY -SIDA/ SWEDISH INT'L DEVELOPMENT COOPERATION"/>
        <s v="WORLD WILDLIFE FUNDATION"/>
        <s v="THE NATURE CONSERVANCY"/>
        <s v="FEDERACIÓN NACIONAL DE CAFETEROS"/>
        <s v="KONINKLIJKE DOUWE EGBERTS B.V"/>
        <s v="CORPORACIÓN CARIBE AFIRMATIVO"/>
        <s v="MINISTERIO FEDERAL DE MEDIO AMBIENTE, PROTECCIÓN DE LA NATURALEZA Y SEGURIDAD NUCLEAR"/>
        <s v="NEW VENTURE FUND"/>
        <s v="ASOCIACION DE USUARIOS DE LAS AGUAS SUPERFICIALES Y SUBTERRANEAS DE LA CUENCA DEL RIO BOLO - ASOBOLO"/>
        <s v="ASOCIACIÓN DE USUARIOS DE LOS RIOS AMAIME Y NIMA - ASOAMAIME"/>
        <s v="BONSUCRO"/>
        <s v="MANUELITA S.A"/>
        <s v="RG &amp; CIA S.A.S"/>
        <s v="PLAN INTERNACIONAL  SUECIA "/>
        <s v="AGENCIA ALEMANA PARA LA COOPERACIÓN INTERNACIONAL - GIZ"/>
        <s v="DEPARTAMENTO DE DEFENSA DE LOS ESTADOS UNIDOS"/>
        <s v="ALCALDIA DE ZÚRICH - CIUDAD DE ZÚRICH"/>
        <s v="FUNDACIÓN FORD"/>
        <s v="AGENCIA ANDALUZA DE COOPERACIÓN PARA EL DESARROLLO"/>
        <s v="CORPORACIÓN DESARROLLO SOLIDARIO - CDS"/>
        <s v="ASOCIACIÓN AGROPECUARIA ECOLOGICA SOSTENIBLE CATIVO"/>
        <s v="FUNDACIÓN BANCARIA LA CAIXA"/>
        <s v="FUNDACIÓN COOPERACIÓN AL DESARROLLO Y PROMOCIÓN DE ACTIVIDADES ASISTENCIALES - CODESPA"/>
        <s v="FUNDACIÓN GRUPO SOCIAL"/>
        <s v="OCTUPUS FORCE MERCH AND TECHNOLOGY DEVELOPMENT CENTER"/>
        <s v="MINISTERIO FEDERAL DE ECONOMÍA Y PROTECCIÓN DEL CLIMA - BMWK"/>
        <s v="FONDO MUNDIAL PARA LOS ARRECIFES DE CORAL - GLOBAL FUND FOR CORAL REEFS (GFCR)"/>
        <s v="BID LAB"/>
        <s v="FUNDACIÓN ARTURO Y ENRICA SESANA"/>
        <s v="GRUPO DE ANALISIS PARA EL DESARROLLO-GROUP FOR THE ANALYSIS OF DEVELOPMENT"/>
        <s v="SUECIA"/>
        <s v="REAL EMBAJADA DE NORUEGA"/>
        <s v="FUNDACIÓN SALDARRIAGA CONCHA"/>
        <s v="CARITAS ESPAÑA"/>
        <s v="ALDI EINKAUF SE &amp; CO. OHG"/>
        <s v="SKN CARIBECAFE S.A.S"/>
        <s v="MISEREOR"/>
        <s v="CORPORACIÓN VIVAMOS HUMANOS"/>
        <s v="ASOCIACIÓN CATALANA POR LA PAZ (ASOCIACIÓ CATALANA PER LA PAU)"/>
        <s v="CORPORACIÓN CENTRO DE PROMOCIÓN DEL DESARROLLO TERRITORIAL CEPRODET"/>
        <s v="UNIVERSIDAD POLITECNICA DE CATALUÑA"/>
        <s v="FEDERACIÓN NACIONAL DE FORMAS ASOCIATIVAS PARA LAS ECONOMÍAS SOCIALES DEL COMÚN - ECOMUN"/>
        <s v="OFICINA DE ASUNTOS EXTERIORES, COMMONWEALTH Y DESARROLLO DE REINO UNIDO "/>
        <s v="GENERALITAT DE VALENCIA"/>
        <s v="MPTF"/>
        <s v="CORPORACIÓN INTERACTUAR"/>
        <s v="FUNDACIÓN LUKER"/>
        <s v="SUCESORES DE JOSE JESUS RESTREPO Y CIA S.A - CASALUKER S.A - LUKER S.A "/>
        <s v="EMBAJADA DEL REINO UNIDO"/>
        <s v="COORDINADORA NACIONAL DE ORGANIZACIONES DE PERSONAS CON LIMITACIÓN VISUAL"/>
        <s v="FUNDACIÓN ONCE"/>
        <s v="DEPARTAMENTO DE ASUNTOS INTERNACIONALES DE IRLANDA - IRISH AID"/>
        <s v="FUNDACION SIEMENS"/>
        <s v="UNODC"/>
        <s v="FUNDACIÓN ARGIDIUS"/>
        <s v="FUNDACIÓN SUIZA DE COOPERACIÓN PARA EL DESARROLLO TÉCNICO SWISSCONTACT"/>
        <s v="RAINFOREST TRUST"/>
        <s v="MINISTERIOR FEDERAL DE RELACIONES EXTERIORES"/>
        <s v="BLUE ACTION FUND"/>
        <s v="FONDO ACCIÓN"/>
        <s v="WWF ALEMANIA - WWF DEUTSCHLAND"/>
        <s v="KERK IN ACTIE"/>
        <s v="AGENCIA FRANCESA DE DESARROLLO - AFD"/>
        <s v="RE:ARC INSTITUTE"/>
        <s v="CRUZ ROJA ALEMANA"/>
        <s v="CRUZ ROJA ESPAÑOLA - CRE"/>
        <s v="CAMOES. INSTITUTO DE COOPERACIÓN Y DE LA LENGUA PORTUGUESA"/>
        <s v="ASOCIACIÓN PARA EL DESARROLLO CAMPESINO"/>
        <s v="FUNDACIÓN MUNDUBAT"/>
        <s v="PROFAMILIA"/>
        <s v="ONUDI"/>
        <s v="MINISTERIO DE INFRAESTRUCTURA Y GESTIÓN DEL AGUA DE LOS PAÍSES BAJOS"/>
        <s v="ACCIÓN CONTRA EL HAMBRE COLOMBIA"/>
        <s v="AGENCIA EXTREMEÑA DE COOPERACIÓN PARA EL DESARROLLO "/>
        <s v="ASOCIACION NACIONAL CACAOTERA DE COLOMBIA "/>
        <s v="FUNDACION TECNALIA COLOMBIANA "/>
        <s v="FUNDACIÓN NACIONAL PARA LA DEMOCRACIA - NATIONAL ENDOWMENT FOR DEMOCRACY -  NED "/>
        <s v="UK PARTNERING FOR ACCELERATED CLIMATE TRANSITION - UK PACT"/>
        <s v="EMBAJADA DEL JAPÓN EN COLOMBIA"/>
        <s v="COOPERAZIONE PER LO SVILUPPO DEI PAESI EMERGENTI ONLUS - COSPE"/>
        <s v="ASOCIACIÓN PARA LA PROMOCIÓN SOCIAL ALTERNATIVA - MINGA"/>
        <s v="CIVIL RIGHTS DEFENDERS"/>
        <s v="CORPORACIÓN JURÍDICA LIBERTAD"/>
        <s v="CÁMARA DE COMERCIO COLOMBO HOLANDESA - HOLLAND HOUSE"/>
        <s v="CÁMARA DE COMERCIO DE LA GUAJIRA"/>
        <s v="CÁMARA DE COMERCIO DE MANIZALES POR CALDAS"/>
        <s v="CÁMARA DE COMERCIO DE SANTA MARTA"/>
        <s v="ACDI VOCA"/>
        <s v="THE GEF SMALL GRANTS PROGRAMME"/>
        <s v="OCHA"/>
        <s v="ASOCIACIÓN DE PARQUES TECNOLÓGICOS DE COREA "/>
        <s v="FUNDACION TERRAZUL CENTRO DE DESARROLLO TECNOLOGICO"/>
        <s v="CUENTA DE LAS NACIONES UNIDAS PARA EL DESARROLLO / UNITED NATIONS DEVELOPMENT ACCOUNT (UNDA)"/>
        <s v="CENTRO DE FORMACIÓN Y EMPODERAMIENTO PARA LAS MUJERES_ AMBULUA"/>
        <s v="FUNDACION OXFAM COLOMBIA (OCO)"/>
        <s v="INTERMÓN OXFAM"/>
        <s v="WAR CHILD INTERNATIONAL"/>
        <s v="DEPARTAMENTO DE INMIGRACION, REFUGIADOS Y CIUDADANIA DE CANADA"/>
        <s v="DEPARTAMENTO DE RELACIONES EXTERIORES Y COMERCIO DE IRLANDA -DFAT/ DEPARTMENT OF FOREIGN AFFAIIRS AN TRADE OF IRELAND - DFAT"/>
        <s v="PBF"/>
        <s v="MINISTERIO DE JUSTICIA"/>
        <s v="UNTFHS"/>
        <s v="INICIATIVA INTERNACIONAL SOBRE CLIMA Y BOSQUES DE NORUEGA (NICFI) / NORWAYS INTERNATIONAL CLIMATE AND FOREST INITIATIVE"/>
        <s v="UNESCO"/>
        <s v="FUNDACIÓN ALEMANA DE CAJAS DE AHORRO PARA LA COOPERACIÓN INTERNACIONAL"/>
        <s v="LATIN AMERICAN INVESTMENT FACILITY - LAIF"/>
        <s v="PROTOCOLO DE MONTREAL"/>
        <s v="EMBAJADA DE FRANCIA EN COLOMBIA"/>
        <s v="MINISTERIO PARA EUROPA Y DE ASUNTOS EXTERIORES"/>
        <s v="CANADA"/>
        <s v="ALEMANIA "/>
        <s v="GOBIERNO DE FRANCIA / GOVERNMENT OF FRANCE"/>
        <s v="LA AGENCIA DE PEQUEÑAS,  MEDIANAS EMPRESAS Y STARTUPS DE COREA / KOREA SMES AND STAR-UP AGENCY - KOSME"/>
        <s v="FUNDACIÓN MAGTEL"/>
        <s v="UNIVERSIDAD DE SEVILLA "/>
        <s v="FUNDACIÓN BOTNAR"/>
        <s v="FUNDACION ALBOAN"/>
        <s v="FUNDACIÓN SUYUSAMA"/>
        <s v="GOBIERNO DE NAVARRA"/>
        <s v="FUNDACIÓN INSTITUTO MAYOR CAMPESINO - IMCA"/>
        <s v="AGENCIA VASCA DE COOPERACIÓN PARA EL DESARROLLO"/>
        <s v="DIPUTACIÓN FORAL DE BIZKAIA"/>
        <s v="MUNDUKIDE FUNDAZIOA"/>
        <s v="ALIANZA POR LOS DERECHOS, LA IGUALDAD Y LA SOLIDARIDAD INTERNACIONAL"/>
        <s v="COMUNIDAD DE MADRID - CAM"/>
        <s v="EMBAJADA DE PAÍSES BAJOS"/>
        <s v="MINISTERIO DE RELACIONES EXTERIORES DE NORUEGA/ MINISTRY OF FOREIGN AFFAIRS NORWAY"/>
        <s v="INTERNATIONAL DEVELOPMENT RESEARCH CENTRE - IDRC"/>
        <s v="EMBAJADA DE PORTUGAL"/>
        <s v="EXPERTISE FRANCE"/>
        <s v="ROCKEFELLER PHILANTHROPY ADVISORS INC"/>
        <s v="DIAKONIE KATASTROPHENHILFE (DKH)"/>
        <s v="SWEDFUND"/>
        <s v="FUNDACIÓN RENACER"/>
        <s v="FONDO NORUEGO PARA LOS DERECHOS HUMANOS"/>
        <s v="DEPARTAMENTO FEDERAL DE ASUNTOS EXTERIORES DE SUIZA / SWISS FEDERAL DEPARTMENT OF FOREING AFFAIRS (FDFA)"/>
        <s v="MINISTERIO DE RELACIONES EXTERIORES DE PAISES BAJOS "/>
        <s v="FUNDACIÓN TECNI AGRO"/>
        <s v="AYUNTAMIENTO DE MADRID"/>
        <s v="CENTRAL UNITARIA DE TRABAJADORES DE COLOMBIA - CUT"/>
        <s v="CORPORACIÓN AURY SARÁ MARRUGO"/>
        <s v="MEDICOR FOUNDATION"/>
        <s v="CBPF - OCHA"/>
        <s v="BUREAU OF INTERNATIONAL NARCOTICS AND LAW ENFORCEMENT AFFAIRS"/>
        <s v="NATURE AND CULTURE INTERNATIONAL"/>
        <s v="DEPARTAMENTO DE SEGURIDAD ENERGÉTICA Y CERO NETO - DEPARTMENT FOR ENERGY SECURITY AND NET ZERO (DESNZ)"/>
        <s v="PNUMA"/>
        <s v="CORPORACIÓN VINCULOS"/>
        <s v="KATHOLISCHE ZENTRALSTELLE FUR ENTWICKLUNGSHILFE EV"/>
        <s v="ACNUDH"/>
        <s v="UNIVERSIDAD PÚBLICA DE NAVARRA"/>
        <s v="MINISTERIO DE ASUNTOS EXTERIORES, COMERCIO Y DESARROLLO DE CANADÁ"/>
        <s v="AYUDA HUMANITARIA Y DESARROLLO (COSUDE)"/>
        <s v="CORPORACIÓN MANOS VISIBLES"/>
        <s v="OFICINA DE ELIMINACIÓN Y REDUCCIÓN DE ARMAS DEL DEPARTAMENTO DE ESTADO"/>
        <s v="MINISTERIO DE RELACIONES EXTERIORES DE ITALIA"/>
        <s v="MÉDICOS SIN FRONTERAS ESPAÑA"/>
        <s v="DEPARTAMENTO DE AGRICULTURA DE ESTADOS UNIDOS"/>
        <s v="AYUNTAMIENTO DE BILBAO"/>
        <s v=" CORPORACIÓN AUTÓNOMA REGIONAL DEL VALLE DEL CAUCA - CVC" u="1"/>
        <s v="CORPORACIÓN AUTÓNOMA REGIONAL DEL ALTO MAGDALENA - CAM " u="1"/>
        <s v="ACUEDUCTO METROPOLITANO DE BUCARAMANGA - AMB" u="1"/>
        <s v="ALCALDIÍA MUNICIPAL DE GUASCA CUNDINAMARCA" u="1"/>
        <s v="CORPOBOYACA" u="1"/>
        <s v="CORPORACIÓN AUTÓNOMA REGIONAL DE CUNDINAMARCA CAR CUNDINAMARCA" u="1"/>
        <s v="CORPORACIÓN AUTÓNOMA REGIONAL PARA LA DEFENSA DE LA MESETA DE BUCARAMANGA" u="1"/>
        <s v="EMPRESA DE ACUEDUCTO Y ALCANTARILLADO DE BOGOTÁ - EAAB" u="1"/>
        <s v="GOBERNACIÓN DE CUNDINAMARCA " u="1"/>
        <s v="GOBERNACIÓN DE NARIÑO" u="1"/>
        <s v="GOBERNACIÓN DEL TOLIMA" u="1"/>
        <s v="INSTITUTO DE HIDROLOGÍA, METEOROLOGÍA Y ESTUDIOS AMBIENTALES DE COLOMBIA - IDEAM" u="1"/>
        <s v="INSTITUTO DE INVESTIGACIÓN DE RECURSOS BIOLÓGICOS ALEXANDER VON HUMBOLDT" u="1"/>
        <s v="MINISTERIO AMBIENTE Y DESARROLLO SOSTENIBLE" u="1"/>
        <s v="RAPE-REGIÓN CENTRAL" u="1"/>
        <s v="UNIDAD DE PLANEACIÓN MINERO ENERGÉTICA" u="1"/>
        <s v="UNIDAD DE BÚSQUEDA DE PERSONAS DADAS POR DESAPARECIDAS - UBPD" u="1"/>
        <s v="MINISTERIO DE IGUALDAD Y EQUIDAD" u="1"/>
        <s v="GOBERNACIÓN DEL CHOCÓ " u="1"/>
        <s v="MINISTERIO DEL INTERIOR" u="1"/>
        <s v="MINISTERIO DE COMERCIO, INDUSTRIA Y TURISMO" u="1"/>
        <s v="AGENCIA PRESIDENCIAL DE COOPERACIÓN INTERNACIONAL DE COLOMBIA, APC-COLOMBIA" u="1"/>
        <s v="INSTITUTO COLOMBIANO DE BIENESTAR FAMILIAR ICBF" u="1"/>
        <s v="CORPORACIÓN PARQUE TECNOLÓGICO DE INNOVACIÓN DEL CAFE Y SU CAFICULTURA" u="1"/>
        <s v="CENTRO NACIONAL DE LA MEMORIA HISTÓRICA" u="1"/>
        <s v="MINISTERIO DE AMBIENTE Y DESARROLLO SOSTENIBLE" u="1"/>
        <s v="ALCALDÍA DE PASTO" u="1"/>
        <s v="ALCALDÍA DE SAN PABLO" u="1"/>
        <s v="ALCALDÍA MUNICIPAL DE CHACHANGÜI NARIÑO" u="1"/>
        <s v="ALCALDÍA MUNICIPAL DE COLÓN GÉNOVA NARIÑO" u="1"/>
        <s v="ALCALDÍA MUNICIPAL DE COLÓN PUTUMAYO" u="1"/>
        <s v="ALCALDÍA MUNICIPAL DE LA CRUZ NARIÑO" u="1"/>
        <s v="ALCALDÍA MUNICIPAL DE LA UNIÓN NARIÑO" u="1"/>
        <s v="ALCALDÍA MUNICIPAL DE SAN FRANCISCO PUTUMAYO" u="1"/>
        <s v="ALCALDIA MUNICIPAL DE SANTIAGO PUTUMAYO" u="1"/>
        <s v="ALCALDIA MUNICIPAL DE SIBUNDOY" u="1"/>
        <s v="ALCALDÍA MUNICIPAL DE YACUANQUER NARIÑO" u="1"/>
        <s v="ALCALDÍA SAN LORENZO NARIÑO" u="1"/>
        <s v="GOBERNACIÓN DE PUTUMAYO" u="1"/>
        <s v="UNIDAD DE RESTITUCIÓN DE TIERRAS" u="1"/>
        <s v="UNIDAD PARA LA ATENCION Y REPARACIÓN INTEGRAL A LAS VÍCTIMAS" u="1"/>
        <s v="OTRO ACTOR NACIONAL" u="1"/>
        <s v="ARTESANIAS DE COLOMBIA" u="1"/>
        <s v="GOBERNACIÓN DEL NORTE DE SANTANDER" u="1"/>
        <s v="GOBERNACIÓN DEL HUILA " u="1"/>
        <s v="CÁMARA DE COMERCIO DE BUCARAMANGA" u="1"/>
        <s v="CÁMARA DE COMERCIO DE CARTAGENA" u="1"/>
        <s v="MINISTERIO DE HACIENDA Y CRÉDITO PÚBLICO" u="1"/>
        <s v="BANCOLDEX" u="1"/>
        <s v="INNPULSA COLOMBIA" u="1"/>
        <s v="UNIVERSIDAD DEL TOLIMA" u="1"/>
        <s v="ESCUELA SUPERIOR DE ADMINISTRACIÓN PÚBLICA" u="1"/>
        <s v="GOBERNACIÓN DEL VALLE DEL CAUCA" u="1"/>
        <s v="SUPERINTENDENCIA NACIONAL DE SALUD" u="1"/>
        <s v="ALCALDÍA DE SAN JOSÉ DE CÚCUTA" u="1"/>
        <s v="GOBERNACIÓN DE CALDAS " u="1"/>
        <s v="MINISTERIO DE JUSTICIA Y DEL DERECHO" u="1"/>
        <s v="UNIVERSIDAD NACIONAL DE COLOMBIA" u="1"/>
        <s v="MINISTERIO PARA ASUNTOS GLOBALES CANADÁ " u="1"/>
        <s v="EMBAJADA DE LA REPÚBLICA DE COREA EN LA REPÚBLICA DE COLOMBIA" u="1"/>
        <s v="BID" u="1"/>
        <s v="DEPARTAMENTO DE TRABAJO DE LOS ESTADOS UNIDOS DE AMÉRICA" u="1"/>
        <s v="FONDO EUROPEO PARA LA PAZ" u="1"/>
        <s v="WWF COLOMBIA" u="1"/>
        <s v="FAO" u="1"/>
        <s v="Fondo Unión Europea" u="1"/>
        <s v="MINISTERIO DE JUSTICIA Y DERECHOS HUMANOS" u="1"/>
        <s v="GORDON AND BETTY MOORE FOUNDATION" u="1"/>
        <s v="EMBAJADA DE SUECIA EN COLOMBIA" u="1"/>
        <s v="NETHERLANDS INSTITUTE FOR MULTIPARTY DEMOCRACY (NIMD)" u="1"/>
        <s v="BLOOMBERG PHILANTHROPIES" u="1"/>
        <s v="DIAKONIA" u="1"/>
        <s v="INSTITUTO FORESTAL EUROPEO - IFE " u="1"/>
        <s v="FUNDACIÓN CONRAD N HILTON . " u="1"/>
        <s v="CENTRO REGIONAL DE DERECHOS HUMANOS Y JUSTICIA DE GENERO - HUMANAS" u="1"/>
        <s v="DIAKONIE APOYO EN EMERGENCIAS PARA AMERICA LATINA" u="1"/>
        <s v="ECHO - HUMANITARIAN AID AND CIVIL PROTECTION (COMISIÓN EUROPEA)" u="1"/>
        <s v="UNITAID " u="1"/>
        <s v="INSTITUTO DE TECNOLOGÍA E INDUSTRIA AMBIENTAL DE COREA - KEITI" u="1"/>
        <s v="COMITATO INTERNAZIONALE PER LO SVILUPPO DEI POPOLI - CISP" u="1"/>
        <s v="EMBAJADA DE SUIZA" u="1"/>
        <s v="SUPRACAFE SA" u="1"/>
        <s v="EL FONDO MUNDIAL DE LUCHA CONTRA EL SIDA, LA TUBERCULOSIS Y LA MALARIA - MECANISMO COORDINADOR PAÍS (MCP)" u="1"/>
        <s v="INSTITUTO DE COREA PARA EL AVANCE DE LA TECNOLOGIA" u="1"/>
        <s v="FUNDACIÓN PRIVADA NOUS CIMS - FNC" u="1"/>
        <s v="MEDICOS SIN FRONTERAS" u="1"/>
        <s v="UNITED KINGDOM SUSTAINABLE INFRAESTRUCTURE PROGRAM " u="1"/>
        <s v="CAF" u="1"/>
        <s v="PAKKA" u="1"/>
        <s v="FONDO PARA EL CONFLICTO, ESTABILIDAD Y SEGURIDAD/ CONFLIC,ESTABILITY Y SEGURITY FUND (CSSF)" u="1"/>
        <s v="FUPAD" u="1"/>
        <s v="MINISTERIO DE LA ECONOMIA , FINANZAS Y RECUPERACIÓN" u="1"/>
        <s v="CÁMARA DE COMERCIO ITALIANA PARA COLOMBIA" u="1"/>
        <s v="DIESIS NETWORK" u="1"/>
        <s v="SISTEMI FORMATIVI - COFINDUSTRIA" u="1"/>
        <s v="ACTEC" u="1"/>
        <s v="FUNDACIÓN DEL VALLE" u="1"/>
        <s v="LIMMAT STIFTUNG" u="1"/>
        <s v="HIAS COLOMBIA" u="1"/>
        <s v="UNOPS" u="1"/>
        <s v="DELEGACIÓN DE LA UNIÓN EUROPEA PARA COLOMBIA Y ECUADOR" u="1"/>
        <s v="BHA" u="1"/>
        <s v="CONSEJO NORUEGO PARA REFUGIADOS" u="1"/>
        <s v="WATERAID" u="1"/>
        <s v="STICHTING ZOA - ZUID OOST AZIE - ZOA INTERNATIONAL " u="1"/>
        <s v="INTER-AMERICAN FOUNDATION" u="1"/>
        <s v="GROWALD CLIMATE FUND" u="1"/>
        <s v="IGLESIA CATÓLICA ITALIANA - CONFERENCIA EPISCOPAL ITALIANA" u="1"/>
        <s v="CONSULTORÍA PARA LOS DERECHOS HUMANOS Y EL DESPLAZAMIENTO" u="1"/>
        <s v="BETTER SHELTER" u="1"/>
        <s v="DIRECCIÓN GENERAL DE PROTECCIÓN CIVIL Y AYUDA HUMANITARIA" u="1"/>
        <s v="EMPLOYMENT AND SOCIAL DEVELOPMENT CANADA" u="1"/>
        <s v="FUNDACIÓN ASISTENCIA INTERNACIONAL - FONDATION ASSISTANCE INTERNATIONALE - FAI" u="1"/>
        <s v="COMISIÓN PARA LAS ADOPCIONES INTERNACIONALES" u="1"/>
        <s v="STARBUCKS COFFEE TRADING COMPANY" u="1"/>
        <s v="EMBAJADA DE NUEVA ZELANDIA" u="1"/>
        <s v="CARGILL" u="1"/>
        <s v="U.S DEPARTMENT OF STATE BUREAU OF POPULATION, REFUGEES AND MIGRATION - BPRM" u="1"/>
        <s v="FONDO SUECO NORUEGO DE COOPERACION CON LA SOCIEDAD CIVIL COLOMBIANA" u="1"/>
        <s v="MINISTRY OF FOREIGN AFFAIRS OF JAPAN - MOFA" u="1"/>
        <s v="OIKOS - COOPERACION Y DESARROLLO " u="1"/>
        <s v="EMBAJADA DE JAPÓN" u="1"/>
        <s v="DIPUTACIÓN FLORAL DE GUIPÚZCOA" u="1"/>
        <s v="START NETWORK" u="1"/>
        <s v="UNICEF" u="1"/>
        <s v="COMITE INTERNACIONAL DE LA CRUZ ROJA - CICR " u="1"/>
        <s v="EMBAJADA DE IRLANDA" u="1"/>
        <s v="ASSOCIACIÓ CLAUSTER DEL PACKAGING" u="1"/>
        <s v="CLEAN" u="1"/>
        <s v="ACNUR" u="1"/>
        <s v="MINISTERIO DE INCLUSIÓN SEGURIDAD SOCIAL Y MIGRACIONES" u="1"/>
        <s v="MINISTERIO DE ASUNTOS EXTERIORES DE LA REPÚBLICA DE COREA" u="1"/>
        <s v="GÍZ INTERNATIONAL SERVICES" u="1"/>
        <s v="CLIMATEWORKS FOUNDATION" u="1"/>
        <s v="WILDLIFE CONSERVATION NETWORK " u="1"/>
        <s v="ASOCIACIÓN PARA LA PROMOCIÓN DE LA SOLIDARIDAD Y LA ASOCIATIVIDAD E.V." u="1"/>
        <s v="CERF" u="1"/>
        <s v="OPS/OMS" u="1"/>
        <s v="MINISTERIO DE EUROPA Y ASUNTOS EXTERIORES DE FRANCIA" u="1"/>
        <s v="IMMAP INC" u="1"/>
        <s v="EDUCATION CANNOT WAIT FUND" u="1"/>
        <s v="UNTHFS" u="1"/>
        <s v="SDEUTSCHE SPARKASSENSTIFTUNG FÜR INTERNATIONALE KOOPERATION - DSIK (FUNDACIÓN ALEMANA DE CAJAS DE AHORRO PARA LA COOPERACIÓN INTERNACIONAL)" u="1"/>
        <s v="EMBAJADA DE CANADÁ EN COLOMBIA" u="1"/>
        <s v="OIT" u="1"/>
        <s v="COMISIÓN EUROPEA" u="1"/>
        <s v="OIM " u="1"/>
        <s v="EMBAJADA DE ALEMANIA" u="1"/>
        <s v="MINISTERIO DE RELACIONES EXTERIORES DE SUECIA" u="1"/>
        <s v="ASOCIACION ESTADOUNIDENSE DEL CORAZON " u="1"/>
        <s v="CONSULADO DE  ALEMANIA" u="1"/>
        <s v="SERVICIO PÚBLICO FEDERAL DE ASUNTOS DE INMIGRACIÓN E INTEGRACIÓN" u="1"/>
        <s v="ACCIÓN CONTRA EL HAMBRE " u="1"/>
        <s v="FOREIGN, COMMONWEALTH AND DEVELOPMENT OFFICE" u="1"/>
        <s v="FONDO ESPECIAL PARA LAS ACTIVIDADES DE EMERGENCIA Y RESILENCIA (SFERA) DE LA ORGANIZACIÓN DE LAS NACIONES UNIDAS PARA LA ALIMENTACIÓN Y LA AGRICULTURA (FAO) / SFERA ANTICIPATORY FUND FROM WORLD FOOD PROGRAMME (WFP)" u="1"/>
        <s v="GLOBAL ROAD SAFETY PARTNERSHIP" u="1"/>
        <s v="UNREDD+" u="1"/>
        <s v="FONDO DE ADAPTACIÓN (FA) DE LA CONVENCIÓN MARCO DE LAS NACIONES UNIDAS SOBRE EL CAMBIO CLIMATICO (CMNUCC) / ADAPTATION FUND (AF) FROM THE UNITED NATIONS FRAMEWORK CONVENTION ON CLIMATE CHANGE (UNFCCC)" u="1"/>
        <s v="ALDEAS INFANTILES SOS COLOMBIA" u="1"/>
        <s v="FUNDACIÓN ALIANZA POR LOS DERECHOS, LA IGUALDAD Y LA SOLIDARIDAD INTERNACIONAL " u="1"/>
        <s v="EMBAJADA DE LA REPÚBLICA CHECA" u="1"/>
        <s v="USAID" u="1"/>
      </sharedItems>
    </cacheField>
    <cacheField name="PAIS ACTOR" numFmtId="0">
      <sharedItems/>
    </cacheField>
    <cacheField name="ROLES APORTE" numFmtId="0">
      <sharedItems containsBlank="1"/>
    </cacheField>
    <cacheField name="ENCI PRIMER NIVEL" numFmtId="0">
      <sharedItems/>
    </cacheField>
    <cacheField name="META ODS" numFmtId="0">
      <sharedItems longText="1"/>
    </cacheField>
    <cacheField name="ODS" numFmtId="0">
      <sharedItems count="34">
        <s v="ODS 13"/>
        <s v="ODS 1"/>
        <s v="ODS 5"/>
        <s v="ODS 6"/>
        <s v="ODS 11"/>
        <s v="ODS 4"/>
        <s v="ODS 15"/>
        <s v="ODS 16"/>
        <s v="ODS 9"/>
        <s v="ODS 14"/>
        <s v="ODS 12"/>
        <s v="ODS 10"/>
        <s v="ODS 2"/>
        <s v="ODS 3"/>
        <s v="ODS 8"/>
        <s v="ODS 17"/>
        <s v="ODS 7"/>
        <s v="ODS 13. Acción por el clima" u="1"/>
        <s v="ODS 2. Hambre cero" u="1"/>
        <s v="ODS 3. Salud y bienestar" u="1"/>
        <s v="ODS 11. Ciudades y comunidades sostenibles" u="1"/>
        <s v="ODS 12. Producción y consumo responsables" u="1"/>
        <s v="ODS 16. Paz, justicia e instituciones sólidas" u="1"/>
        <s v="ODS 8. Trabajo decente y crecimiento económico" u="1"/>
        <s v="ODS 10. Reducción de las desigualdades" u="1"/>
        <s v="ODS 1. Fin de la pobreza" u="1"/>
        <s v="ODS 5. Igualdad de género" u="1"/>
        <s v="ODS 15. Vida de ecosistemas terrestres" u="1"/>
        <s v="ODS 6. Agua limpia y saneamiento" u="1"/>
        <s v="ODS 17. Alianzas para lograr los objetivos" u="1"/>
        <s v="ODS 4. Educación de calidad" u="1"/>
        <s v="ODS 7. Energía asequible y no contaminante" u="1"/>
        <s v="ODS 14. Vida submarina" u="1"/>
        <s v="ODS 9. Industria, innovación e infraestructura" u="1"/>
      </sharedItems>
    </cacheField>
    <cacheField name="TIPO ASISTENCIA" numFmtId="0">
      <sharedItems/>
    </cacheField>
    <cacheField name="SECTORES GOB"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79">
  <r>
    <s v="R-ML-16-11684"/>
    <s v="Desarrollo Sostenible Bajo Carbono en la Región Orinoquía"/>
    <s v="Mejorar las condiciones propicias para la planificación y ordenación del paisaje sostenible y con bajas emisiones de carbono en zonas específicas de la región de Orinoquia"/>
    <d v="2016-04-19T00:00:00"/>
    <d v="2030-08-31T00:00:00"/>
    <x v="0"/>
    <s v="No Reporta"/>
    <s v="Banca Multilateral"/>
    <n v="91937.208246550901"/>
    <x v="0"/>
    <s v="Estados Unidos"/>
    <s v=" Donante"/>
    <s v="1. FOCALIZAR Y DINAMIZAR"/>
    <s v="13. Acción por el clima"/>
    <x v="0"/>
    <s v="SIN ALINEAR"/>
    <s v="Ambiente y Desarrollo Sostenible"/>
  </r>
  <r>
    <s v="R-ML-16-11684"/>
    <s v="Desarrollo Sostenible Bajo Carbono en la Región Orinoquía"/>
    <s v="Mejorar las condiciones propicias para la planificación y ordenación del paisaje sostenible y con bajas emisiones de carbono en zonas específicas de la región de Orinoquia"/>
    <d v="2016-04-19T00:00:00"/>
    <d v="2030-08-31T00:00:00"/>
    <x v="1"/>
    <s v="No Reporta"/>
    <s v="Banca Multilateral"/>
    <n v="91937.208246550901"/>
    <x v="0"/>
    <s v="Estados Unidos"/>
    <s v=" Donante"/>
    <s v="1. FOCALIZAR Y DINAMIZAR"/>
    <s v="13. Acción por el clima"/>
    <x v="0"/>
    <s v="SIN ALINEAR"/>
    <s v="Ambiente y Desarrollo Sostenible"/>
  </r>
  <r>
    <s v="R-ML-16-11684"/>
    <s v="Desarrollo Sostenible Bajo Carbono en la Región Orinoquía"/>
    <s v="Mejorar las condiciones propicias para la planificación y ordenación del paisaje sostenible y con bajas emisiones de carbono en zonas específicas de la región de Orinoquia"/>
    <d v="2016-04-19T00:00:00"/>
    <d v="2030-08-31T00:00:00"/>
    <x v="2"/>
    <s v="No Reporta"/>
    <s v="Banca Multilateral"/>
    <n v="91937.208246550901"/>
    <x v="0"/>
    <s v="Estados Unidos"/>
    <s v=" Donante"/>
    <s v="1. FOCALIZAR Y DINAMIZAR"/>
    <s v="13. Acción por el clima"/>
    <x v="0"/>
    <s v="SIN ALINEAR"/>
    <s v="Ambiente y Desarrollo Sostenible"/>
  </r>
  <r>
    <s v="R-ML-16-11684"/>
    <s v="Desarrollo Sostenible Bajo Carbono en la Región Orinoquía"/>
    <s v="Mejorar las condiciones propicias para la planificación y ordenación del paisaje sostenible y con bajas emisiones de carbono en zonas específicas de la región de Orinoquia"/>
    <d v="2016-04-19T00:00:00"/>
    <d v="2030-08-31T00:00:00"/>
    <x v="3"/>
    <s v="No Reporta"/>
    <s v="Banca Multilateral"/>
    <n v="91937.208246550901"/>
    <x v="0"/>
    <s v="Estados Unidos"/>
    <s v=" Donante"/>
    <s v="1. FOCALIZAR Y DINAMIZAR"/>
    <s v="13. Acción por el clima"/>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4"/>
    <s v="Caimito"/>
    <s v="Multilateral"/>
    <n v="1603999.16666667"/>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4"/>
    <s v="Guaranda"/>
    <s v="Multilateral"/>
    <n v="1603999.16666667"/>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4"/>
    <s v="Majagual"/>
    <s v="Multilateral"/>
    <n v="1603999.16666667"/>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4"/>
    <s v="San Benito Abad"/>
    <s v="Multilateral"/>
    <n v="1603999.16666667"/>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4"/>
    <s v="San Marcos"/>
    <s v="Multilateral"/>
    <n v="1603999.16666667"/>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4"/>
    <s v="Sucre"/>
    <s v="Multilateral"/>
    <n v="1603999.16666667"/>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5"/>
    <s v="Achí"/>
    <s v="Multilateral"/>
    <n v="3207998.3333333302"/>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5"/>
    <s v="Magangué"/>
    <s v="Multilateral"/>
    <n v="3207998.3333333302"/>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5"/>
    <s v="San Jacinto del Cauca"/>
    <s v="Multilateral"/>
    <n v="3207998.3333333302"/>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6"/>
    <s v="Ayapel"/>
    <s v="Multilateral"/>
    <n v="9623995"/>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7"/>
    <s v="Nechí"/>
    <s v="Multilateral"/>
    <n v="9623995"/>
    <x v="1"/>
    <s v="Corea del Sur"/>
    <s v=" Donante"/>
    <s v="1. FOCALIZAR Y DINAMIZAR"/>
    <s v="13.1.Fortalecer la resiliencia y capacidad de adaptación a los peligros relacionados con el clima y los desastres naturales en todos los países"/>
    <x v="0"/>
    <s v="SIN ALINEAR"/>
    <s v="Ambiente y Desarrollo Sostenible"/>
  </r>
  <r>
    <s v="R-AO-20-1408"/>
    <s v=" CESO - Cooperación voluntaria 2020-2027"/>
    <s v="este proyecto tiene como objetivo aumentar el desempeño de los socios de los países en desarrollo para ofrecer iniciativas de desarrollo más inclusivas, innovadoras y ambientalmente sostenibles que promuevan la igualdad de género. Este proyecto también trabaja para brindar desarrollo de capacidades a través de asesores voluntarios que actúan como mentores, asesores o entrenadores, y se convierten en catalizadores para que los socios en los sectores de agricultura y turismo de los países del proyecto desarrollen todo su potencial."/>
    <d v="2020-03-31T00:00:00"/>
    <d v="2026-12-31T00:00:00"/>
    <x v="8"/>
    <s v="No Reporta"/>
    <s v="Canadá"/>
    <n v="1124331.44"/>
    <x v="2"/>
    <s v="Canadá"/>
    <s v="Donante"/>
    <s v="B. Desarrollo Rural"/>
    <s v="1.2.De aquí a 2030, reducir al menos a la mitad la proporción de hombres, mujeres y niños de todas las edades que viven en la pobreza en todas sus dimensiones con arreglo a las definiciones nacionales"/>
    <x v="1"/>
    <s v="SIN ALINEAR"/>
    <s v="Salud y Protección Social"/>
  </r>
  <r>
    <s v="R-AO-20-1410"/>
    <s v="Cuso International - Cooperación Voluntaria 2020 - 2028"/>
    <s v="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
    <d v="2020-04-15T00:00:00"/>
    <d v="2027-12-31T00:00:00"/>
    <x v="9"/>
    <s v="Palmira"/>
    <s v="Canadá"/>
    <n v="115515.422857143"/>
    <x v="2"/>
    <s v="Canadá"/>
    <s v="Donante"/>
    <s v="No Aplic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otección Social"/>
  </r>
  <r>
    <s v="R-AO-20-1410"/>
    <s v="Cuso International - Cooperación Voluntaria 2020 - 2028"/>
    <s v="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
    <d v="2020-04-15T00:00:00"/>
    <d v="2027-12-31T00:00:00"/>
    <x v="9"/>
    <s v="Tuluá"/>
    <s v="Canadá"/>
    <n v="115515.422857143"/>
    <x v="2"/>
    <s v="Canadá"/>
    <s v="Donante"/>
    <s v="No Aplic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otección Social"/>
  </r>
  <r>
    <s v="R-AO-20-1410"/>
    <s v="Cuso International - Cooperación Voluntaria 2020 - 2028"/>
    <s v="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
    <d v="2020-04-15T00:00:00"/>
    <d v="2027-12-31T00:00:00"/>
    <x v="5"/>
    <s v="Cartagena"/>
    <s v="Canadá"/>
    <n v="231030.845714286"/>
    <x v="2"/>
    <s v="Canadá"/>
    <s v="Donante"/>
    <s v="No Aplic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otección Social"/>
  </r>
  <r>
    <s v="R-AO-20-1410"/>
    <s v="Cuso International - Cooperación Voluntaria 2020 - 2028"/>
    <s v="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
    <d v="2020-04-15T00:00:00"/>
    <d v="2027-12-31T00:00:00"/>
    <x v="10"/>
    <s v="Santa Marta"/>
    <s v="Canadá"/>
    <n v="231030.845714286"/>
    <x v="2"/>
    <s v="Canadá"/>
    <s v="Donante"/>
    <s v="No Aplic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otección Social"/>
  </r>
  <r>
    <s v="R-AO-20-1410"/>
    <s v="Cuso International - Cooperación Voluntaria 2020 - 2028"/>
    <s v="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
    <d v="2020-04-15T00:00:00"/>
    <d v="2027-12-31T00:00:00"/>
    <x v="11"/>
    <s v="No Reporta"/>
    <s v="Canadá"/>
    <n v="231030.845714286"/>
    <x v="2"/>
    <s v="Canadá"/>
    <s v="Donante"/>
    <s v="No Aplic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otección Social"/>
  </r>
  <r>
    <s v="R-AO-20-1410"/>
    <s v="Cuso International - Cooperación Voluntaria 2020 - 2028"/>
    <s v="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
    <d v="2020-04-15T00:00:00"/>
    <d v="2027-12-31T00:00:00"/>
    <x v="12"/>
    <s v="Bucaramanga"/>
    <s v="Canadá"/>
    <n v="231030.845714286"/>
    <x v="2"/>
    <s v="Canadá"/>
    <s v="Donante"/>
    <s v="No Aplic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otección Social"/>
  </r>
  <r>
    <s v="R-AO-20-1410"/>
    <s v="Cuso International - Cooperación Voluntaria 2020 - 2028"/>
    <s v="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
    <d v="2020-04-15T00:00:00"/>
    <d v="2027-12-31T00:00:00"/>
    <x v="7"/>
    <s v="Medellín"/>
    <s v="Canadá"/>
    <n v="231030.845714286"/>
    <x v="2"/>
    <s v="Canadá"/>
    <s v="Donante"/>
    <s v="No Aplic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otección Social"/>
  </r>
  <r>
    <s v="R-AO-20-1410"/>
    <s v="Cuso International - Cooperación Voluntaria 2020 - 2028"/>
    <s v="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
    <d v="2020-04-15T00:00:00"/>
    <d v="2027-12-31T00:00:00"/>
    <x v="13"/>
    <s v="Pereira"/>
    <s v="Canadá"/>
    <n v="231030.845714286"/>
    <x v="2"/>
    <s v="Canadá"/>
    <s v="Donante"/>
    <s v="No Aplic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otección Social"/>
  </r>
  <r>
    <s v="R-AO-20-1411"/>
    <s v="Oficina Internacional por los Derechos del Niño - Cooperación voluntaria 2020-2027"/>
    <s v="El proyecto tiene como objetivo fortalecer la participación de los niños, especialmente las niñas, mediante una mayor protección de sus derechos y para fortalecer la capacidad de las muchas organizaciones de la sociedad civil asociadas y las instituciones estatales para que estén mejor equipados para promover y hacer cumplir los derechos de las niñas y los niños mediante la promoción de su participación activa."/>
    <d v="2020-04-04T00:00:00"/>
    <d v="2026-12-31T00:00:00"/>
    <x v="8"/>
    <s v="Ámbito Nacional"/>
    <s v="Canadá"/>
    <n v="627051.42000000004"/>
    <x v="2"/>
    <s v="Canadá"/>
    <s v="Donante"/>
    <s v="A. Paz y Estabilización Territorial"/>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Protección Social"/>
  </r>
  <r>
    <s v="R-AO-19-1512"/>
    <s v="inspiragua "/>
    <s v="¿Cómo es el programa actualmente?_x000a_Las autoridades holandesas del agua y sus socios colombianos están trabajando juntos en temas como el manejo y mantenimiento de diques, restauración de humedales, desarrollo de procesos de planificación, abordaje de los líquidos las descargas y el manejo de los extremos del agua. Hay oportunidades para ampliar el número de asociaciones existentes, por ejemplo con Cormagdalena, la autoridad manejando el Río Magdalena, el río más grande de Colombia. Hasta ahora, ocho autoridades de agua son que participan en el programa de Colombia._x000a__x000a__x000a_"/>
    <d v="2019-03-03T00:00:00"/>
    <d v="2030-03-29T00:00:00"/>
    <x v="10"/>
    <s v="No Reporta"/>
    <s v="Países Bajos"/>
    <n v="326747.40000000002"/>
    <x v="3"/>
    <s v="Países Bajos"/>
    <s v="Donante"/>
    <s v="C. Conservación Y Sostenibilidad Ambiental"/>
    <s v="6.6. En 2020 a proteger y restaurar los ecosistemas relacionados con el agua, incluyendo montañas, bosques, humedales, ríos, acuíferos y lagos."/>
    <x v="3"/>
    <s v="SIN ALINEAR"/>
    <s v="Vivienda Ciudad y Territorio"/>
  </r>
  <r>
    <s v="R-AO-19-1512"/>
    <s v="inspiragua "/>
    <s v="¿Cómo es el programa actualmente?_x000a_Las autoridades holandesas del agua y sus socios colombianos están trabajando juntos en temas como el manejo y mantenimiento de diques, restauración de humedales, desarrollo de procesos de planificación, abordaje de los líquidos las descargas y el manejo de los extremos del agua. Hay oportunidades para ampliar el número de asociaciones existentes, por ejemplo con Cormagdalena, la autoridad manejando el Río Magdalena, el río más grande de Colombia. Hasta ahora, ocho autoridades de agua son que participan en el programa de Colombia._x000a__x000a__x000a_"/>
    <d v="2019-03-03T00:00:00"/>
    <d v="2030-03-29T00:00:00"/>
    <x v="12"/>
    <s v="No Reporta"/>
    <s v="Países Bajos"/>
    <n v="326747.40000000002"/>
    <x v="3"/>
    <s v="Países Bajos"/>
    <s v="Donante"/>
    <s v="C. Conservación Y Sostenibilidad Ambiental"/>
    <s v="6.6. En 2020 a proteger y restaurar los ecosistemas relacionados con el agua, incluyendo montañas, bosques, humedales, ríos, acuíferos y lagos."/>
    <x v="3"/>
    <s v="SIN ALINEAR"/>
    <s v="Vivienda Ciudad y Territorio"/>
  </r>
  <r>
    <s v="R-AO-19-1512"/>
    <s v="inspiragua "/>
    <s v="¿Cómo es el programa actualmente?_x000a_Las autoridades holandesas del agua y sus socios colombianos están trabajando juntos en temas como el manejo y mantenimiento de diques, restauración de humedales, desarrollo de procesos de planificación, abordaje de los líquidos las descargas y el manejo de los extremos del agua. Hay oportunidades para ampliar el número de asociaciones existentes, por ejemplo con Cormagdalena, la autoridad manejando el Río Magdalena, el río más grande de Colombia. Hasta ahora, ocho autoridades de agua son que participan en el programa de Colombia._x000a__x000a__x000a_"/>
    <d v="2019-03-03T00:00:00"/>
    <d v="2030-03-29T00:00:00"/>
    <x v="14"/>
    <s v="No Reporta"/>
    <s v="Países Bajos"/>
    <n v="326747.40000000002"/>
    <x v="3"/>
    <s v="Países Bajos"/>
    <s v="Donante"/>
    <s v="C. Conservación Y Sostenibilidad Ambiental"/>
    <s v="6.6. En 2020 a proteger y restaurar los ecosistemas relacionados con el agua, incluyendo montañas, bosques, humedales, ríos, acuíferos y lagos."/>
    <x v="3"/>
    <s v="SIN ALINEAR"/>
    <s v="Vivienda Ciudad y Territorio"/>
  </r>
  <r>
    <s v="R-AO-19-1512"/>
    <s v="inspiragua "/>
    <s v="¿Cómo es el programa actualmente?_x000a_Las autoridades holandesas del agua y sus socios colombianos están trabajando juntos en temas como el manejo y mantenimiento de diques, restauración de humedales, desarrollo de procesos de planificación, abordaje de los líquidos las descargas y el manejo de los extremos del agua. Hay oportunidades para ampliar el número de asociaciones existentes, por ejemplo con Cormagdalena, la autoridad manejando el Río Magdalena, el río más grande de Colombia. Hasta ahora, ocho autoridades de agua son que participan en el programa de Colombia._x000a__x000a__x000a_"/>
    <d v="2019-03-03T00:00:00"/>
    <d v="2030-03-29T00:00:00"/>
    <x v="15"/>
    <s v="No Reporta"/>
    <s v="Países Bajos"/>
    <n v="326747.40000000002"/>
    <x v="3"/>
    <s v="Países Bajos"/>
    <s v="Donante"/>
    <s v="C. Conservación Y Sostenibilidad Ambiental"/>
    <s v="6.6. En 2020 a proteger y restaurar los ecosistemas relacionados con el agua, incluyendo montañas, bosques, humedales, ríos, acuíferos y lagos."/>
    <x v="3"/>
    <s v="SIN ALINEAR"/>
    <s v="Vivienda Ciudad y Territorio"/>
  </r>
  <r>
    <s v="R-AO-19-1512"/>
    <s v="inspiragua "/>
    <s v="¿Cómo es el programa actualmente?_x000a_Las autoridades holandesas del agua y sus socios colombianos están trabajando juntos en temas como el manejo y mantenimiento de diques, restauración de humedales, desarrollo de procesos de planificación, abordaje de los líquidos las descargas y el manejo de los extremos del agua. Hay oportunidades para ampliar el número de asociaciones existentes, por ejemplo con Cormagdalena, la autoridad manejando el Río Magdalena, el río más grande de Colombia. Hasta ahora, ocho autoridades de agua son que participan en el programa de Colombia._x000a__x000a__x000a_"/>
    <d v="2019-03-03T00:00:00"/>
    <d v="2030-03-29T00:00:00"/>
    <x v="9"/>
    <s v="No Reporta"/>
    <s v="Países Bajos"/>
    <n v="326747.40000000002"/>
    <x v="3"/>
    <s v="Países Bajos"/>
    <s v="Donante"/>
    <s v="C. Conservación Y Sostenibilidad Ambiental"/>
    <s v="6.6. En 2020 a proteger y restaurar los ecosistemas relacionados con el agua, incluyendo montañas, bosques, humedales, ríos, acuíferos y lagos."/>
    <x v="3"/>
    <s v="SIN ALINEAR"/>
    <s v="Vivienda Ciudad y Territorio"/>
  </r>
  <r>
    <s v="R-AO-19-1770"/>
    <s v="blue deal "/>
    <s v="¿Qué es el Blue Deal? El “Blue Deal” es un convenio que tiene Holanda con varios países, entre ellos Colombia, para ayudar a 20 millones de personas de 40 cuencas fluviales en el mundo para que tengan acceso al agua potable. El acuerdo tiene varias fases: entre el 2019 y 2022 se espera que los beneficiarios sean 1 millón de personas, entre el 2023 al 2026, 10 millones de personas y entre el 2027 al 2030 se espera llegar a 20 millones de personas para que tengan acceso al agua potable, sean capaces de almacenar agua y protegerse mejor contra las inundaciones."/>
    <d v="2019-01-03T00:00:00"/>
    <d v="2030-03-31T00:00:00"/>
    <x v="10"/>
    <s v="No Reporta"/>
    <s v="Países Bajos"/>
    <n v="325382.2"/>
    <x v="3"/>
    <s v="Países Bajos"/>
    <s v="Donante"/>
    <s v="No Aplica"/>
    <s v="6.6. En 2020 a proteger y restaurar los ecosistemas relacionados con el agua, incluyendo montañas, bosques, humedales, ríos, acuíferos y lagos."/>
    <x v="3"/>
    <s v="SIN ALINEAR"/>
    <s v="Vivienda Ciudad y Territorio"/>
  </r>
  <r>
    <s v="R-AO-19-1770"/>
    <s v="blue deal "/>
    <s v="¿Qué es el Blue Deal? El “Blue Deal” es un convenio que tiene Holanda con varios países, entre ellos Colombia, para ayudar a 20 millones de personas de 40 cuencas fluviales en el mundo para que tengan acceso al agua potable. El acuerdo tiene varias fases: entre el 2019 y 2022 se espera que los beneficiarios sean 1 millón de personas, entre el 2023 al 2026, 10 millones de personas y entre el 2027 al 2030 se espera llegar a 20 millones de personas para que tengan acceso al agua potable, sean capaces de almacenar agua y protegerse mejor contra las inundaciones."/>
    <d v="2019-01-03T00:00:00"/>
    <d v="2030-03-31T00:00:00"/>
    <x v="12"/>
    <s v="No Reporta"/>
    <s v="Países Bajos"/>
    <n v="325382.2"/>
    <x v="3"/>
    <s v="Países Bajos"/>
    <s v=" Donante"/>
    <s v="No Aplica"/>
    <s v="6.6. En 2020 a proteger y restaurar los ecosistemas relacionados con el agua, incluyendo montañas, bosques, humedales, ríos, acuíferos y lagos."/>
    <x v="3"/>
    <s v="SIN ALINEAR"/>
    <s v="Vivienda Ciudad y Territorio"/>
  </r>
  <r>
    <s v="R-AO-19-1770"/>
    <s v="blue deal "/>
    <s v="¿Qué es el Blue Deal? El “Blue Deal” es un convenio que tiene Holanda con varios países, entre ellos Colombia, para ayudar a 20 millones de personas de 40 cuencas fluviales en el mundo para que tengan acceso al agua potable. El acuerdo tiene varias fases: entre el 2019 y 2022 se espera que los beneficiarios sean 1 millón de personas, entre el 2023 al 2026, 10 millones de personas y entre el 2027 al 2030 se espera llegar a 20 millones de personas para que tengan acceso al agua potable, sean capaces de almacenar agua y protegerse mejor contra las inundaciones."/>
    <d v="2019-01-03T00:00:00"/>
    <d v="2030-03-31T00:00:00"/>
    <x v="14"/>
    <s v="No Reporta"/>
    <s v="Países Bajos"/>
    <n v="325382.2"/>
    <x v="3"/>
    <s v="Países Bajos"/>
    <s v=" Donante"/>
    <s v="No Aplica"/>
    <s v="6.6. En 2020 a proteger y restaurar los ecosistemas relacionados con el agua, incluyendo montañas, bosques, humedales, ríos, acuíferos y lagos."/>
    <x v="3"/>
    <s v="SIN ALINEAR"/>
    <s v="Vivienda Ciudad y Territorio"/>
  </r>
  <r>
    <s v="R-AO-19-1770"/>
    <s v="blue deal "/>
    <s v="¿Qué es el Blue Deal? El “Blue Deal” es un convenio que tiene Holanda con varios países, entre ellos Colombia, para ayudar a 20 millones de personas de 40 cuencas fluviales en el mundo para que tengan acceso al agua potable. El acuerdo tiene varias fases: entre el 2019 y 2022 se espera que los beneficiarios sean 1 millón de personas, entre el 2023 al 2026, 10 millones de personas y entre el 2027 al 2030 se espera llegar a 20 millones de personas para que tengan acceso al agua potable, sean capaces de almacenar agua y protegerse mejor contra las inundaciones."/>
    <d v="2019-01-03T00:00:00"/>
    <d v="2030-03-31T00:00:00"/>
    <x v="15"/>
    <s v="No Reporta"/>
    <s v="Países Bajos"/>
    <n v="325382.2"/>
    <x v="3"/>
    <s v="Países Bajos"/>
    <s v=" Donante"/>
    <s v="No Aplica"/>
    <s v="6.6. En 2020 a proteger y restaurar los ecosistemas relacionados con el agua, incluyendo montañas, bosques, humedales, ríos, acuíferos y lagos."/>
    <x v="3"/>
    <s v="SIN ALINEAR"/>
    <s v="Vivienda Ciudad y Territorio"/>
  </r>
  <r>
    <s v="R-AO-19-1770"/>
    <s v="blue deal "/>
    <s v="¿Qué es el Blue Deal? El “Blue Deal” es un convenio que tiene Holanda con varios países, entre ellos Colombia, para ayudar a 20 millones de personas de 40 cuencas fluviales en el mundo para que tengan acceso al agua potable. El acuerdo tiene varias fases: entre el 2019 y 2022 se espera que los beneficiarios sean 1 millón de personas, entre el 2023 al 2026, 10 millones de personas y entre el 2027 al 2030 se espera llegar a 20 millones de personas para que tengan acceso al agua potable, sean capaces de almacenar agua y protegerse mejor contra las inundaciones."/>
    <d v="2019-01-03T00:00:00"/>
    <d v="2030-03-31T00:00:00"/>
    <x v="9"/>
    <s v="No Reporta"/>
    <s v="Países Bajos"/>
    <n v="325382.2"/>
    <x v="3"/>
    <s v="Países Bajos"/>
    <s v=" Donante"/>
    <s v="No Aplica"/>
    <s v="6.6. En 2020 a proteger y restaurar los ecosistemas relacionados con el agua, incluyendo montañas, bosques, humedales, ríos, acuíferos y lagos."/>
    <x v="3"/>
    <s v="SIN ALINEAR"/>
    <s v="Vivienda Ciudad y Territorio"/>
  </r>
  <r>
    <s v="R-AO-20-1821"/>
    <s v="CO-G1017 : Programa de Agua Potable y Saneamiento para el Departamento de La Guajira"/>
    <s v="El objetivo general es contribuir al cumplimiento de los objetivos del ProgramaGuajira Azul del Gobierno de Colombia, de incrementar la población atendida conagua apta para el consumo humano, con continuidad y adecuado saneamiento."/>
    <d v="2020-12-09T00:00:00"/>
    <d v="2026-12-18T00:00:00"/>
    <x v="16"/>
    <s v="Fonseca"/>
    <s v="Suiza"/>
    <n v="1666666.66666667"/>
    <x v="4"/>
    <s v="Suiza"/>
    <s v=" Donante"/>
    <s v="B. Desarrollo Rural"/>
    <s v="6.1.En 2030, lograr el acceso universal y equitativo al agua potable segura y asequible para todos"/>
    <x v="3"/>
    <s v="SIN ALINEAR"/>
    <s v="Vivienda Ciudad y Territorio"/>
  </r>
  <r>
    <s v="R-AO-20-1821"/>
    <s v="CO-G1017 : Programa de Agua Potable y Saneamiento para el Departamento de La Guajira"/>
    <s v="El objetivo general es contribuir al cumplimiento de los objetivos del ProgramaGuajira Azul del Gobierno de Colombia, de incrementar la población atendida conagua apta para el consumo humano, con continuidad y adecuado saneamiento."/>
    <d v="2020-12-09T00:00:00"/>
    <d v="2026-12-18T00:00:00"/>
    <x v="16"/>
    <s v="Riohacha"/>
    <s v="Suiza"/>
    <n v="1666666.66666667"/>
    <x v="4"/>
    <s v="Suiza"/>
    <s v=" Donante"/>
    <s v="B. Desarrollo Rural"/>
    <s v="6.1.En 2030, lograr el acceso universal y equitativo al agua potable segura y asequible para todos"/>
    <x v="3"/>
    <s v="SIN ALINEAR"/>
    <s v="Vivienda Ciudad y Territorio"/>
  </r>
  <r>
    <s v="R-AO-20-1821"/>
    <s v="CO-G1017 : Programa de Agua Potable y Saneamiento para el Departamento de La Guajira"/>
    <s v="El objetivo general es contribuir al cumplimiento de los objetivos del ProgramaGuajira Azul del Gobierno de Colombia, de incrementar la población atendida conagua apta para el consumo humano, con continuidad y adecuado saneamiento."/>
    <d v="2020-12-09T00:00:00"/>
    <d v="2026-12-18T00:00:00"/>
    <x v="16"/>
    <s v="Urumita"/>
    <s v="Suiza"/>
    <n v="1666666.66666667"/>
    <x v="4"/>
    <s v="Suiza"/>
    <s v=" Donante"/>
    <s v="B. Desarrollo Rural"/>
    <s v="6.1.En 2030, lograr el acceso universal y equitativo al agua potable segura y asequible para todos"/>
    <x v="3"/>
    <s v="SIN ALINEAR"/>
    <s v="Vivienda Ciudad y Territorio"/>
  </r>
  <r>
    <s v="R-AO-20-1821"/>
    <s v="CO-G1017 : Programa de Agua Potable y Saneamiento para el Departamento de La Guajira"/>
    <s v="El objetivo general es contribuir al cumplimiento de los objetivos del ProgramaGuajira Azul del Gobierno de Colombia, de incrementar la población atendida conagua apta para el consumo humano, con continuidad y adecuado saneamiento."/>
    <d v="2020-12-09T00:00:00"/>
    <d v="2026-12-18T00:00:00"/>
    <x v="16"/>
    <s v="Fonseca"/>
    <s v="Banca Multilateral"/>
    <n v="2583333.3333333302"/>
    <x v="5"/>
    <s v="Suiza"/>
    <s v=" Donante"/>
    <s v="B. Desarrollo Rural"/>
    <s v="6.1.En 2030, lograr el acceso universal y equitativo al agua potable segura y asequible para todos"/>
    <x v="3"/>
    <s v="SIN ALINEAR"/>
    <s v="Vivienda Ciudad y Territorio"/>
  </r>
  <r>
    <s v="R-AO-20-1821"/>
    <s v="CO-G1017 : Programa de Agua Potable y Saneamiento para el Departamento de La Guajira"/>
    <s v="El objetivo general es contribuir al cumplimiento de los objetivos del ProgramaGuajira Azul del Gobierno de Colombia, de incrementar la población atendida conagua apta para el consumo humano, con continuidad y adecuado saneamiento."/>
    <d v="2020-12-09T00:00:00"/>
    <d v="2026-12-18T00:00:00"/>
    <x v="16"/>
    <s v="Riohacha"/>
    <s v="Banca Multilateral"/>
    <n v="2583333.3333333302"/>
    <x v="5"/>
    <s v="Suiza"/>
    <s v=" Donante"/>
    <s v="B. Desarrollo Rural"/>
    <s v="6.1.En 2030, lograr el acceso universal y equitativo al agua potable segura y asequible para todos"/>
    <x v="3"/>
    <s v="SIN ALINEAR"/>
    <s v="Vivienda Ciudad y Territorio"/>
  </r>
  <r>
    <s v="R-AO-20-1821"/>
    <s v="CO-G1017 : Programa de Agua Potable y Saneamiento para el Departamento de La Guajira"/>
    <s v="El objetivo general es contribuir al cumplimiento de los objetivos del ProgramaGuajira Azul del Gobierno de Colombia, de incrementar la población atendida conagua apta para el consumo humano, con continuidad y adecuado saneamiento."/>
    <d v="2020-12-09T00:00:00"/>
    <d v="2026-12-18T00:00:00"/>
    <x v="16"/>
    <s v="Urumita"/>
    <s v="Banca Multilateral"/>
    <n v="2583333.3333333302"/>
    <x v="5"/>
    <s v="Suiza"/>
    <s v=" Donante"/>
    <s v="B. Desarrollo Rural"/>
    <s v="6.1.En 2030, lograr el acceso universal y equitativo al agua potable segura y asequible para todos"/>
    <x v="3"/>
    <s v="SIN ALINEAR"/>
    <s v="Vivienda Ciudad y Territorio"/>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2"/>
    <s v="La Macarena"/>
    <s v="Reino Unido"/>
    <n v="767408.58625000005"/>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2"/>
    <s v="Lejanías"/>
    <s v="Reino Unido"/>
    <n v="767408.58625000005"/>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2"/>
    <s v="Mapiripán"/>
    <s v="Reino Unido"/>
    <n v="767408.58625000005"/>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2"/>
    <s v="Mesetas"/>
    <s v="Reino Unido"/>
    <n v="767408.58625000005"/>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2"/>
    <s v="Puerto concordia"/>
    <s v="Reino Unido"/>
    <n v="767408.58625000005"/>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2"/>
    <s v="Puerto rico"/>
    <s v="Reino Unido"/>
    <n v="767408.58625000005"/>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2"/>
    <s v="Uribe"/>
    <s v="Reino Unido"/>
    <n v="767408.58625000005"/>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2"/>
    <s v="Vistahermosa"/>
    <s v="Reino Unido"/>
    <n v="767408.58625000005"/>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7"/>
    <s v="Cartagena del Chairá"/>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7"/>
    <s v="Puerto Rico"/>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7"/>
    <s v="San Vicente del Caguán"/>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7"/>
    <s v="Solano"/>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7"/>
    <s v="El Bagre"/>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7"/>
    <s v="Remedios"/>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7"/>
    <s v="Segovia"/>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7"/>
    <s v="Zaragoza"/>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8"/>
    <s v="Calamar"/>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8"/>
    <s v="El Retorno"/>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8"/>
    <s v="Miraflores"/>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8"/>
    <s v="San José del Guaviare"/>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5"/>
    <s v="Santa Rosa del Sur"/>
    <s v="Reino Unido"/>
    <n v="6139268.6900000004"/>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9"/>
    <s v="Puerto Guzmán"/>
    <s v="Reino Unido"/>
    <n v="6139268.6900000004"/>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0"/>
    <s v="Tame"/>
    <s v="Reino Unido"/>
    <n v="6139268.6900000004"/>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490"/>
    <s v="PROYECTO DE VIVIENDA RESILIENTE E INCLUSIVA"/>
    <s v="Mejorar la calidad de la vivienda y el espacio público para los hogares vulnerables, incluidos los migrantes de Venezuela, en los municipios seleccionados."/>
    <d v="2021-09-06T00:00:00"/>
    <d v="2026-07-24T00:00:00"/>
    <x v="16"/>
    <s v="Fonseca"/>
    <s v="Banca Multilateral"/>
    <n v="25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6"/>
    <s v="Maicao"/>
    <s v="Banca Multilateral"/>
    <n v="25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6"/>
    <s v="Riohacha"/>
    <s v="Banca Multilateral"/>
    <n v="25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6"/>
    <s v="San Juan del Cesar"/>
    <s v="Banca Multilateral"/>
    <n v="25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0"/>
    <s v="Cúcuta"/>
    <s v="Banca Multilateral"/>
    <n v="333333.33333333302"/>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0"/>
    <s v="Tibú"/>
    <s v="Banca Multilateral"/>
    <n v="333333.33333333302"/>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0"/>
    <s v="Villa del Rosario"/>
    <s v="Banca Multilateral"/>
    <n v="333333.33333333302"/>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1"/>
    <s v="Barranquilla"/>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1"/>
    <s v="Soledad"/>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0"/>
    <s v="Ciénaga"/>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0"/>
    <s v="Santa Marta"/>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2"/>
    <s v="Bucaramanga"/>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2"/>
    <s v="Floridablanca"/>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7"/>
    <s v="Bello"/>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7"/>
    <s v="Medellín"/>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0"/>
    <s v="Arauca"/>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0"/>
    <s v="Saravena"/>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5"/>
    <s v="Cartagena"/>
    <s v="Banca Multilateral"/>
    <n v="10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2"/>
    <s v="Valledupar"/>
    <s v="Banca Multilateral"/>
    <n v="10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4"/>
    <s v="Sincelejo"/>
    <s v="Banca Multilateral"/>
    <n v="100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1"/>
    <s v="Bogotá D.C."/>
    <s v="Banca Multilateral"/>
    <n v="100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3"/>
    <s v="Soacha"/>
    <s v="Banca Multilateral"/>
    <n v="100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3"/>
    <s v="Pereira"/>
    <s v="Banca Multilateral"/>
    <n v="100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
    <s v="Yopal"/>
    <s v="Banca Multilateral"/>
    <n v="100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9"/>
    <s v="Cali"/>
    <s v="Banca Multilateral"/>
    <n v="100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6"/>
    <s v="Fonseca"/>
    <s v="Multilateral"/>
    <n v="361666.66666666698"/>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6"/>
    <s v="Maicao"/>
    <s v="Multilateral"/>
    <n v="361666.66666666698"/>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6"/>
    <s v="Riohacha"/>
    <s v="Multilateral"/>
    <n v="361666.66666666698"/>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6"/>
    <s v="San Juan del Cesar"/>
    <s v="Multilateral"/>
    <n v="361666.66666666698"/>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0"/>
    <s v="Cúcuta"/>
    <s v="Multilateral"/>
    <n v="482222.222222222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0"/>
    <s v="Tibú"/>
    <s v="Multilateral"/>
    <n v="482222.222222222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0"/>
    <s v="Villa del Rosario"/>
    <s v="Multilateral"/>
    <n v="482222.222222222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1"/>
    <s v="Barranquilla"/>
    <s v="Multilateral"/>
    <n v="723333.333333333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1"/>
    <s v="Soledad"/>
    <s v="Multilateral"/>
    <n v="723333.333333333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0"/>
    <s v="Ciénaga"/>
    <s v="Multilateral"/>
    <n v="723333.333333333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0"/>
    <s v="Santa Marta"/>
    <s v="Multilateral"/>
    <n v="723333.333333333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2"/>
    <s v="Bucaramanga"/>
    <s v="Multilateral"/>
    <n v="723333.333333333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2"/>
    <s v="Floridablanca"/>
    <s v="Multilateral"/>
    <n v="723333.33333333302"/>
    <x v="7"/>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7"/>
    <s v="Bello"/>
    <s v="Multilateral"/>
    <n v="723333.33333333302"/>
    <x v="7"/>
    <s v="Estados Unidos"/>
    <s v="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7"/>
    <s v="Medellín"/>
    <s v="Multilateral"/>
    <n v="723333.33333333302"/>
    <x v="7"/>
    <s v="Estados Unidos"/>
    <s v="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0"/>
    <s v="Arauca"/>
    <s v="Multilateral"/>
    <n v="723333.33333333302"/>
    <x v="7"/>
    <s v="Estados Unidos"/>
    <s v="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0"/>
    <s v="Saravena"/>
    <s v="Multilateral"/>
    <n v="723333.333333333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5"/>
    <s v="Cartagena"/>
    <s v="Multilateral"/>
    <n v="1446666.66666667"/>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2"/>
    <s v="Valledupar"/>
    <s v="Multilateral"/>
    <n v="1446666.66666667"/>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4"/>
    <s v="Sincelejo"/>
    <s v="Multilateral"/>
    <n v="1446666.66666667"/>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1"/>
    <s v="Bogotá D.C."/>
    <s v="Multilateral"/>
    <n v="1446666.66666667"/>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3"/>
    <s v="Soacha"/>
    <s v="Multilateral"/>
    <n v="1446666.66666667"/>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3"/>
    <s v="Pereira"/>
    <s v="Multilateral"/>
    <n v="1446666.66666667"/>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
    <s v="Yopal"/>
    <s v="Multilateral"/>
    <n v="1446666.66666667"/>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9"/>
    <s v="Cali"/>
    <s v="Multilateral"/>
    <n v="1446666.66666667"/>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662"/>
    <s v="Enfoques innovadores para garantizar que los niños y adolescentes vulnerables MIGRANTES reciban una educación de alta calidad"/>
    <s v="Enfoques innovadores para garantizar que los niños y adolescentes vulnerables reciban una educación de alta calidad"/>
    <d v="2021-03-05T00:00:00"/>
    <d v="2029-03-05T00:00:00"/>
    <x v="8"/>
    <s v="No Reporta"/>
    <s v="Canadá"/>
    <n v="15764187.949999999"/>
    <x v="2"/>
    <s v="Canadá"/>
    <s v="Donante"/>
    <s v="E. Fenómeno migratorio"/>
    <s v="4.1. Para 2030, asegurar que todos los niños y niñas completen la educación primaria y secundaria gratuita, equitativa y de calidad que lleve a resultados relevantes y eficaces del aprendizaje."/>
    <x v="5"/>
    <s v="SIN ALINEAR"/>
    <s v="Educación Nacional"/>
  </r>
  <r>
    <s v="R-AO-21-2671"/>
    <s v="CONSERVACIÓN DE BOSQUES Y SOSTENIBILIDAD EN EL CORAZÓN DE LA AMAZONÍA - gef 7"/>
    <s v="Mejorar la gobernanza y promover actividades de uso sostenible de la tierra para reducir la deforestación y conservar la biodiversidad en el área del Proyecto."/>
    <d v="2021-10-05T00:00:00"/>
    <d v="2026-09-30T00:00:00"/>
    <x v="24"/>
    <s v="No Reporta"/>
    <s v="Empresas"/>
    <n v="3061162"/>
    <x v="8"/>
    <s v="Estados Unidos"/>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2671"/>
    <s v="CONSERVACIÓN DE BOSQUES Y SOSTENIBILIDAD EN EL CORAZÓN DE LA AMAZONÍA - gef 7"/>
    <s v="Mejorar la gobernanza y promover actividades de uso sostenible de la tierra para reducir la deforestación y conservar la biodiversidad en el área del Proyecto."/>
    <d v="2021-10-05T00:00:00"/>
    <d v="2026-09-30T00:00:00"/>
    <x v="17"/>
    <s v="No Reporta"/>
    <s v="Empresas"/>
    <n v="3061162"/>
    <x v="8"/>
    <s v="Estados Unidos"/>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2671"/>
    <s v="CONSERVACIÓN DE BOSQUES Y SOSTENIBILIDAD EN EL CORAZÓN DE LA AMAZONÍA - gef 7"/>
    <s v="Mejorar la gobernanza y promover actividades de uso sostenible de la tierra para reducir la deforestación y conservar la biodiversidad en el área del Proyecto."/>
    <d v="2021-10-05T00:00:00"/>
    <d v="2026-09-30T00:00:00"/>
    <x v="19"/>
    <s v="No Reporta"/>
    <s v="Empresas"/>
    <n v="3061162"/>
    <x v="8"/>
    <s v="Estados Unidos"/>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2671"/>
    <s v="CONSERVACIÓN DE BOSQUES Y SOSTENIBILIDAD EN EL CORAZÓN DE LA AMAZONÍA - gef 7"/>
    <s v="Mejorar la gobernanza y promover actividades de uso sostenible de la tierra para reducir la deforestación y conservar la biodiversidad en el área del Proyecto."/>
    <d v="2021-10-05T00:00:00"/>
    <d v="2026-09-30T00:00:00"/>
    <x v="25"/>
    <s v="No Reporta"/>
    <s v="Empresas"/>
    <n v="3061162"/>
    <x v="8"/>
    <s v="Estados Unidos"/>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2671"/>
    <s v="CONSERVACIÓN DE BOSQUES Y SOSTENIBILIDAD EN EL CORAZÓN DE LA AMAZONÍA - gef 7"/>
    <s v="Mejorar la gobernanza y promover actividades de uso sostenible de la tierra para reducir la deforestación y conservar la biodiversidad en el área del Proyecto."/>
    <d v="2021-10-05T00:00:00"/>
    <d v="2026-09-30T00:00:00"/>
    <x v="18"/>
    <s v="No Reporta"/>
    <s v="Empresas"/>
    <n v="3061162"/>
    <x v="8"/>
    <s v="Estados Unidos"/>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2671"/>
    <s v="CONSERVACIÓN DE BOSQUES Y SOSTENIBILIDAD EN EL CORAZÓN DE LA AMAZONÍA - gef 7"/>
    <s v="Mejorar la gobernanza y promover actividades de uso sostenible de la tierra para reducir la deforestación y conservar la biodiversidad en el área del Proyecto."/>
    <d v="2021-10-05T00:00:00"/>
    <d v="2026-09-30T00:00:00"/>
    <x v="2"/>
    <s v="No Reporta"/>
    <s v="Empresas"/>
    <n v="3061162"/>
    <x v="8"/>
    <s v="Estados Unidos"/>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2786"/>
    <s v="Fortalecimiento del Desarrollo Agropecuario y Rural Inclusivo para Promover la Construcción de Paz con Legalidad"/>
    <s v="reforzar la capacidad administrativa  y técnica de la agencia de desarrollo rural (adr) para implementar proyectos de desarrollo agropecuario y rural principalmente en las zonas aefectadas por el conflicto,  para que contribuyan a promover la implementación de los acuerdos de paz. "/>
    <d v="2021-11-01T00:00:00"/>
    <d v="2026-11-22T00:00:00"/>
    <x v="8"/>
    <s v="Ámbito Nacional"/>
    <s v="Japón"/>
    <n v="2700000"/>
    <x v="9"/>
    <s v="Colombia"/>
    <s v=" Donante"/>
    <s v="B. Desarrollo Rural"/>
    <s v="16.6.Desarrollar instituciones eficaces, responsables y transparentes a todos los niveles."/>
    <x v="7"/>
    <s v="SIN ALINEAR"/>
    <s v="Agricultura y Desarrollo Rural"/>
  </r>
  <r>
    <s v="R-AO-20-3005"/>
    <s v="AYUDA DE EMERGENCIA Y RESTABLECIMIENTO A POBLACIONES VULNERABLES"/>
    <s v="Ejecutar programas de asistencia temporal y de restablecimiento integral apoblaciones vulnerables."/>
    <d v="2020-01-01T00:00:00"/>
    <d v="2030-12-30T00:00:00"/>
    <x v="7"/>
    <s v="Medellín"/>
    <s v="ESAL"/>
    <n v="1000000"/>
    <x v="10"/>
    <s v="Estados Unidos"/>
    <s v=" Donante "/>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otección Social"/>
  </r>
  <r>
    <s v="R-AO-21-3122"/>
    <s v="Pagos Basados en Resultados de REDD+ (FAO)"/>
    <s v="Fortalecimiento de las capacidades nacionales y locales para la vigilancia y control de la deforestación"/>
    <d v="2021-07-21T00:00:00"/>
    <d v="2026-07-21T00:00:00"/>
    <x v="19"/>
    <s v="Mocoa"/>
    <s v="Multilateral"/>
    <n v="1567117.9444444401"/>
    <x v="1"/>
    <s v="Corea del Sur"/>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19"/>
    <s v="Puerto Asís"/>
    <s v="Multilateral"/>
    <n v="1567117.9444444401"/>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19"/>
    <s v="Puerto Leguízamo"/>
    <s v="Multilateral"/>
    <n v="1567117.9444444401"/>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24"/>
    <s v="La Chorrera"/>
    <s v="Multilateral"/>
    <n v="2350676.9166666698"/>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24"/>
    <s v="Leticia"/>
    <s v="Multilateral"/>
    <n v="2350676.9166666698"/>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17"/>
    <s v="Florencia"/>
    <s v="Multilateral"/>
    <n v="2350676.9166666698"/>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17"/>
    <s v="San José del Fragua"/>
    <s v="Multilateral"/>
    <n v="2350676.9166666698"/>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26"/>
    <s v="Carurú"/>
    <s v="Multilateral"/>
    <n v="2350676.9166666698"/>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26"/>
    <s v="Mitú"/>
    <s v="Multilateral"/>
    <n v="2350676.9166666698"/>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18"/>
    <s v="Miraflores"/>
    <s v="Multilateral"/>
    <n v="4701353.8333333302"/>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25"/>
    <s v="Inírida"/>
    <s v="Multilateral"/>
    <n v="4701353.8333333302"/>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19-3450"/>
    <s v="Programa de Construcción de Capacidades para el Estado de Derecho y la Lucha  contra el Narcotráfico en Colombia"/>
    <s v="SUMINISTRAr ASISTENCIA FINANCIERA, MATERIAL, ECONOMICA Y TECNICA PARA FORTALECER LA CAPACIDAD DEL GOBIERNO EN COLOMBIA PARA APOYAR LA CONVENCIÓN DE LAS NACIONES UNIDAS CONTRA EL TRAFICO ILICITO DE ESTUPEFACIENTES Y SUSTANCIAS PSICOTROPICAS DE 1986, LA DELINCUENCIA ORGANIZADA TRANSACCIONAL DE 2000 Y LAS CONVENCIONES DE LUCHA CONTRA LAS ACTIVIDADES TERRORISTAS.  "/>
    <d v="2019-01-01T00:00:00"/>
    <d v="2026-11-30T00:00:00"/>
    <x v="8"/>
    <s v="Ámbito Nacional"/>
    <s v="Estados Unidos"/>
    <n v="79604943.709999993"/>
    <x v="11"/>
    <s v="Estados Unidos"/>
    <s v="Donante"/>
    <s v="A. Paz y Estabilización Territorial"/>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Justicia y del Derecho"/>
  </r>
  <r>
    <s v="R-AO-21-3451"/>
    <s v="CONVENIO MARCO DE COOPERACIÓN INTERINSTITUCIONAL SCHNEIDER – CIUDAD DON BOSCO"/>
    <s v=" EL OBJETIVO DE ESTE PROYECTO ES INCLUIR DOS INSTITUTOS DON BOSCO MÁS EN COLOMBIA: BARRANQUILLA Y CALI, PARA MEJORAR TANTO LA EMPLEABILIDAD COMO LAS PERSPECTIVAS PROFESIONALES DE JÓVENES VULNERABLES A TRAVÉS DE LA MODERNIZACIÓN DE LA EDUCACIÓN DE FORMACIÓN TÉCNICA. EL PROYECTO SE CENTRARÁ EN LA DIGITALIZACIÓN Y LOS SISTEMAS SOLARES, EL FORTALECIMIENTO INSTITUCIONAL Y LA CREACIÓN DE REDES DE ESCUELAS."/>
    <d v="2021-11-05T00:00:00"/>
    <d v="2026-11-05T00:00:00"/>
    <x v="21"/>
    <s v="Barranquilla"/>
    <s v="Francia"/>
    <n v="17582.333333333299"/>
    <x v="12"/>
    <s v="Francia"/>
    <s v="Donante"/>
    <s v="No Aplica"/>
    <s v="4.4.Para 2030, aumentar en un x% el número de jóvenes y adultos con habilidades relevantes incluidas las aptitudes técnicas y vocacionales, para el empleo, trabajo decente y el emprendimiento."/>
    <x v="5"/>
    <s v="SIN ALINEAR"/>
    <s v="Educación Nacional"/>
  </r>
  <r>
    <s v="R-AO-21-3451"/>
    <s v="CONVENIO MARCO DE COOPERACIÓN INTERINSTITUCIONAL SCHNEIDER – CIUDAD DON BOSCO"/>
    <s v=" EL OBJETIVO DE ESTE PROYECTO ES INCLUIR DOS INSTITUTOS DON BOSCO MÁS EN COLOMBIA: BARRANQUILLA Y CALI, PARA MEJORAR TANTO LA EMPLEABILIDAD COMO LAS PERSPECTIVAS PROFESIONALES DE JÓVENES VULNERABLES A TRAVÉS DE LA MODERNIZACIÓN DE LA EDUCACIÓN DE FORMACIÓN TÉCNICA. EL PROYECTO SE CENTRARÁ EN LA DIGITALIZACIÓN Y LOS SISTEMAS SOLARES, EL FORTALECIMIENTO INSTITUCIONAL Y LA CREACIÓN DE REDES DE ESCUELAS."/>
    <d v="2021-11-05T00:00:00"/>
    <d v="2026-11-05T00:00:00"/>
    <x v="7"/>
    <s v="Medellín"/>
    <s v="Francia"/>
    <n v="17582.333333333299"/>
    <x v="12"/>
    <s v="Francia"/>
    <s v="Donante"/>
    <s v="No Aplica"/>
    <s v="4.4.Para 2030, aumentar en un x% el número de jóvenes y adultos con habilidades relevantes incluidas las aptitudes técnicas y vocacionales, para el empleo, trabajo decente y el emprendimiento."/>
    <x v="5"/>
    <s v="SIN ALINEAR"/>
    <s v="Educación Nacional"/>
  </r>
  <r>
    <s v="R-AO-21-3451"/>
    <s v="CONVENIO MARCO DE COOPERACIÓN INTERINSTITUCIONAL SCHNEIDER – CIUDAD DON BOSCO"/>
    <s v=" EL OBJETIVO DE ESTE PROYECTO ES INCLUIR DOS INSTITUTOS DON BOSCO MÁS EN COLOMBIA: BARRANQUILLA Y CALI, PARA MEJORAR TANTO LA EMPLEABILIDAD COMO LAS PERSPECTIVAS PROFESIONALES DE JÓVENES VULNERABLES A TRAVÉS DE LA MODERNIZACIÓN DE LA EDUCACIÓN DE FORMACIÓN TÉCNICA. EL PROYECTO SE CENTRARÁ EN LA DIGITALIZACIÓN Y LOS SISTEMAS SOLARES, EL FORTALECIMIENTO INSTITUCIONAL Y LA CREACIÓN DE REDES DE ESCUELAS."/>
    <d v="2021-11-05T00:00:00"/>
    <d v="2026-11-05T00:00:00"/>
    <x v="9"/>
    <s v="Cali"/>
    <s v="Francia"/>
    <n v="17582.333333333299"/>
    <x v="12"/>
    <s v="Francia"/>
    <s v=" Donante "/>
    <s v="No Aplica"/>
    <s v="4.4.Para 2030, aumentar en un x% el número de jóvenes y adultos con habilidades relevantes incluidas las aptitudes técnicas y vocacionales, para el empleo, trabajo decente y el emprendimiento."/>
    <x v="5"/>
    <s v="SIN ALINEAR"/>
    <s v="Educación Nacional"/>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7"/>
    <s v="Barbacoas"/>
    <s v="Corea del Sur"/>
    <n v="377777.77777777798"/>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7"/>
    <s v="Cumbitara"/>
    <s v="Corea del Sur"/>
    <n v="377777.77777777798"/>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7"/>
    <s v="Leiva"/>
    <s v="Corea del Sur"/>
    <n v="377777.77777777798"/>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7"/>
    <s v="Pasto"/>
    <s v="Corea del Sur"/>
    <n v="377777.77777777798"/>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7"/>
    <s v="Policarpa"/>
    <s v="Corea del Sur"/>
    <n v="377777.77777777798"/>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7"/>
    <s v="San Andrés de Tumaco"/>
    <s v="Corea del Sur"/>
    <n v="377777.77777777798"/>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8"/>
    <s v="Buenos Aires"/>
    <s v="Corea del Sur"/>
    <n v="755555.55555555597"/>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8"/>
    <s v="Caldono"/>
    <s v="Corea del Sur"/>
    <n v="755555.55555555597"/>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8"/>
    <s v="Piendamó-Tunía"/>
    <s v="Corea del Sur"/>
    <n v="755555.55555555597"/>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9"/>
    <s v="Buenaventura"/>
    <s v="Corea del Sur"/>
    <n v="1133333.33333333"/>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9"/>
    <s v="Cali"/>
    <s v="Corea del Sur"/>
    <n v="1133333.33333333"/>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7"/>
    <s v="Remedios"/>
    <s v="Implementadores de Paz"/>
    <n v="122333.33333333299"/>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7"/>
    <s v="Segovia"/>
    <s v="Implementadores de Paz"/>
    <n v="122333.33333333299"/>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7"/>
    <s v="Vigía del Fuerte"/>
    <s v="Implementadores de Paz"/>
    <n v="122333.33333333299"/>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12"/>
    <s v="Coromoro"/>
    <s v="Implementadores de Paz"/>
    <n v="1835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12"/>
    <s v="El Carmen de Chucurí"/>
    <s v="Implementadores de Paz"/>
    <n v="1835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28"/>
    <s v="Piamonte"/>
    <s v="Implementadores de Paz"/>
    <n v="1835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28"/>
    <s v="Timbiquí"/>
    <s v="Implementadores de Paz"/>
    <n v="1835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27"/>
    <s v="San Andrés de Tumaco"/>
    <s v="Implementadores de Paz"/>
    <n v="3670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9"/>
    <s v="Buenaventura"/>
    <s v="Implementadores de Paz"/>
    <n v="3670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Abejorral"/>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Betani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Betuli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Ciudad Bolívar"/>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Concordi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Fredoni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Granad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Hispani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La Cej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Montebello"/>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El Retiro"/>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Salgar"/>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San Carlos"/>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San Luis"/>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San Rafael"/>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Santa Bárbar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Sonsón"/>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Tarso"/>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Veneci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13"/>
    <s v="Belén de Umbría"/>
    <s v="Empresas"/>
    <n v="1961266.5"/>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13"/>
    <s v="La Celia"/>
    <s v="Empresas"/>
    <n v="1961266.5"/>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9"/>
    <s v="Caicedonia"/>
    <s v="Empresas"/>
    <n v="1961266.5"/>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9"/>
    <s v="Sevilla"/>
    <s v="Empresas"/>
    <n v="1961266.5"/>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28"/>
    <s v="Restauración ecológica, rehabilitación y recuperación de ecosistemas degradados"/>
    <s v="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
    <d v="2022-08-03T00:00:00"/>
    <d v="2026-08-02T00:00:00"/>
    <x v="17"/>
    <s v="El Doncello"/>
    <s v="ESAL"/>
    <n v="141666.66666666701"/>
    <x v="16"/>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28"/>
    <s v="Restauración ecológica, rehabilitación y recuperación de ecosistemas degradados"/>
    <s v="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
    <d v="2022-08-03T00:00:00"/>
    <d v="2026-08-02T00:00:00"/>
    <x v="17"/>
    <s v="Florencia"/>
    <s v="ESAL"/>
    <n v="141666.66666666701"/>
    <x v="16"/>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28"/>
    <s v="Restauración ecológica, rehabilitación y recuperación de ecosistemas degradados"/>
    <s v="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
    <d v="2022-08-03T00:00:00"/>
    <d v="2026-08-02T00:00:00"/>
    <x v="17"/>
    <s v="La Montañita"/>
    <s v="ESAL"/>
    <n v="141666.66666666701"/>
    <x v="16"/>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28"/>
    <s v="Restauración ecológica, rehabilitación y recuperación de ecosistemas degradados"/>
    <s v="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
    <d v="2022-08-03T00:00:00"/>
    <d v="2026-08-02T00:00:00"/>
    <x v="16"/>
    <s v="Dibulla"/>
    <s v="ESAL"/>
    <n v="425000"/>
    <x v="16"/>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28"/>
    <s v="Restauración ecológica, rehabilitación y recuperación de ecosistemas degradados"/>
    <s v="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
    <d v="2022-08-03T00:00:00"/>
    <d v="2026-08-02T00:00:00"/>
    <x v="17"/>
    <s v="El Doncello"/>
    <s v="Implementadores de Paz"/>
    <n v="2500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28"/>
    <s v="Restauración ecológica, rehabilitación y recuperación de ecosistemas degradados"/>
    <s v="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
    <d v="2022-08-03T00:00:00"/>
    <d v="2026-08-02T00:00:00"/>
    <x v="17"/>
    <s v="Florencia"/>
    <s v="Implementadores de Paz"/>
    <n v="2500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28"/>
    <s v="Restauración ecológica, rehabilitación y recuperación de ecosistemas degradados"/>
    <s v="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
    <d v="2022-08-03T00:00:00"/>
    <d v="2026-08-02T00:00:00"/>
    <x v="17"/>
    <s v="La Montañita"/>
    <s v="Implementadores de Paz"/>
    <n v="2500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28"/>
    <s v="Restauración ecológica, rehabilitación y recuperación de ecosistemas degradados"/>
    <s v="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
    <d v="2022-08-03T00:00:00"/>
    <d v="2026-08-02T00:00:00"/>
    <x v="16"/>
    <s v="Dibulla"/>
    <s v="Implementadores de Paz"/>
    <n v="7500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38"/>
    <s v="COLORES: Comunidades locales resilientes. Las mujeres y los jóvenes construyen economías sostenibles y solidarias en apoyo del proceso de paz en Colombia "/>
    <s v="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
    <d v="2022-07-15T00:00:00"/>
    <d v="2026-01-14T00:00:00"/>
    <x v="19"/>
    <s v="Mocoa"/>
    <s v="Italia"/>
    <n v="245675.875"/>
    <x v="17"/>
    <s v="Italia"/>
    <s v="Donante"/>
    <s v="A. Paz y Estabilización Territorial"/>
    <s v="11.a.Apoyar vínculos económicos, sociales y ambientales positivos entre las zonas urbanas, periurbanas y rurales mediante el fortalecimiento de la planificación para el desarrollo nacional y_x000a_regional."/>
    <x v="4"/>
    <s v="SIN ALINEAR"/>
    <s v="Ambiente y Desarrollo Sostenible"/>
  </r>
  <r>
    <s v="R-AO-22-3738"/>
    <s v="COLORES: Comunidades locales resilientes. Las mujeres y los jóvenes construyen economías sostenibles y solidarias en apoyo del proceso de paz en Colombia "/>
    <s v="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
    <d v="2022-07-15T00:00:00"/>
    <d v="2026-01-14T00:00:00"/>
    <x v="19"/>
    <s v="Orito"/>
    <s v="Italia"/>
    <n v="245675.875"/>
    <x v="17"/>
    <s v="Italia"/>
    <s v=" Donante"/>
    <s v="A. Paz y Estabilización Territorial"/>
    <s v="11.a.Apoyar vínculos económicos, sociales y ambientales positivos entre las zonas urbanas, periurbanas y rurales mediante el fortalecimiento de la planificación para el desarrollo nacional y_x000a_regional."/>
    <x v="4"/>
    <s v="SIN ALINEAR"/>
    <s v="Ambiente y Desarrollo Sostenible"/>
  </r>
  <r>
    <s v="R-AO-22-3738"/>
    <s v="COLORES: Comunidades locales resilientes. Las mujeres y los jóvenes construyen economías sostenibles y solidarias en apoyo del proceso de paz en Colombia "/>
    <s v="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
    <d v="2022-07-15T00:00:00"/>
    <d v="2026-01-14T00:00:00"/>
    <x v="19"/>
    <s v="Puerto Asís"/>
    <s v="Italia"/>
    <n v="245675.875"/>
    <x v="17"/>
    <s v="Italia"/>
    <s v=" Donante"/>
    <s v="A. Paz y Estabilización Territorial"/>
    <s v="11.a.Apoyar vínculos económicos, sociales y ambientales positivos entre las zonas urbanas, periurbanas y rurales mediante el fortalecimiento de la planificación para el desarrollo nacional y_x000a_regional."/>
    <x v="4"/>
    <s v="SIN ALINEAR"/>
    <s v="Ambiente y Desarrollo Sostenible"/>
  </r>
  <r>
    <s v="R-AO-22-3738"/>
    <s v="COLORES: Comunidades locales resilientes. Las mujeres y los jóvenes construyen economías sostenibles y solidarias en apoyo del proceso de paz en Colombia "/>
    <s v="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
    <d v="2022-07-15T00:00:00"/>
    <d v="2026-01-14T00:00:00"/>
    <x v="19"/>
    <s v="Puerto Caicedo"/>
    <s v="Italia"/>
    <n v="245675.875"/>
    <x v="17"/>
    <s v="Italia"/>
    <s v=" Donante"/>
    <s v="A. Paz y Estabilización Territorial"/>
    <s v="11.a.Apoyar vínculos económicos, sociales y ambientales positivos entre las zonas urbanas, periurbanas y rurales mediante el fortalecimiento de la planificación para el desarrollo nacional y_x000a_regional."/>
    <x v="4"/>
    <s v="SIN ALINEAR"/>
    <s v="Ambiente y Desarrollo Sostenible"/>
  </r>
  <r>
    <s v="R-AO-22-3738"/>
    <s v="COLORES: Comunidades locales resilientes. Las mujeres y los jóvenes construyen economías sostenibles y solidarias en apoyo del proceso de paz en Colombia "/>
    <s v="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
    <d v="2022-07-15T00:00:00"/>
    <d v="2026-01-14T00:00:00"/>
    <x v="19"/>
    <s v="Puerto Guzmán"/>
    <s v="Italia"/>
    <n v="245675.875"/>
    <x v="17"/>
    <s v="Italia"/>
    <s v=" Donante"/>
    <s v="A. Paz y Estabilización Territorial"/>
    <s v="11.a.Apoyar vínculos económicos, sociales y ambientales positivos entre las zonas urbanas, periurbanas y rurales mediante el fortalecimiento de la planificación para el desarrollo nacional y_x000a_regional."/>
    <x v="4"/>
    <s v="SIN ALINEAR"/>
    <s v="Ambiente y Desarrollo Sostenible"/>
  </r>
  <r>
    <s v="R-AO-22-3738"/>
    <s v="COLORES: Comunidades locales resilientes. Las mujeres y los jóvenes construyen economías sostenibles y solidarias en apoyo del proceso de paz en Colombia "/>
    <s v="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
    <d v="2022-07-15T00:00:00"/>
    <d v="2026-01-14T00:00:00"/>
    <x v="19"/>
    <s v="San Miguel"/>
    <s v="Italia"/>
    <n v="245675.875"/>
    <x v="17"/>
    <s v="Italia"/>
    <s v=" Donante"/>
    <s v="A. Paz y Estabilización Territorial"/>
    <s v="11.a.Apoyar vínculos económicos, sociales y ambientales positivos entre las zonas urbanas, periurbanas y rurales mediante el fortalecimiento de la planificación para el desarrollo nacional y_x000a_regional."/>
    <x v="4"/>
    <s v="SIN ALINEAR"/>
    <s v="Ambiente y Desarrollo Sostenible"/>
  </r>
  <r>
    <s v="R-AO-22-3738"/>
    <s v="COLORES: Comunidades locales resilientes. Las mujeres y los jóvenes construyen economías sostenibles y solidarias en apoyo del proceso de paz en Colombia "/>
    <s v="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
    <d v="2022-07-15T00:00:00"/>
    <d v="2026-01-14T00:00:00"/>
    <x v="19"/>
    <s v="Valle del Guamuez"/>
    <s v="Italia"/>
    <n v="245675.875"/>
    <x v="17"/>
    <s v="Italia"/>
    <s v=" Donante"/>
    <s v="A. Paz y Estabilización Territorial"/>
    <s v="11.a.Apoyar vínculos económicos, sociales y ambientales positivos entre las zonas urbanas, periurbanas y rurales mediante el fortalecimiento de la planificación para el desarrollo nacional y_x000a_regional."/>
    <x v="4"/>
    <s v="SIN ALINEAR"/>
    <s v="Ambiente y Desarrollo Sostenible"/>
  </r>
  <r>
    <s v="R-AO-22-3738"/>
    <s v="COLORES: Comunidades locales resilientes. Las mujeres y los jóvenes construyen economías sostenibles y solidarias en apoyo del proceso de paz en Colombia "/>
    <s v="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
    <d v="2022-07-15T00:00:00"/>
    <d v="2026-01-14T00:00:00"/>
    <x v="19"/>
    <s v="Villagarzón"/>
    <s v="Italia"/>
    <n v="245675.875"/>
    <x v="17"/>
    <s v="Italia"/>
    <s v=" Donante"/>
    <s v="A. Paz y Estabilización Territorial"/>
    <s v="11.a.Apoyar vínculos económicos, sociales y ambientales positivos entre las zonas urbanas, periurbanas y rurales mediante el fortalecimiento de la planificación para el desarrollo nacional y_x000a_regional."/>
    <x v="4"/>
    <s v="SIN ALINEAR"/>
    <s v="Ambiente y Desarrollo Sostenible"/>
  </r>
  <r>
    <s v="R-AO-21-3762"/>
    <s v="Agregar Valor a la Conservación de los Manglares en los Sistemas de Ciudades Costeras "/>
    <s v="El objetivo general del Proyecto es mejorar el manejo integral de los ecosistemas de manglar en el Golfo de Morrosquillo integrando los manglares de la Caimanera y Bocas de Guacamayas a este esquema de sostenibilidad innovado"/>
    <d v="2021-11-22T00:00:00"/>
    <d v="2026-03-31T00:00:00"/>
    <x v="4"/>
    <s v="No Reporta"/>
    <s v="Banca Multilateral"/>
    <n v="1000000"/>
    <x v="5"/>
    <s v="Estados Unidos"/>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762"/>
    <s v="Agregar Valor a la Conservación de los Manglares en los Sistemas de Ciudades Costeras "/>
    <s v="El objetivo general del Proyecto es mejorar el manejo integral de los ecosistemas de manglar en el Golfo de Morrosquillo integrando los manglares de la Caimanera y Bocas de Guacamayas a este esquema de sostenibilidad innovado"/>
    <d v="2021-11-22T00:00:00"/>
    <d v="2026-03-31T00:00:00"/>
    <x v="4"/>
    <s v="No Reporta"/>
    <s v="ESAL"/>
    <n v="210000"/>
    <x v="18"/>
    <s v="Estados Unidos"/>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29"/>
    <s v="Alvarado"/>
    <s v="ESAL"/>
    <n v="14285.714285714301"/>
    <x v="19"/>
    <s v="Colombia/Centro Oriente/Bogotá D.C./Bogotá D.C."/>
    <s v=" Ejecutor"/>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29"/>
    <s v="Ibagué"/>
    <s v="ESAL"/>
    <n v="14285.714285714301"/>
    <x v="19"/>
    <s v="Colombia/Centro Oriente/Bogotá D.C./Bogotá D.C."/>
    <s v=" Ejecutor"/>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29"/>
    <s v="Piedras"/>
    <s v="ESAL"/>
    <n v="14285.714285714301"/>
    <x v="19"/>
    <s v="Colombia/Centro Oriente/Bogotá D.C./Bogotá D.C."/>
    <s v=" Ejecutor"/>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29"/>
    <s v="Prado"/>
    <s v="ESAL"/>
    <n v="14285.714285714301"/>
    <x v="19"/>
    <s v="Colombia/Centro Oriente/Bogotá D.C./Bogotá D.C."/>
    <s v=" Ejecutor"/>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29"/>
    <s v="Purificación"/>
    <s v="ESAL"/>
    <n v="14285.714285714301"/>
    <x v="19"/>
    <s v="Colombia/Centro Oriente/Bogotá D.C./Bogotá D.C."/>
    <s v=" Ejecutor"/>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29"/>
    <s v="San Luis"/>
    <s v="ESAL"/>
    <n v="14285.714285714301"/>
    <x v="19"/>
    <s v="Colombia/Centro Oriente/Bogotá D.C./Bogotá D.C."/>
    <s v=" Donante"/>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29"/>
    <s v="Valle de San Juan"/>
    <s v="ESAL"/>
    <n v="14285.714285714301"/>
    <x v="19"/>
    <s v="Colombia/Centro Oriente/Bogotá D.C./Bogotá D.C."/>
    <s v=" Donante"/>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17"/>
    <s v="Belén de los Andaquíes"/>
    <s v="ESAL"/>
    <n v="25000"/>
    <x v="19"/>
    <s v="Colombia/Centro Oriente/Bogotá D.C./Bogotá D.C."/>
    <s v=" Donante"/>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17"/>
    <s v="El Doncello"/>
    <s v="ESAL"/>
    <n v="25000"/>
    <x v="19"/>
    <s v="Colombia/Centro Oriente/Bogotá D.C./Bogotá D.C."/>
    <s v=" Donante"/>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17"/>
    <s v="El Paujíl"/>
    <s v="ESAL"/>
    <n v="25000"/>
    <x v="19"/>
    <s v="Colombia/Centro Oriente/Bogotá D.C./Bogotá D.C."/>
    <s v=" Donante"/>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17"/>
    <s v="Florencia"/>
    <s v="ESAL"/>
    <n v="25000"/>
    <x v="19"/>
    <s v="Colombia/Centro Oriente/Bogotá D.C./Bogotá D.C."/>
    <s v=" Donante"/>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30"/>
    <s v="Acandí"/>
    <s v="Implementadores de Paz"/>
    <n v="27777.777777777799"/>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30"/>
    <s v="Unguía"/>
    <s v="Implementadores de Paz"/>
    <n v="27777.777777777799"/>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21"/>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5"/>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22"/>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6"/>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6"/>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0"/>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4"/>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31"/>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23"/>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20"/>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2"/>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7"/>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4"/>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9"/>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29"/>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7"/>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5"/>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32"/>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3"/>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0"/>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2"/>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3"/>
    <s v="No Reporta"/>
    <s v="Implementadores de Paz"/>
    <n v="55555.555555555598"/>
    <x v="14"/>
    <s v="Colombia"/>
    <s v=" Donante "/>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28"/>
    <s v="No Reporta"/>
    <s v="Implementadores de Paz"/>
    <n v="55555.555555555598"/>
    <x v="14"/>
    <s v="Colombia"/>
    <s v=" Donante "/>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27"/>
    <s v="No Reporta"/>
    <s v="Implementadores de Paz"/>
    <n v="55555.555555555598"/>
    <x v="14"/>
    <s v="Colombia"/>
    <s v=" Donante "/>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9"/>
    <s v="No Reporta"/>
    <s v="Implementadores de Paz"/>
    <n v="55555.555555555598"/>
    <x v="14"/>
    <s v="Colombia"/>
    <s v=" Donante "/>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Íquira"/>
    <s v="Francia"/>
    <n v="55170.52380952380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Isnos"/>
    <s v="Francia"/>
    <n v="55170.52380952380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La Argentina"/>
    <s v="Francia"/>
    <n v="55170.52380952380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Saladoblanco"/>
    <s v="Francia"/>
    <n v="55170.52380952380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San Agustín"/>
    <s v="Francia"/>
    <n v="55170.52380952380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Santa María"/>
    <s v="Francia"/>
    <n v="55170.52380952380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Teruel"/>
    <s v="Francia"/>
    <n v="55170.52380952380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28"/>
    <s v="Popayán"/>
    <s v="Francia"/>
    <n v="128731.22222222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28"/>
    <s v="Puracé"/>
    <s v="Francia"/>
    <n v="128731.22222222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28"/>
    <s v="Sotara"/>
    <s v="Francia"/>
    <n v="128731.22222222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9"/>
    <s v="Florida"/>
    <s v="Francia"/>
    <n v="193096.83333333299"/>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9"/>
    <s v="Pradera"/>
    <s v="Francia"/>
    <n v="193096.83333333299"/>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Íquira"/>
    <s v="Naciones Unidas"/>
    <n v="111362.47619047599"/>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Isnos"/>
    <s v="Naciones Unidas"/>
    <n v="111362.47619047599"/>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La Argentina"/>
    <s v="Naciones Unidas"/>
    <n v="111362.47619047599"/>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Saladoblanco"/>
    <s v="Naciones Unidas"/>
    <n v="111362.47619047599"/>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San Agustín"/>
    <s v="Naciones Unidas"/>
    <n v="111362.47619047599"/>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Santa María"/>
    <s v="Naciones Unidas"/>
    <n v="111362.47619047599"/>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Teruel"/>
    <s v="Naciones Unidas"/>
    <n v="111362.47619047599"/>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28"/>
    <s v="Popayán"/>
    <s v="Naciones Unidas"/>
    <n v="259845.77777777801"/>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28"/>
    <s v="Puracé"/>
    <s v="Naciones Unidas"/>
    <n v="259845.77777777801"/>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28"/>
    <s v="Sotara"/>
    <s v="Naciones Unidas"/>
    <n v="259845.77777777801"/>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9"/>
    <s v="Florida"/>
    <s v="Naciones Unidas"/>
    <n v="389768.66666666698"/>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9"/>
    <s v="Pradera"/>
    <s v="Naciones Unidas"/>
    <n v="389768.66666666698"/>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61"/>
    <s v="PARTICIPACIÓN PÚBLICA:  ECONOMÍA OCEÁNICA SOSTENIBLE E INCLUSIVA EN COLOMBIA - COL-22/0005"/>
    <s v="Fortalecer la pesca resiliente y sostenible, la conservación marina y los medios de vida de las comunidades costeras en la Zona Económica Exclusiva (ZEE) del litoral Pacífico del Chocó, a través de una mejor gestión marina y la participación de los actores locales en el uso y la conservación de los recursos. "/>
    <d v="2022-08-30T00:00:00"/>
    <d v="2026-08-31T00:00:00"/>
    <x v="30"/>
    <s v="Bahía Solano"/>
    <s v="Noruega"/>
    <n v="592776"/>
    <x v="22"/>
    <s v="Noruega"/>
    <s v=" Donante "/>
    <s v="C. Conservación Y Sostenibilidad Ambiental"/>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2-3861"/>
    <s v="PARTICIPACIÓN PÚBLICA:  ECONOMÍA OCEÁNICA SOSTENIBLE E INCLUSIVA EN COLOMBIA - COL-22/0005"/>
    <s v="Fortalecer la pesca resiliente y sostenible, la conservación marina y los medios de vida de las comunidades costeras en la Zona Económica Exclusiva (ZEE) del litoral Pacífico del Chocó, a través de una mejor gestión marina y la participación de los actores locales en el uso y la conservación de los recursos. "/>
    <d v="2022-08-30T00:00:00"/>
    <d v="2026-08-31T00:00:00"/>
    <x v="30"/>
    <s v="Bajo Baudó"/>
    <s v="Noruega"/>
    <n v="592776"/>
    <x v="22"/>
    <s v="Noruega"/>
    <s v=" Donante "/>
    <s v="C. Conservación Y Sostenibilidad Ambiental"/>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2-3861"/>
    <s v="PARTICIPACIÓN PÚBLICA:  ECONOMÍA OCEÁNICA SOSTENIBLE E INCLUSIVA EN COLOMBIA - COL-22/0005"/>
    <s v="Fortalecer la pesca resiliente y sostenible, la conservación marina y los medios de vida de las comunidades costeras en la Zona Económica Exclusiva (ZEE) del litoral Pacífico del Chocó, a través de una mejor gestión marina y la participación de los actores locales en el uso y la conservación de los recursos. "/>
    <d v="2022-08-30T00:00:00"/>
    <d v="2026-08-31T00:00:00"/>
    <x v="30"/>
    <s v="El Litoral del San Juan"/>
    <s v="Noruega"/>
    <n v="592776"/>
    <x v="22"/>
    <s v="Noruega"/>
    <s v=" Donante "/>
    <s v="C. Conservación Y Sostenibilidad Ambiental"/>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2-3861"/>
    <s v="PARTICIPACIÓN PÚBLICA:  ECONOMÍA OCEÁNICA SOSTENIBLE E INCLUSIVA EN COLOMBIA - COL-22/0005"/>
    <s v="Fortalecer la pesca resiliente y sostenible, la conservación marina y los medios de vida de las comunidades costeras en la Zona Económica Exclusiva (ZEE) del litoral Pacífico del Chocó, a través de una mejor gestión marina y la participación de los actores locales en el uso y la conservación de los recursos. "/>
    <d v="2022-08-30T00:00:00"/>
    <d v="2026-08-31T00:00:00"/>
    <x v="30"/>
    <s v="Juradó"/>
    <s v="Noruega"/>
    <n v="592776"/>
    <x v="22"/>
    <s v="Noruega"/>
    <s v=" Donante "/>
    <s v="C. Conservación Y Sostenibilidad Ambiental"/>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2-3861"/>
    <s v="PARTICIPACIÓN PÚBLICA:  ECONOMÍA OCEÁNICA SOSTENIBLE E INCLUSIVA EN COLOMBIA - COL-22/0005"/>
    <s v="Fortalecer la pesca resiliente y sostenible, la conservación marina y los medios de vida de las comunidades costeras en la Zona Económica Exclusiva (ZEE) del litoral Pacífico del Chocó, a través de una mejor gestión marina y la participación de los actores locales en el uso y la conservación de los recursos. "/>
    <d v="2022-08-30T00:00:00"/>
    <d v="2026-08-31T00:00:00"/>
    <x v="30"/>
    <s v="Nuquí"/>
    <s v="Noruega"/>
    <n v="592776"/>
    <x v="22"/>
    <s v="Noruega"/>
    <s v=" Donante "/>
    <s v="C. Conservación Y Sostenibilidad Ambiental"/>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2-3936"/>
    <s v="Conservación y Uso Sostenible de la Ciénaga Grande de Santa Marta"/>
    <s v="mejorar la salud del Sistema Delta Estuarino del Río Magdalena, Ciénaga Grande de Santa Marta (SDERM- CGSM) para promover la conservación de la biodiversidad y los servicios ecosistémico"/>
    <d v="2022-08-29T00:00:00"/>
    <d v="2027-08-27T00:00:00"/>
    <x v="21"/>
    <s v="No Reporta"/>
    <s v="Empresas"/>
    <n v="4109589"/>
    <x v="8"/>
    <s v="Estados Unidos"/>
    <s v="Donante"/>
    <s v="C. Conservación Y Sostenibilidad Ambiental"/>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2-3936"/>
    <s v="Conservación y Uso Sostenible de la Ciénaga Grande de Santa Marta"/>
    <s v="mejorar la salud del Sistema Delta Estuarino del Río Magdalena, Ciénaga Grande de Santa Marta (SDERM- CGSM) para promover la conservación de la biodiversidad y los servicios ecosistémico"/>
    <d v="2022-08-29T00:00:00"/>
    <d v="2027-08-27T00:00:00"/>
    <x v="10"/>
    <s v="No Reporta"/>
    <s v="Empresas"/>
    <n v="4109589"/>
    <x v="8"/>
    <s v="Estados Unidos"/>
    <s v="Donante"/>
    <s v="C. Conservación Y Sostenibilidad Ambiental"/>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2-3951"/>
    <s v="Contaminantes Persistentes - 112906"/>
    <s v="Contaminantes Persistentes"/>
    <d v="2022-02-07T00:00:00"/>
    <d v="2027-02-07T00:00:00"/>
    <x v="11"/>
    <s v="Bogotá D.C."/>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31"/>
    <s v="Tunja"/>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20"/>
    <s v="Cúcuta"/>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12"/>
    <s v="Bucaramanga"/>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14"/>
    <s v="Neiva"/>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7"/>
    <s v="Medellín"/>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15"/>
    <s v="Manizales"/>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32"/>
    <s v="Armenia"/>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13"/>
    <s v="Pereira"/>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28"/>
    <s v="Popayán"/>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7"/>
    <s v="Barbosa"/>
    <s v="Suiza"/>
    <n v="53022.39066666670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7"/>
    <s v="Caucasia"/>
    <s v="Suiza"/>
    <n v="53022.39066666670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7"/>
    <s v="El Bagre"/>
    <s v="Suiza"/>
    <n v="53022.39066666670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7"/>
    <s v="Remedios"/>
    <s v="Suiza"/>
    <n v="53022.39066666670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7"/>
    <s v="Segovia"/>
    <s v="Suiza"/>
    <n v="53022.39066666670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7"/>
    <s v="Tarazá"/>
    <s v="Suiza"/>
    <n v="53022.39066666670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30"/>
    <s v="Condoto"/>
    <s v="Suiza"/>
    <n v="106044.78133333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30"/>
    <s v="Istmina"/>
    <s v="Suiza"/>
    <n v="106044.78133333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30"/>
    <s v="Quibdó"/>
    <s v="Suiza"/>
    <n v="106044.78133333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29"/>
    <s v="Ataco"/>
    <s v="Suiza"/>
    <n v="159067.17199999999"/>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29"/>
    <s v="Chaparral"/>
    <s v="Suiza"/>
    <n v="159067.17199999999"/>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12"/>
    <s v="Vetas"/>
    <s v="Suiza"/>
    <n v="318134.34399999998"/>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14"/>
    <s v="Neiva"/>
    <s v="Suiza"/>
    <n v="318134.34399999998"/>
    <x v="23"/>
    <s v="Suiza"/>
    <s v=" Donante"/>
    <s v="C. Conservación Y Sostenibilidad Ambiental"/>
    <s v="12.2.En 2030 alcanzar la gestión sostenible y uso eficiente de los recursos naturales."/>
    <x v="10"/>
    <s v="SIN ALINEAR"/>
    <s v="Minas y Energía"/>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12"/>
    <s v="Charta"/>
    <s v="Implementadores de Paz"/>
    <n v="416666.66666666698"/>
    <x v="14"/>
    <s v="Colombia"/>
    <s v=" Donante"/>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12"/>
    <s v="Suratá"/>
    <s v="Implementadores de Paz"/>
    <n v="416666.66666666698"/>
    <x v="1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12"/>
    <s v="Tona"/>
    <s v="Implementadores de Paz"/>
    <n v="416666.66666666698"/>
    <x v="1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28"/>
    <s v="Toribío"/>
    <s v="Implementadores de Paz"/>
    <n v="625000"/>
    <x v="1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28"/>
    <s v="Totoró"/>
    <s v="Implementadores de Paz"/>
    <n v="625000"/>
    <x v="1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12"/>
    <s v="Charta"/>
    <s v="ESAL"/>
    <n v="23658.166666666701"/>
    <x v="2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12"/>
    <s v="Suratá"/>
    <s v="ESAL"/>
    <n v="23658.166666666701"/>
    <x v="2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12"/>
    <s v="Tona"/>
    <s v="ESAL"/>
    <n v="23658.166666666701"/>
    <x v="2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28"/>
    <s v="Toribío"/>
    <s v="ESAL"/>
    <n v="35487.25"/>
    <x v="2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28"/>
    <s v="Totoró"/>
    <s v="ESAL"/>
    <n v="35487.25"/>
    <x v="2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17"/>
    <s v="Cartagena del Chairá"/>
    <s v="Implementadores de Paz"/>
    <n v="156250"/>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17"/>
    <s v="La Montañita"/>
    <s v="Implementadores de Paz"/>
    <n v="156250"/>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17"/>
    <s v="Puerto Rico"/>
    <s v="Implementadores de Paz"/>
    <n v="156250"/>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17"/>
    <s v="Solano"/>
    <s v="Implementadores de Paz"/>
    <n v="156250"/>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5"/>
    <s v="Cantagallo"/>
    <s v="Implementadores de Paz"/>
    <n v="208333.33333333299"/>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5"/>
    <s v="San Pablo"/>
    <s v="Implementadores de Paz"/>
    <n v="208333.33333333299"/>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5"/>
    <s v="Simití"/>
    <s v="Implementadores de Paz"/>
    <n v="208333.33333333299"/>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18"/>
    <s v="Calamar"/>
    <s v="Implementadores de Paz"/>
    <n v="208333.33333333299"/>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18"/>
    <s v="El Retorno"/>
    <s v="Implementadores de Paz"/>
    <n v="208333.33333333299"/>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18"/>
    <s v="San José del Guaviare"/>
    <s v="Implementadores de Paz"/>
    <n v="208333.33333333299"/>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8"/>
    <s v="ESTABLECIMIENTO DE UN TECNO PARQUE DE TRATAMIENTO DE AGUAS EN COLOMBIA"/>
    <s v="aPOYAR EL ESTABLECIMIENTO DE UN TECNO PARQUE DE TRATAMIENTO DE AGUAS EN COLOMBIA, UTILIZANDO LA TECNOLOGÍA, EQUIPOS Y MATERIALES DE TRATAMIENTO DE AGUA DE COREA Y, LA EXPERIENCIA EN LA CONSTRUCCIÓN DE INFRAESTRUCTURA."/>
    <d v="2022-07-13T00:00:00"/>
    <d v="2027-07-13T00:00:00"/>
    <x v="2"/>
    <s v="Villavicencio"/>
    <s v="Corea del Sur"/>
    <n v="4500"/>
    <x v="25"/>
    <s v="Corea del Sur"/>
    <s v=" Donante"/>
    <s v="C. Conservación Y Sostenibilidad Ambiental"/>
    <s v="6.3.Para 2030, mejorar la calidad del agua mediante la reducción de la contaminación, la eliminación de los vertimientos y minimizando la liberación de químicos y materiales peligrosos, reducir a la mitad la proporción de aguas residuales no tratadas, y aumentar el reciclaje y la reutilización segura en x% a nivel mundial."/>
    <x v="3"/>
    <s v="SIN ALINEAR"/>
    <s v="Vivienda Ciudad y Territorio"/>
  </r>
  <r>
    <s v="R-AO-22-4240"/>
    <s v="Avanzando hacia la recuperación: el sistema de transporte de Bogotá como catalizador de la sostenibilidad ambiental y la igualdad de género en la era post COVID-19 - CSO-LA/2021/ 428-394 "/>
    <s v="Hacer del sistema de transporte de Bogota´ D.C un catalizador para la sostenibilidad ambiental y la equidad e igualdad de ge´nero en la era post COVID- 19._x000a_"/>
    <d v="2022-04-01T00:00:00"/>
    <d v="2026-04-01T00:00:00"/>
    <x v="11"/>
    <s v="Bogotá D.C."/>
    <s v="Unión Europea"/>
    <n v="1781674"/>
    <x v="26"/>
    <s v="Bélgica"/>
    <s v=" Donante"/>
    <s v="No Aplica"/>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2-4262"/>
    <s v="Recuperación socioeconómica justa e incluyente de la población venezolana y de acogida en Ecuador, Perú y Colombia"/>
    <s v="Contribuir al ejercicio de derechos y a la integración socioeconómica y cultural entre la población migrante y/o refugiada y de la comunidad de acogida en zonas receptoras de migrantes en colombia, ecuador y perú."/>
    <d v="2022-11-15T00:00:00"/>
    <d v="2027-06-30T00:00:00"/>
    <x v="20"/>
    <s v="Cúcuta"/>
    <s v="España"/>
    <n v="357644"/>
    <x v="27"/>
    <s v="España"/>
    <s v=" Donante"/>
    <s v="E. Fenómeno migratorio"/>
    <s v="10.7.Facilitar una migración y movimiento de personas ordenada, segura, regular y responsable, a través de la implementación de políticas migratorias planificadas y bien gestionadas."/>
    <x v="11"/>
    <s v="SIN ALINEAR"/>
    <s v="Relaciones Exteriores"/>
  </r>
  <r>
    <s v="R-AO-22-4262"/>
    <s v="Recuperación socioeconómica justa e incluyente de la población venezolana y de acogida en Ecuador, Perú y Colombia"/>
    <s v="Contribuir al ejercicio de derechos y a la integración socioeconómica y cultural entre la población migrante y/o refugiada y de la comunidad de acogida en zonas receptoras de migrantes en colombia, ecuador y perú."/>
    <d v="2022-11-15T00:00:00"/>
    <d v="2027-06-30T00:00:00"/>
    <x v="20"/>
    <s v="Villa del Rosario"/>
    <s v="España"/>
    <n v="357644"/>
    <x v="27"/>
    <s v="España"/>
    <s v=" Donante"/>
    <s v="E. Fenómeno migratorio"/>
    <s v="10.7.Facilitar una migración y movimiento de personas ordenada, segura, regular y responsable, a través de la implementación de políticas migratorias planificadas y bien gestionadas."/>
    <x v="11"/>
    <s v="SIN ALINEAR"/>
    <s v="Relaciones Exteriores"/>
  </r>
  <r>
    <s v="R-AO-22-4262"/>
    <s v="Recuperación socioeconómica justa e incluyente de la población venezolana y de acogida en Ecuador, Perú y Colombia"/>
    <s v="Contribuir al ejercicio de derechos y a la integración socioeconómica y cultural entre la población migrante y/o refugiada y de la comunidad de acogida en zonas receptoras de migrantes en colombia, ecuador y perú."/>
    <d v="2022-11-15T00:00:00"/>
    <d v="2027-06-30T00:00:00"/>
    <x v="20"/>
    <s v="Cúcuta"/>
    <s v="ESAL"/>
    <n v="44876"/>
    <x v="28"/>
    <s v="España"/>
    <s v=" Donante"/>
    <s v="E. Fenómeno migratorio"/>
    <s v="10.7.Facilitar una migración y movimiento de personas ordenada, segura, regular y responsable, a través de la implementación de políticas migratorias planificadas y bien gestionadas."/>
    <x v="11"/>
    <s v="SIN ALINEAR"/>
    <s v="Relaciones Exteriores"/>
  </r>
  <r>
    <s v="R-AO-22-4262"/>
    <s v="Recuperación socioeconómica justa e incluyente de la población venezolana y de acogida en Ecuador, Perú y Colombia"/>
    <s v="Contribuir al ejercicio de derechos y a la integración socioeconómica y cultural entre la población migrante y/o refugiada y de la comunidad de acogida en zonas receptoras de migrantes en colombia, ecuador y perú."/>
    <d v="2022-11-15T00:00:00"/>
    <d v="2027-06-30T00:00:00"/>
    <x v="20"/>
    <s v="Villa del Rosario"/>
    <s v="ESAL"/>
    <n v="44876"/>
    <x v="28"/>
    <s v="España"/>
    <s v=" Donante"/>
    <s v="E. Fenómeno migratorio"/>
    <s v="10.7.Facilitar una migración y movimiento de personas ordenada, segura, regular y responsable, a través de la implementación de políticas migratorias planificadas y bien gestionadas."/>
    <x v="11"/>
    <s v="SIN ALINEAR"/>
    <s v="Relaciones Exteriores"/>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ESAL"/>
    <n v="2420017"/>
    <x v="29"/>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Empresas"/>
    <n v="2072853"/>
    <x v="30"/>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ESAL"/>
    <n v="1701920"/>
    <x v="31"/>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ESAL"/>
    <n v="1133405"/>
    <x v="32"/>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Francia"/>
    <n v="1903783"/>
    <x v="20"/>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ESAL"/>
    <n v="1063333"/>
    <x v="33"/>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ESAL"/>
    <n v="200000"/>
    <x v="34"/>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Empresas"/>
    <n v="13611468"/>
    <x v="8"/>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Naciones Unidas"/>
    <n v="500000"/>
    <x v="21"/>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4"/>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17"/>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19"/>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5"/>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18"/>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6"/>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3"/>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8"/>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4"/>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17"/>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19"/>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5"/>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18"/>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6"/>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3"/>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8"/>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4298"/>
    <s v="Entornos protectores:garantias y oportunidades para niños, niñas y adolecentes en riesgo de reclutamiento por actores armados - NDICI-HR-INTPA/2022/440-872"/>
    <s v="Contribuir al fortalecimiento de las capacidades de la sociedad civil para prevenir, proteger, observar e incidir en las políticas estatales de la protección y atención de niños, niñas, adolescentes y jóvenes, indígenas, afrodescendientes, raizales, y mestizos de origen campesino desde una perspectiva de equidad de género a fin de prevenir su vinculación/uso en el conflicto armado del país. "/>
    <d v="2023-02-01T00:00:00"/>
    <d v="2026-01-31T00:00:00"/>
    <x v="22"/>
    <s v="Pueblo Bello"/>
    <s v="Unión Europea"/>
    <n v="249043"/>
    <x v="26"/>
    <s v="Bélgica"/>
    <s v=" Donante"/>
    <s v="3. Promover una cultura de paz, justicia y lucha contra la desigualdad"/>
    <s v="16.2.Terminar con el abuso, la explotación, la trata y todas las formas de violencia y tortura contra los niños."/>
    <x v="7"/>
    <s v="SIN ALINEAR"/>
    <s v="Inclusión Social y Reconciliación"/>
  </r>
  <r>
    <s v="R-AO-23-4298"/>
    <s v="Entornos protectores:garantias y oportunidades para niños, niñas y adolecentes en riesgo de reclutamiento por actores armados - NDICI-HR-INTPA/2022/440-872"/>
    <s v="Contribuir al fortalecimiento de las capacidades de la sociedad civil para prevenir, proteger, observar e incidir en las políticas estatales de la protección y atención de niños, niñas, adolescentes y jóvenes, indígenas, afrodescendientes, raizales, y mestizos de origen campesino desde una perspectiva de equidad de género a fin de prevenir su vinculación/uso en el conflicto armado del país. "/>
    <d v="2023-02-01T00:00:00"/>
    <d v="2026-01-31T00:00:00"/>
    <x v="13"/>
    <s v="Pueblo Rico"/>
    <s v="Unión Europea"/>
    <n v="249043"/>
    <x v="26"/>
    <s v="Bélgica"/>
    <s v=" Donante"/>
    <s v="3. Promover una cultura de paz, justicia y lucha contra la desigualdad"/>
    <s v="16.2.Terminar con el abuso, la explotación, la trata y todas las formas de violencia y tortura contra los niños."/>
    <x v="7"/>
    <s v="SIN ALINEAR"/>
    <s v="Inclusión Social y Reconciliación"/>
  </r>
  <r>
    <s v="R-AO-23-4298"/>
    <s v="Entornos protectores:garantias y oportunidades para niños, niñas y adolecentes en riesgo de reclutamiento por actores armados - NDICI-HR-INTPA/2022/440-872"/>
    <s v="Contribuir al fortalecimiento de las capacidades de la sociedad civil para prevenir, proteger, observar e incidir en las políticas estatales de la protección y atención de niños, niñas, adolescentes y jóvenes, indígenas, afrodescendientes, raizales, y mestizos de origen campesino desde una perspectiva de equidad de género a fin de prevenir su vinculación/uso en el conflicto armado del país. "/>
    <d v="2023-02-01T00:00:00"/>
    <d v="2026-01-31T00:00:00"/>
    <x v="18"/>
    <s v="San José del Guaviare"/>
    <s v="Unión Europea"/>
    <n v="249043"/>
    <x v="26"/>
    <s v="Bélgica"/>
    <s v=" Donante"/>
    <s v="3. Promover una cultura de paz, justicia y lucha contra la desigualdad"/>
    <s v="16.2.Terminar con el abuso, la explotación, la trata y todas las formas de violencia y tortura contra los niños."/>
    <x v="7"/>
    <s v="SIN ALINEAR"/>
    <s v="Inclusión Social y Reconciliación"/>
  </r>
  <r>
    <s v="R-AO-23-4298"/>
    <s v="Entornos protectores:garantias y oportunidades para niños, niñas y adolecentes en riesgo de reclutamiento por actores armados - NDICI-HR-INTPA/2022/440-872"/>
    <s v="Contribuir al fortalecimiento de las capacidades de la sociedad civil para prevenir, proteger, observar e incidir en las políticas estatales de la protección y atención de niños, niñas, adolescentes y jóvenes, indígenas, afrodescendientes, raizales, y mestizos de origen campesino desde una perspectiva de equidad de género a fin de prevenir su vinculación/uso en el conflicto armado del país. "/>
    <d v="2023-02-01T00:00:00"/>
    <d v="2026-01-31T00:00:00"/>
    <x v="28"/>
    <s v="Caloto"/>
    <s v="Unión Europea"/>
    <n v="249043"/>
    <x v="26"/>
    <s v="Bélgica"/>
    <s v=" Donante"/>
    <s v="3. Promover una cultura de paz, justicia y lucha contra la desigualdad"/>
    <s v="16.2.Terminar con el abuso, la explotación, la trata y todas las formas de violencia y tortura contra los niños."/>
    <x v="7"/>
    <s v="SIN ALINEAR"/>
    <s v="Inclusión Social y Reconciliación"/>
  </r>
  <r>
    <s v="R-AO-23-4298"/>
    <s v="Entornos protectores:garantias y oportunidades para niños, niñas y adolecentes en riesgo de reclutamiento por actores armados - NDICI-HR-INTPA/2022/440-872"/>
    <s v="Contribuir al fortalecimiento de las capacidades de la sociedad civil para prevenir, proteger, observar e incidir en las políticas estatales de la protección y atención de niños, niñas, adolescentes y jóvenes, indígenas, afrodescendientes, raizales, y mestizos de origen campesino desde una perspectiva de equidad de género a fin de prevenir su vinculación/uso en el conflicto armado del país. "/>
    <d v="2023-02-01T00:00:00"/>
    <d v="2026-01-31T00:00:00"/>
    <x v="30"/>
    <s v="Istmina"/>
    <s v="Unión Europea"/>
    <n v="249043"/>
    <x v="26"/>
    <s v="Bélgica"/>
    <s v="Donante"/>
    <s v="3. Promover una cultura de paz, justicia y lucha contra la desigualdad"/>
    <s v="16.2.Terminar con el abuso, la explotación, la trata y todas las formas de violencia y tortura contra los niños."/>
    <x v="7"/>
    <s v="SIN ALINEAR"/>
    <s v="Inclusión Social y Reconciliación"/>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4"/>
    <s v="Corozal"/>
    <s v="Unión Europea"/>
    <n v="46425.24"/>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4"/>
    <s v="Morroa"/>
    <s v="Unión Europea"/>
    <n v="46425.24"/>
    <x v="26"/>
    <s v="Bélgica"/>
    <s v=" 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4"/>
    <s v="San Pedro"/>
    <s v="Unión Europea"/>
    <n v="46425.24"/>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4"/>
    <s v="Sincelejo"/>
    <s v="Unión Europea"/>
    <n v="46425.24"/>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4"/>
    <s v="Tolú Viejo"/>
    <s v="Unión Europea"/>
    <n v="46425.24"/>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5"/>
    <s v="El Carmen de Bolívar"/>
    <s v="Unión Europea"/>
    <n v="58031.55"/>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5"/>
    <s v="María La Baja"/>
    <s v="Unión Europea"/>
    <n v="58031.55"/>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5"/>
    <s v="San Jacinto"/>
    <s v="Unión Europea"/>
    <n v="58031.55"/>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5"/>
    <s v="Zambrano"/>
    <s v="Unión Europea"/>
    <n v="58031.55"/>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2"/>
    <s v="Fuente de Oro"/>
    <s v="Unión Europea"/>
    <n v="77375.399999999994"/>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2"/>
    <s v="San Martín"/>
    <s v="Unión Europea"/>
    <n v="77375.399999999994"/>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2"/>
    <s v="Vistahermosa"/>
    <s v="Unión Europea"/>
    <n v="77375.399999999994"/>
    <x v="26"/>
    <s v="Bélgica"/>
    <s v=" 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11"/>
    <s v="Bogotá D.C."/>
    <s v="Unión Europea"/>
    <n v="232126.2"/>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9"/>
    <s v="Buenaventura"/>
    <s v="Unión Europea"/>
    <n v="232126.2"/>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2-4311"/>
    <s v="ENTRE EL RIO Y LA MONTAñA: Gobernanza territorial y desarrollo sostenible en las cuencas del Samaná Norte y el Magdalena Medio Colombiano-NDICI CSO/2022/441-131"/>
    <s v="Contribuir al fortalecimiento de los procesos de gobernanza territorial para el desarrollo sostenible de los municipios de las cuencas del Samana´ Norte y el Magdalena Medio Colombiano."/>
    <d v="2022-12-20T00:00:00"/>
    <d v="2027-02-28T00:00:00"/>
    <x v="7"/>
    <s v="Cocorná"/>
    <s v="Unión Europea"/>
    <n v="106394.33333333299"/>
    <x v="26"/>
    <s v="Bélgica"/>
    <s v=" Donante"/>
    <s v="C. Conservación Y Sostenibilidad Ambiental"/>
    <s v="11.a.Apoyar vínculos económicos, sociales y ambientales positivos entre las zonas urbanas, periurbanas y rurales mediante el fortalecimiento de la planificación para el desarrollo nacional y_x000a_regional."/>
    <x v="4"/>
    <s v="SIN ALINEAR"/>
    <s v="Ambiente y Desarrollo Sostenible"/>
  </r>
  <r>
    <s v="R-AO-22-4311"/>
    <s v="ENTRE EL RIO Y LA MONTAñA: Gobernanza territorial y desarrollo sostenible en las cuencas del Samaná Norte y el Magdalena Medio Colombiano-NDICI CSO/2022/441-131"/>
    <s v="Contribuir al fortalecimiento de los procesos de gobernanza territorial para el desarrollo sostenible de los municipios de las cuencas del Samana´ Norte y el Magdalena Medio Colombiano."/>
    <d v="2022-12-20T00:00:00"/>
    <d v="2027-02-28T00:00:00"/>
    <x v="7"/>
    <s v="Puerto Nare"/>
    <s v="Unión Europea"/>
    <n v="106394.33333333299"/>
    <x v="26"/>
    <s v="Bélgica"/>
    <s v=" Donante"/>
    <s v="C. Conservación Y Sostenibilidad Ambiental"/>
    <s v="11.a.Apoyar vínculos económicos, sociales y ambientales positivos entre las zonas urbanas, periurbanas y rurales mediante el fortalecimiento de la planificación para el desarrollo nacional y_x000a_regional."/>
    <x v="4"/>
    <s v="SIN ALINEAR"/>
    <s v="Ambiente y Desarrollo Sostenible"/>
  </r>
  <r>
    <s v="R-AO-22-4311"/>
    <s v="ENTRE EL RIO Y LA MONTAñA: Gobernanza territorial y desarrollo sostenible en las cuencas del Samaná Norte y el Magdalena Medio Colombiano-NDICI CSO/2022/441-131"/>
    <s v="Contribuir al fortalecimiento de los procesos de gobernanza territorial para el desarrollo sostenible de los municipios de las cuencas del Samana´ Norte y el Magdalena Medio Colombiano."/>
    <d v="2022-12-20T00:00:00"/>
    <d v="2027-02-28T00:00:00"/>
    <x v="7"/>
    <s v="Puerto Triunfo"/>
    <s v="Unión Europea"/>
    <n v="106394.33333333299"/>
    <x v="26"/>
    <s v="Bélgica"/>
    <s v=" Donante"/>
    <s v="C. Conservación Y Sostenibilidad Ambiental"/>
    <s v="11.a.Apoyar vínculos económicos, sociales y ambientales positivos entre las zonas urbanas, periurbanas y rurales mediante el fortalecimiento de la planificación para el desarrollo nacional y_x000a_regional."/>
    <x v="4"/>
    <s v="SIN ALINEAR"/>
    <s v="Ambiente y Desarrollo Sostenible"/>
  </r>
  <r>
    <s v="R-AO-22-4311"/>
    <s v="ENTRE EL RIO Y LA MONTAñA: Gobernanza territorial y desarrollo sostenible en las cuencas del Samaná Norte y el Magdalena Medio Colombiano-NDICI CSO/2022/441-131"/>
    <s v="Contribuir al fortalecimiento de los procesos de gobernanza territorial para el desarrollo sostenible de los municipios de las cuencas del Samana´ Norte y el Magdalena Medio Colombiano."/>
    <d v="2022-12-20T00:00:00"/>
    <d v="2027-02-28T00:00:00"/>
    <x v="7"/>
    <s v="San Francisco"/>
    <s v="Unión Europea"/>
    <n v="106394.33333333299"/>
    <x v="26"/>
    <s v="Bélgica"/>
    <s v=" Donante"/>
    <s v="C. Conservación Y Sostenibilidad Ambiental"/>
    <s v="11.a.Apoyar vínculos económicos, sociales y ambientales positivos entre las zonas urbanas, periurbanas y rurales mediante el fortalecimiento de la planificación para el desarrollo nacional y_x000a_regional."/>
    <x v="4"/>
    <s v="SIN ALINEAR"/>
    <s v="Ambiente y Desarrollo Sostenible"/>
  </r>
  <r>
    <s v="R-AO-22-4311"/>
    <s v="ENTRE EL RIO Y LA MONTAñA: Gobernanza territorial y desarrollo sostenible en las cuencas del Samaná Norte y el Magdalena Medio Colombiano-NDICI CSO/2022/441-131"/>
    <s v="Contribuir al fortalecimiento de los procesos de gobernanza territorial para el desarrollo sostenible de los municipios de las cuencas del Samana´ Norte y el Magdalena Medio Colombiano."/>
    <d v="2022-12-20T00:00:00"/>
    <d v="2027-02-28T00:00:00"/>
    <x v="7"/>
    <s v="San Luis"/>
    <s v="Unión Europea"/>
    <n v="106394.33333333299"/>
    <x v="26"/>
    <s v="Bélgica"/>
    <s v=" Donante"/>
    <s v="C. Conservación Y Sostenibilidad Ambiental"/>
    <s v="11.a.Apoyar vínculos económicos, sociales y ambientales positivos entre las zonas urbanas, periurbanas y rurales mediante el fortalecimiento de la planificación para el desarrollo nacional y_x000a_regional."/>
    <x v="4"/>
    <s v="SIN ALINEAR"/>
    <s v="Ambiente y Desarrollo Sostenible"/>
  </r>
  <r>
    <s v="R-AO-22-4311"/>
    <s v="ENTRE EL RIO Y LA MONTAñA: Gobernanza territorial y desarrollo sostenible en las cuencas del Samaná Norte y el Magdalena Medio Colombiano-NDICI CSO/2022/441-131"/>
    <s v="Contribuir al fortalecimiento de los procesos de gobernanza territorial para el desarrollo sostenible de los municipios de las cuencas del Samana´ Norte y el Magdalena Medio Colombiano."/>
    <d v="2022-12-20T00:00:00"/>
    <d v="2027-02-28T00:00:00"/>
    <x v="7"/>
    <s v="Sonsón"/>
    <s v="Unión Europea"/>
    <n v="106394.33333333299"/>
    <x v="26"/>
    <s v="Bélgica"/>
    <s v=" Donante"/>
    <s v="C. Conservación Y Sostenibilidad Ambiental"/>
    <s v="11.a.Apoyar vínculos económicos, sociales y ambientales positivos entre las zonas urbanas, periurbanas y rurales mediante el fortalecimiento de la planificación para el desarrollo nacional y_x000a_regional."/>
    <x v="4"/>
    <s v="SIN ALINEAR"/>
    <s v="Ambiente y Desarrollo Sostenible"/>
  </r>
  <r>
    <s v="R-AO-22-4311"/>
    <s v="ENTRE EL RIO Y LA MONTAñA: Gobernanza territorial y desarrollo sostenible en las cuencas del Samaná Norte y el Magdalena Medio Colombiano-NDICI CSO/2022/441-131"/>
    <s v="Contribuir al fortalecimiento de los procesos de gobernanza territorial para el desarrollo sostenible de los municipios de las cuencas del Samana´ Norte y el Magdalena Medio Colombiano."/>
    <d v="2022-12-20T00:00:00"/>
    <d v="2027-02-28T00:00:00"/>
    <x v="10"/>
    <s v="No Reporta"/>
    <s v="Unión Europea"/>
    <n v="638366"/>
    <x v="26"/>
    <s v="Bélgica"/>
    <s v=" Donante"/>
    <s v="C. Conservación Y Sostenibilidad Ambiental"/>
    <s v="11.a.Apoyar vínculos económicos, sociales y ambientales positivos entre las zonas urbanas, periurbanas y rurales mediante el fortalecimiento de la planificación para el desarrollo nacional y_x000a_regional."/>
    <x v="4"/>
    <s v="SIN ALINEAR"/>
    <s v="Ambiente y Desarrollo Sostenible"/>
  </r>
  <r>
    <s v="R-FP-22-4323"/>
    <s v=" PRotierras expansion "/>
    <s v="1. 1.500 ti´tulos de propiedad formalizados_x000a_2. 1.200 productores rurales mejoran la productividad_x000a_agri´cola y los ingresos_x000a_3. Desarrollar la capacidad y los vi´nculos de mercado_x000a_para las asociaciones de productores agri´colas"/>
    <d v="2022-12-01T00:00:00"/>
    <d v="2026-05-30T00:00:00"/>
    <x v="20"/>
    <s v="Tibú"/>
    <s v="ESAL"/>
    <n v="13890905"/>
    <x v="37"/>
    <s v="Estados Unidos"/>
    <s v=" Donante"/>
    <s v="A. Paz y Estabilización Territori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5"/>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11"/>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31"/>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20"/>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12"/>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15"/>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28"/>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30"/>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27"/>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9"/>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FP-22-4341"/>
    <s v="CONSERVA  AVES:  FASE  DE  IMPLEMENTACIÓN"/>
    <s v="APOYAR    LA IMPLEMENTACIÓN DE LA INICIATIVA CONSERVA AVES, LLEVANDO A CABO TODOS LOS ASPECTOS DEL PROYECTO RELACIONADOS CON SU IMPLEMENTACIÓN EN COLOMBIA."/>
    <d v="2022-08-01T00:00:00"/>
    <d v="2026-08-30T00:00:00"/>
    <x v="8"/>
    <s v="Ámbito Nacional"/>
    <s v="ESAL"/>
    <n v="2052000"/>
    <x v="38"/>
    <s v="Estados Unidos"/>
    <s v=" Donante "/>
    <s v="C. Conservación Y Sostenibilidad Ambiental"/>
    <s v="15.4.En 2030 asegurar la preservación de los ecosistemas de montaña, incluyendo su biodiversidad, para mejorar su capacidad para proporcionar beneficios que son esenciales para el desarrollo sostenible."/>
    <x v="6"/>
    <s v="SIN ALINEAR"/>
    <s v="Ambiente y Desarrollo Sostenible"/>
  </r>
  <r>
    <s v="R-AO-22-4350"/>
    <s v="Proyecto para la creación de la cadena de valor de la carne bovina mediante la optimización de la microbioma del rumen y el manejo de forrajes utilizando una plataforma digital"/>
    <s v="Establecer una base tecnológica para fortalecer la cadena de valor de la carne de bovino alimentado con forraje utilizando una plataforma digital (pd) "/>
    <d v="2022-08-11T00:00:00"/>
    <d v="2027-08-11T00:00:00"/>
    <x v="6"/>
    <s v="No Reporta"/>
    <s v="Japón"/>
    <n v="2710000"/>
    <x v="9"/>
    <s v="Japón"/>
    <s v=" Donante"/>
    <s v="C. Conservación Y Sostenibilidad Ambiental"/>
    <s v="9.b.Ayudar al desarrollo de la tecnología local, la investigación y la innovación en los países en desarrollo garantizando un entorno normativo propicio para, entre otras cosas, la diversificación_x000a_industrial y la adición de valor a los productos básicos."/>
    <x v="8"/>
    <s v="SIN ALINEAR"/>
    <s v="Agricultura y Desarrollo Rural"/>
  </r>
  <r>
    <s v="R-AO-23-4354"/>
    <s v="Jóvenes y mujeres resilientes: una estrategia integral para el  desarrollo sostenible y la gobernanza en el sur de Bolívar, Colombia - NDICI CSO/2022/441-094"/>
    <s v="Promover el desarrollo sostenible, la gobernanza y la mejora de las condiciones de vida de mujeres y jóvenes rurales del Sur de Bolívar para la construcción de paz y resiliencia territorial._x000a_"/>
    <d v="2023-02-01T00:00:00"/>
    <d v="2026-01-31T00:00:00"/>
    <x v="5"/>
    <s v="Arenal"/>
    <s v="Unión Europea"/>
    <n v="218329.83333333299"/>
    <x v="26"/>
    <s v="Bélgica"/>
    <s v=" Donante"/>
    <s v="3. Promover una cultura de paz, justicia y lucha contra la desigualdad"/>
    <s v="16.b.Promover y hacer cumplir leyes y políticas no discriminatorias para el desarrollo sostenible."/>
    <x v="7"/>
    <s v="SIN ALINEAR"/>
    <s v="Presidencia de la República"/>
  </r>
  <r>
    <s v="R-AO-23-4354"/>
    <s v="Jóvenes y mujeres resilientes: una estrategia integral para el  desarrollo sostenible y la gobernanza en el sur de Bolívar, Colombia - NDICI CSO/2022/441-094"/>
    <s v="Promover el desarrollo sostenible, la gobernanza y la mejora de las condiciones de vida de mujeres y jóvenes rurales del Sur de Bolívar para la construcción de paz y resiliencia territorial._x000a_"/>
    <d v="2023-02-01T00:00:00"/>
    <d v="2026-01-31T00:00:00"/>
    <x v="5"/>
    <s v="Cantagallo"/>
    <s v="Unión Europea"/>
    <n v="218329.83333333299"/>
    <x v="26"/>
    <s v="Bélgica"/>
    <s v=" Donante"/>
    <s v="3. Promover una cultura de paz, justicia y lucha contra la desigualdad"/>
    <s v="16.b.Promover y hacer cumplir leyes y políticas no discriminatorias para el desarrollo sostenible."/>
    <x v="7"/>
    <s v="SIN ALINEAR"/>
    <s v="Presidencia de la República"/>
  </r>
  <r>
    <s v="R-AO-23-4354"/>
    <s v="Jóvenes y mujeres resilientes: una estrategia integral para el  desarrollo sostenible y la gobernanza en el sur de Bolívar, Colombia - NDICI CSO/2022/441-094"/>
    <s v="Promover el desarrollo sostenible, la gobernanza y la mejora de las condiciones de vida de mujeres y jóvenes rurales del Sur de Bolívar para la construcción de paz y resiliencia territorial._x000a_"/>
    <d v="2023-02-01T00:00:00"/>
    <d v="2026-01-31T00:00:00"/>
    <x v="5"/>
    <s v="Morales"/>
    <s v="Unión Europea"/>
    <n v="218329.83333333299"/>
    <x v="26"/>
    <s v="Bélgica"/>
    <s v=" Donante"/>
    <s v="3. Promover una cultura de paz, justicia y lucha contra la desigualdad"/>
    <s v="16.b.Promover y hacer cumplir leyes y políticas no discriminatorias para el desarrollo sostenible."/>
    <x v="7"/>
    <s v="SIN ALINEAR"/>
    <s v="Presidencia de la República"/>
  </r>
  <r>
    <s v="R-AO-23-4354"/>
    <s v="Jóvenes y mujeres resilientes: una estrategia integral para el  desarrollo sostenible y la gobernanza en el sur de Bolívar, Colombia - NDICI CSO/2022/441-094"/>
    <s v="Promover el desarrollo sostenible, la gobernanza y la mejora de las condiciones de vida de mujeres y jóvenes rurales del Sur de Bolívar para la construcción de paz y resiliencia territorial._x000a_"/>
    <d v="2023-02-01T00:00:00"/>
    <d v="2026-01-31T00:00:00"/>
    <x v="5"/>
    <s v="San Pablo"/>
    <s v="Unión Europea"/>
    <n v="218329.83333333299"/>
    <x v="26"/>
    <s v="Bélgica"/>
    <s v=" Donante"/>
    <s v="3. Promover una cultura de paz, justicia y lucha contra la desigualdad"/>
    <s v="16.b.Promover y hacer cumplir leyes y políticas no discriminatorias para el desarrollo sostenible."/>
    <x v="7"/>
    <s v="SIN ALINEAR"/>
    <s v="Presidencia de la República"/>
  </r>
  <r>
    <s v="R-AO-23-4354"/>
    <s v="Jóvenes y mujeres resilientes: una estrategia integral para el  desarrollo sostenible y la gobernanza en el sur de Bolívar, Colombia - NDICI CSO/2022/441-094"/>
    <s v="Promover el desarrollo sostenible, la gobernanza y la mejora de las condiciones de vida de mujeres y jóvenes rurales del Sur de Bolívar para la construcción de paz y resiliencia territorial._x000a_"/>
    <d v="2023-02-01T00:00:00"/>
    <d v="2026-01-31T00:00:00"/>
    <x v="5"/>
    <s v="Santa Rosa"/>
    <s v="Unión Europea"/>
    <n v="218329.83333333299"/>
    <x v="26"/>
    <s v="Bélgica"/>
    <s v=" Donante"/>
    <s v="3. Promover una cultura de paz, justicia y lucha contra la desigualdad"/>
    <s v="16.b.Promover y hacer cumplir leyes y políticas no discriminatorias para el desarrollo sostenible."/>
    <x v="7"/>
    <s v="SIN ALINEAR"/>
    <s v="Presidencia de la República"/>
  </r>
  <r>
    <s v="R-AO-23-4354"/>
    <s v="Jóvenes y mujeres resilientes: una estrategia integral para el  desarrollo sostenible y la gobernanza en el sur de Bolívar, Colombia - NDICI CSO/2022/441-094"/>
    <s v="Promover el desarrollo sostenible, la gobernanza y la mejora de las condiciones de vida de mujeres y jóvenes rurales del Sur de Bolívar para la construcción de paz y resiliencia territorial._x000a_"/>
    <d v="2023-02-01T00:00:00"/>
    <d v="2026-01-31T00:00:00"/>
    <x v="5"/>
    <s v="Simití"/>
    <s v="Unión Europea"/>
    <n v="218329.83333333299"/>
    <x v="26"/>
    <s v="Bélgica"/>
    <s v=" Donante"/>
    <s v="3. Promover una cultura de paz, justicia y lucha contra la desigualdad"/>
    <s v="16.b.Promover y hacer cumplir leyes y políticas no discriminatorias para el desarrollo sostenible."/>
    <x v="7"/>
    <s v="SIN ALINEAR"/>
    <s v="Presidencia de la República"/>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1"/>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5"/>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2"/>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6"/>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16"/>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4"/>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11"/>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31"/>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3"/>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0"/>
    <s v="No Reporta"/>
    <s v="Unión Europea"/>
    <n v="66270.461538461503"/>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12"/>
    <s v="No Reporta"/>
    <s v="Unión Europea"/>
    <n v="66270.461538461503"/>
    <x v="26"/>
    <s v="Bélgica"/>
    <s v="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14"/>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19"/>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9"/>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7"/>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15"/>
    <s v="No Reporta"/>
    <s v="Unión Europea"/>
    <n v="66270.461538461503"/>
    <x v="26"/>
    <s v="Bélgica"/>
    <s v="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32"/>
    <s v="No Reporta"/>
    <s v="Unión Europea"/>
    <n v="66270.461538461503"/>
    <x v="26"/>
    <s v="Bélgica"/>
    <s v="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13"/>
    <s v="No Reporta"/>
    <s v="Unión Europea"/>
    <n v="66270.461538461503"/>
    <x v="26"/>
    <s v="Bélgica"/>
    <s v="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0"/>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1"/>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5"/>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3"/>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8"/>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7"/>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9"/>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21"/>
    <s v="No Reporta"/>
    <s v="España"/>
    <n v="135159.85714285701"/>
    <x v="27"/>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5"/>
    <s v="No Reporta"/>
    <s v="España"/>
    <n v="135159.85714285701"/>
    <x v="27"/>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16"/>
    <s v="No Reporta"/>
    <s v="España"/>
    <n v="135159.85714285701"/>
    <x v="27"/>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11"/>
    <s v="No Reporta"/>
    <s v="España"/>
    <n v="135159.85714285701"/>
    <x v="27"/>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23"/>
    <s v="No Reporta"/>
    <s v="España"/>
    <n v="135159.85714285701"/>
    <x v="27"/>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20"/>
    <s v="No Reporta"/>
    <s v="España"/>
    <n v="135159.85714285701"/>
    <x v="27"/>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0"/>
    <s v="No Reporta"/>
    <s v="España"/>
    <n v="135159.85714285701"/>
    <x v="27"/>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21"/>
    <s v="No Reporta"/>
    <s v="Unión Europea"/>
    <n v="33587.142857142899"/>
    <x v="26"/>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5"/>
    <s v="No Reporta"/>
    <s v="Unión Europea"/>
    <n v="33587.142857142899"/>
    <x v="26"/>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16"/>
    <s v="No Reporta"/>
    <s v="Unión Europea"/>
    <n v="33587.142857142899"/>
    <x v="26"/>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11"/>
    <s v="No Reporta"/>
    <s v="Unión Europea"/>
    <n v="33587.142857142899"/>
    <x v="26"/>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23"/>
    <s v="No Reporta"/>
    <s v="Unión Europea"/>
    <n v="33587.142857142899"/>
    <x v="26"/>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20"/>
    <s v="No Reporta"/>
    <s v="Unión Europea"/>
    <n v="33587.142857142899"/>
    <x v="26"/>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0"/>
    <s v="No Reporta"/>
    <s v="Unión Europea"/>
    <n v="33587.142857142899"/>
    <x v="26"/>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16"/>
    <s v="Maicao"/>
    <s v="Unión Europea"/>
    <n v="118990.142857143"/>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16"/>
    <s v="Riohacha"/>
    <s v="Unión Europea"/>
    <n v="118990.142857143"/>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16"/>
    <s v="San Juan del Cesar"/>
    <s v="Unión Europea"/>
    <n v="118990.142857143"/>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20"/>
    <s v="Cúcuta"/>
    <s v="Unión Europea"/>
    <n v="118990.142857143"/>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20"/>
    <s v="Tibú"/>
    <s v="Unión Europea"/>
    <n v="118990.142857143"/>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20"/>
    <s v="Villa del Rosario"/>
    <s v="Unión Europea"/>
    <n v="118990.142857143"/>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21"/>
    <s v="Barranquilla"/>
    <s v="Unión Europea"/>
    <n v="178485.214285714"/>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21"/>
    <s v="Soledad"/>
    <s v="Unión Europea"/>
    <n v="178485.214285714"/>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0"/>
    <s v="Arauca"/>
    <s v="Unión Europea"/>
    <n v="178485.214285714"/>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0"/>
    <s v="Saravena"/>
    <s v="Unión Europea"/>
    <n v="178485.214285714"/>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5"/>
    <s v="Cartagena"/>
    <s v="Unión Europea"/>
    <n v="356970.42857142899"/>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11"/>
    <s v="Bogotá D.C."/>
    <s v="Unión Europea"/>
    <n v="356970.42857142899"/>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23"/>
    <s v="Soacha"/>
    <s v="Unión Europea"/>
    <n v="356970.42857142899"/>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400"/>
    <s v="FORTALECIMIENTO DE LA EQUIDAD DE GÉNERO Y LA PARTICIPACIÓN PARA LA PROMOCIÓN DE LA PAZ EN cOLOMBIA - PAZ DIVERSA"/>
    <s v="El programa tiene como objetivo fortalecer las capacidades de instituciones estatales y de la sociedad civil para la implementación de las medidas enfocadas en género del Acuerdo Final de Paz (AFP), aplicando un enfoque interseccional. _x000a_Está dirigido a la población en los departamentos Meta, Norte de Santander, Caquetá y en el nivel nacional que se benefician de la implementación de las medidas de género del Acuerdo Final de Paz. En especial, organizaciones sociales de mujeres, de LGBTIQ+, organizaciones étnicas, e instituciones estatales responsables de la implementación de medidas del AFP con enfoque de género. Los mediadores y mediadoras son el personal técnico y directivo de las respectivas organizaciones e instituciones."/>
    <d v="2023-02-01T00:00:00"/>
    <d v="2026-01-31T00:00:00"/>
    <x v="20"/>
    <s v="No Reporta"/>
    <s v="Alemania"/>
    <n v="2184597.6666666698"/>
    <x v="39"/>
    <s v="Alemania"/>
    <s v=" Donante"/>
    <s v="3. Promover una cultura de paz, justicia y lucha contra la desigualdad"/>
    <s v="5.2.Eliminar todas las formas de violencia contra las mujeres y las niñas en las esferas públicas y privadas, incluyendo el tráfico sexual y otros tipos de explotación."/>
    <x v="2"/>
    <s v="SIN ALINEAR"/>
    <s v="Presidencia de la República"/>
  </r>
  <r>
    <s v="R-AO-23-4400"/>
    <s v="FORTALECIMIENTO DE LA EQUIDAD DE GÉNERO Y LA PARTICIPACIÓN PARA LA PROMOCIÓN DE LA PAZ EN cOLOMBIA - PAZ DIVERSA"/>
    <s v="El programa tiene como objetivo fortalecer las capacidades de instituciones estatales y de la sociedad civil para la implementación de las medidas enfocadas en género del Acuerdo Final de Paz (AFP), aplicando un enfoque interseccional. _x000a_Está dirigido a la población en los departamentos Meta, Norte de Santander, Caquetá y en el nivel nacional que se benefician de la implementación de las medidas de género del Acuerdo Final de Paz. En especial, organizaciones sociales de mujeres, de LGBTIQ+, organizaciones étnicas, e instituciones estatales responsables de la implementación de medidas del AFP con enfoque de género. Los mediadores y mediadoras son el personal técnico y directivo de las respectivas organizaciones e instituciones."/>
    <d v="2023-02-01T00:00:00"/>
    <d v="2026-01-31T00:00:00"/>
    <x v="17"/>
    <s v="No Reporta"/>
    <s v="Alemania"/>
    <n v="2184597.6666666698"/>
    <x v="39"/>
    <s v="Alemania"/>
    <s v=" Donante"/>
    <s v="3. Promover una cultura de paz, justicia y lucha contra la desigualdad"/>
    <s v="5.2.Eliminar todas las formas de violencia contra las mujeres y las niñas en las esferas públicas y privadas, incluyendo el tráfico sexual y otros tipos de explotación."/>
    <x v="2"/>
    <s v="SIN ALINEAR"/>
    <s v="Presidencia de la República"/>
  </r>
  <r>
    <s v="R-AO-23-4400"/>
    <s v="FORTALECIMIENTO DE LA EQUIDAD DE GÉNERO Y LA PARTICIPACIÓN PARA LA PROMOCIÓN DE LA PAZ EN cOLOMBIA - PAZ DIVERSA"/>
    <s v="El programa tiene como objetivo fortalecer las capacidades de instituciones estatales y de la sociedad civil para la implementación de las medidas enfocadas en género del Acuerdo Final de Paz (AFP), aplicando un enfoque interseccional. _x000a_Está dirigido a la población en los departamentos Meta, Norte de Santander, Caquetá y en el nivel nacional que se benefician de la implementación de las medidas de género del Acuerdo Final de Paz. En especial, organizaciones sociales de mujeres, de LGBTIQ+, organizaciones étnicas, e instituciones estatales responsables de la implementación de medidas del AFP con enfoque de género. Los mediadores y mediadoras son el personal técnico y directivo de las respectivas organizaciones e instituciones."/>
    <d v="2023-02-01T00:00:00"/>
    <d v="2026-01-31T00:00:00"/>
    <x v="2"/>
    <s v="No Reporta"/>
    <s v="Alemania"/>
    <n v="2184597.6666666698"/>
    <x v="39"/>
    <s v="Alemania"/>
    <s v=" Donante"/>
    <s v="3. Promover una cultura de paz, justicia y lucha contra la desigualdad"/>
    <s v="5.2.Eliminar todas las formas de violencia contra las mujeres y las niñas en las esferas públicas y privadas, incluyendo el tráfico sexual y otros tipos de explotación."/>
    <x v="2"/>
    <s v="SIN ALINEAR"/>
    <s v="Presidencia de la República"/>
  </r>
  <r>
    <s v="R-AO-22-4403"/>
    <s v="Programa de Protección Ambiental Municipal en Área de Saneamiento (FINDETER) II"/>
    <s v="Mejorar acceso de las instituciones relevantes a créditos para inversiones en los sectores de agua potable, saneamiento básico y residuos sólidos en Colombia"/>
    <d v="2022-12-21T00:00:00"/>
    <d v="2026-06-30T00:00:00"/>
    <x v="8"/>
    <s v="No Reporta"/>
    <s v="Alemania"/>
    <n v="1592240"/>
    <x v="35"/>
    <s v="Alemania"/>
    <s v=" 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22"/>
    <s v="No Reporta"/>
    <s v="Alemania"/>
    <n v="411624"/>
    <x v="40"/>
    <s v="Alemania"/>
    <s v=" Donante"/>
    <s v="B. Desarrollo Rural"/>
    <s v="12.2.En 2030 alcanzar la gestión sostenible y uso eficiente de los recursos naturales."/>
    <x v="10"/>
    <s v="SIN ALINEAR"/>
    <s v="Agricultura y Desarrollo Rural"/>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6"/>
    <s v="No Reporta"/>
    <s v="Alemania"/>
    <n v="411624"/>
    <x v="40"/>
    <s v="Alemania"/>
    <s v=" Donante"/>
    <s v="B. Desarrollo Rural"/>
    <s v="12.2.En 2030 alcanzar la gestión sostenible y uso eficiente de los recursos naturales."/>
    <x v="10"/>
    <s v="SIN ALINEAR"/>
    <s v="Agricultura y Desarrollo Rural"/>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31"/>
    <s v="No Reporta"/>
    <s v="Alemania"/>
    <n v="411624"/>
    <x v="40"/>
    <s v="Alemania"/>
    <s v=" Donante"/>
    <s v="B. Desarrollo Rural"/>
    <s v="12.2.En 2030 alcanzar la gestión sostenible y uso eficiente de los recursos naturales."/>
    <x v="10"/>
    <s v="SIN ALINEAR"/>
    <s v="Agricultura y Desarrollo Rural"/>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23"/>
    <s v="No Reporta"/>
    <s v="Alemania"/>
    <n v="411624"/>
    <x v="40"/>
    <s v="Alemania"/>
    <s v=" Donante"/>
    <s v="B. Desarrollo Rural"/>
    <s v="12.2.En 2030 alcanzar la gestión sostenible y uso eficiente de los recursos naturales."/>
    <x v="10"/>
    <s v="SIN ALINEAR"/>
    <s v="Agricultura y Desarrollo Rural"/>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7"/>
    <s v="No Reporta"/>
    <s v="Alemania"/>
    <n v="411624"/>
    <x v="40"/>
    <s v="Alemania"/>
    <s v=" Donante"/>
    <s v="B. Desarrollo Rural"/>
    <s v="12.2.En 2030 alcanzar la gestión sostenible y uso eficiente de los recursos naturales."/>
    <x v="10"/>
    <s v="SIN ALINEAR"/>
    <s v="Agricultura y Desarrollo Rural"/>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0"/>
    <s v="No Reporta"/>
    <s v="Alemania"/>
    <n v="411624"/>
    <x v="40"/>
    <s v="Alemania"/>
    <s v=" Donante"/>
    <s v="B. Desarrollo Rural"/>
    <s v="12.2.En 2030 alcanzar la gestión sostenible y uso eficiente de los recursos naturales."/>
    <x v="10"/>
    <s v="SIN ALINEAR"/>
    <s v="Agricultura y Desarrollo Rural"/>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1"/>
    <s v="No Reporta"/>
    <s v="Alemania"/>
    <n v="411624"/>
    <x v="40"/>
    <s v="Alemania"/>
    <s v=" Donante"/>
    <s v="B. Desarrollo Rural"/>
    <s v="12.2.En 2030 alcanzar la gestión sostenible y uso eficiente de los recursos naturales."/>
    <x v="10"/>
    <s v="SIN ALINEAR"/>
    <s v="Agricultura y Desarrollo Rural"/>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2"/>
    <s v="No Reporta"/>
    <s v="Alemania"/>
    <n v="411624"/>
    <x v="40"/>
    <s v="Alemania"/>
    <s v=" Donante"/>
    <s v="B. Desarrollo Rural"/>
    <s v="12.2.En 2030 alcanzar la gestión sostenible y uso eficiente de los recursos naturales."/>
    <x v="10"/>
    <s v="SIN ALINEAR"/>
    <s v="Agricultura y Desarrollo Rural"/>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3"/>
    <s v="No Reporta"/>
    <s v="Alemania"/>
    <n v="411624"/>
    <x v="40"/>
    <s v="Alemania"/>
    <s v=" Donante"/>
    <s v="B. Desarrollo Rural"/>
    <s v="12.2.En 2030 alcanzar la gestión sostenible y uso eficiente de los recursos naturales."/>
    <x v="10"/>
    <s v="SIN ALINEAR"/>
    <s v="Agricultura y Desarrollo Rural"/>
  </r>
  <r>
    <s v="R-AO-22-4425"/>
    <s v="#Sin Etiquetas: Transformando el ecosistema de salud para la  atención de las personas trans (Fase III)  - BOG-MRF-2022-03 Actividad #4000006148 "/>
    <s v="Contribuir a la promoción y garantía de la salud de las personas Trans en Colombia mediante la mejora de condiciones_x000a_normativas y políticas, así como impulsando cambios positivos _x000a_entre los actores de salud, de la academia y comunitarios. "/>
    <d v="2022-10-01T00:00:00"/>
    <d v="2026-02-28T00:00:00"/>
    <x v="11"/>
    <s v="No Reporta"/>
    <s v="ESAL"/>
    <n v="222790.1875"/>
    <x v="41"/>
    <s v="Colombia/Centro Oriente/Bogotá D.C./Bogotá D.C."/>
    <s v=" Donante"/>
    <s v="1. FOCALIZAR Y DINAMIZAR"/>
    <s v="10.2.Para 2030 potenciar y promover la inclusión social, económica y política de todos independientemente de la edad, sexo, discapacidad, raza, etnia, origen, religión o condición económica o de otro tipo."/>
    <x v="11"/>
    <s v="SIN ALINEAR"/>
    <s v="Presidencia de la República"/>
  </r>
  <r>
    <s v="R-AO-22-4425"/>
    <s v="#Sin Etiquetas: Transformando el ecosistema de salud para la  atención de las personas trans (Fase III)  - BOG-MRF-2022-03 Actividad #4000006148 "/>
    <s v="Contribuir a la promoción y garantía de la salud de las personas Trans en Colombia mediante la mejora de condiciones_x000a_normativas y políticas, así como impulsando cambios positivos _x000a_entre los actores de salud, de la academia y comunitarios. "/>
    <d v="2022-10-01T00:00:00"/>
    <d v="2026-02-28T00:00:00"/>
    <x v="7"/>
    <s v="No Reporta"/>
    <s v="ESAL"/>
    <n v="222790.1875"/>
    <x v="41"/>
    <s v="Colombia/Centro Oriente/Bogotá D.C./Bogotá D.C."/>
    <s v=" Donante"/>
    <s v="1. FOCALIZAR Y DINAMIZAR"/>
    <s v="10.2.Para 2030 potenciar y promover la inclusión social, económica y política de todos independientemente de la edad, sexo, discapacidad, raza, etnia, origen, religión o condición económica o de otro tipo."/>
    <x v="11"/>
    <s v="SIN ALINEAR"/>
    <s v="Presidencia de la República"/>
  </r>
  <r>
    <s v="R-AO-22-4425"/>
    <s v="#Sin Etiquetas: Transformando el ecosistema de salud para la  atención de las personas trans (Fase III)  - BOG-MRF-2022-03 Actividad #4000006148 "/>
    <s v="Contribuir a la promoción y garantía de la salud de las personas Trans en Colombia mediante la mejora de condiciones_x000a_normativas y políticas, así como impulsando cambios positivos _x000a_entre los actores de salud, de la academia y comunitarios. "/>
    <d v="2022-10-01T00:00:00"/>
    <d v="2026-02-28T00:00:00"/>
    <x v="15"/>
    <s v="No Reporta"/>
    <s v="ESAL"/>
    <n v="222790.1875"/>
    <x v="41"/>
    <s v="Colombia/Centro Oriente/Bogotá D.C./Bogotá D.C."/>
    <s v=" Donante"/>
    <s v="1. FOCALIZAR Y DINAMIZAR"/>
    <s v="10.2.Para 2030 potenciar y promover la inclusión social, económica y política de todos independientemente de la edad, sexo, discapacidad, raza, etnia, origen, religión o condición económica o de otro tipo."/>
    <x v="11"/>
    <s v="SIN ALINEAR"/>
    <s v="Presidencia de la República"/>
  </r>
  <r>
    <s v="R-AO-22-4425"/>
    <s v="#Sin Etiquetas: Transformando el ecosistema de salud para la  atención de las personas trans (Fase III)  - BOG-MRF-2022-03 Actividad #4000006148 "/>
    <s v="Contribuir a la promoción y garantía de la salud de las personas Trans en Colombia mediante la mejora de condiciones_x000a_normativas y políticas, así como impulsando cambios positivos _x000a_entre los actores de salud, de la academia y comunitarios. "/>
    <d v="2022-10-01T00:00:00"/>
    <d v="2026-02-28T00:00:00"/>
    <x v="9"/>
    <s v="No Reporta"/>
    <s v="ESAL"/>
    <n v="222790.1875"/>
    <x v="41"/>
    <s v="Colombia/Centro Oriente/Bogotá D.C./Bogotá D.C."/>
    <s v=" Donante"/>
    <s v="1. FOCALIZAR Y DINAMIZAR"/>
    <s v="10.2.Para 2030 potenciar y promover la inclusión social, económica y política de todos independientemente de la edad, sexo, discapacidad, raza, etnia, origen, religión o condición económica o de otro tipo."/>
    <x v="11"/>
    <s v="SIN ALINEAR"/>
    <s v="Presidencia de la República"/>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16"/>
    <s v="Maicao"/>
    <s v="Unión Europea"/>
    <n v="49188.047619047597"/>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16"/>
    <s v="Riohacha"/>
    <s v="Unión Europea"/>
    <n v="49188.047619047597"/>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16"/>
    <s v="San Juan del Cesar"/>
    <s v="Unión Europea"/>
    <n v="49188.047619047597"/>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20"/>
    <s v="Cúcuta"/>
    <s v="Unión Europea"/>
    <n v="49188.047619047597"/>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20"/>
    <s v="Tibú"/>
    <s v="Unión Europea"/>
    <n v="49188.047619047597"/>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20"/>
    <s v="Villa del Rosario"/>
    <s v="Unión Europea"/>
    <n v="49188.047619047597"/>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21"/>
    <s v="Barranquilla"/>
    <s v="Unión Europea"/>
    <n v="73782.071428571406"/>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21"/>
    <s v="Soledad"/>
    <s v="Unión Europea"/>
    <n v="73782.071428571406"/>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0"/>
    <s v="Arauca"/>
    <s v="Unión Europea"/>
    <n v="73782.071428571406"/>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0"/>
    <s v="Saravena"/>
    <s v="Unión Europea"/>
    <n v="73782.071428571406"/>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5"/>
    <s v="Cartagena"/>
    <s v="Unión Europea"/>
    <n v="147564.14285714299"/>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11"/>
    <s v="Bogotá D.C."/>
    <s v="Unión Europea"/>
    <n v="147564.14285714299"/>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23"/>
    <s v="Soacha"/>
    <s v="Unión Europea"/>
    <n v="147564.14285714299"/>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1"/>
    <s v="Baranoa"/>
    <s v="ESAL"/>
    <n v="8476.4285714285706"/>
    <x v="42"/>
    <s v="Colombia/Centro Oriente/Bogotá D.C./Bogotá D.C."/>
    <s v=" 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5"/>
    <s v="San Jacinto"/>
    <s v="ESAL"/>
    <n v="8476.4285714285706"/>
    <x v="42"/>
    <s v="Colombia/Centro Oriente/Bogotá D.C./Bogotá D.C."/>
    <s v=" 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6"/>
    <s v="San Juan del Cesar"/>
    <s v="ESAL"/>
    <n v="8476.4285714285706"/>
    <x v="42"/>
    <s v="Colombia/Centro Oriente/Bogotá D.C./Bogotá D.C."/>
    <s v=" 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2"/>
    <s v="Barrancabermeja"/>
    <s v="ESAL"/>
    <n v="8476.4285714285706"/>
    <x v="42"/>
    <s v="Colombia/Centro Oriente/Bogotá D.C./Bogotá D.C."/>
    <s v=" 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4"/>
    <s v="Neiva"/>
    <s v="ESAL"/>
    <n v="8476.4285714285706"/>
    <x v="42"/>
    <s v="Colombia/Centro Oriente/Bogotá D.C./Bogotá D.C."/>
    <s v=" 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9"/>
    <s v="Ibagué"/>
    <s v="ESAL"/>
    <n v="8476.4285714285706"/>
    <x v="42"/>
    <s v="Colombia/Centro Oriente/Bogotá D.C./Bogotá D.C."/>
    <s v=" 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
    <s v="Villavicencio"/>
    <s v="ESAL"/>
    <n v="8476.4285714285706"/>
    <x v="42"/>
    <s v="Colombia/Centro Oriente/Bogotá D.C./Bogotá D.C."/>
    <s v=" 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1"/>
    <s v="Baranoa"/>
    <s v="ESAL"/>
    <n v="8461.1428571428605"/>
    <x v="43"/>
    <s v="Colombia/Centro Oriente/Bogotá D.C./Bogotá D.C."/>
    <s v=" 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5"/>
    <s v="San Jacinto"/>
    <s v="ESAL"/>
    <n v="8461.1428571428605"/>
    <x v="43"/>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6"/>
    <s v="San Juan del Cesar"/>
    <s v="ESAL"/>
    <n v="8461.1428571428605"/>
    <x v="43"/>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2"/>
    <s v="Barrancabermeja"/>
    <s v="ESAL"/>
    <n v="8461.1428571428605"/>
    <x v="43"/>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4"/>
    <s v="Neiva"/>
    <s v="ESAL"/>
    <n v="8461.1428571428605"/>
    <x v="43"/>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9"/>
    <s v="Ibagué"/>
    <s v="ESAL"/>
    <n v="8461.1428571428605"/>
    <x v="43"/>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
    <s v="Villavicencio"/>
    <s v="ESAL"/>
    <n v="8461.1428571428605"/>
    <x v="43"/>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1"/>
    <s v="Baranoa"/>
    <s v="Unión Europea"/>
    <n v="152453.714285714"/>
    <x v="26"/>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5"/>
    <s v="San Jacinto"/>
    <s v="Unión Europea"/>
    <n v="152453.714285714"/>
    <x v="26"/>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6"/>
    <s v="San Juan del Cesar"/>
    <s v="Unión Europea"/>
    <n v="152453.714285714"/>
    <x v="26"/>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2"/>
    <s v="Barrancabermeja"/>
    <s v="Unión Europea"/>
    <n v="152453.714285714"/>
    <x v="26"/>
    <s v="Colombia/Centro Oriente/Bogotá D.C./Bogotá D.C."/>
    <s v="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4"/>
    <s v="Neiva"/>
    <s v="Unión Europea"/>
    <n v="152453.714285714"/>
    <x v="26"/>
    <s v="Colombia/Centro Oriente/Bogotá D.C./Bogotá D.C."/>
    <s v="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9"/>
    <s v="Ibagué"/>
    <s v="Unión Europea"/>
    <n v="152453.714285714"/>
    <x v="26"/>
    <s v="Colombia/Centro Oriente/Bogotá D.C./Bogotá D.C."/>
    <s v="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
    <s v="Villavicencio"/>
    <s v="Unión Europea"/>
    <n v="152453.714285714"/>
    <x v="26"/>
    <s v="Colombia/Centro Oriente/Bogotá D.C./Bogotá D.C."/>
    <s v="Donante"/>
    <s v="3. Promover una cultura de paz, justicia y lucha contra la desigualdad"/>
    <s v="16.6.Desarrollar instituciones eficaces, responsables y transparentes a todos los niveles."/>
    <x v="7"/>
    <s v="SIN ALINEAR"/>
    <s v="Presidencia de la República"/>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El Encanto"/>
    <s v="Banca Multilateral"/>
    <n v="41499.050000000003"/>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La Chorrera"/>
    <s v="Banca Multilateral"/>
    <n v="41499.050000000003"/>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La Pedrera"/>
    <s v="Banca Multilateral"/>
    <n v="41499.050000000003"/>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Leticia"/>
    <s v="Banca Multilateral"/>
    <n v="41499.050000000003"/>
    <x v="5"/>
    <s v="Estados Unidos"/>
    <s v="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Mirití-Paraná"/>
    <s v="Banca Multilateral"/>
    <n v="41499.050000000003"/>
    <x v="5"/>
    <s v="Estados Unidos"/>
    <s v="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Puerto Alegría"/>
    <s v="Banca Multilateral"/>
    <n v="41499.050000000003"/>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Puerto Arica"/>
    <s v="Banca Multilateral"/>
    <n v="41499.050000000003"/>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Puerto Nariño"/>
    <s v="Banca Multilateral"/>
    <n v="41499.050000000003"/>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Puerto Santander"/>
    <s v="Banca Multilateral"/>
    <n v="41499.050000000003"/>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Tarapacá"/>
    <s v="Banca Multilateral"/>
    <n v="41499.050000000003"/>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19"/>
    <s v="Puerto Leguízamo"/>
    <s v="Banca Multilateral"/>
    <n v="414990.5"/>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61"/>
    <s v="juventudes: el campo en movimiento"/>
    <s v="contribuir a la implementacion de la politica nacional de emprendimiento y empleabilidad sostenible para la juventud rural, a través del acceso equitativo para hombres y mujeres campesinas, etnicas y diversas de la ruralidad colombiana. "/>
    <d v="2023-02-17T00:00:00"/>
    <d v="2027-02-28T00:00:00"/>
    <x v="8"/>
    <s v="No Reporta"/>
    <s v="Italia"/>
    <n v="3519449"/>
    <x v="17"/>
    <s v="Italia"/>
    <s v=" Donante"/>
    <s v="2. Contribuir a la lucha contra el hambre y la atención humanitaria a la poblacion"/>
    <s v="8.b.En 2020 desarrollar y poner en práctica una estrategia global para el empleo de los jóvenes y poner en práctica el Pacto Mundial para el Empleo de la OIT."/>
    <x v="14"/>
    <s v="SIN ALINEAR"/>
    <s v="Inclusión Social y Reconciliación"/>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8"/>
    <s v="Cajibío"/>
    <s v="ESAL"/>
    <n v="1847.4666666666701"/>
    <x v="44"/>
    <s v="Estados Unidos"/>
    <s v=" Donante "/>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8"/>
    <s v="Guachené"/>
    <s v="ESAL"/>
    <n v="1847.4666666666701"/>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8"/>
    <s v="Guapí"/>
    <s v="ESAL"/>
    <n v="1847.4666666666701"/>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8"/>
    <s v="Popayán"/>
    <s v="ESAL"/>
    <n v="1847.4666666666701"/>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8"/>
    <s v="Timbío"/>
    <s v="ESAL"/>
    <n v="1847.4666666666701"/>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32"/>
    <s v="Armenia"/>
    <s v="ESAL"/>
    <n v="3079.1111111111099"/>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32"/>
    <s v="La Tebaida"/>
    <s v="ESAL"/>
    <n v="3079.1111111111099"/>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32"/>
    <s v="Montenegro"/>
    <s v="ESAL"/>
    <n v="3079.1111111111099"/>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7"/>
    <s v="Apartadó"/>
    <s v="ESAL"/>
    <n v="4618.6666666666697"/>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7"/>
    <s v="Medellín"/>
    <s v="ESAL"/>
    <n v="4618.6666666666697"/>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9"/>
    <s v="Buenaventura"/>
    <s v="ESAL"/>
    <n v="4618.6666666666697"/>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9"/>
    <s v="Cali"/>
    <s v="ESAL"/>
    <n v="4618.6666666666697"/>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1"/>
    <s v="Barranquilla"/>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5"/>
    <s v="Cartagena"/>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16"/>
    <s v="Riohacha"/>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11"/>
    <s v="Bogotá D.C."/>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17"/>
    <s v="Florencia"/>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14"/>
    <s v="Neiva"/>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19"/>
    <s v="Mocoa"/>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5"/>
    <s v="Inírida"/>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
    <s v="Villavicencio"/>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30"/>
    <s v="Quibdó"/>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7"/>
    <s v="San Andrés de Tumaco"/>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5"/>
    <s v="Agricultura – Agriculture (AG)"/>
    <s v="Fortalecer la seguridad alimentaria con familias cuyos hijos pertenezcan al programa de nutrición, a través de las estrategias planteadas por el programa de agricultura."/>
    <d v="2023-01-10T00:00:00"/>
    <d v="2030-12-31T00:00:00"/>
    <x v="28"/>
    <s v="Cajibío"/>
    <s v="ESAL"/>
    <n v="1777.77777777778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8"/>
    <s v="El Tambo"/>
    <s v="ESAL"/>
    <n v="1777.77777777778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8"/>
    <s v="Guachené"/>
    <s v="ESAL"/>
    <n v="1777.77777777778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8"/>
    <s v="Guapí"/>
    <s v="ESAL"/>
    <n v="1777.77777777778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8"/>
    <s v="Popayán"/>
    <s v="ESAL"/>
    <n v="1777.77777777778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8"/>
    <s v="Timbío"/>
    <s v="ESAL"/>
    <n v="1777.77777777778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32"/>
    <s v="Armenia"/>
    <s v="ESAL"/>
    <n v="3555.5555555555602"/>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32"/>
    <s v="La Tebaida"/>
    <s v="ESAL"/>
    <n v="3555.5555555555602"/>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32"/>
    <s v="Montenegro"/>
    <s v="ESAL"/>
    <n v="3555.5555555555602"/>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7"/>
    <s v="Apartadó"/>
    <s v="ESAL"/>
    <n v="5333.3333333333303"/>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7"/>
    <s v="Medellín"/>
    <s v="ESAL"/>
    <n v="5333.3333333333303"/>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9"/>
    <s v="Buenaventura"/>
    <s v="ESAL"/>
    <n v="5333.3333333333303"/>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9"/>
    <s v="Cali"/>
    <s v="ESAL"/>
    <n v="5333.3333333333303"/>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1"/>
    <s v="Barranquilla"/>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5"/>
    <s v="Cartagena"/>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16"/>
    <s v="Riohacha"/>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11"/>
    <s v="Bogotá D.C."/>
    <s v="ESAL"/>
    <n v="10666.666666666701"/>
    <x v="44"/>
    <s v="Estados Unidos"/>
    <s v=" Donante "/>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17"/>
    <s v="Florencia"/>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14"/>
    <s v="Neiva"/>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19"/>
    <s v="Mocoa"/>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5"/>
    <s v="Inírida"/>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
    <s v="Villavicencio"/>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30"/>
    <s v="Quibdó"/>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7"/>
    <s v="San Andrés de Tumaco"/>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Buenos Aires"/>
    <s v="Banca Multilateral"/>
    <n v="6944.4444444444398"/>
    <x v="5"/>
    <s v="Estados Unidos"/>
    <s v=" 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Caldono"/>
    <s v="Banca Multilateral"/>
    <n v="6944.4444444444398"/>
    <x v="5"/>
    <s v="Estados Unidos"/>
    <s v=" 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Caloto"/>
    <s v="Banca Multilateral"/>
    <n v="6944.4444444444398"/>
    <x v="5"/>
    <s v="Estados Unidos"/>
    <s v=" 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Corinto"/>
    <s v="Banca Multilateral"/>
    <n v="6944.4444444444398"/>
    <x v="5"/>
    <s v="Estados Unidos"/>
    <s v=" 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Guachené"/>
    <s v="Banca Multilateral"/>
    <n v="6944.4444444444398"/>
    <x v="5"/>
    <s v="Estados Unidos"/>
    <s v=" 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Jambaló"/>
    <s v="Banca Multilateral"/>
    <n v="6944.4444444444398"/>
    <x v="5"/>
    <s v="Estados Unidos"/>
    <s v=" 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Miranda"/>
    <s v="Banca Multilateral"/>
    <n v="6944.4444444444398"/>
    <x v="5"/>
    <s v="Estados Unidos"/>
    <s v="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Padilla"/>
    <s v="Banca Multilateral"/>
    <n v="6944.4444444444398"/>
    <x v="5"/>
    <s v="Estados Unidos"/>
    <s v="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Puerto Tejada"/>
    <s v="Banca Multilateral"/>
    <n v="6944.4444444444398"/>
    <x v="5"/>
    <s v="Estados Unidos"/>
    <s v="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Santander de Quilichao"/>
    <s v="Banca Multilateral"/>
    <n v="6944.4444444444398"/>
    <x v="5"/>
    <s v="Estados Unidos"/>
    <s v="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Toribío"/>
    <s v="Banca Multilateral"/>
    <n v="6944.4444444444398"/>
    <x v="5"/>
    <s v="Estados Unidos"/>
    <s v="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Villa rica"/>
    <s v="Banca Multilateral"/>
    <n v="6944.4444444444398"/>
    <x v="5"/>
    <s v="Estados Unidos"/>
    <s v="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30"/>
    <s v="Quibdó"/>
    <s v="Banca Multilateral"/>
    <n v="83333.333333333299"/>
    <x v="5"/>
    <s v="Estados Unidos"/>
    <s v="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9"/>
    <s v="Buenaventura"/>
    <s v="Banca Multilateral"/>
    <n v="83333.333333333299"/>
    <x v="5"/>
    <s v="Estados Unidos"/>
    <s v=" 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94"/>
    <s v="Apoyar al Ministerio de Salud y Protección Social en la transformación digital del sistema de salud / Support the Ministry of Health and Social Protection in the digital transformation of the health system - CO-T1672"/>
    <s v="apoyar al Ministerio de Salud y Protección Social (MSPS) en la transformación digital del sistema de salud, fortaleciendo el conocimiento sobre la implementación de herramientas digitales de salud, principalmente a través de (i) desarrollar e implementar un piloto de interoperabilidad de transformación digital del sistema de salud (SGSSS), y (ii) la capacitación del personal en el uso eficiente de la salud digital."/>
    <d v="2023-03-27T00:00:00"/>
    <d v="2026-03-27T00:00:00"/>
    <x v="8"/>
    <s v="No Reporta"/>
    <s v="Multilateral"/>
    <n v="700000"/>
    <x v="45"/>
    <s v="Corea del Sur"/>
    <s v=" Donante"/>
    <s v="No Aplica"/>
    <s v="3.c.Aumentar considerablemente la financiación de la salud y la contratación, el perfeccionamiento, la capacitación y la retención del personal sanitario en los países en desarrollo, especialmente en los países menos adelantados y los pequeños Estados insulares en desarrollo"/>
    <x v="13"/>
    <s v="SIN ALINEAR"/>
    <s v="Salud y Protección Social"/>
  </r>
  <r>
    <s v="R-AO-23-4497"/>
    <s v="Jóvenes constructores del tejido social para la paz y la reconciliación en Colombia - NDICI CSO/2022/441-146"/>
    <s v="Avanzar en la reconstrucción del tejido social en Colombia para tener una sociedad más pacífica, incluyente y reconciliada, mediante prácticas testeadas de pedagogía para la paz y empoderamiento de las y los jóvenes con enfoque de género."/>
    <d v="2023-01-16T00:00:00"/>
    <d v="2026-01-16T00:00:00"/>
    <x v="21"/>
    <s v="Barranquilla"/>
    <s v="Unión Europea"/>
    <n v="130421.125"/>
    <x v="26"/>
    <s v="Bélgica"/>
    <s v=" Donante"/>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4497"/>
    <s v="Jóvenes constructores del tejido social para la paz y la reconciliación en Colombia - NDICI CSO/2022/441-146"/>
    <s v="Avanzar en la reconstrucción del tejido social en Colombia para tener una sociedad más pacífica, incluyente y reconciliada, mediante prácticas testeadas de pedagogía para la paz y empoderamiento de las y los jóvenes con enfoque de género."/>
    <d v="2023-01-16T00:00:00"/>
    <d v="2026-01-16T00:00:00"/>
    <x v="21"/>
    <s v="Soledad"/>
    <s v="Unión Europea"/>
    <n v="130421.125"/>
    <x v="26"/>
    <s v="Bélgica"/>
    <s v=" Donante"/>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4497"/>
    <s v="Jóvenes constructores del tejido social para la paz y la reconciliación en Colombia - NDICI CSO/2022/441-146"/>
    <s v="Avanzar en la reconstrucción del tejido social en Colombia para tener una sociedad más pacífica, incluyente y reconciliada, mediante prácticas testeadas de pedagogía para la paz y empoderamiento de las y los jóvenes con enfoque de género."/>
    <d v="2023-01-16T00:00:00"/>
    <d v="2026-01-16T00:00:00"/>
    <x v="24"/>
    <s v="Leticia"/>
    <s v="Unión Europea"/>
    <n v="260842.25"/>
    <x v="26"/>
    <s v="Bélgica"/>
    <s v=" Donante"/>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4497"/>
    <s v="Jóvenes constructores del tejido social para la paz y la reconciliación en Colombia - NDICI CSO/2022/441-146"/>
    <s v="Avanzar en la reconstrucción del tejido social en Colombia para tener una sociedad más pacífica, incluyente y reconciliada, mediante prácticas testeadas de pedagogía para la paz y empoderamiento de las y los jóvenes con enfoque de género."/>
    <d v="2023-01-16T00:00:00"/>
    <d v="2026-01-16T00:00:00"/>
    <x v="2"/>
    <s v="Villavicencio"/>
    <s v="Unión Europea"/>
    <n v="260842.25"/>
    <x v="26"/>
    <s v="Bélgica"/>
    <s v=" Donante"/>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4497"/>
    <s v="Jóvenes constructores del tejido social para la paz y la reconciliación en Colombia - NDICI CSO/2022/441-146"/>
    <s v="Avanzar en la reconstrucción del tejido social en Colombia para tener una sociedad más pacífica, incluyente y reconciliada, mediante prácticas testeadas de pedagogía para la paz y empoderamiento de las y los jóvenes con enfoque de género."/>
    <d v="2023-01-16T00:00:00"/>
    <d v="2026-01-16T00:00:00"/>
    <x v="9"/>
    <s v="Buenaventura"/>
    <s v="Unión Europea"/>
    <n v="260842.25"/>
    <x v="26"/>
    <s v="Bélgica"/>
    <s v=" Donante"/>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2-4498"/>
    <s v="Apoyo complementario “Economía Inclusiva, Verde y Competitiva”. Número de Identificación: LA/2022/431-997"/>
    <s v="Contribuir al desarrollo económico y empresarial inclusivo y sostenible en Colombia."/>
    <d v="2022-10-24T00:00:00"/>
    <d v="2026-04-24T00:00:00"/>
    <x v="8"/>
    <s v="No Reporta"/>
    <s v="Unión Europea"/>
    <n v="1482298"/>
    <x v="26"/>
    <s v="Bélgica"/>
    <s v=" Donante"/>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8"/>
    <s v="Cajibío"/>
    <s v="ESAL"/>
    <n v="8766.1333333333296"/>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8"/>
    <s v="El Tambo"/>
    <s v="ESAL"/>
    <n v="8766.1333333333296"/>
    <x v="44"/>
    <s v="Estados Unidos"/>
    <s v=" 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8"/>
    <s v="Guachené"/>
    <s v="ESAL"/>
    <n v="8766.1333333333296"/>
    <x v="44"/>
    <s v="Estados Unidos"/>
    <s v=" 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8"/>
    <s v="Guapí"/>
    <s v="ESAL"/>
    <n v="8766.1333333333296"/>
    <x v="44"/>
    <s v="Estados Unidos"/>
    <s v=" 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8"/>
    <s v="Popayán"/>
    <s v="ESAL"/>
    <n v="8766.1333333333296"/>
    <x v="44"/>
    <s v="Estados Unidos"/>
    <s v=" 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8"/>
    <s v="Timbío"/>
    <s v="ESAL"/>
    <n v="8766.1333333333296"/>
    <x v="44"/>
    <s v="Estados Unidos"/>
    <s v=" 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32"/>
    <s v="Armenia"/>
    <s v="ESAL"/>
    <n v="17532.266666666699"/>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32"/>
    <s v="La Tebaida"/>
    <s v="ESAL"/>
    <n v="17532.266666666699"/>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32"/>
    <s v="Montenegro"/>
    <s v="ESAL"/>
    <n v="17532.266666666699"/>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7"/>
    <s v="Apartadó"/>
    <s v="ESAL"/>
    <n v="26298.400000000001"/>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7"/>
    <s v="Medellín"/>
    <s v="ESAL"/>
    <n v="26298.400000000001"/>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9"/>
    <s v="Buenaventura"/>
    <s v="ESAL"/>
    <n v="26298.400000000001"/>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9"/>
    <s v="Cali"/>
    <s v="ESAL"/>
    <n v="26298.400000000001"/>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1"/>
    <s v="Barranquilla"/>
    <s v="ESAL"/>
    <n v="52596.800000000003"/>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5"/>
    <s v="Cartagena"/>
    <s v="ESAL"/>
    <n v="52596.800000000003"/>
    <x v="44"/>
    <s v="Estados Unidos"/>
    <s v=" Receptor"/>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16"/>
    <s v="Riohacha"/>
    <s v="ESAL"/>
    <n v="52596.800000000003"/>
    <x v="44"/>
    <s v="Estados Unidos"/>
    <s v=" Receptor"/>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11"/>
    <s v="Bogotá D.C."/>
    <s v="ESAL"/>
    <n v="52596.800000000003"/>
    <x v="44"/>
    <s v="Estados Unidos"/>
    <s v=" Receptor"/>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17"/>
    <s v="Florencia"/>
    <s v="ESAL"/>
    <n v="52596.800000000003"/>
    <x v="44"/>
    <s v="Estados Unidos"/>
    <s v=" Receptor"/>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14"/>
    <s v="Neiva"/>
    <s v="ESAL"/>
    <n v="52596.800000000003"/>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19"/>
    <s v="Mocoa"/>
    <s v="ESAL"/>
    <n v="52596.800000000003"/>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5"/>
    <s v="Inírida"/>
    <s v="ESAL"/>
    <n v="52596.800000000003"/>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
    <s v="Villavicencio"/>
    <s v="ESAL"/>
    <n v="52596.800000000003"/>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30"/>
    <s v="Quibdó"/>
    <s v="ESAL"/>
    <n v="52596.800000000003"/>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7"/>
    <s v="San Andrés de Tumaco"/>
    <s v="ESAL"/>
    <n v="52596.800000000003"/>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48"/>
    <s v="FORTALECER LA CAPACIDAD TÉCNICA DE LA BRIGADA DE DESMINADO HUMANITARIO - fase ii"/>
    <s v="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quot;APC-Colombia&quot;),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quot;Presupuesto Quinquenal de Sostenibilidad Operacional para la Brigada de Desminado Humanitario de Colombia&quot;)"/>
    <d v="2023-01-24T00:00:00"/>
    <d v="2026-12-31T00:00:00"/>
    <x v="7"/>
    <s v="Alejandría"/>
    <s v="ESAL"/>
    <n v="185191.45611111101"/>
    <x v="37"/>
    <s v="Estados Unidos"/>
    <s v=" Donante "/>
    <s v="3. Promover una cultura de paz, justicia y lucha contra la desigualdad"/>
    <s v="16.1.Reducir significativamente todas las formas de violencia y las tasas de mortalidad relacionadas en todas partes."/>
    <x v="7"/>
    <s v="SIN ALINEAR"/>
    <s v="Defensa Nacional"/>
  </r>
  <r>
    <s v="R-FP-23-4548"/>
    <s v="FORTALECER LA CAPACIDAD TÉCNICA DE LA BRIGADA DE DESMINADO HUMANITARIO - fase ii"/>
    <s v="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quot;APC-Colombia&quot;),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quot;Presupuesto Quinquenal de Sostenibilidad Operacional para la Brigada de Desminado Humanitario de Colombia&quot;)"/>
    <d v="2023-01-24T00:00:00"/>
    <d v="2026-12-31T00:00:00"/>
    <x v="7"/>
    <s v="Montebello"/>
    <s v="ESAL"/>
    <n v="185191.45611111101"/>
    <x v="37"/>
    <s v="Estados Unidos"/>
    <s v=" Donante "/>
    <s v="3. Promover una cultura de paz, justicia y lucha contra la desigualdad"/>
    <s v="16.1.Reducir significativamente todas las formas de violencia y las tasas de mortalidad relacionadas en todas partes."/>
    <x v="7"/>
    <s v="SIN ALINEAR"/>
    <s v="Defensa Nacional"/>
  </r>
  <r>
    <s v="R-FP-23-4548"/>
    <s v="FORTALECER LA CAPACIDAD TÉCNICA DE LA BRIGADA DE DESMINADO HUMANITARIO - fase ii"/>
    <s v="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quot;APC-Colombia&quot;),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quot;Presupuesto Quinquenal de Sostenibilidad Operacional para la Brigada de Desminado Humanitario de Colombia&quot;)"/>
    <d v="2023-01-24T00:00:00"/>
    <d v="2026-12-31T00:00:00"/>
    <x v="7"/>
    <s v="Puerto Berrío"/>
    <s v="ESAL"/>
    <n v="185191.45611111101"/>
    <x v="37"/>
    <s v="Estados Unidos"/>
    <s v=" Donante "/>
    <s v="3. Promover una cultura de paz, justicia y lucha contra la desigualdad"/>
    <s v="16.1.Reducir significativamente todas las formas de violencia y las tasas de mortalidad relacionadas en todas partes."/>
    <x v="7"/>
    <s v="SIN ALINEAR"/>
    <s v="Defensa Nacional"/>
  </r>
  <r>
    <s v="R-FP-23-4548"/>
    <s v="FORTALECER LA CAPACIDAD TÉCNICA DE LA BRIGADA DE DESMINADO HUMANITARIO - fase ii"/>
    <s v="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quot;APC-Colombia&quot;),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quot;Presupuesto Quinquenal de Sostenibilidad Operacional para la Brigada de Desminado Humanitario de Colombia&quot;)"/>
    <d v="2023-01-24T00:00:00"/>
    <d v="2026-12-31T00:00:00"/>
    <x v="7"/>
    <s v="San Carlos"/>
    <s v="ESAL"/>
    <n v="185191.45611111101"/>
    <x v="37"/>
    <s v="Estados Unidos"/>
    <s v=" Donante"/>
    <s v="3. Promover una cultura de paz, justicia y lucha contra la desigualdad"/>
    <s v="16.1.Reducir significativamente todas las formas de violencia y las tasas de mortalidad relacionadas en todas partes."/>
    <x v="7"/>
    <s v="SIN ALINEAR"/>
    <s v="Defensa Nacional"/>
  </r>
  <r>
    <s v="R-FP-23-4548"/>
    <s v="FORTALECER LA CAPACIDAD TÉCNICA DE LA BRIGADA DE DESMINADO HUMANITARIO - fase ii"/>
    <s v="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quot;APC-Colombia&quot;),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quot;Presupuesto Quinquenal de Sostenibilidad Operacional para la Brigada de Desminado Humanitario de Colombia&quot;)"/>
    <d v="2023-01-24T00:00:00"/>
    <d v="2026-12-31T00:00:00"/>
    <x v="7"/>
    <s v="San Luis"/>
    <s v="ESAL"/>
    <n v="185191.45611111101"/>
    <x v="37"/>
    <s v="Estados Unidos"/>
    <s v=" Donante"/>
    <s v="3. Promover una cultura de paz, justicia y lucha contra la desigualdad"/>
    <s v="16.1.Reducir significativamente todas las formas de violencia y las tasas de mortalidad relacionadas en todas partes."/>
    <x v="7"/>
    <s v="SIN ALINEAR"/>
    <s v="Defensa Nacional"/>
  </r>
  <r>
    <s v="R-FP-23-4548"/>
    <s v="FORTALECER LA CAPACIDAD TÉCNICA DE LA BRIGADA DE DESMINADO HUMANITARIO - fase ii"/>
    <s v="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quot;APC-Colombia&quot;),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quot;Presupuesto Quinquenal de Sostenibilidad Operacional para la Brigada de Desminado Humanitario de Colombia&quot;)"/>
    <d v="2023-01-24T00:00:00"/>
    <d v="2026-12-31T00:00:00"/>
    <x v="7"/>
    <s v="Santa Fé de Antioquia"/>
    <s v="ESAL"/>
    <n v="185191.45611111101"/>
    <x v="37"/>
    <s v="Estados Unidos"/>
    <s v=" Donante"/>
    <s v="3. Promover una cultura de paz, justicia y lucha contra la desigualdad"/>
    <s v="16.1.Reducir significativamente todas las formas de violencia y las tasas de mortalidad relacionadas en todas partes."/>
    <x v="7"/>
    <s v="SIN ALINEAR"/>
    <s v="Defensa Nacional"/>
  </r>
  <r>
    <s v="R-FP-23-4548"/>
    <s v="FORTALECER LA CAPACIDAD TÉCNICA DE LA BRIGADA DE DESMINADO HUMANITARIO - fase ii"/>
    <s v="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quot;APC-Colombia&quot;),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quot;Presupuesto Quinquenal de Sostenibilidad Operacional para la Brigada de Desminado Humanitario de Colombia&quot;)"/>
    <d v="2023-01-24T00:00:00"/>
    <d v="2026-12-31T00:00:00"/>
    <x v="11"/>
    <s v="Bogotá D.C."/>
    <s v="ESAL"/>
    <n v="1111148.7366666701"/>
    <x v="37"/>
    <s v="Estados Unidos"/>
    <s v=" Donante"/>
    <s v="3. Promover una cultura de paz, justicia y lucha contra la desigualdad"/>
    <s v="16.1.Reducir significativamente todas las formas de violencia y las tasas de mortalidad relacionadas en todas partes."/>
    <x v="7"/>
    <s v="SIN ALINEAR"/>
    <s v="Defensa Nacional"/>
  </r>
  <r>
    <s v="R-FP-23-4548"/>
    <s v="FORTALECER LA CAPACIDAD TÉCNICA DE LA BRIGADA DE DESMINADO HUMANITARIO - fase ii"/>
    <s v="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quot;APC-Colombia&quot;),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quot;Presupuesto Quinquenal de Sostenibilidad Operacional para la Brigada de Desminado Humanitario de Colombia&quot;)"/>
    <d v="2023-01-24T00:00:00"/>
    <d v="2026-12-31T00:00:00"/>
    <x v="31"/>
    <s v="Güicán de la sierra"/>
    <s v="ESAL"/>
    <n v="1111148.7366666701"/>
    <x v="37"/>
    <s v="Estados Unidos"/>
    <s v=" Donante"/>
    <s v="3. Promover una cultura de paz, justicia y lucha contra la desigualdad"/>
    <s v="16.1.Reducir significativamente todas las formas de violencia y las tasas de mortalidad relacionadas en todas partes."/>
    <x v="7"/>
    <s v="SIN ALINEAR"/>
    <s v="Defensa Nacion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16"/>
    <s v="Maicao"/>
    <s v="Unión Europea"/>
    <n v="72019.8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16"/>
    <s v="Riohacha"/>
    <s v="Unión Europea"/>
    <n v="72019.8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16"/>
    <s v="San Juan del Cesar"/>
    <s v="Unión Europea"/>
    <n v="72019.8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20"/>
    <s v="Cúcuta"/>
    <s v="Unión Europea"/>
    <n v="72019.8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20"/>
    <s v="Tibú"/>
    <s v="Unión Europea"/>
    <n v="72019.8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20"/>
    <s v="Villa del Rosario"/>
    <s v="Unión Europea"/>
    <n v="72019.8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21"/>
    <s v="Barranquilla"/>
    <s v="Unión Europea"/>
    <n v="108029.785714286"/>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21"/>
    <s v="Soledad"/>
    <s v="Unión Europea"/>
    <n v="108029.785714286"/>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0"/>
    <s v="Arauca"/>
    <s v="Unión Europea"/>
    <n v="108029.785714286"/>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0"/>
    <s v="Saravena"/>
    <s v="Unión Europea"/>
    <n v="108029.785714286"/>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5"/>
    <s v="Cartagena"/>
    <s v="Unión Europea"/>
    <n v="216059.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11"/>
    <s v="Bogotá D.C."/>
    <s v="Unión Europea"/>
    <n v="216059.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23"/>
    <s v="Soacha"/>
    <s v="Unión Europea"/>
    <n v="216059.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63"/>
    <s v="APOYAR LA ESTRUCTURACIÓN DE PROYECTOS DE INFRAESTRUCTURA QUE CONTRIBUYAN AL CRECIMIENTO ECONÓMICO Y LA IGUALDAD EN COLOMBIA a traves del papic"/>
    <s v="contribuir recursos para el desarrollo total o parcial de los estudios de prefactibilidad y factibilidad para la estructuración integral de proyectos de infraestructura en Colombia, a través de la participación en el patrimonio autónomo vehículo de preinversión de colombia (PApic)_x000a__x000a_"/>
    <d v="2023-02-01T00:00:00"/>
    <d v="2026-01-31T00:00:00"/>
    <x v="8"/>
    <s v="No Reporta"/>
    <s v="Regional"/>
    <n v="500000"/>
    <x v="46"/>
    <s v="Colombia"/>
    <s v=" Donante"/>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Transporte"/>
  </r>
  <r>
    <s v="R-AO-23-4629"/>
    <s v="Entornos protectores, facilitadores del empoderamiento y garantía de derechos de los colectivos más vulnerables (niñas, niños, jóvenes, mujeres, y líderes/as sociales) en Tumaco y Buenaventura - NDICI-HR-INTPA/2022/440-873"/>
    <s v="contribuir en la Construcción de un entorno habilitante en el que se garantice la protección de los Derechos Humanos, civiles y políticos de todas las personas, haciendo especial énfasis en aquellos sectores de la población más vulnerable, alineado con las prioridades de la_x000a_convocatoria en cuanto al fortalecimiento del trabajo de las OSC para la exigibilidad de derechos desde los enfoques de género y étnico, a través del fortalecimiento de las capacidades técnicas, operativas y de gestión; el impulso de entornos protectores para los niños, niñas, adolescentes y jóvenes (NNAJ) en riesgo de violencias y reclutamiento forzado , mujeres víctimas y sobrevivientes de violencias basadas en género (VBG), líderes, lideresas, defensoras de derechos humanos que por su labor comunitaria y de exigibilidad de derechos, enfrentan violencias, riesgos, amenazas afectando la integridad de sus vidas."/>
    <d v="2023-01-15T00:00:00"/>
    <d v="2026-01-14T00:00:00"/>
    <x v="27"/>
    <s v="San Andrés de Tumaco"/>
    <s v="Unión Europea"/>
    <n v="649859.5"/>
    <x v="26"/>
    <s v="Bélgica"/>
    <s v=" Donante"/>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Presidencia de la República"/>
  </r>
  <r>
    <s v="R-AO-23-4629"/>
    <s v="Entornos protectores, facilitadores del empoderamiento y garantía de derechos de los colectivos más vulnerables (niñas, niños, jóvenes, mujeres, y líderes/as sociales) en Tumaco y Buenaventura - NDICI-HR-INTPA/2022/440-873"/>
    <s v="contribuir en la Construcción de un entorno habilitante en el que se garantice la protección de los Derechos Humanos, civiles y políticos de todas las personas, haciendo especial énfasis en aquellos sectores de la población más vulnerable, alineado con las prioridades de la_x000a_convocatoria en cuanto al fortalecimiento del trabajo de las OSC para la exigibilidad de derechos desde los enfoques de género y étnico, a través del fortalecimiento de las capacidades técnicas, operativas y de gestión; el impulso de entornos protectores para los niños, niñas, adolescentes y jóvenes (NNAJ) en riesgo de violencias y reclutamiento forzado , mujeres víctimas y sobrevivientes de violencias basadas en género (VBG), líderes, lideresas, defensoras de derechos humanos que por su labor comunitaria y de exigibilidad de derechos, enfrentan violencias, riesgos, amenazas afectando la integridad de sus vidas."/>
    <d v="2023-01-15T00:00:00"/>
    <d v="2026-01-14T00:00:00"/>
    <x v="9"/>
    <s v="Buenaventura"/>
    <s v="Unión Europea"/>
    <n v="649859.5"/>
    <x v="26"/>
    <s v="Bélgica"/>
    <s v=" Donante"/>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Presidencia de la República"/>
  </r>
  <r>
    <s v="R-AO-23-4646"/>
    <s v="SWHARC 19AQMM23D0049"/>
    <s v="PRESTACION DE SERVICIOS PROFESIONALES, ADMINISTRATIVOS Y DE SOPORTE PARA CUMPLIR CON LOS OBJETIVOS DE DESEMPEÑO Y LOS REQUISITOS COMERCIALES DE LA EMBAJADA DE ESTADOS UNIDOSEN LA OFICINA DE ASUNTOS INTERNACIONALES DE NARCOTICOS Y APLICACIÓN DE LA LEY. "/>
    <d v="2023-02-01T00:00:00"/>
    <d v="2028-01-31T00:00:00"/>
    <x v="8"/>
    <s v="No Reporta"/>
    <s v="Multilateral"/>
    <n v="60000000"/>
    <x v="47"/>
    <s v="Estados Unidos"/>
    <s v=" Donante "/>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Defensa Nacional"/>
  </r>
  <r>
    <s v="R-AO-22-4647"/>
    <s v="&quot;PROYECTO DE GESTIÓN INTEGRADA DE LA CUENCA HIDROGRÁFICA DEL RÍO PUTUMAYO-IÇÁ TF0B8254-6L  &quot;"/>
    <s v="FORTALECER LAS CONDICIONES QUE PERMITAN A LOS PAÍSES PARTICIPANTES GESTIONAR LOS ECOSISTEMAS DE AGUA DULCE COMPARTIDOS EN LA CUENCA DEL PUTUMAYO-IÇÁ EN LA REGIÓN DEL AMAZONAS. "/>
    <d v="2022-07-14T00:00:00"/>
    <d v="2027-07-30T00:00:00"/>
    <x v="8"/>
    <s v="Ámbito Nacional"/>
    <s v="Empresas"/>
    <n v="12844037"/>
    <x v="8"/>
    <s v="Estados Unidos"/>
    <s v=" Donante"/>
    <s v="C. Conservación Y Sostenibilidad Ambiental"/>
    <s v="6.4.Para 2030, aumentar sustancialmente la eficiencia del uso del agua en todos los sectores y garantizar la extracción y el suministro sostenible de agua dulce para abordar la escasez de agua, y reducir sustancialmente el número de personas que sufren de escasez de agua."/>
    <x v="3"/>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4"/>
    <s v="Chalán"/>
    <s v="Estados Unidos"/>
    <n v="81146.952380952396"/>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4"/>
    <s v="Colosó"/>
    <s v="Estados Unidos"/>
    <n v="81146.952380952396"/>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4"/>
    <s v="Los Palmitos"/>
    <s v="Estados Unidos"/>
    <n v="81146.952380952396"/>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4"/>
    <s v="Morroa"/>
    <s v="Estados Unidos"/>
    <n v="81146.952380952396"/>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4"/>
    <s v="Ovejas"/>
    <s v="Estados Unidos"/>
    <n v="81146.952380952396"/>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4"/>
    <s v="San Onofre"/>
    <s v="Estados Unidos"/>
    <n v="81146.952380952396"/>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4"/>
    <s v="Tolú Viejo"/>
    <s v="Estados Unidos"/>
    <n v="81146.952380952396"/>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5"/>
    <s v="El Carmen de Bolívar"/>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5"/>
    <s v="El Guamo"/>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5"/>
    <s v="María La Baja"/>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5"/>
    <s v="San Jacinto"/>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5"/>
    <s v="San Juan Nepomuceno"/>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5"/>
    <s v="Zambrano"/>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7"/>
    <s v="Cáceres"/>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7"/>
    <s v="Caucasia"/>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7"/>
    <s v="El Bagre"/>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7"/>
    <s v="Nechí"/>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7"/>
    <s v="Tarazá"/>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7"/>
    <s v="Zaragoza"/>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8"/>
    <s v="Visión Estratégica MRV 2030 de Colombia - 6226/10121"/>
    <s v="Fortalecer las capacidades estatales para disminuir brechas poblacionales y territoriales y avanzar hacia la igualdad y la movilidad social con un enfoque diferenciado y sensible al género."/>
    <d v="2022-02-25T00:00:00"/>
    <d v="2026-02-24T00:00:00"/>
    <x v="8"/>
    <s v="Ámbito Nacional"/>
    <s v="ESAL"/>
    <n v="140000"/>
    <x v="24"/>
    <s v="Colombia"/>
    <s v=" Donante"/>
    <s v="C. Conservación Y Sostenibilidad Ambiental"/>
    <s v="13.2.Integrar medidas de cambio climático en las políticas, estrategias y planificación nacional."/>
    <x v="0"/>
    <s v="SIN ALINEAR"/>
    <s v="Ambiente y Desarrollo Sostenible"/>
  </r>
  <r>
    <s v="R-AO-22-4708"/>
    <s v="Visión Estratégica MRV 2030 de Colombia - 6226/10121"/>
    <s v="Fortalecer las capacidades estatales para disminuir brechas poblacionales y territoriales y avanzar hacia la igualdad y la movilidad social con un enfoque diferenciado y sensible al género."/>
    <d v="2022-02-25T00:00:00"/>
    <d v="2026-02-24T00:00:00"/>
    <x v="8"/>
    <s v="Ámbito Nacional"/>
    <s v="Empresas"/>
    <n v="3791550"/>
    <x v="8"/>
    <s v="Colombia"/>
    <s v=" Donante"/>
    <s v="C. Conservación Y Sostenibilidad Ambiental"/>
    <s v="13.2.Integrar medidas de cambio climático en las políticas, estrategias y planificación nacional."/>
    <x v="0"/>
    <s v="SIN ALINEAR"/>
    <s v="Ambiente y Desarrollo Sostenible"/>
  </r>
  <r>
    <s v="R-AO-23-4735"/>
    <s v="Futuro orgánico e inclusivo para organizaciones de pequeños productores en la Sierra Nevada de Santa Marta -  NDICI CSO/2022/441-066"/>
    <s v="Promover y generar condiciones habilitantes para el ejercicio de una coordinación territorial con participación inclusiva de las y los integrantes de las organizaciones campesinas e indígenas a partir de su desarrollo socioeconómico, contribuyendo a la construcción de paz y el balance social y ecosistémico en territorios PDET (Planes de Desarrollo con Enfoque Territorial en el marco de los acuerdos de paz) de la Sierra Nevada de Santa Marta (SNSM)."/>
    <d v="2023-01-15T00:00:00"/>
    <d v="2027-01-15T00:00:00"/>
    <x v="10"/>
    <s v="Aracataca"/>
    <s v="Unión Europea"/>
    <n v="263193.25"/>
    <x v="26"/>
    <s v="Bélgica"/>
    <s v=" Donante"/>
    <s v="No Aplica"/>
    <s v="11.3.Para 2030 mejorar la urbanización sostenible e inclusiva y las capacidades para la planificación y gestión participativa de los asentamientos humanos integrada y sostenible de todos los países."/>
    <x v="4"/>
    <s v="SIN ALINEAR"/>
    <s v="Comercio, Industria y Turismo"/>
  </r>
  <r>
    <s v="R-AO-23-4735"/>
    <s v="Futuro orgánico e inclusivo para organizaciones de pequeños productores en la Sierra Nevada de Santa Marta -  NDICI CSO/2022/441-066"/>
    <s v="Promover y generar condiciones habilitantes para el ejercicio de una coordinación territorial con participación inclusiva de las y los integrantes de las organizaciones campesinas e indígenas a partir de su desarrollo socioeconómico, contribuyendo a la construcción de paz y el balance social y ecosistémico en territorios PDET (Planes de Desarrollo con Enfoque Territorial en el marco de los acuerdos de paz) de la Sierra Nevada de Santa Marta (SNSM)."/>
    <d v="2023-01-15T00:00:00"/>
    <d v="2027-01-15T00:00:00"/>
    <x v="10"/>
    <s v="Ciénaga"/>
    <s v="Unión Europea"/>
    <n v="263193.25"/>
    <x v="26"/>
    <s v="Bélgica"/>
    <s v=" Donante"/>
    <s v="No Aplica"/>
    <s v="11.3.Para 2030 mejorar la urbanización sostenible e inclusiva y las capacidades para la planificación y gestión participativa de los asentamientos humanos integrada y sostenible de todos los países."/>
    <x v="4"/>
    <s v="SIN ALINEAR"/>
    <s v="Comercio, Industria y Turismo"/>
  </r>
  <r>
    <s v="R-AO-23-4735"/>
    <s v="Futuro orgánico e inclusivo para organizaciones de pequeños productores en la Sierra Nevada de Santa Marta -  NDICI CSO/2022/441-066"/>
    <s v="Promover y generar condiciones habilitantes para el ejercicio de una coordinación territorial con participación inclusiva de las y los integrantes de las organizaciones campesinas e indígenas a partir de su desarrollo socioeconómico, contribuyendo a la construcción de paz y el balance social y ecosistémico en territorios PDET (Planes de Desarrollo con Enfoque Territorial en el marco de los acuerdos de paz) de la Sierra Nevada de Santa Marta (SNSM)."/>
    <d v="2023-01-15T00:00:00"/>
    <d v="2027-01-15T00:00:00"/>
    <x v="10"/>
    <s v="Fundación"/>
    <s v="Unión Europea"/>
    <n v="263193.25"/>
    <x v="26"/>
    <s v="Bélgica"/>
    <s v="Donante"/>
    <s v="No Aplica"/>
    <s v="11.3.Para 2030 mejorar la urbanización sostenible e inclusiva y las capacidades para la planificación y gestión participativa de los asentamientos humanos integrada y sostenible de todos los países."/>
    <x v="4"/>
    <s v="SIN ALINEAR"/>
    <s v="Comercio, Industria y Turismo"/>
  </r>
  <r>
    <s v="R-AO-23-4735"/>
    <s v="Futuro orgánico e inclusivo para organizaciones de pequeños productores en la Sierra Nevada de Santa Marta -  NDICI CSO/2022/441-066"/>
    <s v="Promover y generar condiciones habilitantes para el ejercicio de una coordinación territorial con participación inclusiva de las y los integrantes de las organizaciones campesinas e indígenas a partir de su desarrollo socioeconómico, contribuyendo a la construcción de paz y el balance social y ecosistémico en territorios PDET (Planes de Desarrollo con Enfoque Territorial en el marco de los acuerdos de paz) de la Sierra Nevada de Santa Marta (SNSM)."/>
    <d v="2023-01-15T00:00:00"/>
    <d v="2027-01-15T00:00:00"/>
    <x v="10"/>
    <s v="Santa Marta"/>
    <s v="Unión Europea"/>
    <n v="263193.25"/>
    <x v="26"/>
    <s v="Bélgica"/>
    <s v="Donante"/>
    <s v="No Aplica"/>
    <s v="11.3.Para 2030 mejorar la urbanización sostenible e inclusiva y las capacidades para la planificación y gestión participativa de los asentamientos humanos integrada y sostenible de todos los países."/>
    <x v="4"/>
    <s v="SIN ALINEAR"/>
    <s v="Comercio, Industria y Turismo"/>
  </r>
  <r>
    <s v="R-FP-22-4844"/>
    <s v="Herencia Colombia Financiación de Proyectos para la Permanencia: Haciendo realidad los Objetivos Marinos 30 x 30 de Colombia"/>
    <s v="garantizar la protección permanente de al menos 32 millones de hectáreas de áreas protegidas y sus paisajes circundantes, de acuerdo con las condiciones acordadas en el Acuerdo de Cierre Único (Memorándum of Understanding-MOU) e incluido dentro del Manual Operativo HECO (MOP). En un período de 10 años, HECO apoyará la creación de más de 2 M ha de nuevas áreas protegidas terrestres y más de 19,4 M ha de nuevas áreas protegidas marinas; mejorar la gestión de 5,5 millones ha de áreas marinas protegidas existentes y casi 6 M ha en 101 áreas terrestres existentes nacionales, regionales y privadas protegidas dentro del SINAP; y promover modelos productivos sostenibles en 7 corredores para mejorar la conectividad y mantener los servicios de los ecosistemas. (Ver Anexo 2 para el mapa del alcance completo del PFP). "/>
    <d v="2022-11-18T00:00:00"/>
    <d v="2032-11-20T00:00:00"/>
    <x v="8"/>
    <s v="Ámbito Nacional"/>
    <s v="Empresas"/>
    <n v="6200000"/>
    <x v="48"/>
    <s v="Estados Unidos"/>
    <s v=" Donante"/>
    <s v="C. Conservación Y Sostenibilidad Ambiental"/>
    <s v="14.5.Para 2020, conservar al menos el 10% de las zonas marinas y costeras, en armonía con la legislación nacional e internacional y con base en la mejor información científica disponible"/>
    <x v="9"/>
    <s v="SIN ALINEAR"/>
    <s v="Ambiente y Desarrollo Sostenible"/>
  </r>
  <r>
    <s v="R-AO-22-4860"/>
    <s v=" ICTJ Colombia 2022-2026 (Centro internacionacional para la justicia transicional Colombia)"/>
    <m/>
    <d v="2022-05-01T00:00:00"/>
    <d v="2026-03-31T00:00:00"/>
    <x v="8"/>
    <s v="Ámbito Nacional"/>
    <s v="Suecia"/>
    <n v="287500"/>
    <x v="49"/>
    <s v="Suecia"/>
    <s v=" Donante"/>
    <s v="A. Paz y Estabilización Territorial"/>
    <s v="16.3.Promover el estado de derecho en los planos nacional e internacional, y garantizar la igualdad en el acceso a la justicia para todos."/>
    <x v="7"/>
    <s v="SIN ALINEAR"/>
    <s v="Justicia y del Derecho"/>
  </r>
  <r>
    <s v="R-AO-23-4900"/>
    <s v="15253 Reincorporation Colombia-We Effect (Reincorporation Colombia-We Effect)"/>
    <s v="Contribuir a la construcción de paz y al proceso de reintegración de mujeres y hombres excombatientes de las FARC, para el pleno ejercicio de los derechos y la ciudadanía en condiciones de igualdad."/>
    <d v="2023-05-15T00:00:00"/>
    <d v="2026-04-30T00:00:00"/>
    <x v="8"/>
    <s v="Ámbito Nacional"/>
    <s v="Suecia"/>
    <n v="239583"/>
    <x v="49"/>
    <s v="Suecia"/>
    <s v=" Donante"/>
    <s v="3. Promover una cultura de paz, justicia y lucha contra la desigualdad"/>
    <s v="16.3.Promover el estado de derecho en los planos nacional e internacional, y garantizar la igualdad en el acceso a la justicia para todos."/>
    <x v="7"/>
    <s v="SIN ALINEAR"/>
    <s v="Presidencia de la República"/>
  </r>
  <r>
    <s v="R-AO-23-4951"/>
    <s v="Garantizar el libre ejercicio del derecho de libertad de prensa y expresión por parte de periodistas y comunicadores comunitarios en departamentos fronterizos. . Expediente nº 2023QdV00243 "/>
    <s v="Fortalecer el ejercicio de libertad de prensa como derecho fundamental para el ejercicio de la democracia_x000a__x000a__x000a__x000a__x000a__x000a__x000a_"/>
    <d v="2023-08-09T00:00:00"/>
    <d v="2027-02-09T00:00:00"/>
    <x v="16"/>
    <s v="No Reporta"/>
    <s v="España"/>
    <n v="82387.25"/>
    <x v="27"/>
    <s v="España"/>
    <s v="Donante"/>
    <s v="No Aplica"/>
    <s v="16.3.Promover el estado de derecho en los planos nacional e internacional, y garantizar la igualdad en el acceso a la justicia para todos."/>
    <x v="7"/>
    <s v="SIN ALINEAR"/>
    <s v="Tecnologías de la Información y las Comunicaciones"/>
  </r>
  <r>
    <s v="R-AO-23-4951"/>
    <s v="Garantizar el libre ejercicio del derecho de libertad de prensa y expresión por parte de periodistas y comunicadores comunitarios en departamentos fronterizos. . Expediente nº 2023QdV00243 "/>
    <s v="Fortalecer el ejercicio de libertad de prensa como derecho fundamental para el ejercicio de la democracia_x000a__x000a__x000a__x000a__x000a__x000a__x000a_"/>
    <d v="2023-08-09T00:00:00"/>
    <d v="2027-02-09T00:00:00"/>
    <x v="20"/>
    <s v="No Reporta"/>
    <s v="España"/>
    <n v="82387.25"/>
    <x v="27"/>
    <s v="España"/>
    <s v="Donante"/>
    <s v="No Aplica"/>
    <s v="16.3.Promover el estado de derecho en los planos nacional e internacional, y garantizar la igualdad en el acceso a la justicia para todos."/>
    <x v="7"/>
    <s v="SIN ALINEAR"/>
    <s v="Tecnologías de la Información y las Comunicaciones"/>
  </r>
  <r>
    <s v="R-AO-23-4951"/>
    <s v="Garantizar el libre ejercicio del derecho de libertad de prensa y expresión por parte de periodistas y comunicadores comunitarios en departamentos fronterizos. . Expediente nº 2023QdV00243 "/>
    <s v="Fortalecer el ejercicio de libertad de prensa como derecho fundamental para el ejercicio de la democracia_x000a__x000a__x000a__x000a__x000a__x000a__x000a_"/>
    <d v="2023-08-09T00:00:00"/>
    <d v="2027-02-09T00:00:00"/>
    <x v="30"/>
    <s v="No Reporta"/>
    <s v="España"/>
    <n v="82387.25"/>
    <x v="27"/>
    <s v="España"/>
    <s v=" Donante"/>
    <s v="No Aplica"/>
    <s v="16.3.Promover el estado de derecho en los planos nacional e internacional, y garantizar la igualdad en el acceso a la justicia para todos."/>
    <x v="7"/>
    <s v="SIN ALINEAR"/>
    <s v="Tecnologías de la Información y las Comunicaciones"/>
  </r>
  <r>
    <s v="R-AO-23-4951"/>
    <s v="Garantizar el libre ejercicio del derecho de libertad de prensa y expresión por parte de periodistas y comunicadores comunitarios en departamentos fronterizos. . Expediente nº 2023QdV00243 "/>
    <s v="Fortalecer el ejercicio de libertad de prensa como derecho fundamental para el ejercicio de la democracia_x000a__x000a__x000a__x000a__x000a__x000a__x000a_"/>
    <d v="2023-08-09T00:00:00"/>
    <d v="2027-02-09T00:00:00"/>
    <x v="27"/>
    <s v="No Reporta"/>
    <s v="España"/>
    <n v="82387.25"/>
    <x v="27"/>
    <s v="España"/>
    <s v=" Donante"/>
    <s v="No Aplica"/>
    <s v="16.3.Promover el estado de derecho en los planos nacional e internacional, y garantizar la igualdad en el acceso a la justicia para todos."/>
    <x v="7"/>
    <s v="SIN ALINEAR"/>
    <s v="Tecnologías de la Información y las Comunicaciones"/>
  </r>
  <r>
    <s v="R-AO-23-4978"/>
    <s v="Fortalecimiento de la gobernabilidad territorial y nacional de la Juntanza Nacional Afrocolombiana Fase II. Expediente 2023QdV00284"/>
    <s v="Mejora de la participación política efectiva de los pueblos negros, afrocolombianos, raizales y palenqueros a través de la consolidación de la gobernabilidad territorial de la juntanza Nacional Afrocolombiana._x000a__x000a__x000a__x000a__x000a__x000a__x000a_"/>
    <d v="2023-08-11T00:00:00"/>
    <d v="2026-02-11T00:00:00"/>
    <x v="8"/>
    <s v="Ámbito Nacional"/>
    <s v="España"/>
    <n v="274324"/>
    <x v="27"/>
    <s v="España"/>
    <s v=" Donante"/>
    <s v="No Aplica"/>
    <s v="16.7.Garantizar la toma de decisiones receptiva, inclusiva, participativa y representativa en todos los niveles."/>
    <x v="7"/>
    <s v="SIN ALINEAR"/>
    <s v="Interior"/>
  </r>
  <r>
    <s v="R-FP-23-5006"/>
    <s v="PRIMERA subvención DE Financiación DE DONANTES PRIVADOS PARA EL COMPONENTE MARINO DE HERENCIA COLOMBIA (HECO) para proyecto de permanencia  / FIRST GRANT OF PRIVATE DONOR FUNDING FOR THE MARINE COMPONENT OF THE HERENCIA COLOMBIA (HECO) PROJECT FINANCE FOR PERMANENCE PROJECT – FT16611"/>
    <s v="Proporcionar fondos para el Fondo de Transición para ciertas actividades dentro del proyecto Herencia Colombia - Project Finance for Permanence (el &quot;PFP&quot;)"/>
    <d v="2023-06-05T00:00:00"/>
    <d v="2033-06-05T00:00:00"/>
    <x v="8"/>
    <s v="Ámbito Nacional"/>
    <s v="ESAL"/>
    <n v="8300000"/>
    <x v="50"/>
    <s v="Estados Unidos"/>
    <s v=" Donante"/>
    <s v="1. Promover la lucha contra el cambio climatico, la justicia ambiental y la transformación productiva"/>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FP-23-5008"/>
    <s v="Proteger Colombia Orinoquia / Colombia Orinoquia Protect"/>
    <s v="Apoyar al Socio en la compra de predios y posterior donaciÛn a nombre de Parques Nacionales Naturales de Colombia en el marco oficial de la declaratoria del Parque Nacional Natural SerranÌa de ManacacÌas, mediante aportes para el pago del precio de la compraventa y hasta el 1.66% de dicha suma para efecto del pago de costos y gastos e impuestos notariales y de registro. "/>
    <d v="2023-07-24T00:00:00"/>
    <d v="2028-12-03T00:00:00"/>
    <x v="2"/>
    <s v="No Reporta"/>
    <s v="Empresas"/>
    <n v="5000000"/>
    <x v="51"/>
    <s v="Colombia"/>
    <s v=" Donante"/>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3-5085"/>
    <s v="Fortalecimiento de los procesos de empoderamiento, autonomía y preservación de la vida de las mujeres del pueblo awá del departamento de Nariño (municipios de Tumaco y Barbacoas) No. 2023QdV00285"/>
    <s v="fortalecer los procesos de protección y prevención de _x000a_violencias de género contra las mujeres Awá su _x000a_posicionamiento e incidencia política y su _x000a_empoderamiento económico."/>
    <d v="2023-08-16T00:00:00"/>
    <d v="2026-10-25T00:00:00"/>
    <x v="27"/>
    <s v="Barbacoas"/>
    <s v="España"/>
    <n v="109080"/>
    <x v="27"/>
    <s v="España"/>
    <s v=" Donante"/>
    <s v="No Aplica"/>
    <s v="5.5.Garantizar la participación plena y efectiva de las mujeres y la igualdad de oportunidades para el liderazgo en todos los niveles de toma de decisiones en la vida política, económica y_x000a_pública."/>
    <x v="2"/>
    <s v="SIN ALINEAR"/>
    <s v="Interior"/>
  </r>
  <r>
    <s v="R-AO-23-5085"/>
    <s v="Fortalecimiento de los procesos de empoderamiento, autonomía y preservación de la vida de las mujeres del pueblo awá del departamento de Nariño (municipios de Tumaco y Barbacoas) No. 2023QdV00285"/>
    <s v="fortalecer los procesos de protección y prevención de _x000a_violencias de género contra las mujeres Awá su _x000a_posicionamiento e incidencia política y su _x000a_empoderamiento económico."/>
    <d v="2023-08-16T00:00:00"/>
    <d v="2026-10-25T00:00:00"/>
    <x v="27"/>
    <s v="San Andrés de Tumaco"/>
    <s v="España"/>
    <n v="109080"/>
    <x v="27"/>
    <s v="España"/>
    <s v=" Donante"/>
    <s v="No Aplica"/>
    <s v="5.5.Garantizar la participación plena y efectiva de las mujeres y la igualdad de oportunidades para el liderazgo en todos los niveles de toma de decisiones en la vida política, económica y_x000a_pública."/>
    <x v="2"/>
    <s v="SIN ALINEAR"/>
    <s v="Interior"/>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Líbano"/>
    <s v="ESAL"/>
    <n v="27700.6"/>
    <x v="52"/>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Rovira"/>
    <s v="ESAL"/>
    <n v="27700.6"/>
    <x v="52"/>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San Luis"/>
    <s v="ESAL"/>
    <n v="27700.6"/>
    <x v="52"/>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Valle de San Juan"/>
    <s v="ESAL"/>
    <n v="27700.6"/>
    <x v="52"/>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Villahermosa"/>
    <s v="ESAL"/>
    <n v="27700.6"/>
    <x v="52"/>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Líbano"/>
    <s v="Empresas"/>
    <n v="200000"/>
    <x v="53"/>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Rovira"/>
    <s v="Empresas"/>
    <n v="200000"/>
    <x v="53"/>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San Luis"/>
    <s v="Empresas"/>
    <n v="200000"/>
    <x v="53"/>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Valle de San Juan"/>
    <s v="Empresas"/>
    <n v="200000"/>
    <x v="53"/>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Villahermosa"/>
    <s v="Empresas"/>
    <n v="200000"/>
    <x v="53"/>
    <s v="Colombia/Centro Oriente/Bogotá D.C./Bogotá D.C."/>
    <s v=" 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5"/>
    <s v="No Reporta"/>
    <s v="España"/>
    <n v="64283.166666666701"/>
    <x v="27"/>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22"/>
    <s v="No Reporta"/>
    <s v="España"/>
    <n v="64283.166666666701"/>
    <x v="27"/>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6"/>
    <s v="No Reporta"/>
    <s v="España"/>
    <n v="64283.166666666701"/>
    <x v="27"/>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7"/>
    <s v="No Reporta"/>
    <s v="España"/>
    <n v="64283.166666666701"/>
    <x v="27"/>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28"/>
    <s v="No Reporta"/>
    <s v="España"/>
    <n v="64283.166666666701"/>
    <x v="27"/>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30"/>
    <s v="No Reporta"/>
    <s v="España"/>
    <n v="64283.166666666701"/>
    <x v="27"/>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5"/>
    <s v="No Reporta"/>
    <s v="ESAL"/>
    <n v="3729.3333333333298"/>
    <x v="54"/>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22"/>
    <s v="No Reporta"/>
    <s v="ESAL"/>
    <n v="3729.3333333333298"/>
    <x v="54"/>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6"/>
    <s v="No Reporta"/>
    <s v="ESAL"/>
    <n v="3729.3333333333298"/>
    <x v="54"/>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7"/>
    <s v="No Reporta"/>
    <s v="ESAL"/>
    <n v="3729.3333333333298"/>
    <x v="54"/>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28"/>
    <s v="No Reporta"/>
    <s v="ESAL"/>
    <n v="3729.3333333333298"/>
    <x v="54"/>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30"/>
    <s v="No Reporta"/>
    <s v="ESAL"/>
    <n v="3729.3333333333298"/>
    <x v="54"/>
    <s v="España"/>
    <s v=" Donante"/>
    <s v="No Aplica"/>
    <s v="5.c.Adoptar y reforzar políticas sólidas y una legislación aplicable para la promoción de la igualdad de género y el empoderamiento de las mujeres y las niñas en todos los niveles."/>
    <x v="2"/>
    <s v="SIN ALINEAR"/>
    <s v="Interior"/>
  </r>
  <r>
    <s v="R-AO-23-5115"/>
    <s v="Amazonia + Iniciativa de la cuenca amazonica.  NDICI LA/2022/441-281"/>
    <s v="Apoyar a los países socios amazónicos (Bolivia, Brasil, Colombia, Ecuador, Guyana, Perú, Surinam y Venezuela) en la mitigación de las emisiones de CO2, la adaptación a los efectos del cambio climático y la mejora de la protección de la biodiversidad"/>
    <d v="2023-02-15T00:00:00"/>
    <d v="2027-02-15T00:00:00"/>
    <x v="24"/>
    <s v="No Reporta"/>
    <s v="Unión Europea"/>
    <n v="3929131.8"/>
    <x v="26"/>
    <s v="Bélgica"/>
    <s v=" Donante"/>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5115"/>
    <s v="Amazonia + Iniciativa de la cuenca amazonica.  NDICI LA/2022/441-281"/>
    <s v="Apoyar a los países socios amazónicos (Bolivia, Brasil, Colombia, Ecuador, Guyana, Perú, Surinam y Venezuela) en la mitigación de las emisiones de CO2, la adaptación a los efectos del cambio climático y la mejora de la protección de la biodiversidad"/>
    <d v="2023-02-15T00:00:00"/>
    <d v="2027-02-15T00:00:00"/>
    <x v="17"/>
    <s v="No Reporta"/>
    <s v="Unión Europea"/>
    <n v="3929131.8"/>
    <x v="26"/>
    <s v="Bélgica"/>
    <s v=" Donante"/>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5115"/>
    <s v="Amazonia + Iniciativa de la cuenca amazonica.  NDICI LA/2022/441-281"/>
    <s v="Apoyar a los países socios amazónicos (Bolivia, Brasil, Colombia, Ecuador, Guyana, Perú, Surinam y Venezuela) en la mitigación de las emisiones de CO2, la adaptación a los efectos del cambio climático y la mejora de la protección de la biodiversidad"/>
    <d v="2023-02-15T00:00:00"/>
    <d v="2027-02-15T00:00:00"/>
    <x v="19"/>
    <s v="No Reporta"/>
    <s v="Unión Europea"/>
    <n v="3929131.8"/>
    <x v="26"/>
    <s v="Bélgica"/>
    <s v=" Donante"/>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5115"/>
    <s v="Amazonia + Iniciativa de la cuenca amazonica.  NDICI LA/2022/441-281"/>
    <s v="Apoyar a los países socios amazónicos (Bolivia, Brasil, Colombia, Ecuador, Guyana, Perú, Surinam y Venezuela) en la mitigación de las emisiones de CO2, la adaptación a los efectos del cambio climático y la mejora de la protección de la biodiversidad"/>
    <d v="2023-02-15T00:00:00"/>
    <d v="2027-02-15T00:00:00"/>
    <x v="18"/>
    <s v="No Reporta"/>
    <s v="Unión Europea"/>
    <n v="3929131.8"/>
    <x v="26"/>
    <s v="Bélgica"/>
    <s v=" Donante"/>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5115"/>
    <s v="Amazonia + Iniciativa de la cuenca amazonica.  NDICI LA/2022/441-281"/>
    <s v="Apoyar a los países socios amazónicos (Bolivia, Brasil, Colombia, Ecuador, Guyana, Perú, Surinam y Venezuela) en la mitigación de las emisiones de CO2, la adaptación a los efectos del cambio climático y la mejora de la protección de la biodiversidad"/>
    <d v="2023-02-15T00:00:00"/>
    <d v="2027-02-15T00:00:00"/>
    <x v="26"/>
    <s v="No Reporta"/>
    <s v="Unión Europea"/>
    <n v="3929131.8"/>
    <x v="26"/>
    <s v="Bélgica"/>
    <s v=" Donante"/>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5136"/>
    <s v="Adquisición e instalación de tecnología de mitigación del óxido de nitrógeno en la planta de producción de ácido nítrico de Monómeros Colombo Venezolanos S.A. En Barranquilla- Purchase and installation of nitrous oxide abatement technology at Monomeros Colombo Venezolanos SA’s nitric acid production facility in Barranquilla "/>
    <s v="Instalar y poner en marcha un sistema de _x000a_abatimiento secundario de gases de N2O, el cual es un _x000a_gas de efecto invernadero, en la planta de producción de cido nítrico de la empresa Monómeros Colombo _x000a_Venezolanos S.A., ubicada en Barranquilla, Colombia._x000a_"/>
    <d v="2023-09-01T00:00:00"/>
    <d v="2027-06-30T00:00:00"/>
    <x v="21"/>
    <s v="Barranquilla"/>
    <s v="Alemania"/>
    <n v="2226300"/>
    <x v="55"/>
    <s v="Alemania"/>
    <s v=" Donante"/>
    <s v="1. Promover la lucha contra el cambio climatico, la justicia ambiental y la transformación productiva"/>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FP-23-5138"/>
    <s v="Herencia Colombia (HECO):  Maximizando las contribuciones de los Paisajes Manejados Sosteniblemente en Colombia para el logro de los Objetivos Climáticos"/>
    <s v="Asegurar la conservación y financiación a largo plazo de 32  millones de hectáreas, que representan el 16% del territorio del  país, a través del incremento de la cobertura, el manejo  efectivo y la gobernabilidad del SINAP y otras estrategias de  conservación, en paisajes sostenibles como espacios de  inclusión y construcción de paz, generando oportunidades  para el desarrollo humano en el contexto de cambio climático,  que permitirán el fortalecimiento y consolidación del SINAP en  sus atributos de representatividad, completitud y efectividad y  equidad de su gestión. "/>
    <d v="2023-07-14T00:00:00"/>
    <d v="2033-07-14T00:00:00"/>
    <x v="8"/>
    <s v="No Reporta"/>
    <s v="ESAL"/>
    <n v="32777951"/>
    <x v="50"/>
    <s v="Estados Unidos"/>
    <s v=" Donante"/>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3-5144"/>
    <s v="Apoyo a la implementación del Plan Integral Especial para el desarrollo de Buenaventura (PIEDB) en el marco de su modelo de gobernanza"/>
    <s v="Fortalecer los mecanismos institucionales y sociales para construir paz y desarrollo territorial, inclusivo y sostenible en el distrito de Buenaventuda, con efectiva participación de las mujeres y las juventudes a través de la aplicación del enfoque de derechos y enfoques diferenciales de género, étnico y generacional._x000a__x000a__x000a__x000a__x000a__x000a__x000a_"/>
    <d v="2023-08-10T00:00:00"/>
    <d v="2028-02-10T00:00:00"/>
    <x v="9"/>
    <s v="Buenaventura"/>
    <s v="España"/>
    <n v="550998"/>
    <x v="27"/>
    <s v="España"/>
    <s v=" Donante"/>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nclusión Social y Reconciliación"/>
  </r>
  <r>
    <s v="R-AO-23-5147"/>
    <s v="Implementación del Plan de Revitalización del Nasa Yuwe, en Toribio Cauca Colombia Exp.2023/SPE/0000400114"/>
    <s v="Contribuir a la realización de los derechos linguisticos del pueblo nasa y del sueño de vida del PVPN (2016-2050) &quot;Todos hablan y vivencian el idioma propio de manera permanente (en 2050)&quot;, profundizando la participación de la comunidad y fomentando un desarrollo equitativo y respetuoso con la naturaleza, acorde a la cosmivisión nasa. _x000a__x000a__x000a__x000a__x000a__x000a__x000a_"/>
    <d v="2023-08-21T00:00:00"/>
    <d v="2027-02-21T00:00:00"/>
    <x v="28"/>
    <s v="Toribío"/>
    <s v="España"/>
    <n v="217779"/>
    <x v="27"/>
    <s v="España"/>
    <s v=" Donante"/>
    <s v="No Aplica"/>
    <s v="4.7.En 2030 asegurar que todos los alumnos adquieran el conocimiento y las habilidades necesarias para promover el desarrollo sostenible, a través de la educación para el desarrollo sostenible y estilos de vida sostenibles, derechos humanos, igualdad de género, promoción de una cultura de paz y no violencia, ciudadanía global y la apreciación de la diversidad cultural y de la contribución de la cultura al desarrollo sostenible"/>
    <x v="5"/>
    <s v="SIN ALINEAR"/>
    <s v="Educación Nacional"/>
  </r>
  <r>
    <s v="R-AO-23-5148"/>
    <s v="Formulación, actualización e implementación de planes regionales de búsqueda con enfoque territorial, diferencial y de género en Colombia para contribuir a la búsqueda, verdad y reparación, e intercambio de experiencias con entidades españolas especializadas en medicina legal y forense y reparación moral de las víctimas. . Expediente nº 2023QdV00168."/>
    <s v="Promover la aplicación del derecho de los familiares de las víctimas a la justicia a conocer la verdad y a la reparación moral en el proceso de búsqueda, prospección, recuperación e impulso a la identificación de personas dadas por desaparecidad, en el contexto y en razón del conflicto armado, a través de la actualización e implementación de Planes Regionales de Búsqueda (PRB)_x000a__x000a__x000a__x000a__x000a__x000a__x000a_"/>
    <d v="2023-08-03T00:00:00"/>
    <d v="2027-02-03T00:00:00"/>
    <x v="20"/>
    <s v="No Reporta"/>
    <s v="España"/>
    <n v="164009.66666666701"/>
    <x v="27"/>
    <s v="España"/>
    <s v=" Donante"/>
    <s v="3. Promover una cultura de paz, justicia y lucha contra la desigualdad"/>
    <s v="16.3.Promover el estado de derecho en los planos nacional e internacional, y garantizar la igualdad en el acceso a la justicia para todos."/>
    <x v="7"/>
    <s v="SIN ALINEAR"/>
    <s v="Justicia y del Derecho"/>
  </r>
  <r>
    <s v="R-AO-23-5148"/>
    <s v="Formulación, actualización e implementación de planes regionales de búsqueda con enfoque territorial, diferencial y de género en Colombia para contribuir a la búsqueda, verdad y reparación, e intercambio de experiencias con entidades españolas especializadas en medicina legal y forense y reparación moral de las víctimas. . Expediente nº 2023QdV00168."/>
    <s v="Promover la aplicación del derecho de los familiares de las víctimas a la justicia a conocer la verdad y a la reparación moral en el proceso de búsqueda, prospección, recuperación e impulso a la identificación de personas dadas por desaparecidad, en el contexto y en razón del conflicto armado, a través de la actualización e implementación de Planes Regionales de Búsqueda (PRB)_x000a__x000a__x000a__x000a__x000a__x000a__x000a_"/>
    <d v="2023-08-03T00:00:00"/>
    <d v="2027-02-03T00:00:00"/>
    <x v="28"/>
    <s v="No Reporta"/>
    <s v="España"/>
    <n v="164009.66666666701"/>
    <x v="27"/>
    <s v="España"/>
    <s v=" Donante"/>
    <s v="3. Promover una cultura de paz, justicia y lucha contra la desigualdad"/>
    <s v="16.3.Promover el estado de derecho en los planos nacional e internacional, y garantizar la igualdad en el acceso a la justicia para todos."/>
    <x v="7"/>
    <s v="SIN ALINEAR"/>
    <s v="Justicia y del Derecho"/>
  </r>
  <r>
    <s v="R-AO-23-5148"/>
    <s v="Formulación, actualización e implementación de planes regionales de búsqueda con enfoque territorial, diferencial y de género en Colombia para contribuir a la búsqueda, verdad y reparación, e intercambio de experiencias con entidades españolas especializadas en medicina legal y forense y reparación moral de las víctimas. . Expediente nº 2023QdV00168."/>
    <s v="Promover la aplicación del derecho de los familiares de las víctimas a la justicia a conocer la verdad y a la reparación moral en el proceso de búsqueda, prospección, recuperación e impulso a la identificación de personas dadas por desaparecidad, en el contexto y en razón del conflicto armado, a través de la actualización e implementación de Planes Regionales de Búsqueda (PRB)_x000a__x000a__x000a__x000a__x000a__x000a__x000a_"/>
    <d v="2023-08-03T00:00:00"/>
    <d v="2027-02-03T00:00:00"/>
    <x v="27"/>
    <s v="No Reporta"/>
    <s v="España"/>
    <n v="164009.66666666701"/>
    <x v="27"/>
    <s v="España"/>
    <s v=" Donante"/>
    <s v="3. Promover una cultura de paz, justicia y lucha contra la desigualdad"/>
    <s v="16.3.Promover el estado de derecho en los planos nacional e internacional, y garantizar la igualdad en el acceso a la justicia para todos."/>
    <x v="7"/>
    <s v="SIN ALINEAR"/>
    <s v="Justicia y del Derecho"/>
  </r>
  <r>
    <s v="R-AO-23-5156"/>
    <s v="Herencia Colombia (HECO): Maximizando las contribuciones de los Paisajes Manejados Sosteniblemente en Colombia para el logro de los Objetivos Climáticos"/>
    <s v="Asegurar la conservación y financiación a largo plazo de 32 millones de hectáreas, que representan el 16% del territorio del país, a través del incremento de la cobertura, el manejo efectivo y la gobernabilidad del SINAP y otras estrategias de conservación, en paisajes sostenibles como espacios de inclusión y construcción de paz, generando oportunidades para el desarrollo humano en el contexto de cambio climático, que permitirán el fortalecimiento y consolidación del SINAP en sus atributos de representatividad, completitud y efectividad y equidad de su gestión"/>
    <d v="2023-07-14T00:00:00"/>
    <d v="2033-07-14T00:00:00"/>
    <x v="8"/>
    <s v="Ámbito Nacional"/>
    <s v="Multilateral"/>
    <n v="42974559"/>
    <x v="1"/>
    <s v="Corea del Sur"/>
    <s v=" Donante "/>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3-5172"/>
    <s v="Fortaleciendo capacidades del Ministerio de Igualdad y Equidad y su despliegue territorial en la región pacífica. Expediente No 2023QdV00251"/>
    <s v="Contribuir con el fortalecimiento de las políticas públicas de promoción de la igualdad de trato y no discriminación en Colombia y la consolidación del Ministerio de Igualdad y Equidad."/>
    <d v="2023-10-19T00:00:00"/>
    <d v="2026-04-18T00:00:00"/>
    <x v="28"/>
    <s v="No Reporta"/>
    <s v="España"/>
    <n v="132124.75"/>
    <x v="27"/>
    <s v="España"/>
    <s v=" Donante"/>
    <s v="No Aplica"/>
    <s v="10.2.Para 2030 potenciar y promover la inclusión social, económica y política de todos independientemente de la edad, sexo, discapacidad, raza, etnia, origen, religión o condición económica o de otro tipo."/>
    <x v="11"/>
    <s v="SIN ALINEAR"/>
    <s v="Igualdad y Equidad"/>
  </r>
  <r>
    <s v="R-AO-23-5172"/>
    <s v="Fortaleciendo capacidades del Ministerio de Igualdad y Equidad y su despliegue territorial en la región pacífica. Expediente No 2023QdV00251"/>
    <s v="Contribuir con el fortalecimiento de las políticas públicas de promoción de la igualdad de trato y no discriminación en Colombia y la consolidación del Ministerio de Igualdad y Equidad."/>
    <d v="2023-10-19T00:00:00"/>
    <d v="2026-04-18T00:00:00"/>
    <x v="30"/>
    <s v="No Reporta"/>
    <s v="España"/>
    <n v="132124.75"/>
    <x v="27"/>
    <s v="España"/>
    <s v=" Donante"/>
    <s v="No Aplica"/>
    <s v="10.2.Para 2030 potenciar y promover la inclusión social, económica y política de todos independientemente de la edad, sexo, discapacidad, raza, etnia, origen, religión o condición económica o de otro tipo."/>
    <x v="11"/>
    <s v="SIN ALINEAR"/>
    <s v="Igualdad y Equidad"/>
  </r>
  <r>
    <s v="R-AO-23-5172"/>
    <s v="Fortaleciendo capacidades del Ministerio de Igualdad y Equidad y su despliegue territorial en la región pacífica. Expediente No 2023QdV00251"/>
    <s v="Contribuir con el fortalecimiento de las políticas públicas de promoción de la igualdad de trato y no discriminación en Colombia y la consolidación del Ministerio de Igualdad y Equidad."/>
    <d v="2023-10-19T00:00:00"/>
    <d v="2026-04-18T00:00:00"/>
    <x v="27"/>
    <s v="No Reporta"/>
    <s v="España"/>
    <n v="132124.75"/>
    <x v="27"/>
    <s v="España"/>
    <s v=" Donante"/>
    <s v="No Aplica"/>
    <s v="10.2.Para 2030 potenciar y promover la inclusión social, económica y política de todos independientemente de la edad, sexo, discapacidad, raza, etnia, origen, religión o condición económica o de otro tipo."/>
    <x v="11"/>
    <s v="SIN ALINEAR"/>
    <s v="Igualdad y Equidad"/>
  </r>
  <r>
    <s v="R-AO-23-5172"/>
    <s v="Fortaleciendo capacidades del Ministerio de Igualdad y Equidad y su despliegue territorial en la región pacífica. Expediente No 2023QdV00251"/>
    <s v="Contribuir con el fortalecimiento de las políticas públicas de promoción de la igualdad de trato y no discriminación en Colombia y la consolidación del Ministerio de Igualdad y Equidad."/>
    <d v="2023-10-19T00:00:00"/>
    <d v="2026-04-18T00:00:00"/>
    <x v="9"/>
    <s v="No Reporta"/>
    <s v="España"/>
    <n v="132124.75"/>
    <x v="27"/>
    <s v="España"/>
    <s v=" Donante"/>
    <s v="No Aplica"/>
    <s v="10.2.Para 2030 potenciar y promover la inclusión social, económica y política de todos independientemente de la edad, sexo, discapacidad, raza, etnia, origen, religión o condición económica o de otro tipo."/>
    <x v="11"/>
    <s v="SIN ALINEAR"/>
    <s v="Igualdad y Equidad"/>
  </r>
  <r>
    <s v="R-AO-23-5187"/>
    <s v="Escuelas de liderazgo juvenil para la participación e incidencia en la construcción de paz territorial en Tumaco, Buenaventura, Tibú, y Cúcuta. Exp.  2023QdV00286"/>
    <s v="Contribuir al logro de sociedades más pacíficas e incluyentes en Colombia_x000a__x000a__x000a__x000a__x000a__x000a__x000a_"/>
    <d v="2023-09-08T00:00:00"/>
    <d v="2026-09-08T00:00:00"/>
    <x v="20"/>
    <s v="Cúcuta"/>
    <s v="España"/>
    <n v="26789.833333333299"/>
    <x v="27"/>
    <s v="España"/>
    <s v=" Donante"/>
    <s v="No Aplica"/>
    <s v="16.7.Garantizar la toma de decisiones receptiva, inclusiva, participativa y representativa en todos los niveles."/>
    <x v="7"/>
    <s v="SIN ALINEAR"/>
    <s v="Interior"/>
  </r>
  <r>
    <s v="R-AO-23-5187"/>
    <s v="Escuelas de liderazgo juvenil para la participación e incidencia en la construcción de paz territorial en Tumaco, Buenaventura, Tibú, y Cúcuta. Exp.  2023QdV00286"/>
    <s v="Contribuir al logro de sociedades más pacíficas e incluyentes en Colombia_x000a__x000a__x000a__x000a__x000a__x000a__x000a_"/>
    <d v="2023-09-08T00:00:00"/>
    <d v="2026-09-08T00:00:00"/>
    <x v="20"/>
    <s v="Tibú"/>
    <s v="España"/>
    <n v="26789.833333333299"/>
    <x v="27"/>
    <s v="España"/>
    <s v=" Donante"/>
    <s v="No Aplica"/>
    <s v="16.7.Garantizar la toma de decisiones receptiva, inclusiva, participativa y representativa en todos los niveles."/>
    <x v="7"/>
    <s v="SIN ALINEAR"/>
    <s v="Interior"/>
  </r>
  <r>
    <s v="R-AO-23-5187"/>
    <s v="Escuelas de liderazgo juvenil para la participación e incidencia en la construcción de paz territorial en Tumaco, Buenaventura, Tibú, y Cúcuta. Exp.  2023QdV00286"/>
    <s v="Contribuir al logro de sociedades más pacíficas e incluyentes en Colombia_x000a__x000a__x000a__x000a__x000a__x000a__x000a_"/>
    <d v="2023-09-08T00:00:00"/>
    <d v="2026-09-08T00:00:00"/>
    <x v="27"/>
    <s v="San Andrés de Tumaco"/>
    <s v="España"/>
    <n v="53579.666666666701"/>
    <x v="27"/>
    <s v="España"/>
    <s v=" Donante"/>
    <s v="No Aplica"/>
    <s v="16.7.Garantizar la toma de decisiones receptiva, inclusiva, participativa y representativa en todos los niveles."/>
    <x v="7"/>
    <s v="SIN ALINEAR"/>
    <s v="Interior"/>
  </r>
  <r>
    <s v="R-AO-23-5187"/>
    <s v="Escuelas de liderazgo juvenil para la participación e incidencia en la construcción de paz territorial en Tumaco, Buenaventura, Tibú, y Cúcuta. Exp.  2023QdV00286"/>
    <s v="Contribuir al logro de sociedades más pacíficas e incluyentes en Colombia_x000a__x000a__x000a__x000a__x000a__x000a__x000a_"/>
    <d v="2023-09-08T00:00:00"/>
    <d v="2026-09-08T00:00:00"/>
    <x v="9"/>
    <s v="Buenaventura"/>
    <s v="España"/>
    <n v="53579.666666666701"/>
    <x v="27"/>
    <s v="España"/>
    <s v=" Donante"/>
    <s v="No Aplica"/>
    <s v="16.7.Garantizar la toma de decisiones receptiva, inclusiva, participativa y representativa en todos los niveles."/>
    <x v="7"/>
    <s v="SIN ALINEAR"/>
    <s v="Interior"/>
  </r>
  <r>
    <s v="R-AO-23-5201"/>
    <s v="Turismo sostenible y economía circular: aporte a la protección del patrimonio cultural y natural en los municipios de Quibdó y Rio Quito,  departamento del Chocó. Exp 2023/SPE/0000400039"/>
    <s v="contribuir al desarrollo ambiental sostenible del territorio, promoviendo un turismo _x000a_que dinamice la economía local, preserve la identidad cultural y aporte a la equidad _x000a_e inclusión social."/>
    <d v="2023-10-20T00:00:00"/>
    <d v="2026-04-20T00:00:00"/>
    <x v="30"/>
    <s v="Quibdó"/>
    <s v="España"/>
    <n v="211799.5"/>
    <x v="27"/>
    <s v="España"/>
    <s v=" Donante"/>
    <s v="No Aplica"/>
    <s v="8.9.Para 2030 diseñar e implementar políticas para promover el turismo sostenible que cree puestos de trabajo, promueva la cultura y los productos locales."/>
    <x v="14"/>
    <s v="SIN ALINEAR"/>
    <s v="Comercio, Industria y Turismo"/>
  </r>
  <r>
    <s v="R-AO-23-5201"/>
    <s v="Turismo sostenible y economía circular: aporte a la protección del patrimonio cultural y natural en los municipios de Quibdó y Rio Quito,  departamento del Chocó. Exp 2023/SPE/0000400039"/>
    <s v="contribuir al desarrollo ambiental sostenible del territorio, promoviendo un turismo _x000a_que dinamice la economía local, preserve la identidad cultural y aporte a la equidad _x000a_e inclusión social."/>
    <d v="2023-10-20T00:00:00"/>
    <d v="2026-04-20T00:00:00"/>
    <x v="30"/>
    <s v="Rio Quito"/>
    <s v="España"/>
    <n v="211799.5"/>
    <x v="27"/>
    <s v="España"/>
    <s v=" Donante"/>
    <s v="No Aplica"/>
    <s v="8.9.Para 2030 diseñar e implementar políticas para promover el turismo sostenible que cree puestos de trabajo, promueva la cultura y los productos locales."/>
    <x v="14"/>
    <s v="SIN ALINEAR"/>
    <s v="Comercio, Industria y Turismo"/>
  </r>
  <r>
    <s v="R-FP-23-5207"/>
    <s v="Herencia Colombia (HECO): Realizar la meta en Colombia 30x30 Áreas marinas y terrestres"/>
    <s v="Apoyar la creación de más de 2 millones de hectáreas de nuevas áreas terrestres protegidas y más de 19,4 millones de hectáreas de nuevas áreas marinas protegidas. Mejorar la gestión de 5,5 millones de hectáreas de áreas marinas protegidas existentes y casi 6 millones de hectáreas en 101 áreas protegidas terrestres nacionales, regionales y privadas existentes_x000a_dentro del Sistema Nacional de Áreas Protegidas SINAP; y promover los modelos de producción sostenible en 7 corredores para mejorar la conectividad y mantener los servicios ecosistémicos."/>
    <d v="2023-10-01T00:00:00"/>
    <d v="2026-09-30T00:00:00"/>
    <x v="8"/>
    <s v="Ámbito Nacional"/>
    <s v="Empresas"/>
    <n v="3364043"/>
    <x v="56"/>
    <s v="Estados Unidos"/>
    <s v=" Donante"/>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7"/>
    <s v="Apartadó"/>
    <s v="España"/>
    <n v="94526.866666666698"/>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7"/>
    <s v="Necoclí"/>
    <s v="España"/>
    <n v="94526.866666666698"/>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7"/>
    <s v="Turbo"/>
    <s v="España"/>
    <n v="94526.866666666698"/>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16"/>
    <s v="Maicao"/>
    <s v="España"/>
    <n v="141790.29999999999"/>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16"/>
    <s v="Riohacha"/>
    <s v="España"/>
    <n v="141790.29999999999"/>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20"/>
    <s v="Cúcuta"/>
    <s v="España"/>
    <n v="141790.29999999999"/>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20"/>
    <s v="Villa del Rosario"/>
    <s v="España"/>
    <n v="141790.29999999999"/>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30"/>
    <s v="Acandí"/>
    <s v="España"/>
    <n v="141790.29999999999"/>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30"/>
    <s v="Unguía"/>
    <s v="España"/>
    <n v="141790.29999999999"/>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27"/>
    <s v="Ipiales"/>
    <s v="España"/>
    <n v="141790.29999999999"/>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27"/>
    <s v="Pasto"/>
    <s v="España"/>
    <n v="141790.29999999999"/>
    <x v="27"/>
    <s v="España"/>
    <s v=" Donante"/>
    <s v="No Aplica"/>
    <s v="5.2.Eliminar todas las formas de violencia contra las mujeres y las niñas en las esferas públicas y privadas, incluyendo el tráfico sexual y otros tipos de explotación."/>
    <x v="2"/>
    <s v="SIN ALINEAR"/>
    <s v="Interior"/>
  </r>
  <r>
    <s v="R-AO-23-5211"/>
    <s v="gobernanza en derechos humanos para proteger la vida e integridad en los territorios"/>
    <s v="mejorar la implementación de programas y políticas para la protección de los derechos humanos y de la vida e integridad de comunidades y personas defensoras de derechos humanos"/>
    <d v="2023-09-01T00:00:00"/>
    <d v="2026-08-31T00:00:00"/>
    <x v="8"/>
    <s v="No Reporta"/>
    <s v="ESAL"/>
    <n v="1911632.78"/>
    <x v="41"/>
    <s v="Colombia/Centro Oriente/Bogotá D.C./Bogotá D.C."/>
    <m/>
    <s v="No Aplica"/>
    <s v="16.6.Desarrollar instituciones eficaces, responsables y transparentes a todos los niveles."/>
    <x v="7"/>
    <s v="SIN ALINEAR"/>
    <s v="Interior"/>
  </r>
  <r>
    <s v="R-AO-23-5214"/>
    <s v="Fortalecimiento de la incidencia de las organizaciones de la sociedad civil de América latina y el Caribe en el diálogo, seguimiento y evaluación de la agenda del Decenio Internacional Afrodescendiente"/>
    <s v="Apoyar el cumplimiento de los objetivos del Decenio Internacional,_x000a_incluyendo la evaluación de último período del Decenio, el_x000a_seguimiento de la agenda del Foro Permanente para los/las_x000a_Afrodescendientes, la adopción de una Declaración Internacional_x000a_sobre los Derechos de los Afrodescendientes, el Foro de_x000a_Seguimiento del Capítulo I Afrodescendientes del Consenso de_x000a_Montevideo y la adopción de planes nacionales de acción para los_x000a_pueblos afrodescendientes en los países de la región."/>
    <d v="2023-11-06T00:00:00"/>
    <d v="2026-07-06T00:00:00"/>
    <x v="8"/>
    <s v="No Reporta"/>
    <s v="España"/>
    <n v="123578"/>
    <x v="27"/>
    <s v="España"/>
    <m/>
    <s v="No Aplica"/>
    <s v="16.7.Garantizar la toma de decisiones receptiva, inclusiva, participativa y representativa en todos los niveles."/>
    <x v="7"/>
    <s v="SIN ALINEAR"/>
    <s v="Interior"/>
  </r>
  <r>
    <s v="R-AO-23-5217"/>
    <s v="Mujeres tejiendo un futuro de paz-NDICI CSO/2022/441-758"/>
    <s v="Fortalecer las capacidades de incidencia, veeduría y control social para la ejecución, seguimiento y rendición de cuentas de las políticas públicas de género de OSC de mujeres en 7 municipios del medio y bajo Putumayo con el fin de reforzar los espacios de gobernanza que,_x000a_con una focalización de género, contribuyan a la preservación del medio ambiente, a la construcción de paz y a las mejoras socio-económicas de las comunidades_x000a_"/>
    <d v="2023-06-01T00:00:00"/>
    <d v="2026-06-01T00:00:00"/>
    <x v="19"/>
    <s v="Mocoa"/>
    <s v="Unión Europea"/>
    <n v="181694.285714286"/>
    <x v="26"/>
    <s v="Bélgica"/>
    <m/>
    <s v="No Aplica"/>
    <s v="5.c.Adoptar y reforzar políticas sólidas y una legislación aplicable para la promoción de la igualdad de género y el empoderamiento de las mujeres y las niñas en todos los niveles."/>
    <x v="2"/>
    <s v="SIN ALINEAR"/>
    <s v="Igualdad y Equidad"/>
  </r>
  <r>
    <s v="R-AO-23-5217"/>
    <s v="Mujeres tejiendo un futuro de paz-NDICI CSO/2022/441-758"/>
    <s v="Fortalecer las capacidades de incidencia, veeduría y control social para la ejecución, seguimiento y rendición de cuentas de las políticas públicas de género de OSC de mujeres en 7 municipios del medio y bajo Putumayo con el fin de reforzar los espacios de gobernanza que,_x000a_con una focalización de género, contribuyan a la preservación del medio ambiente, a la construcción de paz y a las mejoras socio-económicas de las comunidades_x000a_"/>
    <d v="2023-06-01T00:00:00"/>
    <d v="2026-06-01T00:00:00"/>
    <x v="19"/>
    <s v="Orito"/>
    <s v="Unión Europea"/>
    <n v="181694.285714286"/>
    <x v="26"/>
    <s v="Bélgica"/>
    <m/>
    <s v="No Aplica"/>
    <s v="5.c.Adoptar y reforzar políticas sólidas y una legislación aplicable para la promoción de la igualdad de género y el empoderamiento de las mujeres y las niñas en todos los niveles."/>
    <x v="2"/>
    <s v="SIN ALINEAR"/>
    <s v="Igualdad y Equidad"/>
  </r>
  <r>
    <s v="R-AO-23-5217"/>
    <s v="Mujeres tejiendo un futuro de paz-NDICI CSO/2022/441-758"/>
    <s v="Fortalecer las capacidades de incidencia, veeduría y control social para la ejecución, seguimiento y rendición de cuentas de las políticas públicas de género de OSC de mujeres en 7 municipios del medio y bajo Putumayo con el fin de reforzar los espacios de gobernanza que,_x000a_con una focalización de género, contribuyan a la preservación del medio ambiente, a la construcción de paz y a las mejoras socio-económicas de las comunidades_x000a_"/>
    <d v="2023-06-01T00:00:00"/>
    <d v="2026-06-01T00:00:00"/>
    <x v="19"/>
    <s v="Puerto Asís"/>
    <s v="Unión Europea"/>
    <n v="181694.285714286"/>
    <x v="26"/>
    <s v="Bélgica"/>
    <m/>
    <s v="No Aplica"/>
    <s v="5.c.Adoptar y reforzar políticas sólidas y una legislación aplicable para la promoción de la igualdad de género y el empoderamiento de las mujeres y las niñas en todos los niveles."/>
    <x v="2"/>
    <s v="SIN ALINEAR"/>
    <s v="Igualdad y Equidad"/>
  </r>
  <r>
    <s v="R-AO-23-5217"/>
    <s v="Mujeres tejiendo un futuro de paz-NDICI CSO/2022/441-758"/>
    <s v="Fortalecer las capacidades de incidencia, veeduría y control social para la ejecución, seguimiento y rendición de cuentas de las políticas públicas de género de OSC de mujeres en 7 municipios del medio y bajo Putumayo con el fin de reforzar los espacios de gobernanza que,_x000a_con una focalización de género, contribuyan a la preservación del medio ambiente, a la construcción de paz y a las mejoras socio-económicas de las comunidades_x000a_"/>
    <d v="2023-06-01T00:00:00"/>
    <d v="2026-06-01T00:00:00"/>
    <x v="19"/>
    <s v="Puerto Guzmán"/>
    <s v="Unión Europea"/>
    <n v="181694.285714286"/>
    <x v="26"/>
    <s v="Bélgica"/>
    <m/>
    <s v="No Aplica"/>
    <s v="5.c.Adoptar y reforzar políticas sólidas y una legislación aplicable para la promoción de la igualdad de género y el empoderamiento de las mujeres y las niñas en todos los niveles."/>
    <x v="2"/>
    <s v="SIN ALINEAR"/>
    <s v="Igualdad y Equidad"/>
  </r>
  <r>
    <s v="R-AO-23-5217"/>
    <s v="Mujeres tejiendo un futuro de paz-NDICI CSO/2022/441-758"/>
    <s v="Fortalecer las capacidades de incidencia, veeduría y control social para la ejecución, seguimiento y rendición de cuentas de las políticas públicas de género de OSC de mujeres en 7 municipios del medio y bajo Putumayo con el fin de reforzar los espacios de gobernanza que,_x000a_con una focalización de género, contribuyan a la preservación del medio ambiente, a la construcción de paz y a las mejoras socio-económicas de las comunidades_x000a_"/>
    <d v="2023-06-01T00:00:00"/>
    <d v="2026-06-01T00:00:00"/>
    <x v="19"/>
    <s v="San Miguel"/>
    <s v="Unión Europea"/>
    <n v="181694.285714286"/>
    <x v="26"/>
    <s v="Bélgica"/>
    <m/>
    <s v="No Aplica"/>
    <s v="5.c.Adoptar y reforzar políticas sólidas y una legislación aplicable para la promoción de la igualdad de género y el empoderamiento de las mujeres y las niñas en todos los niveles."/>
    <x v="2"/>
    <s v="SIN ALINEAR"/>
    <s v="Igualdad y Equidad"/>
  </r>
  <r>
    <s v="R-AO-23-5217"/>
    <s v="Mujeres tejiendo un futuro de paz-NDICI CSO/2022/441-758"/>
    <s v="Fortalecer las capacidades de incidencia, veeduría y control social para la ejecución, seguimiento y rendición de cuentas de las políticas públicas de género de OSC de mujeres en 7 municipios del medio y bajo Putumayo con el fin de reforzar los espacios de gobernanza que,_x000a_con una focalización de género, contribuyan a la preservación del medio ambiente, a la construcción de paz y a las mejoras socio-económicas de las comunidades_x000a_"/>
    <d v="2023-06-01T00:00:00"/>
    <d v="2026-06-01T00:00:00"/>
    <x v="19"/>
    <s v="Valle del Guamuez"/>
    <s v="Unión Europea"/>
    <n v="181694.285714286"/>
    <x v="26"/>
    <s v="Bélgica"/>
    <m/>
    <s v="No Aplica"/>
    <s v="5.c.Adoptar y reforzar políticas sólidas y una legislación aplicable para la promoción de la igualdad de género y el empoderamiento de las mujeres y las niñas en todos los niveles."/>
    <x v="2"/>
    <s v="SIN ALINEAR"/>
    <s v="Igualdad y Equidad"/>
  </r>
  <r>
    <s v="R-AO-23-5217"/>
    <s v="Mujeres tejiendo un futuro de paz-NDICI CSO/2022/441-758"/>
    <s v="Fortalecer las capacidades de incidencia, veeduría y control social para la ejecución, seguimiento y rendición de cuentas de las políticas públicas de género de OSC de mujeres en 7 municipios del medio y bajo Putumayo con el fin de reforzar los espacios de gobernanza que,_x000a_con una focalización de género, contribuyan a la preservación del medio ambiente, a la construcción de paz y a las mejoras socio-económicas de las comunidades_x000a_"/>
    <d v="2023-06-01T00:00:00"/>
    <d v="2026-06-01T00:00:00"/>
    <x v="19"/>
    <s v="Villagarzón"/>
    <s v="Unión Europea"/>
    <n v="181694.285714286"/>
    <x v="26"/>
    <s v="Bélgica"/>
    <m/>
    <s v="No Aplica"/>
    <s v="5.c.Adoptar y reforzar políticas sólidas y una legislación aplicable para la promoción de la igualdad de género y el empoderamiento de las mujeres y las niñas en todos los niveles."/>
    <x v="2"/>
    <s v="SIN ALINEAR"/>
    <s v="Igualdad y Equidad"/>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7"/>
    <s v="Apartadó"/>
    <s v="España"/>
    <n v="48354.266666666699"/>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7"/>
    <s v="Necoclí"/>
    <s v="España"/>
    <n v="48354.266666666699"/>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7"/>
    <s v="Turbo"/>
    <s v="España"/>
    <n v="48354.266666666699"/>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16"/>
    <s v="Maicao"/>
    <s v="España"/>
    <n v="72531.399999999994"/>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16"/>
    <s v="Riohacha"/>
    <s v="España"/>
    <n v="72531.399999999994"/>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20"/>
    <s v="Cúcuta"/>
    <s v="España"/>
    <n v="72531.399999999994"/>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20"/>
    <s v="Villa del Rosario"/>
    <s v="España"/>
    <n v="72531.399999999994"/>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30"/>
    <s v="Acandí"/>
    <s v="España"/>
    <n v="72531.399999999994"/>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30"/>
    <s v="Unguía"/>
    <s v="España"/>
    <n v="72531.399999999994"/>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27"/>
    <s v="Ipiales"/>
    <s v="España"/>
    <n v="72531.399999999994"/>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27"/>
    <s v="Pasto"/>
    <s v="España"/>
    <n v="72531.399999999994"/>
    <x v="27"/>
    <s v="España"/>
    <m/>
    <s v="No Aplica"/>
    <s v="5.2.Eliminar todas las formas de violencia contra las mujeres y las niñas en las esferas públicas y privadas, incluyendo el tráfico sexual y otros tipos de explotación."/>
    <x v="2"/>
    <s v="SIN ALINEAR"/>
    <s v="Interior"/>
  </r>
  <r>
    <s v="R-AO-23-5240"/>
    <s v="Desarrollo y despliegue de un sistema de información para Organizaciones no gubernamentales internacionales y nacionales y sus proveedores con el objetivo de mejorar la eficacia, la eficiencia y la rendición de cuentas de los procesos logísticos humanitarios en Colombia. -  ECHO/HLP/BUD/2023/91006"/>
    <s v="Contribuir a la armonización y digitalización del área de la cadena de_x000a_suministro en el sector humanitario en Colombia, a través de la_x000a_creación de un sistema de información, que incluya el fortalecimiento_x000a_de competencias mínimas en la cadena de suministro para ONG y_x000a_proveedores"/>
    <d v="2023-08-01T00:00:00"/>
    <d v="2026-02-28T00:00:00"/>
    <x v="8"/>
    <s v="No Reporta"/>
    <s v="Unión Europea"/>
    <n v="916913"/>
    <x v="26"/>
    <s v="Bélgica"/>
    <m/>
    <s v="No Aplica"/>
    <s v="1.3.Implementar a nivel nacional sistemas y medidas apropiados de protección social para todos, incluidos niveles mínimos, y, de aquí a 2030, lograr una amplia cobertura de las personas pobres y vulnerables"/>
    <x v="1"/>
    <s v="SIN ALINEAR"/>
    <s v="Presidencia de la República"/>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el Cerrito"/>
    <s v="ESAL"/>
    <n v="3362.6666666666702"/>
    <x v="57"/>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almira"/>
    <s v="ESAL"/>
    <n v="3362.6666666666702"/>
    <x v="57"/>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radera"/>
    <s v="ESAL"/>
    <n v="3362.6666666666702"/>
    <x v="57"/>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el Cerrito"/>
    <s v="ESAL"/>
    <n v="5762.6666666666697"/>
    <x v="58"/>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almira"/>
    <s v="ESAL"/>
    <n v="5762.6666666666697"/>
    <x v="58"/>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radera"/>
    <s v="ESAL"/>
    <n v="5762.6666666666697"/>
    <x v="58"/>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el Cerrito"/>
    <s v="ESAL"/>
    <n v="93750"/>
    <x v="59"/>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almira"/>
    <s v="ESAL"/>
    <n v="93750"/>
    <x v="59"/>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radera"/>
    <s v="ESAL"/>
    <n v="93750"/>
    <x v="59"/>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el Cerrito"/>
    <s v="Empresas"/>
    <n v="7070.3333333333303"/>
    <x v="60"/>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almira"/>
    <s v="Empresas"/>
    <n v="7070.3333333333303"/>
    <x v="60"/>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radera"/>
    <s v="Empresas"/>
    <n v="7070.3333333333303"/>
    <x v="60"/>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el Cerrito"/>
    <s v="Empresas"/>
    <n v="5742.6666666666697"/>
    <x v="61"/>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almira"/>
    <s v="Empresas"/>
    <n v="5742.6666666666697"/>
    <x v="61"/>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radera"/>
    <s v="Empresas"/>
    <n v="5742.6666666666697"/>
    <x v="61"/>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AO-23-5249"/>
    <s v="&quot;Lidero por Vos&quot;, juventudes y mujeres participan en la construcción de la paz territorial, el cuidado de la vida y el medio ambiente - NDICI CSO/2022/441- 145"/>
    <s v="Fortalecer el rol de las Organizaciones de la Sociedad Civil (OSC) colombianas como agentes que contribuyen al desarrollo territorial sostenible, la gobernanza local y una sociedad más reconciliada, respetuosa e igualitaria, donde se cierren las brechas de género y se responda a los retos de inequidad y falta de oportunidades que enfrentan la juventud, las mujeres y los grupos históricamente vulnerados."/>
    <d v="2023-01-16T00:00:00"/>
    <d v="2026-01-16T00:00:00"/>
    <x v="28"/>
    <s v="Buenos Aires"/>
    <s v="ESAL"/>
    <n v="36089.75"/>
    <x v="62"/>
    <s v="Suecia"/>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5249"/>
    <s v="&quot;Lidero por Vos&quot;, juventudes y mujeres participan en la construcción de la paz territorial, el cuidado de la vida y el medio ambiente - NDICI CSO/2022/441- 145"/>
    <s v="Fortalecer el rol de las Organizaciones de la Sociedad Civil (OSC) colombianas como agentes que contribuyen al desarrollo territorial sostenible, la gobernanza local y una sociedad más reconciliada, respetuosa e igualitaria, donde se cierren las brechas de género y se responda a los retos de inequidad y falta de oportunidades que enfrentan la juventud, las mujeres y los grupos históricamente vulnerados."/>
    <d v="2023-01-16T00:00:00"/>
    <d v="2026-01-16T00:00:00"/>
    <x v="28"/>
    <s v="Suárez"/>
    <s v="ESAL"/>
    <n v="36089.75"/>
    <x v="62"/>
    <s v="Suecia"/>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5249"/>
    <s v="&quot;Lidero por Vos&quot;, juventudes y mujeres participan en la construcción de la paz territorial, el cuidado de la vida y el medio ambiente - NDICI CSO/2022/441- 145"/>
    <s v="Fortalecer el rol de las Organizaciones de la Sociedad Civil (OSC) colombianas como agentes que contribuyen al desarrollo territorial sostenible, la gobernanza local y una sociedad más reconciliada, respetuosa e igualitaria, donde se cierren las brechas de género y se responda a los retos de inequidad y falta de oportunidades que enfrentan la juventud, las mujeres y los grupos históricamente vulnerados."/>
    <d v="2023-01-16T00:00:00"/>
    <d v="2026-01-16T00:00:00"/>
    <x v="9"/>
    <s v="Jamundí"/>
    <s v="ESAL"/>
    <n v="72179.5"/>
    <x v="62"/>
    <s v="Suecia"/>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5249"/>
    <s v="&quot;Lidero por Vos&quot;, juventudes y mujeres participan en la construcción de la paz territorial, el cuidado de la vida y el medio ambiente - NDICI CSO/2022/441- 145"/>
    <s v="Fortalecer el rol de las Organizaciones de la Sociedad Civil (OSC) colombianas como agentes que contribuyen al desarrollo territorial sostenible, la gobernanza local y una sociedad más reconciliada, respetuosa e igualitaria, donde se cierren las brechas de género y se responda a los retos de inequidad y falta de oportunidades que enfrentan la juventud, las mujeres y los grupos históricamente vulnerados."/>
    <d v="2023-01-16T00:00:00"/>
    <d v="2026-01-16T00:00:00"/>
    <x v="28"/>
    <s v="Buenos Aires"/>
    <s v="Unión Europea"/>
    <n v="324809.75"/>
    <x v="26"/>
    <s v="Suecia"/>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5249"/>
    <s v="&quot;Lidero por Vos&quot;, juventudes y mujeres participan en la construcción de la paz territorial, el cuidado de la vida y el medio ambiente - NDICI CSO/2022/441- 145"/>
    <s v="Fortalecer el rol de las Organizaciones de la Sociedad Civil (OSC) colombianas como agentes que contribuyen al desarrollo territorial sostenible, la gobernanza local y una sociedad más reconciliada, respetuosa e igualitaria, donde se cierren las brechas de género y se responda a los retos de inequidad y falta de oportunidades que enfrentan la juventud, las mujeres y los grupos históricamente vulnerados."/>
    <d v="2023-01-16T00:00:00"/>
    <d v="2026-01-16T00:00:00"/>
    <x v="28"/>
    <s v="Suárez"/>
    <s v="Unión Europea"/>
    <n v="324809.75"/>
    <x v="26"/>
    <s v="Suecia"/>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5249"/>
    <s v="&quot;Lidero por Vos&quot;, juventudes y mujeres participan en la construcción de la paz territorial, el cuidado de la vida y el medio ambiente - NDICI CSO/2022/441- 145"/>
    <s v="Fortalecer el rol de las Organizaciones de la Sociedad Civil (OSC) colombianas como agentes que contribuyen al desarrollo territorial sostenible, la gobernanza local y una sociedad más reconciliada, respetuosa e igualitaria, donde se cierren las brechas de género y se responda a los retos de inequidad y falta de oportunidades que enfrentan la juventud, las mujeres y los grupos históricamente vulnerados."/>
    <d v="2023-01-16T00:00:00"/>
    <d v="2026-01-16T00:00:00"/>
    <x v="9"/>
    <s v="Jamundí"/>
    <s v="Unión Europea"/>
    <n v="649619.5"/>
    <x v="26"/>
    <s v="Suecia"/>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5250"/>
    <s v="Alianza para la Implementación de Mercados - Partnership for Market Implementation Colombia (PMI Colombia) TF0C3527-CO"/>
    <s v="Apoyar al gobierno de Colombia en completar el diseño y apoyar la implementación del Programa Nacional de Cupos Transables de Emisión de GEI (PNCTE), así como apoyar la estructuración de elementos habilitantes que permitan el_x000a_inicio del funcionamiento del PNCTE, incluyendo el alistamiento y el funcionamiento del Reporte Obligatorio de Emisiones de Gases de Efecto invernadero (ROE)"/>
    <d v="2023-12-28T00:00:00"/>
    <d v="2027-10-29T00:00:00"/>
    <x v="8"/>
    <s v="Ámbito Nacional"/>
    <s v="Banca Multilateral"/>
    <n v="5000000"/>
    <x v="0"/>
    <s v="Estados Unidos"/>
    <m/>
    <s v="1. Promover la lucha contra el cambio climatico, la justicia ambiental y la transformación productiva"/>
    <s v="13.2.Integrar medidas de cambio climático en las políticas, estrategias y planificación nacional."/>
    <x v="0"/>
    <s v="SIN ALINEAR"/>
    <s v="Ambiente y Desarrollo Sostenible"/>
  </r>
  <r>
    <s v="R-AO-23-5253"/>
    <s v="REHABILITACIÓN DEL CONVENTO NUESTRA SEÑORA DE LA CANDELARIA Fase I"/>
    <s v="Rehabilitación del convento Nuestra Señora de La Candelaria para sede del Centro Cultural de la Cooperación Española_x000a_(Fase l)"/>
    <d v="2023-11-13T00:00:00"/>
    <d v="2026-07-13T00:00:00"/>
    <x v="11"/>
    <s v="Bogotá D.C."/>
    <s v="España"/>
    <n v="342143"/>
    <x v="27"/>
    <s v="España"/>
    <m/>
    <s v="No Aplica"/>
    <s v="11.4.Fortalecer los esfuerzos para proteger y salvaguardar el patrimonio cultural y natural del mundo."/>
    <x v="4"/>
    <s v="SIN ALINEAR"/>
    <s v="Cultura"/>
  </r>
  <r>
    <s v="R-AO-24-5254"/>
    <s v="REHABILITACIÓN DEL CONVENTO NUESTRA SEÑORA DE LA CANDELARIA Fase II "/>
    <s v="_x000a_?_x000a_Catalina Soto Muñoz_x000a_?_x000a_Fortalecimiento en Bogotá de la cooperación cultural para el desarrollo a partir de la creación de espacios que permitan desarrollar programas y proyectos que contribuyan a la creación del Espacio Cultural Iberoamericano y a la promoción de la cultura española"/>
    <d v="2024-01-02T00:00:00"/>
    <d v="2026-07-13T00:00:00"/>
    <x v="11"/>
    <s v="Bogotá D.C."/>
    <s v="España"/>
    <n v="580084"/>
    <x v="27"/>
    <s v="España"/>
    <m/>
    <s v="No Aplica"/>
    <s v="11.4.Fortalecer los esfuerzos para proteger y salvaguardar el patrimonio cultural y natural del mundo."/>
    <x v="4"/>
    <s v="SIN ALINEAR"/>
    <s v="Cultura"/>
  </r>
  <r>
    <s v="R-AO-23-5256"/>
    <s v="Reactivar la paz: una apuesta de las mujeres y sus organizaciones” NDICI-HR-INTPA/2022/440-862"/>
    <s v="CONTRIBUIR A LA CONTRUCCION DE UNA PAZ ESTABLE Y DURADERA PROTAGONIZADA POR LAS MUJERES Y SUS ORGANIZACIONES PARA QUE LA SOCIEDAD COLOMBIANA AVANCE HACIA LA IGUALDAD, LA REALIZACION Y EL GOCE DE LOS DERECHOS Y LA CONSOLIDACION DE UNA DEMOCRACIA INCLUYENTE "/>
    <d v="2023-01-01T00:00:00"/>
    <d v="2026-01-01T00:00:00"/>
    <x v="5"/>
    <s v="No Reporta"/>
    <s v="Unión Europea"/>
    <n v="290157.75"/>
    <x v="26"/>
    <s v="Bélgica"/>
    <m/>
    <s v="No Aplica"/>
    <s v="5.5.Garantizar la participación plena y efectiva de las mujeres y la igualdad de oportunidades para el liderazgo en todos los niveles de toma de decisiones en la vida política, económica y_x000a_pública."/>
    <x v="2"/>
    <s v="SIN ALINEAR"/>
    <s v="Igualdad y Equidad"/>
  </r>
  <r>
    <s v="R-AO-23-5256"/>
    <s v="Reactivar la paz: una apuesta de las mujeres y sus organizaciones” NDICI-HR-INTPA/2022/440-862"/>
    <s v="CONTRIBUIR A LA CONTRUCCION DE UNA PAZ ESTABLE Y DURADERA PROTAGONIZADA POR LAS MUJERES Y SUS ORGANIZACIONES PARA QUE LA SOCIEDAD COLOMBIANA AVANCE HACIA LA IGUALDAD, LA REALIZACION Y EL GOCE DE LOS DERECHOS Y LA CONSOLIDACION DE UNA DEMOCRACIA INCLUYENTE "/>
    <d v="2023-01-01T00:00:00"/>
    <d v="2026-01-01T00:00:00"/>
    <x v="4"/>
    <s v="No Reporta"/>
    <s v="Unión Europea"/>
    <n v="290157.75"/>
    <x v="26"/>
    <s v="Bélgica"/>
    <m/>
    <s v="No Aplica"/>
    <s v="5.5.Garantizar la participación plena y efectiva de las mujeres y la igualdad de oportunidades para el liderazgo en todos los niveles de toma de decisiones en la vida política, económica y_x000a_pública."/>
    <x v="2"/>
    <s v="SIN ALINEAR"/>
    <s v="Igualdad y Equidad"/>
  </r>
  <r>
    <s v="R-AO-23-5256"/>
    <s v="Reactivar la paz: una apuesta de las mujeres y sus organizaciones” NDICI-HR-INTPA/2022/440-862"/>
    <s v="CONTRIBUIR A LA CONTRUCCION DE UNA PAZ ESTABLE Y DURADERA PROTAGONIZADA POR LAS MUJERES Y SUS ORGANIZACIONES PARA QUE LA SOCIEDAD COLOMBIANA AVANCE HACIA LA IGUALDAD, LA REALIZACION Y EL GOCE DE LOS DERECHOS Y LA CONSOLIDACION DE UNA DEMOCRACIA INCLUYENTE "/>
    <d v="2023-01-01T00:00:00"/>
    <d v="2026-01-01T00:00:00"/>
    <x v="2"/>
    <s v="No Reporta"/>
    <s v="Unión Europea"/>
    <n v="290157.75"/>
    <x v="26"/>
    <s v="Bélgica"/>
    <m/>
    <s v="No Aplica"/>
    <s v="5.5.Garantizar la participación plena y efectiva de las mujeres y la igualdad de oportunidades para el liderazgo en todos los niveles de toma de decisiones en la vida política, económica y_x000a_pública."/>
    <x v="2"/>
    <s v="SIN ALINEAR"/>
    <s v="Igualdad y Equidad"/>
  </r>
  <r>
    <s v="R-AO-23-5256"/>
    <s v="Reactivar la paz: una apuesta de las mujeres y sus organizaciones” NDICI-HR-INTPA/2022/440-862"/>
    <s v="CONTRIBUIR A LA CONTRUCCION DE UNA PAZ ESTABLE Y DURADERA PROTAGONIZADA POR LAS MUJERES Y SUS ORGANIZACIONES PARA QUE LA SOCIEDAD COLOMBIANA AVANCE HACIA LA IGUALDAD, LA REALIZACION Y EL GOCE DE LOS DERECHOS Y LA CONSOLIDACION DE UNA DEMOCRACIA INCLUYENTE "/>
    <d v="2023-01-01T00:00:00"/>
    <d v="2026-01-01T00:00:00"/>
    <x v="9"/>
    <s v="No Reporta"/>
    <s v="Unión Europea"/>
    <n v="290157.75"/>
    <x v="26"/>
    <s v="Bélgica"/>
    <m/>
    <s v="No Aplica"/>
    <s v="5.5.Garantizar la participación plena y efectiva de las mujeres y la igualdad de oportunidades para el liderazgo en todos los niveles de toma de decisiones en la vida política, económica y_x000a_pública."/>
    <x v="2"/>
    <s v="SIN ALINEAR"/>
    <s v="Igualdad y Equidad"/>
  </r>
  <r>
    <s v="R-AO-23-5257"/>
    <s v="Fortalecer la prevención de las violencias basadas en género, protección y atención de las niñas, mujeres y personas LGTBIQ+ en territorios de Colombia Fase I"/>
    <s v="Contribuir al empoderamiento de las mujeres, niñas y personas LGBTIQ+para una vida libre de violencias a través del desarrollo de acciones que_x000a_contribuyan a la autonomía de las mujeres y la prevención de las_x000a_violencias basadas en género."/>
    <d v="2023-11-23T00:00:00"/>
    <d v="2026-11-23T00:00:00"/>
    <x v="28"/>
    <s v="Buenos Aires"/>
    <s v="España"/>
    <n v="68193.625"/>
    <x v="27"/>
    <s v="España"/>
    <m/>
    <s v="No Aplica"/>
    <s v="5.2.Eliminar todas las formas de violencia contra las mujeres y las niñas en las esferas públicas y privadas, incluyendo el tráfico sexual y otros tipos de explotación."/>
    <x v="2"/>
    <s v="SIN ALINEAR"/>
    <s v="Igualdad y Equidad"/>
  </r>
  <r>
    <s v="R-AO-23-5257"/>
    <s v="Fortalecer la prevención de las violencias basadas en género, protección y atención de las niñas, mujeres y personas LGTBIQ+ en territorios de Colombia Fase I"/>
    <s v="Contribuir al empoderamiento de las mujeres, niñas y personas LGBTIQ+para una vida libre de violencias a través del desarrollo de acciones que_x000a_contribuyan a la autonomía de las mujeres y la prevención de las_x000a_violencias basadas en género."/>
    <d v="2023-11-23T00:00:00"/>
    <d v="2026-11-23T00:00:00"/>
    <x v="28"/>
    <s v="Corinto"/>
    <s v="España"/>
    <n v="68193.625"/>
    <x v="27"/>
    <s v="España"/>
    <m/>
    <s v="No Aplica"/>
    <s v="5.2.Eliminar todas las formas de violencia contra las mujeres y las niñas en las esferas públicas y privadas, incluyendo el tráfico sexual y otros tipos de explotación."/>
    <x v="2"/>
    <s v="SIN ALINEAR"/>
    <s v="Igualdad y Equidad"/>
  </r>
  <r>
    <s v="R-AO-23-5257"/>
    <s v="Fortalecer la prevención de las violencias basadas en género, protección y atención de las niñas, mujeres y personas LGTBIQ+ en territorios de Colombia Fase I"/>
    <s v="Contribuir al empoderamiento de las mujeres, niñas y personas LGBTIQ+para una vida libre de violencias a través del desarrollo de acciones que_x000a_contribuyan a la autonomía de las mujeres y la prevención de las_x000a_violencias basadas en género."/>
    <d v="2023-11-23T00:00:00"/>
    <d v="2026-11-23T00:00:00"/>
    <x v="28"/>
    <s v="Puerto Tejada"/>
    <s v="España"/>
    <n v="68193.625"/>
    <x v="27"/>
    <s v="España"/>
    <m/>
    <s v="No Aplica"/>
    <s v="5.2.Eliminar todas las formas de violencia contra las mujeres y las niñas en las esferas públicas y privadas, incluyendo el tráfico sexual y otros tipos de explotación."/>
    <x v="2"/>
    <s v="SIN ALINEAR"/>
    <s v="Igualdad y Equidad"/>
  </r>
  <r>
    <s v="R-AO-23-5257"/>
    <s v="Fortalecer la prevención de las violencias basadas en género, protección y atención de las niñas, mujeres y personas LGTBIQ+ en territorios de Colombia Fase I"/>
    <s v="Contribuir al empoderamiento de las mujeres, niñas y personas LGBTIQ+para una vida libre de violencias a través del desarrollo de acciones que_x000a_contribuyan a la autonomía de las mujeres y la prevención de las_x000a_violencias basadas en género."/>
    <d v="2023-11-23T00:00:00"/>
    <d v="2026-11-23T00:00:00"/>
    <x v="28"/>
    <s v="Suárez"/>
    <s v="España"/>
    <n v="68193.625"/>
    <x v="27"/>
    <s v="España"/>
    <m/>
    <s v="No Aplica"/>
    <s v="5.2.Eliminar todas las formas de violencia contra las mujeres y las niñas en las esferas públicas y privadas, incluyendo el tráfico sexual y otros tipos de explotación."/>
    <x v="2"/>
    <s v="SIN ALINEAR"/>
    <s v="Igualdad y Equidad"/>
  </r>
  <r>
    <s v="R-AO-23-5257"/>
    <s v="Fortalecer la prevención de las violencias basadas en género, protección y atención de las niñas, mujeres y personas LGTBIQ+ en territorios de Colombia Fase I"/>
    <s v="Contribuir al empoderamiento de las mujeres, niñas y personas LGBTIQ+para una vida libre de violencias a través del desarrollo de acciones que_x000a_contribuyan a la autonomía de las mujeres y la prevención de las_x000a_violencias basadas en género."/>
    <d v="2023-11-23T00:00:00"/>
    <d v="2026-11-23T00:00:00"/>
    <x v="9"/>
    <s v="Florida"/>
    <s v="España"/>
    <n v="90924.833333333299"/>
    <x v="27"/>
    <s v="España"/>
    <m/>
    <s v="No Aplica"/>
    <s v="5.2.Eliminar todas las formas de violencia contra las mujeres y las niñas en las esferas públicas y privadas, incluyendo el tráfico sexual y otros tipos de explotación."/>
    <x v="2"/>
    <s v="SIN ALINEAR"/>
    <s v="Igualdad y Equidad"/>
  </r>
  <r>
    <s v="R-AO-23-5257"/>
    <s v="Fortalecer la prevención de las violencias basadas en género, protección y atención de las niñas, mujeres y personas LGTBIQ+ en territorios de Colombia Fase I"/>
    <s v="Contribuir al empoderamiento de las mujeres, niñas y personas LGBTIQ+para una vida libre de violencias a través del desarrollo de acciones que_x000a_contribuyan a la autonomía de las mujeres y la prevención de las_x000a_violencias basadas en género."/>
    <d v="2023-11-23T00:00:00"/>
    <d v="2026-11-23T00:00:00"/>
    <x v="9"/>
    <s v="Jamundí"/>
    <s v="España"/>
    <n v="90924.833333333299"/>
    <x v="27"/>
    <s v="España"/>
    <m/>
    <s v="No Aplica"/>
    <s v="5.2.Eliminar todas las formas de violencia contra las mujeres y las niñas en las esferas públicas y privadas, incluyendo el tráfico sexual y otros tipos de explotación."/>
    <x v="2"/>
    <s v="SIN ALINEAR"/>
    <s v="Igualdad y Equidad"/>
  </r>
  <r>
    <s v="R-AO-23-5257"/>
    <s v="Fortalecer la prevención de las violencias basadas en género, protección y atención de las niñas, mujeres y personas LGTBIQ+ en territorios de Colombia Fase I"/>
    <s v="Contribuir al empoderamiento de las mujeres, niñas y personas LGBTIQ+para una vida libre de violencias a través del desarrollo de acciones que_x000a_contribuyan a la autonomía de las mujeres y la prevención de las_x000a_violencias basadas en género."/>
    <d v="2023-11-23T00:00:00"/>
    <d v="2026-11-23T00:00:00"/>
    <x v="9"/>
    <s v="Pradera"/>
    <s v="España"/>
    <n v="90924.833333333299"/>
    <x v="27"/>
    <s v="España"/>
    <m/>
    <s v="No Aplica"/>
    <s v="5.2.Eliminar todas las formas de violencia contra las mujeres y las niñas en las esferas públicas y privadas, incluyendo el tráfico sexual y otros tipos de explotación."/>
    <x v="2"/>
    <s v="SIN ALINEAR"/>
    <s v="Igualdad y Equidad"/>
  </r>
  <r>
    <s v="R-AO-24-5258"/>
    <s v="Fortalecer la prevención de las violencias basadas en género, protección y atención de las niñas, mujeres y personas LGTBIQ+ en territorios de Colombia Fase II"/>
    <s v="CONTRIBUIR AL EMPODERAMIENTO DE LAS MUJERES, NIÑAS Y PERSONAS LGBTIQ+PARA UNA VIDA LIBRE DE VIOLENCIAS A TRAVÉS DEL DESARROLLO DE ACCIONES QUE_x000a_CONTRIBUYAN A LA AUTONOMÍA DE LAS MUJERES Y LA PREVENCIÓN DE LAS_x000a_VIOLENCIAS BASADAS EN GÉNERO."/>
    <d v="2024-01-02T00:00:00"/>
    <d v="2026-11-22T00:00:00"/>
    <x v="28"/>
    <s v="Buenos Aires"/>
    <s v="España"/>
    <n v="68406.125"/>
    <x v="27"/>
    <s v="España"/>
    <m/>
    <s v="No Aplica"/>
    <s v="5.2.Eliminar todas las formas de violencia contra las mujeres y las niñas en las esferas públicas y privadas, incluyendo el tráfico sexual y otros tipos de explotación."/>
    <x v="2"/>
    <s v="SIN ALINEAR"/>
    <s v="Igualdad y Equidad"/>
  </r>
  <r>
    <s v="R-AO-24-5258"/>
    <s v="Fortalecer la prevención de las violencias basadas en género, protección y atención de las niñas, mujeres y personas LGTBIQ+ en territorios de Colombia Fase II"/>
    <s v="CONTRIBUIR AL EMPODERAMIENTO DE LAS MUJERES, NIÑAS Y PERSONAS LGBTIQ+PARA UNA VIDA LIBRE DE VIOLENCIAS A TRAVÉS DEL DESARROLLO DE ACCIONES QUE_x000a_CONTRIBUYAN A LA AUTONOMÍA DE LAS MUJERES Y LA PREVENCIÓN DE LAS_x000a_VIOLENCIAS BASADAS EN GÉNERO."/>
    <d v="2024-01-02T00:00:00"/>
    <d v="2026-11-22T00:00:00"/>
    <x v="28"/>
    <s v="Corinto"/>
    <s v="España"/>
    <n v="68406.125"/>
    <x v="27"/>
    <s v="España"/>
    <m/>
    <s v="No Aplica"/>
    <s v="5.2.Eliminar todas las formas de violencia contra las mujeres y las niñas en las esferas públicas y privadas, incluyendo el tráfico sexual y otros tipos de explotación."/>
    <x v="2"/>
    <s v="SIN ALINEAR"/>
    <s v="Igualdad y Equidad"/>
  </r>
  <r>
    <s v="R-AO-24-5258"/>
    <s v="Fortalecer la prevención de las violencias basadas en género, protección y atención de las niñas, mujeres y personas LGTBIQ+ en territorios de Colombia Fase II"/>
    <s v="CONTRIBUIR AL EMPODERAMIENTO DE LAS MUJERES, NIÑAS Y PERSONAS LGBTIQ+PARA UNA VIDA LIBRE DE VIOLENCIAS A TRAVÉS DEL DESARROLLO DE ACCIONES QUE_x000a_CONTRIBUYAN A LA AUTONOMÍA DE LAS MUJERES Y LA PREVENCIÓN DE LAS_x000a_VIOLENCIAS BASADAS EN GÉNERO."/>
    <d v="2024-01-02T00:00:00"/>
    <d v="2026-11-22T00:00:00"/>
    <x v="28"/>
    <s v="Puerto Tejada"/>
    <s v="España"/>
    <n v="68406.125"/>
    <x v="27"/>
    <s v="España"/>
    <m/>
    <s v="No Aplica"/>
    <s v="5.2.Eliminar todas las formas de violencia contra las mujeres y las niñas en las esferas públicas y privadas, incluyendo el tráfico sexual y otros tipos de explotación."/>
    <x v="2"/>
    <s v="SIN ALINEAR"/>
    <s v="Igualdad y Equidad"/>
  </r>
  <r>
    <s v="R-AO-24-5258"/>
    <s v="Fortalecer la prevención de las violencias basadas en género, protección y atención de las niñas, mujeres y personas LGTBIQ+ en territorios de Colombia Fase II"/>
    <s v="CONTRIBUIR AL EMPODERAMIENTO DE LAS MUJERES, NIÑAS Y PERSONAS LGBTIQ+PARA UNA VIDA LIBRE DE VIOLENCIAS A TRAVÉS DEL DESARROLLO DE ACCIONES QUE_x000a_CONTRIBUYAN A LA AUTONOMÍA DE LAS MUJERES Y LA PREVENCIÓN DE LAS_x000a_VIOLENCIAS BASADAS EN GÉNERO."/>
    <d v="2024-01-02T00:00:00"/>
    <d v="2026-11-22T00:00:00"/>
    <x v="28"/>
    <s v="Suárez"/>
    <s v="España"/>
    <n v="68406.125"/>
    <x v="27"/>
    <s v="España"/>
    <m/>
    <s v="No Aplica"/>
    <s v="5.2.Eliminar todas las formas de violencia contra las mujeres y las niñas en las esferas públicas y privadas, incluyendo el tráfico sexual y otros tipos de explotación."/>
    <x v="2"/>
    <s v="SIN ALINEAR"/>
    <s v="Igualdad y Equidad"/>
  </r>
  <r>
    <s v="R-AO-24-5258"/>
    <s v="Fortalecer la prevención de las violencias basadas en género, protección y atención de las niñas, mujeres y personas LGTBIQ+ en territorios de Colombia Fase II"/>
    <s v="CONTRIBUIR AL EMPODERAMIENTO DE LAS MUJERES, NIÑAS Y PERSONAS LGBTIQ+PARA UNA VIDA LIBRE DE VIOLENCIAS A TRAVÉS DEL DESARROLLO DE ACCIONES QUE_x000a_CONTRIBUYAN A LA AUTONOMÍA DE LAS MUJERES Y LA PREVENCIÓN DE LAS_x000a_VIOLENCIAS BASADAS EN GÉNERO."/>
    <d v="2024-01-02T00:00:00"/>
    <d v="2026-11-22T00:00:00"/>
    <x v="9"/>
    <s v="Florida"/>
    <s v="España"/>
    <n v="91208.166666666701"/>
    <x v="27"/>
    <s v="España"/>
    <m/>
    <s v="No Aplica"/>
    <s v="5.2.Eliminar todas las formas de violencia contra las mujeres y las niñas en las esferas públicas y privadas, incluyendo el tráfico sexual y otros tipos de explotación."/>
    <x v="2"/>
    <s v="SIN ALINEAR"/>
    <s v="Igualdad y Equidad"/>
  </r>
  <r>
    <s v="R-AO-24-5258"/>
    <s v="Fortalecer la prevención de las violencias basadas en género, protección y atención de las niñas, mujeres y personas LGTBIQ+ en territorios de Colombia Fase II"/>
    <s v="CONTRIBUIR AL EMPODERAMIENTO DE LAS MUJERES, NIÑAS Y PERSONAS LGBTIQ+PARA UNA VIDA LIBRE DE VIOLENCIAS A TRAVÉS DEL DESARROLLO DE ACCIONES QUE_x000a_CONTRIBUYAN A LA AUTONOMÍA DE LAS MUJERES Y LA PREVENCIÓN DE LAS_x000a_VIOLENCIAS BASADAS EN GÉNERO."/>
    <d v="2024-01-02T00:00:00"/>
    <d v="2026-11-22T00:00:00"/>
    <x v="9"/>
    <s v="Jamundí"/>
    <s v="España"/>
    <n v="91208.166666666701"/>
    <x v="27"/>
    <s v="España"/>
    <m/>
    <s v="No Aplica"/>
    <s v="5.2.Eliminar todas las formas de violencia contra las mujeres y las niñas en las esferas públicas y privadas, incluyendo el tráfico sexual y otros tipos de explotación."/>
    <x v="2"/>
    <s v="SIN ALINEAR"/>
    <s v="Igualdad y Equidad"/>
  </r>
  <r>
    <s v="R-AO-24-5258"/>
    <s v="Fortalecer la prevención de las violencias basadas en género, protección y atención de las niñas, mujeres y personas LGTBIQ+ en territorios de Colombia Fase II"/>
    <s v="CONTRIBUIR AL EMPODERAMIENTO DE LAS MUJERES, NIÑAS Y PERSONAS LGBTIQ+PARA UNA VIDA LIBRE DE VIOLENCIAS A TRAVÉS DEL DESARROLLO DE ACCIONES QUE_x000a_CONTRIBUYAN A LA AUTONOMÍA DE LAS MUJERES Y LA PREVENCIÓN DE LAS_x000a_VIOLENCIAS BASADAS EN GÉNERO."/>
    <d v="2024-01-02T00:00:00"/>
    <d v="2026-11-22T00:00:00"/>
    <x v="9"/>
    <s v="Pradera"/>
    <s v="España"/>
    <n v="91208.166666666701"/>
    <x v="27"/>
    <s v="España"/>
    <m/>
    <s v="No Aplica"/>
    <s v="5.2.Eliminar todas las formas de violencia contra las mujeres y las niñas en las esferas públicas y privadas, incluyendo el tráfico sexual y otros tipos de explotación."/>
    <x v="2"/>
    <s v="SIN ALINEAR"/>
    <s v="Igualdad y Equidad"/>
  </r>
  <r>
    <s v="R-AO-25-5259"/>
    <s v=" Fortalecer la prevención de las violencias basadas en género, protección y atención de las niñas, mujeres y personas LGTBIQ+ en territorios de Colombia Fase IIi"/>
    <s v="CONTRIBUIR AL EMPODERAMIENTO DE LAS MUJERES, NIÑAS Y PERSONAS LGBTIQ+PARA UNA VIDA LIBRE DE VIOLENCIAS A TRAVÉS DEL DESARROLLO DE ACCIONES QUE_x000a_CONTRIBUYAN A LA AUTONOMÍA DE LAS MUJERES Y LA PREVENCIÓN DE LAS_x000a_VIOLENCIAS BASADAS EN GÉNERO."/>
    <d v="2025-01-02T00:00:00"/>
    <d v="2026-11-23T00:00:00"/>
    <x v="28"/>
    <s v="Buenos Aires"/>
    <s v="España"/>
    <n v="69193.75"/>
    <x v="27"/>
    <s v="España"/>
    <m/>
    <s v="No Aplica"/>
    <s v="5.2.Eliminar todas las formas de violencia contra las mujeres y las niñas en las esferas públicas y privadas, incluyendo el tráfico sexual y otros tipos de explotación."/>
    <x v="2"/>
    <s v="SIN ALINEAR"/>
    <s v="Igualdad y Equidad"/>
  </r>
  <r>
    <s v="R-AO-25-5259"/>
    <s v=" Fortalecer la prevención de las violencias basadas en género, protección y atención de las niñas, mujeres y personas LGTBIQ+ en territorios de Colombia Fase IIi"/>
    <s v="CONTRIBUIR AL EMPODERAMIENTO DE LAS MUJERES, NIÑAS Y PERSONAS LGBTIQ+PARA UNA VIDA LIBRE DE VIOLENCIAS A TRAVÉS DEL DESARROLLO DE ACCIONES QUE_x000a_CONTRIBUYAN A LA AUTONOMÍA DE LAS MUJERES Y LA PREVENCIÓN DE LAS_x000a_VIOLENCIAS BASADAS EN GÉNERO."/>
    <d v="2025-01-02T00:00:00"/>
    <d v="2026-11-23T00:00:00"/>
    <x v="28"/>
    <s v="Corinto"/>
    <s v="España"/>
    <n v="69193.75"/>
    <x v="27"/>
    <s v="España"/>
    <m/>
    <s v="No Aplica"/>
    <s v="5.2.Eliminar todas las formas de violencia contra las mujeres y las niñas en las esferas públicas y privadas, incluyendo el tráfico sexual y otros tipos de explotación."/>
    <x v="2"/>
    <s v="SIN ALINEAR"/>
    <s v="Igualdad y Equidad"/>
  </r>
  <r>
    <s v="R-AO-25-5259"/>
    <s v=" Fortalecer la prevención de las violencias basadas en género, protección y atención de las niñas, mujeres y personas LGTBIQ+ en territorios de Colombia Fase IIi"/>
    <s v="CONTRIBUIR AL EMPODERAMIENTO DE LAS MUJERES, NIÑAS Y PERSONAS LGBTIQ+PARA UNA VIDA LIBRE DE VIOLENCIAS A TRAVÉS DEL DESARROLLO DE ACCIONES QUE_x000a_CONTRIBUYAN A LA AUTONOMÍA DE LAS MUJERES Y LA PREVENCIÓN DE LAS_x000a_VIOLENCIAS BASADAS EN GÉNERO."/>
    <d v="2025-01-02T00:00:00"/>
    <d v="2026-11-23T00:00:00"/>
    <x v="28"/>
    <s v="Puerto Tejada"/>
    <s v="España"/>
    <n v="69193.75"/>
    <x v="27"/>
    <s v="España"/>
    <m/>
    <s v="No Aplica"/>
    <s v="5.2.Eliminar todas las formas de violencia contra las mujeres y las niñas en las esferas públicas y privadas, incluyendo el tráfico sexual y otros tipos de explotación."/>
    <x v="2"/>
    <s v="SIN ALINEAR"/>
    <s v="Igualdad y Equidad"/>
  </r>
  <r>
    <s v="R-AO-25-5259"/>
    <s v=" Fortalecer la prevención de las violencias basadas en género, protección y atención de las niñas, mujeres y personas LGTBIQ+ en territorios de Colombia Fase IIi"/>
    <s v="CONTRIBUIR AL EMPODERAMIENTO DE LAS MUJERES, NIÑAS Y PERSONAS LGBTIQ+PARA UNA VIDA LIBRE DE VIOLENCIAS A TRAVÉS DEL DESARROLLO DE ACCIONES QUE_x000a_CONTRIBUYAN A LA AUTONOMÍA DE LAS MUJERES Y LA PREVENCIÓN DE LAS_x000a_VIOLENCIAS BASADAS EN GÉNERO."/>
    <d v="2025-01-02T00:00:00"/>
    <d v="2026-11-23T00:00:00"/>
    <x v="28"/>
    <s v="Suárez"/>
    <s v="España"/>
    <n v="69193.75"/>
    <x v="27"/>
    <s v="España"/>
    <m/>
    <s v="No Aplica"/>
    <s v="5.2.Eliminar todas las formas de violencia contra las mujeres y las niñas en las esferas públicas y privadas, incluyendo el tráfico sexual y otros tipos de explotación."/>
    <x v="2"/>
    <s v="SIN ALINEAR"/>
    <s v="Igualdad y Equidad"/>
  </r>
  <r>
    <s v="R-AO-25-5259"/>
    <s v=" Fortalecer la prevención de las violencias basadas en género, protección y atención de las niñas, mujeres y personas LGTBIQ+ en territorios de Colombia Fase IIi"/>
    <s v="CONTRIBUIR AL EMPODERAMIENTO DE LAS MUJERES, NIÑAS Y PERSONAS LGBTIQ+PARA UNA VIDA LIBRE DE VIOLENCIAS A TRAVÉS DEL DESARROLLO DE ACCIONES QUE_x000a_CONTRIBUYAN A LA AUTONOMÍA DE LAS MUJERES Y LA PREVENCIÓN DE LAS_x000a_VIOLENCIAS BASADAS EN GÉNERO."/>
    <d v="2025-01-02T00:00:00"/>
    <d v="2026-11-23T00:00:00"/>
    <x v="9"/>
    <s v="Florida"/>
    <s v="España"/>
    <n v="92258.333333333299"/>
    <x v="27"/>
    <s v="España"/>
    <m/>
    <s v="No Aplica"/>
    <s v="5.2.Eliminar todas las formas de violencia contra las mujeres y las niñas en las esferas públicas y privadas, incluyendo el tráfico sexual y otros tipos de explotación."/>
    <x v="2"/>
    <s v="SIN ALINEAR"/>
    <s v="Igualdad y Equidad"/>
  </r>
  <r>
    <s v="R-AO-25-5259"/>
    <s v=" Fortalecer la prevención de las violencias basadas en género, protección y atención de las niñas, mujeres y personas LGTBIQ+ en territorios de Colombia Fase IIi"/>
    <s v="CONTRIBUIR AL EMPODERAMIENTO DE LAS MUJERES, NIÑAS Y PERSONAS LGBTIQ+PARA UNA VIDA LIBRE DE VIOLENCIAS A TRAVÉS DEL DESARROLLO DE ACCIONES QUE_x000a_CONTRIBUYAN A LA AUTONOMÍA DE LAS MUJERES Y LA PREVENCIÓN DE LAS_x000a_VIOLENCIAS BASADAS EN GÉNERO."/>
    <d v="2025-01-02T00:00:00"/>
    <d v="2026-11-23T00:00:00"/>
    <x v="9"/>
    <s v="Jamundí"/>
    <s v="España"/>
    <n v="92258.333333333299"/>
    <x v="27"/>
    <s v="España"/>
    <m/>
    <s v="No Aplica"/>
    <s v="5.2.Eliminar todas las formas de violencia contra las mujeres y las niñas en las esferas públicas y privadas, incluyendo el tráfico sexual y otros tipos de explotación."/>
    <x v="2"/>
    <s v="SIN ALINEAR"/>
    <s v="Igualdad y Equidad"/>
  </r>
  <r>
    <s v="R-AO-25-5259"/>
    <s v=" Fortalecer la prevención de las violencias basadas en género, protección y atención de las niñas, mujeres y personas LGTBIQ+ en territorios de Colombia Fase IIi"/>
    <s v="CONTRIBUIR AL EMPODERAMIENTO DE LAS MUJERES, NIÑAS Y PERSONAS LGBTIQ+PARA UNA VIDA LIBRE DE VIOLENCIAS A TRAVÉS DEL DESARROLLO DE ACCIONES QUE_x000a_CONTRIBUYAN A LA AUTONOMÍA DE LAS MUJERES Y LA PREVENCIÓN DE LAS_x000a_VIOLENCIAS BASADAS EN GÉNERO."/>
    <d v="2025-01-02T00:00:00"/>
    <d v="2026-11-23T00:00:00"/>
    <x v="9"/>
    <s v="Pradera"/>
    <s v="España"/>
    <n v="92258.333333333299"/>
    <x v="27"/>
    <s v="España"/>
    <m/>
    <s v="No Aplica"/>
    <s v="5.2.Eliminar todas las formas de violencia contra las mujeres y las niñas en las esferas públicas y privadas, incluyendo el tráfico sexual y otros tipos de explotación."/>
    <x v="2"/>
    <s v="SIN ALINEAR"/>
    <s v="Igualdad y Equidad"/>
  </r>
  <r>
    <s v="R-AO-23-5263"/>
    <s v="OBSERVATORIO NACIONAL DE DEMOGRAFÍA EMPRESARIAL DE LAS EMPRESAS COLOMBIANAS"/>
    <s v="apoyar la creación y desarrollo de un Observatorio de Movilidad Empresarial. Se espera que los datos recopilados como parte de este Observatorio permitan producir una agenda de investigación que sirva para identificar, monitorear y generar conocimiento sólido sobre los determinantes de la demografía empresarial de las mipymes en Colombia, con especial atención a las mipymes lideradas por mujeres. También se espera que genere información valiosa sobre las empresas que potencialmente podría usarse para facilitar su acceso a financiamiento o su acceso a programas de apoyo"/>
    <d v="2023-08-04T00:00:00"/>
    <d v="2026-08-03T00:00:00"/>
    <x v="8"/>
    <s v="Ámbito Nacional"/>
    <s v="Banca Multilateral"/>
    <n v="108928.57"/>
    <x v="5"/>
    <s v="Estados Unidos"/>
    <m/>
    <s v="No Aplica"/>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265"/>
    <s v="Programa de Empleos Verdes en la Economía Circular PREVEC II "/>
    <s v="&quot;Los actores estatales y del sector privado pueden implementar medidas de economía circular, relevantes para el clima y el empleo.&quot;"/>
    <d v="2024-01-10T00:00:00"/>
    <d v="2027-04-30T00:00:00"/>
    <x v="5"/>
    <s v="Cartagena"/>
    <s v="Alemania"/>
    <n v="2193796.25"/>
    <x v="63"/>
    <s v="Alemania"/>
    <m/>
    <s v="1. Promover la lucha contra el cambio climatico, la justicia ambiental y la transformación productiva"/>
    <s v="12.5.En el 2030, reducir sustancialmente la generación de residuos mediante la prevención, la reducción, el reciclaje y la reutilización."/>
    <x v="10"/>
    <s v="SIN ALINEAR"/>
    <s v="Ambiente y Desarrollo Sostenible"/>
  </r>
  <r>
    <s v="R-AO-24-5265"/>
    <s v="Programa de Empleos Verdes en la Economía Circular PREVEC II "/>
    <s v="&quot;Los actores estatales y del sector privado pueden implementar medidas de economía circular, relevantes para el clima y el empleo.&quot;"/>
    <d v="2024-01-10T00:00:00"/>
    <d v="2027-04-30T00:00:00"/>
    <x v="11"/>
    <s v="Bogotá D.C."/>
    <s v="Alemania"/>
    <n v="2193796.25"/>
    <x v="63"/>
    <s v="Alemania"/>
    <m/>
    <s v="1. Promover la lucha contra el cambio climatico, la justicia ambiental y la transformación productiva"/>
    <s v="12.5.En el 2030, reducir sustancialmente la generación de residuos mediante la prevención, la reducción, el reciclaje y la reutilización."/>
    <x v="10"/>
    <s v="SIN ALINEAR"/>
    <s v="Ambiente y Desarrollo Sostenible"/>
  </r>
  <r>
    <s v="R-AO-24-5265"/>
    <s v="Programa de Empleos Verdes en la Economía Circular PREVEC II "/>
    <s v="&quot;Los actores estatales y del sector privado pueden implementar medidas de economía circular, relevantes para el clima y el empleo.&quot;"/>
    <d v="2024-01-10T00:00:00"/>
    <d v="2027-04-30T00:00:00"/>
    <x v="20"/>
    <s v="Cúcuta"/>
    <s v="Alemania"/>
    <n v="2193796.25"/>
    <x v="63"/>
    <s v="Alemania"/>
    <m/>
    <s v="1. Promover la lucha contra el cambio climatico, la justicia ambiental y la transformación productiva"/>
    <s v="12.5.En el 2030, reducir sustancialmente la generación de residuos mediante la prevención, la reducción, el reciclaje y la reutilización."/>
    <x v="10"/>
    <s v="SIN ALINEAR"/>
    <s v="Ambiente y Desarrollo Sostenible"/>
  </r>
  <r>
    <s v="R-AO-24-5265"/>
    <s v="Programa de Empleos Verdes en la Economía Circular PREVEC II "/>
    <s v="&quot;Los actores estatales y del sector privado pueden implementar medidas de economía circular, relevantes para el clima y el empleo.&quot;"/>
    <d v="2024-01-10T00:00:00"/>
    <d v="2027-04-30T00:00:00"/>
    <x v="9"/>
    <s v="Cali"/>
    <s v="Alemania"/>
    <n v="2193796.25"/>
    <x v="63"/>
    <s v="Alemania"/>
    <m/>
    <s v="1. Promover la lucha contra el cambio climatico, la justicia ambiental y la transformación productiva"/>
    <s v="12.5.En el 2030, reducir sustancialmente la generación de residuos mediante la prevención, la reducción, el reciclaje y la reutilización."/>
    <x v="10"/>
    <s v="SIN ALINEAR"/>
    <s v="Ambiente y Desarrollo Sostenible"/>
  </r>
  <r>
    <s v="R-AO-22-5268"/>
    <s v="Monitoreo, Análisis, Reconocimiento, Logística, Inteligencia y Servicios de Red (MARLINS) / GSO00Q14QADU313"/>
    <s v="mediante el Convenio General para Ayuda Económica, Técnica y Afín suscrito entre el Gobierno de los Estados Unidos de América y el Gobierno de la Republica de Colombia, el Gobierno de los Estados Unidos de América está ejecutando programas de utilidad común orientados a beneficiar el Plan Nacional y Territorial de Desarrollo vigentes y el fortalecimiento de las relaciones entre ambos gobiernos, dentro de los cuales se está implementando el programa del Centro de Entrenamiento Avanzado de Ala Rotatoria (CEAAR), en el Fuerte Militar de Tolemaida"/>
    <d v="2022-08-24T00:00:00"/>
    <d v="2026-08-23T00:00:00"/>
    <x v="8"/>
    <s v="Ámbito Nacional"/>
    <s v="Estados Unidos"/>
    <n v="20000000"/>
    <x v="64"/>
    <s v="Estados Unidos"/>
    <m/>
    <s v="No Aplica"/>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Defensa Nacional"/>
  </r>
  <r>
    <s v="R-AO-23-5271"/>
    <s v="Programa Global de Calidad y Normas (GQSP) Colombia fase II: Fortalecimiento de la calidad y estándares en la cadena de valor fitoterapéutica"/>
    <s v="fortalecer la calidad y los estándares en la cadena de valor fitoterapéutica para fomenar la integración de Colombia en los sistemas de comercio subnacionales, regionales y multilaterales a través del fortalecimiento del Subsistema Nacional de la Calidad (SICAL) en el marco de las prioridades de la cadena de valor fitoterapéutica"/>
    <d v="2023-12-21T00:00:00"/>
    <d v="2027-12-31T00:00:00"/>
    <x v="8"/>
    <s v="Ámbito Nacional"/>
    <s v="Suiza"/>
    <n v="1258359"/>
    <x v="23"/>
    <s v="Colombia/Centro Oriente/Bogotá D.C./Bogotá D.C."/>
    <m/>
    <s v="No Aplica"/>
    <s v="8.a.Aumentar la Ayuda para el Comercio para los países en desarrollo, especialmente los PMA, incluyendo mediante el Marco Integrado Mejorado para los PMA."/>
    <x v="14"/>
    <s v="SIN ALINEAR"/>
    <s v="Comercio, Industria y Turismo"/>
  </r>
  <r>
    <s v="R-AO-24-5278"/>
    <s v="&quot;Ciudades circulares&quot; Cooperación entre la ciudad de Zúrich (Suiza) y las ciudades de Santa Cruz de la Sierra (Bolivia) y Santiago de Cali (Colombia) en el ámbito de la gestión de residuos sólidos "/>
    <s v="El proyecto de cooperación entre ciudades (C2CC) &quot;Ciudades Circulares&quot; busca contribuir con sus resultados al cumplimiento de los Objetivos de Desarrollo Sostenible (ODS) a través de:_x000a__x000a_1. Reducir los contaminantes ambientales mediante el aumento de la tasa de reciclaje en Santa Cruz de la Sierra y Santiago de Cali, al tiempo que se generan políticas para la reducción de la generación de residuos, lo que contribuirá a la transición de ambas ciudades hacia una economía circular._x000a_2. Reducir el uso de materias primas vírgenes a través de la promoción de la economía circular._x000a_3. Contribuir a mejorar las condiciones de vida y dignidad de los recicladores y sus familias, mejorando su enfoque laboral y apoyando su formalización. "/>
    <d v="2024-01-01T00:00:00"/>
    <d v="2027-12-31T00:00:00"/>
    <x v="9"/>
    <s v="Cali"/>
    <s v="Suiza"/>
    <n v="1210413.27"/>
    <x v="65"/>
    <s v="Suiza"/>
    <m/>
    <s v="1. Promover la lucha contra el cambio climatico, la justicia ambiental y la transformación productiva"/>
    <s v="12.5.En el 2030, reducir sustancialmente la generación de residuos mediante la prevención, la reducción, el reciclaje y la reutilización."/>
    <x v="10"/>
    <s v="SIN ALINEAR"/>
    <s v="Vivienda Ciudad y Territorio"/>
  </r>
  <r>
    <s v="R-FP-21-5289"/>
    <s v="Alianza para la Transformación Social"/>
    <s v="Fortalecer la capacidad y supervivencia del sector social y las organizaciones, para contribuir a la recuperación económica del COVID-19."/>
    <d v="2021-09-01T00:00:00"/>
    <d v="2026-08-31T00:00:00"/>
    <x v="8"/>
    <s v="Ámbito Nacional"/>
    <s v="ESAL"/>
    <n v="1500000"/>
    <x v="66"/>
    <s v="Estados Unidos"/>
    <m/>
    <s v="No Aplica"/>
    <s v="3.3.De aquí a 2030, poner fin a las epidemias del SIDA, la tuberculosis, la malaria y las enfermedades tropicales desatendidas y combatir la hepatitis, las enfermedades transmitidas por el agua y otras enfermedades transmisibles"/>
    <x v="13"/>
    <s v="SIN ALINEAR"/>
    <s v="Salud y Protección Social"/>
  </r>
  <r>
    <s v="R-AO-23-5291"/>
    <s v="Proyecto de desarrollo del recurso humano para implementar la acción integral contra minas antipersonal en Colombia"/>
    <s v="Se fortalece la seguridad de los ciudadanos _x000a_colombianos a través de la acción contra minas antipersonal"/>
    <d v="2023-06-19T00:00:00"/>
    <d v="2026-11-30T00:00:00"/>
    <x v="8"/>
    <s v="Ámbito Nacional"/>
    <s v="Japón"/>
    <n v="1607313"/>
    <x v="9"/>
    <s v="Japón"/>
    <m/>
    <s v="3. Promover una cultura de paz, justicia y lucha contra la desigualdad"/>
    <s v="16.1.Reducir significativamente todas las formas de violencia y las tasas de mortalidad relacionadas en todas partes."/>
    <x v="7"/>
    <s v="SIN ALINEAR"/>
    <s v="Presidencia de la República"/>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Mahates"/>
    <s v="España"/>
    <n v="108299.66666666701"/>
    <x v="67"/>
    <s v="España"/>
    <m/>
    <s v="No Aplica"/>
    <s v="5.2.Eliminar todas las formas de violencia contra las mujeres y las niñas en las esferas públicas y privadas, incluyendo el tráfico sexual y otros tipos de explotación."/>
    <x v="2"/>
    <s v="SIN ALINEAR"/>
    <s v="Igualdad y Equidad"/>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María La Baja"/>
    <s v="España"/>
    <n v="108299.66666666701"/>
    <x v="67"/>
    <s v="España"/>
    <m/>
    <s v="No Aplica"/>
    <s v="5.2.Eliminar todas las formas de violencia contra las mujeres y las niñas en las esferas públicas y privadas, incluyendo el tráfico sexual y otros tipos de explotación."/>
    <x v="2"/>
    <s v="SIN ALINEAR"/>
    <s v="Igualdad y Equidad"/>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San Juan Nepomuceno"/>
    <s v="España"/>
    <n v="108299.66666666701"/>
    <x v="67"/>
    <s v="España"/>
    <m/>
    <s v="No Aplica"/>
    <s v="5.2.Eliminar todas las formas de violencia contra las mujeres y las niñas en las esferas públicas y privadas, incluyendo el tráfico sexual y otros tipos de explotación."/>
    <x v="2"/>
    <s v="SIN ALINEAR"/>
    <s v="Igualdad y Equidad"/>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Mahates"/>
    <s v="ESAL"/>
    <n v="18129.666666666701"/>
    <x v="28"/>
    <s v="España"/>
    <m/>
    <s v="No Aplica"/>
    <s v="5.2.Eliminar todas las formas de violencia contra las mujeres y las niñas en las esferas públicas y privadas, incluyendo el tráfico sexual y otros tipos de explotación."/>
    <x v="2"/>
    <s v="SIN ALINEAR"/>
    <s v="Igualdad y Equidad"/>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María La Baja"/>
    <s v="ESAL"/>
    <n v="18129.666666666701"/>
    <x v="28"/>
    <s v="España"/>
    <m/>
    <s v="No Aplica"/>
    <s v="5.2.Eliminar todas las formas de violencia contra las mujeres y las niñas en las esferas públicas y privadas, incluyendo el tráfico sexual y otros tipos de explotación."/>
    <x v="2"/>
    <s v="SIN ALINEAR"/>
    <s v="Igualdad y Equidad"/>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San Juan Nepomuceno"/>
    <s v="ESAL"/>
    <n v="18129.666666666701"/>
    <x v="28"/>
    <s v="España"/>
    <m/>
    <s v="No Aplica"/>
    <s v="5.2.Eliminar todas las formas de violencia contra las mujeres y las niñas en las esferas públicas y privadas, incluyendo el tráfico sexual y otros tipos de explotación."/>
    <x v="2"/>
    <s v="SIN ALINEAR"/>
    <s v="Igualdad y Equidad"/>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Mahates"/>
    <s v="ESAL"/>
    <n v="1429.3333333333301"/>
    <x v="68"/>
    <s v="España"/>
    <m/>
    <s v="No Aplica"/>
    <s v="5.2.Eliminar todas las formas de violencia contra las mujeres y las niñas en las esferas públicas y privadas, incluyendo el tráfico sexual y otros tipos de explotación."/>
    <x v="2"/>
    <s v="SIN ALINEAR"/>
    <s v="Igualdad y Equidad"/>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María La Baja"/>
    <s v="ESAL"/>
    <n v="1429.3333333333301"/>
    <x v="68"/>
    <s v="España"/>
    <m/>
    <s v="No Aplica"/>
    <s v="5.2.Eliminar todas las formas de violencia contra las mujeres y las niñas en las esferas públicas y privadas, incluyendo el tráfico sexual y otros tipos de explotación."/>
    <x v="2"/>
    <s v="SIN ALINEAR"/>
    <s v="Igualdad y Equidad"/>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San Juan Nepomuceno"/>
    <s v="ESAL"/>
    <n v="1429.3333333333301"/>
    <x v="68"/>
    <s v="España"/>
    <m/>
    <s v="No Aplica"/>
    <s v="5.2.Eliminar todas las formas de violencia contra las mujeres y las niñas en las esferas públicas y privadas, incluyendo el tráfico sexual y otros tipos de explotación."/>
    <x v="2"/>
    <s v="SIN ALINEAR"/>
    <s v="Igualdad y Equidad"/>
  </r>
  <r>
    <s v="R-AO-23-5321"/>
    <s v="Familias unidas - reunificadas. Exp. 2023QdV00326"/>
    <s v="&quot;Contribuir a la reactivación de las relaciones de cooperación entre Colombia y Venezuela a través del desarrollo de acciones articuladas para promover la garantía y restablecimiento de derechos de los niños, niñas y adolescentes (NNA) que se encuentran en situación de movilidad humana._x000a_&quot;_x000a__x000a__x000a__x000a__x000a__x000a__x000a_"/>
    <d v="2023-10-27T00:00:00"/>
    <d v="2028-04-27T00:00:00"/>
    <x v="8"/>
    <s v="Ámbito Nacional"/>
    <s v="España"/>
    <n v="952198"/>
    <x v="27"/>
    <s v="España"/>
    <m/>
    <s v="2. Contribuir a la lucha contra el hambre y la atención humanitaria a la poblacion"/>
    <s v="1.3.Implementar a nivel nacional sistemas y medidas apropiados de protección social para todos, incluidos niveles mínimos, y, de aquí a 2030, lograr una amplia cobertura de las personas pobres y vulnerables"/>
    <x v="1"/>
    <s v="SIN ALINEAR"/>
    <s v="Protección Social"/>
  </r>
  <r>
    <s v="R-AO-24-5329"/>
    <s v="Gestión resiliente de los ecosistemas estratégicos y biodiversidad en las regiones del Pacífico y Caribe de Colombia"/>
    <s v="Colaborar con comunidades e instituciones para gestionar de forma adaptativa sus ecosistemas estratégicos integrando instrumentos, nuevos conocimientos y oportunidades económicas para la protección del clima y la biodiversidad. Este enfoque fortalecerá los procesos de toma de decisiones en esquemas de gobernanza, mejorará los sistemas de información relevantes, permitirá el acceso a mecanismos financieros y promoverá negocios verdes locales. Estos esfuerzos contribuyen al cumplimiento de los objetivos de Colombia en materia de cambio climático y biodiversidad."/>
    <d v="2024-02-01T00:00:00"/>
    <d v="2029-01-31T00:00:00"/>
    <x v="8"/>
    <s v="Ámbito Nacional"/>
    <s v="Alemania"/>
    <n v="18736554"/>
    <x v="55"/>
    <s v="Alemani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3-5338"/>
    <s v="Proyecto de construcción de marca territorial para el desarrollo local inclusivo "/>
    <s v="Se fortalece la cohesión social y la independencia de la comunidad para la revitalización local que contribuye a la paz de Colombia y al desarrollo local inclusivo en América_x000a__x000a_Latina y el Caribe."/>
    <d v="2023-12-19T00:00:00"/>
    <d v="2028-02-29T00:00:00"/>
    <x v="8"/>
    <s v="No Reporta"/>
    <s v="Japón"/>
    <n v="1323103.97"/>
    <x v="9"/>
    <s v="Colombia"/>
    <m/>
    <s v="4. Fortalecimiento institucional para la gestión de la cooperación internacional"/>
    <s v="8.6.Para el 2020 reducir sustancialmente la proporción de jóvenes sin empleo, educación o formación."/>
    <x v="14"/>
    <s v="SIN ALINEAR"/>
    <s v="Trabajo"/>
  </r>
  <r>
    <s v="R-FP-24-5345"/>
    <s v="Programa Work 4 Progress Colombia - Escalado de prototipos innovadores y fortalecimiento del ecosistema emprendedor para el empleo en Necoclí Colombia "/>
    <s v="Promover la generación de empleo a través del fortalecimiento del ecosistema emprendedor del municipio de Necoclí, Antioquia, implementando y acelerando prototipos innovadores en los sectores de agroindustria y turismo"/>
    <d v="2019-01-23T00:00:00"/>
    <d v="2026-01-22T00:00:00"/>
    <x v="7"/>
    <s v="Necoclí"/>
    <s v="ESAL"/>
    <n v="4419"/>
    <x v="69"/>
    <s v="Colombia/Eje Cafetero/Antioquia/Necoclí"/>
    <m/>
    <s v="D. Emprendimiento Y Economía Naranjal"/>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FP-24-5345"/>
    <s v="Programa Work 4 Progress Colombia - Escalado de prototipos innovadores y fortalecimiento del ecosistema emprendedor para el empleo en Necoclí Colombia "/>
    <s v="Promover la generación de empleo a través del fortalecimiento del ecosistema emprendedor del municipio de Necoclí, Antioquia, implementando y acelerando prototipos innovadores en los sectores de agroindustria y turismo"/>
    <d v="2019-01-23T00:00:00"/>
    <d v="2026-01-22T00:00:00"/>
    <x v="7"/>
    <s v="Necoclí"/>
    <s v="ESAL"/>
    <n v="138100"/>
    <x v="70"/>
    <s v="Colombia/Eje Cafetero/Antioquia/Necoclí"/>
    <m/>
    <s v="D. Emprendimiento Y Economía Naranjal"/>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FP-24-5345"/>
    <s v="Programa Work 4 Progress Colombia - Escalado de prototipos innovadores y fortalecimiento del ecosistema emprendedor para el empleo en Necoclí Colombia "/>
    <s v="Promover la generación de empleo a través del fortalecimiento del ecosistema emprendedor del municipio de Necoclí, Antioquia, implementando y acelerando prototipos innovadores en los sectores de agroindustria y turismo"/>
    <d v="2019-01-23T00:00:00"/>
    <d v="2026-01-22T00:00:00"/>
    <x v="7"/>
    <s v="Necoclí"/>
    <s v="ESAL"/>
    <n v="18678"/>
    <x v="71"/>
    <s v="Colombia/Eje Cafetero/Antioquia/Necoclí"/>
    <m/>
    <s v="D. Emprendimiento Y Economía Naranjal"/>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FP-24-5345"/>
    <s v="Programa Work 4 Progress Colombia - Escalado de prototipos innovadores y fortalecimiento del ecosistema emprendedor para el empleo en Necoclí Colombia "/>
    <s v="Promover la generación de empleo a través del fortalecimiento del ecosistema emprendedor del municipio de Necoclí, Antioquia, implementando y acelerando prototipos innovadores en los sectores de agroindustria y turismo"/>
    <d v="2019-01-23T00:00:00"/>
    <d v="2026-01-22T00:00:00"/>
    <x v="7"/>
    <s v="Necoclí"/>
    <s v="ESAL"/>
    <n v="99432"/>
    <x v="72"/>
    <s v="Colombia/Eje Cafetero/Antioquia/Necoclí"/>
    <m/>
    <s v="D. Emprendimiento Y Economía Naranjal"/>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FP-24-5345"/>
    <s v="Programa Work 4 Progress Colombia - Escalado de prototipos innovadores y fortalecimiento del ecosistema emprendedor para el empleo en Necoclí Colombia "/>
    <s v="Promover la generación de empleo a través del fortalecimiento del ecosistema emprendedor del municipio de Necoclí, Antioquia, implementando y acelerando prototipos innovadores en los sectores de agroindustria y turismo"/>
    <d v="2019-01-23T00:00:00"/>
    <d v="2026-01-22T00:00:00"/>
    <x v="7"/>
    <s v="Necoclí"/>
    <s v="Empresas"/>
    <n v="4419"/>
    <x v="73"/>
    <s v="Colombia/Eje Cafetero/Antioquia/Necoclí"/>
    <m/>
    <s v="D. Emprendimiento Y Economía Naranjal"/>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3-5346"/>
    <s v="emprendimiento rural para mujeres en  desarrollo rural agrícola - reward"/>
    <s v="INCREMENTAR LA VIABILIDAD DE LOS NEGOCIOS RURALES, FORTALECER LOS INSTRUMENTOS DE INVERSIÓN FIANCIERA Y AUMENTAR LA CAPACIDAD DE DECISIÓN Y LA INFLUENCIA DE LAS MUJERES EMPRENDEDORAS Y LOS LIDERES SOCIALES EN LOS NEGOCIOS RURALES Y EL LIDERAZGO DE ORGANZACIONES DE LAS COMUNIDADES. "/>
    <d v="2023-01-24T00:00:00"/>
    <d v="2027-03-31T00:00:00"/>
    <x v="8"/>
    <s v="No Reporta"/>
    <s v="Canadá"/>
    <n v="2320705.25"/>
    <x v="2"/>
    <s v="Canadá"/>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348"/>
    <s v="SOCIEDADES SOLIDARIAS:  COMPARTIR RESPONSABILIDADES DEL CUIDADO PARA AVANZAR EN LA IGUALDAD DE GENERO (ECONOMIA DEL CUIDADO)"/>
    <s v="EL PROYECTO ABORDA LA DISTRIBUCIÓN DESIGUAL DEL TRABAJO DE CUIDADOS REMUNERADO Y NO REUMERADO"/>
    <d v="2023-03-08T00:00:00"/>
    <d v="2028-09-30T00:00:00"/>
    <x v="11"/>
    <s v="No Reporta"/>
    <s v="Canadá"/>
    <n v="745935.66428571404"/>
    <x v="2"/>
    <s v="Canadá"/>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348"/>
    <s v="SOCIEDADES SOLIDARIAS:  COMPARTIR RESPONSABILIDADES DEL CUIDADO PARA AVANZAR EN LA IGUALDAD DE GENERO (ECONOMIA DEL CUIDADO)"/>
    <s v="EL PROYECTO ABORDA LA DISTRIBUCIÓN DESIGUAL DEL TRABAJO DE CUIDADOS REMUNERADO Y NO REUMERADO"/>
    <d v="2023-03-08T00:00:00"/>
    <d v="2028-09-30T00:00:00"/>
    <x v="7"/>
    <s v="No Reporta"/>
    <s v="Canadá"/>
    <n v="745935.66428571404"/>
    <x v="2"/>
    <s v="Canadá"/>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348"/>
    <s v="SOCIEDADES SOLIDARIAS:  COMPARTIR RESPONSABILIDADES DEL CUIDADO PARA AVANZAR EN LA IGUALDAD DE GENERO (ECONOMIA DEL CUIDADO)"/>
    <s v="EL PROYECTO ABORDA LA DISTRIBUCIÓN DESIGUAL DEL TRABAJO DE CUIDADOS REMUNERADO Y NO REUMERADO"/>
    <d v="2023-03-08T00:00:00"/>
    <d v="2028-09-30T00:00:00"/>
    <x v="2"/>
    <s v="No Reporta"/>
    <s v="Canadá"/>
    <n v="745935.66428571404"/>
    <x v="2"/>
    <s v="Canadá"/>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348"/>
    <s v="SOCIEDADES SOLIDARIAS:  COMPARTIR RESPONSABILIDADES DEL CUIDADO PARA AVANZAR EN LA IGUALDAD DE GENERO (ECONOMIA DEL CUIDADO)"/>
    <s v="EL PROYECTO ABORDA LA DISTRIBUCIÓN DESIGUAL DEL TRABAJO DE CUIDADOS REMUNERADO Y NO REUMERADO"/>
    <d v="2023-03-08T00:00:00"/>
    <d v="2028-09-30T00:00:00"/>
    <x v="28"/>
    <s v="No Reporta"/>
    <s v="Canadá"/>
    <n v="745935.66428571404"/>
    <x v="2"/>
    <s v="Canadá"/>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348"/>
    <s v="SOCIEDADES SOLIDARIAS:  COMPARTIR RESPONSABILIDADES DEL CUIDADO PARA AVANZAR EN LA IGUALDAD DE GENERO (ECONOMIA DEL CUIDADO)"/>
    <s v="EL PROYECTO ABORDA LA DISTRIBUCIÓN DESIGUAL DEL TRABAJO DE CUIDADOS REMUNERADO Y NO REUMERADO"/>
    <d v="2023-03-08T00:00:00"/>
    <d v="2028-09-30T00:00:00"/>
    <x v="30"/>
    <s v="No Reporta"/>
    <s v="Canadá"/>
    <n v="745935.66428571404"/>
    <x v="2"/>
    <s v="Canadá"/>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348"/>
    <s v="SOCIEDADES SOLIDARIAS:  COMPARTIR RESPONSABILIDADES DEL CUIDADO PARA AVANZAR EN LA IGUALDAD DE GENERO (ECONOMIA DEL CUIDADO)"/>
    <s v="EL PROYECTO ABORDA LA DISTRIBUCIÓN DESIGUAL DEL TRABAJO DE CUIDADOS REMUNERADO Y NO REUMERADO"/>
    <d v="2023-03-08T00:00:00"/>
    <d v="2028-09-30T00:00:00"/>
    <x v="27"/>
    <s v="No Reporta"/>
    <s v="Canadá"/>
    <n v="745935.66428571404"/>
    <x v="2"/>
    <s v="Canadá"/>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348"/>
    <s v="SOCIEDADES SOLIDARIAS:  COMPARTIR RESPONSABILIDADES DEL CUIDADO PARA AVANZAR EN LA IGUALDAD DE GENERO (ECONOMIA DEL CUIDADO)"/>
    <s v="EL PROYECTO ABORDA LA DISTRIBUCIÓN DESIGUAL DEL TRABAJO DE CUIDADOS REMUNERADO Y NO REUMERADO"/>
    <d v="2023-03-08T00:00:00"/>
    <d v="2028-09-30T00:00:00"/>
    <x v="9"/>
    <s v="No Reporta"/>
    <s v="Canadá"/>
    <n v="745935.66428571404"/>
    <x v="2"/>
    <s v="Canadá"/>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2-5363"/>
    <s v="Proyecto de Conservación y Uso Sostenible de Recursos Naturales"/>
    <s v="Garantizar que las áreas protegidas no sólo puedan _x000a_apoyar los objetivos climáticos y de biodiversidad del país y los compromisos internacionales, sino que también _x000a_sirvan como espacios para la inclusión y la construcción _x000a_de la paz, creando oportunidades para el bienestar y el _x000a_desarrollo humano."/>
    <d v="2022-08-01T00:00:00"/>
    <d v="2028-12-31T00:00:00"/>
    <x v="8"/>
    <s v="No Reporta"/>
    <s v="Alemania"/>
    <n v="7191102"/>
    <x v="35"/>
    <s v="Alemania"/>
    <m/>
    <s v="C. Conservación Y Sostenibilidad Ambiental"/>
    <s v="6.6. En 2020 a proteger y restaurar los ecosistemas relacionados con el agua, incluyendo montañas, bosques, humedales, ríos, acuíferos y lagos."/>
    <x v="3"/>
    <s v="SIN ALINEAR"/>
    <s v="Ambiente y Desarrollo Sostenible"/>
  </r>
  <r>
    <s v="R-AO-24-5367"/>
    <s v="Paisajes boscosos productivos en Colombia (probosques II)"/>
    <s v="LOS PROCESOS DE MANEJO FORESTAL EN LOS BOSQUES NATURALES DE LA REGIÓN AMAZÓNICA DE COLOMBIA SON MEJORADOS EN TÉRMINOS DE IMPLEMENTACIÓN ADECUADA, INTEGRAL Y SOSTENIBLE."/>
    <d v="2024-01-10T00:00:00"/>
    <d v="2026-10-31T00:00:00"/>
    <x v="8"/>
    <s v="No Reporta"/>
    <s v="Alemania"/>
    <n v="2193796.25"/>
    <x v="39"/>
    <s v="Alemania"/>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5367"/>
    <s v="Paisajes boscosos productivos en Colombia (probosques II)"/>
    <s v="LOS PROCESOS DE MANEJO FORESTAL EN LOS BOSQUES NATURALES DE LA REGIÓN AMAZÓNICA DE COLOMBIA SON MEJORADOS EN TÉRMINOS DE IMPLEMENTACIÓN ADECUADA, INTEGRAL Y SOSTENIBLE."/>
    <d v="2024-01-10T00:00:00"/>
    <d v="2026-10-31T00:00:00"/>
    <x v="17"/>
    <s v="No Reporta"/>
    <s v="Alemania"/>
    <n v="2193796.25"/>
    <x v="39"/>
    <s v="Alemania"/>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5367"/>
    <s v="Paisajes boscosos productivos en Colombia (probosques II)"/>
    <s v="LOS PROCESOS DE MANEJO FORESTAL EN LOS BOSQUES NATURALES DE LA REGIÓN AMAZÓNICA DE COLOMBIA SON MEJORADOS EN TÉRMINOS DE IMPLEMENTACIÓN ADECUADA, INTEGRAL Y SOSTENIBLE."/>
    <d v="2024-01-10T00:00:00"/>
    <d v="2026-10-31T00:00:00"/>
    <x v="18"/>
    <s v="No Reporta"/>
    <s v="Alemania"/>
    <n v="2193796.25"/>
    <x v="39"/>
    <s v="Alemania"/>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5367"/>
    <s v="Paisajes boscosos productivos en Colombia (probosques II)"/>
    <s v="LOS PROCESOS DE MANEJO FORESTAL EN LOS BOSQUES NATURALES DE LA REGIÓN AMAZÓNICA DE COLOMBIA SON MEJORADOS EN TÉRMINOS DE IMPLEMENTACIÓN ADECUADA, INTEGRAL Y SOSTENIBLE."/>
    <d v="2024-01-10T00:00:00"/>
    <d v="2026-10-31T00:00:00"/>
    <x v="2"/>
    <s v="No Reporta"/>
    <s v="Alemania"/>
    <n v="2193796.25"/>
    <x v="39"/>
    <s v="Alemania"/>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5385"/>
    <s v="Programa IKI-SPAR6C - Apoyo a la preparación para la cooperación en virtud del Artículo 6 - Article 6 cooperative approaches for high ambition NDC implementation"/>
    <s v="Apoyar a diversos países (entre ellos Colombia) a acelerar la puesta en marcha de un mercado internacional de comercio de reducciones de emisiones, generalmente denominadas resultados de mitigación en el marco del Acuerdo de París."/>
    <d v="2022-06-10T00:00:00"/>
    <d v="2027-08-31T00:00:00"/>
    <x v="8"/>
    <s v="Ámbito Nacional"/>
    <s v="Alemania"/>
    <n v="3059756"/>
    <x v="74"/>
    <s v="Alemania"/>
    <m/>
    <s v="C. Conservación Y Sostenibilidad Ambiental"/>
    <s v="13.2.Integrar medidas de cambio climático en las políticas, estrategias y planificación nacional."/>
    <x v="0"/>
    <s v="SIN ALINEAR"/>
    <s v="Ambiente y Desarrollo Sostenible"/>
  </r>
  <r>
    <s v="R-AO-23-5388"/>
    <s v="Programa Fi Wi Riif - “nuestro arrecife&quot;. Primera fase"/>
    <s v="Proteger y recuperar la salud de arrecifes de coral resilientes en las islas de San Andrés, Providencia, Santa Catalina y sus cayos."/>
    <d v="2023-10-25T00:00:00"/>
    <d v="2029-10-24T00:00:00"/>
    <x v="33"/>
    <s v="Providencia"/>
    <s v="Multilateral"/>
    <n v="1500000"/>
    <x v="75"/>
    <s v="Estados Unidos"/>
    <m/>
    <s v="1. Promover la lucha contra el cambio climatico, la justicia ambiental y la transformación productiva"/>
    <s v="14.5.Para 2020, conservar al menos el 10% de las zonas marinas y costeras, en armonía con la legislación nacional e internacional y con base en la mejor información científica disponible"/>
    <x v="9"/>
    <s v="SIN ALINEAR"/>
    <s v="Ambiente y Desarrollo Sostenible"/>
  </r>
  <r>
    <s v="R-AO-23-5388"/>
    <s v="Programa Fi Wi Riif - “nuestro arrecife&quot;. Primera fase"/>
    <s v="Proteger y recuperar la salud de arrecifes de coral resilientes en las islas de San Andrés, Providencia, Santa Catalina y sus cayos."/>
    <d v="2023-10-25T00:00:00"/>
    <d v="2029-10-24T00:00:00"/>
    <x v="33"/>
    <s v="San Andrés"/>
    <s v="Multilateral"/>
    <n v="1500000"/>
    <x v="75"/>
    <s v="Estados Unidos"/>
    <m/>
    <s v="1. Promover la lucha contra el cambio climatico, la justicia ambiental y la transformación productiva"/>
    <s v="14.5.Para 2020, conservar al menos el 10% de las zonas marinas y costeras, en armonía con la legislación nacional e internacional y con base en la mejor información científica disponible"/>
    <x v="9"/>
    <s v="SIN ALINEAR"/>
    <s v="Ambiente y Desarrollo Sostenible"/>
  </r>
  <r>
    <s v="R-AO-23-5422"/>
    <s v="Envejecer con calidad: Economía del Cuidado como  Oportunidad de Innovación, Inclusión y Emprendimiento "/>
    <s v="El objetivo del proyecto es apoyar el desarrollo de _x000a_soluciones enfocadas en la formación de _x000a_trabajadores de cuidados, oferta de servicios de _x000a_cuidado o prevención de la dependencia en personas _x000a_mayores."/>
    <d v="2023-08-23T00:00:00"/>
    <d v="2027-08-23T00:00:00"/>
    <x v="11"/>
    <s v="No Reporta"/>
    <s v="Banca Multilateral"/>
    <n v="1150000"/>
    <x v="76"/>
    <s v="Estados Unidos"/>
    <m/>
    <s v="3. Promover una cultura de paz, justicia y lucha contra la desigualdad"/>
    <s v="5.4.Reconocer y valorar el trabajo doméstico y de cuidado no remunerado a través de la provisión de servicios públicos, infraestructura, políticas de protección social y la promoción de la responsabilidad compartida en el hogar y la familia según corresponda a nivel nacional."/>
    <x v="2"/>
    <s v="SIN ALINEAR"/>
    <s v="Salud y Protección Social"/>
  </r>
  <r>
    <s v="R-AO-23-5422"/>
    <s v="Envejecer con calidad: Economía del Cuidado como  Oportunidad de Innovación, Inclusión y Emprendimiento "/>
    <s v="El objetivo del proyecto es apoyar el desarrollo de _x000a_soluciones enfocadas en la formación de _x000a_trabajadores de cuidados, oferta de servicios de _x000a_cuidado o prevención de la dependencia en personas _x000a_mayores."/>
    <d v="2023-08-23T00:00:00"/>
    <d v="2027-08-23T00:00:00"/>
    <x v="11"/>
    <s v="No Reporta"/>
    <s v="ESAL"/>
    <n v="650000"/>
    <x v="77"/>
    <s v="Estados Unidos"/>
    <m/>
    <s v="3. Promover una cultura de paz, justicia y lucha contra la desigualdad"/>
    <s v="5.4.Reconocer y valorar el trabajo doméstico y de cuidado no remunerado a través de la provisión de servicios públicos, infraestructura, políticas de protección social y la promoción de la responsabilidad compartida en el hogar y la familia según corresponda a nivel nacional."/>
    <x v="2"/>
    <s v="SIN ALINEAR"/>
    <s v="Salud y Protección Social"/>
  </r>
  <r>
    <s v="R-AO-23-5422"/>
    <s v="Envejecer con calidad: Economía del Cuidado como  Oportunidad de Innovación, Inclusión y Emprendimiento "/>
    <s v="El objetivo del proyecto es apoyar el desarrollo de _x000a_soluciones enfocadas en la formación de _x000a_trabajadores de cuidados, oferta de servicios de _x000a_cuidado o prevención de la dependencia en personas _x000a_mayores."/>
    <d v="2023-08-23T00:00:00"/>
    <d v="2027-08-23T00:00:00"/>
    <x v="11"/>
    <s v="No Reporta"/>
    <s v="ESAL"/>
    <n v="200000"/>
    <x v="78"/>
    <s v="Estados Unidos"/>
    <m/>
    <s v="3. Promover una cultura de paz, justicia y lucha contra la desigualdad"/>
    <s v="5.4.Reconocer y valorar el trabajo doméstico y de cuidado no remunerado a través de la provisión de servicios públicos, infraestructura, políticas de protección social y la promoción de la responsabilidad compartida en el hogar y la familia según corresponda a nivel nacional."/>
    <x v="2"/>
    <s v="SIN ALINEAR"/>
    <s v="Salud y Protección Social"/>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3"/>
    <s v="Agua de Dios"/>
    <s v="Naciones Unidas"/>
    <n v="6806.2202380952403"/>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3"/>
    <s v="Cabrera"/>
    <s v="Naciones Unidas"/>
    <n v="6806.2202380952403"/>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3"/>
    <s v="Facatativá"/>
    <s v="Naciones Unidas"/>
    <n v="6806.2202380952403"/>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3"/>
    <s v="Pandi"/>
    <s v="Naciones Unidas"/>
    <n v="6806.2202380952403"/>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3"/>
    <s v="Venecia"/>
    <s v="Naciones Unidas"/>
    <n v="6806.2202380952403"/>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3"/>
    <s v="Viotá"/>
    <s v="Naciones Unidas"/>
    <n v="6806.2202380952403"/>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5"/>
    <s v="El Carmen de Bolívar"/>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5"/>
    <s v="Mahates"/>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5"/>
    <s v="San Jacinto"/>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5"/>
    <s v="Turbaco"/>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5"/>
    <s v="Zambrano"/>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9"/>
    <s v="Cunday"/>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9"/>
    <s v="Dolores"/>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9"/>
    <s v="Icononzo"/>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9"/>
    <s v="Planadas"/>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9"/>
    <s v="Prado"/>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
    <s v="Mesetas"/>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
    <s v="San Martín"/>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
    <s v="Uribe"/>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
    <s v="Villavicencio"/>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
    <s v="Vistahermosa"/>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4"/>
    <s v="Chalán"/>
    <s v="Naciones Unidas"/>
    <n v="10209.330357142901"/>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4"/>
    <s v="Los Palmitos"/>
    <s v="Naciones Unidas"/>
    <n v="10209.330357142901"/>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4"/>
    <s v="Morroa"/>
    <s v="Naciones Unidas"/>
    <n v="10209.330357142901"/>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4"/>
    <s v="Ovejas"/>
    <s v="Naciones Unidas"/>
    <n v="10209.330357142901"/>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7"/>
    <s v="Anorí"/>
    <s v="Naciones Unidas"/>
    <n v="10209.330357142901"/>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7"/>
    <s v="Ituango"/>
    <s v="Naciones Unidas"/>
    <n v="10209.330357142901"/>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7"/>
    <s v="Medellín"/>
    <s v="Naciones Unidas"/>
    <n v="10209.330357142901"/>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7"/>
    <s v="Mutatá"/>
    <s v="Naciones Unidas"/>
    <n v="10209.330357142901"/>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17"/>
    <s v="La Montañita"/>
    <s v="Naciones Unidas"/>
    <n v="20418.6607142856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17"/>
    <s v="San Vicente del Caguán"/>
    <s v="Naciones Unidas"/>
    <n v="20418.6607142856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14"/>
    <s v="Algeciras"/>
    <s v="Naciones Unidas"/>
    <n v="20418.6607142856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14"/>
    <s v="Neiva"/>
    <s v="Naciones Unidas"/>
    <n v="20418.6607142856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30"/>
    <s v="Carmen del Darién"/>
    <s v="Naciones Unidas"/>
    <n v="20418.6607142856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30"/>
    <s v="Quibdó"/>
    <s v="Naciones Unidas"/>
    <n v="20418.6607142856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7"/>
    <s v="Pasto"/>
    <s v="Naciones Unidas"/>
    <n v="20418.6607142856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7"/>
    <s v="San Andrés de Tumaco"/>
    <s v="Naciones Unidas"/>
    <n v="20418.6607142856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11"/>
    <s v="Bogotá D.C."/>
    <s v="Naciones Unidas"/>
    <n v="40837.321428571398"/>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19"/>
    <s v="Puerto Asís"/>
    <s v="Naciones Unidas"/>
    <n v="40837.321428571398"/>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15"/>
    <s v="Riosucio"/>
    <s v="Naciones Unidas"/>
    <n v="40837.321428571398"/>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9"/>
    <s v="Dagua"/>
    <s v="Naciones Unidas"/>
    <n v="40837.321428571398"/>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3-5435"/>
    <s v="Comunicación Estratégica y Diplomacia Pública de la Unión Europea en Colombia 2023-2025 No. NDICI LA/2023/  446-501"/>
    <s v="El objetivo general del presente contrato es mejorar el_x000a_perfil y el rol de la Unión Europea como un socio_x000a_estratégico para Colombia y estrechar las relaciones hacia_x000a_un mayor entendimiento, confianza e interés mutuo entre_x000a_ambas partes."/>
    <d v="2023-11-15T00:00:00"/>
    <d v="2026-05-15T00:00:00"/>
    <x v="8"/>
    <s v="No Reporta"/>
    <s v="Unión Europea"/>
    <n v="1621355"/>
    <x v="26"/>
    <s v="Bélgica"/>
    <m/>
    <s v="No Aplica"/>
    <s v="17.1.Fortalecer la movilización de recursos internos, incluyendo a través del apoyo internacional a los países en desarrollo para mejorar la capacidad nacional para la recaudación de impuestos y otros ingresos."/>
    <x v="15"/>
    <s v="SIN ALINEAR"/>
    <s v="Presidencia de la República"/>
  </r>
  <r>
    <s v="R-AO-24-5446"/>
    <s v="Resiliencia al cambio climático con el uso de bioproductos - No. ATN/RF-20638-RG."/>
    <s v="Generar una estrategia para mejorar la producción (+5%) y la resiliencia del cultivo de maíz al cambio climático mediante el uso e integración de hongos benéficos."/>
    <d v="2024-04-16T00:00:00"/>
    <d v="2027-10-16T00:00:00"/>
    <x v="6"/>
    <s v="No Reporta"/>
    <s v="Banca Multilateral"/>
    <n v="45033.3333333332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446"/>
    <s v="Resiliencia al cambio climático con el uso de bioproductos - No. ATN/RF-20638-RG."/>
    <s v="Generar una estrategia para mejorar la producción (+5%) y la resiliencia del cultivo de maíz al cambio climático mediante el uso e integración de hongos benéficos."/>
    <d v="2024-04-16T00:00:00"/>
    <d v="2027-10-16T00:00:00"/>
    <x v="29"/>
    <s v="No Reporta"/>
    <s v="Banca Multilateral"/>
    <n v="45033.3333333332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446"/>
    <s v="Resiliencia al cambio climático con el uso de bioproductos - No. ATN/RF-20638-RG."/>
    <s v="Generar una estrategia para mejorar la producción (+5%) y la resiliencia del cultivo de maíz al cambio climático mediante el uso e integración de hongos benéficos."/>
    <d v="2024-04-16T00:00:00"/>
    <d v="2027-10-16T00:00:00"/>
    <x v="2"/>
    <s v="No Reporta"/>
    <s v="Banca Multilateral"/>
    <n v="45033.3333333332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447"/>
    <s v="SOLNATURA: PROMOVIENDO SOLUCIONES BASADAS EN LA NATURALEZA  PARA UN DESARROLLO TERRITORIAL RESILIENTE, BAJO EN CARBONO Y  BIODIVERSO Fase ii"/>
    <s v="El objetivo general del Proyecto es fortalecer el apoyo financiero para la implementación de soluciones _x000a_basadas en la naturaleza."/>
    <d v="2024-04-11T00:00:00"/>
    <d v="2026-04-14T00:00:00"/>
    <x v="6"/>
    <s v="No Reporta"/>
    <s v="Alemania"/>
    <n v="546720.66666666698"/>
    <x v="63"/>
    <s v="Alemania"/>
    <m/>
    <s v="No Aplica"/>
    <s v="11.a.Apoyar vínculos económicos, sociales y ambientales positivos entre las zonas urbanas, periurbanas y rurales mediante el fortalecimiento de la planificación para el desarrollo nacional y_x000a_regional."/>
    <x v="4"/>
    <s v="SIN ALINEAR"/>
    <s v="Ambiente y Desarrollo Sostenible"/>
  </r>
  <r>
    <s v="R-AO-24-5447"/>
    <s v="SOLNATURA: PROMOVIENDO SOLUCIONES BASADAS EN LA NATURALEZA  PARA UN DESARROLLO TERRITORIAL RESILIENTE, BAJO EN CARBONO Y  BIODIVERSO Fase ii"/>
    <s v="El objetivo general del Proyecto es fortalecer el apoyo financiero para la implementación de soluciones _x000a_basadas en la naturaleza."/>
    <d v="2024-04-11T00:00:00"/>
    <d v="2026-04-14T00:00:00"/>
    <x v="12"/>
    <s v="No Reporta"/>
    <s v="Alemania"/>
    <n v="546720.66666666698"/>
    <x v="63"/>
    <s v="Alemania"/>
    <m/>
    <s v="No Aplica"/>
    <s v="11.a.Apoyar vínculos económicos, sociales y ambientales positivos entre las zonas urbanas, periurbanas y rurales mediante el fortalecimiento de la planificación para el desarrollo nacional y_x000a_regional."/>
    <x v="4"/>
    <s v="SIN ALINEAR"/>
    <s v="Ambiente y Desarrollo Sostenible"/>
  </r>
  <r>
    <s v="R-AO-24-5447"/>
    <s v="SOLNATURA: PROMOVIENDO SOLUCIONES BASADAS EN LA NATURALEZA  PARA UN DESARROLLO TERRITORIAL RESILIENTE, BAJO EN CARBONO Y  BIODIVERSO Fase ii"/>
    <s v="El objetivo general del Proyecto es fortalecer el apoyo financiero para la implementación de soluciones _x000a_basadas en la naturaleza."/>
    <d v="2024-04-11T00:00:00"/>
    <d v="2026-04-14T00:00:00"/>
    <x v="14"/>
    <s v="No Reporta"/>
    <s v="Alemania"/>
    <n v="546720.66666666698"/>
    <x v="63"/>
    <s v="Alemania"/>
    <m/>
    <s v="No Aplica"/>
    <s v="11.a.Apoyar vínculos económicos, sociales y ambientales positivos entre las zonas urbanas, periurbanas y rurales mediante el fortalecimiento de la planificación para el desarrollo nacional y_x000a_regional."/>
    <x v="4"/>
    <s v="SIN ALINEAR"/>
    <s v="Ambiente y Desarrollo Sostenible"/>
  </r>
  <r>
    <s v="R-AO-23-5469"/>
    <s v="Ganadería Sostenible Comunitaria (GSC) una apuesta para la construcción de paz, el mejoramiento de la sostenibilidad, y la competitividad territorial en zonas afectadas por el conflicto en el Departamento del Cauca - GCP /COL/157/SWE -  Cauca Dairy Network"/>
    <s v="La producción lechera del Departamento del Cauca se ha fortalecido, mediante el desarrollo de un modelo de producción sostenible y escalable, que articula los esfuerzos de la cooperación internacional y la empresa privada; como aporte al Plan Nacional de Desarrollo"/>
    <d v="2023-08-01T00:00:00"/>
    <d v="2026-07-31T00:00:00"/>
    <x v="28"/>
    <s v="Cajibío"/>
    <s v="Suecia"/>
    <n v="355821.25"/>
    <x v="79"/>
    <s v="Sue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5469"/>
    <s v="Ganadería Sostenible Comunitaria (GSC) una apuesta para la construcción de paz, el mejoramiento de la sostenibilidad, y la competitividad territorial en zonas afectadas por el conflicto en el Departamento del Cauca - GCP /COL/157/SWE -  Cauca Dairy Network"/>
    <s v="La producción lechera del Departamento del Cauca se ha fortalecido, mediante el desarrollo de un modelo de producción sostenible y escalable, que articula los esfuerzos de la cooperación internacional y la empresa privada; como aporte al Plan Nacional de Desarrollo"/>
    <d v="2023-08-01T00:00:00"/>
    <d v="2026-07-31T00:00:00"/>
    <x v="28"/>
    <s v="Silvia"/>
    <s v="Suecia"/>
    <n v="355821.25"/>
    <x v="79"/>
    <s v="Sue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5469"/>
    <s v="Ganadería Sostenible Comunitaria (GSC) una apuesta para la construcción de paz, el mejoramiento de la sostenibilidad, y la competitividad territorial en zonas afectadas por el conflicto en el Departamento del Cauca - GCP /COL/157/SWE -  Cauca Dairy Network"/>
    <s v="La producción lechera del Departamento del Cauca se ha fortalecido, mediante el desarrollo de un modelo de producción sostenible y escalable, que articula los esfuerzos de la cooperación internacional y la empresa privada; como aporte al Plan Nacional de Desarrollo"/>
    <d v="2023-08-01T00:00:00"/>
    <d v="2026-07-31T00:00:00"/>
    <x v="28"/>
    <s v="Sotara"/>
    <s v="Suecia"/>
    <n v="355821.25"/>
    <x v="79"/>
    <s v="Sue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5469"/>
    <s v="Ganadería Sostenible Comunitaria (GSC) una apuesta para la construcción de paz, el mejoramiento de la sostenibilidad, y la competitividad territorial en zonas afectadas por el conflicto en el Departamento del Cauca - GCP /COL/157/SWE -  Cauca Dairy Network"/>
    <s v="La producción lechera del Departamento del Cauca se ha fortalecido, mediante el desarrollo de un modelo de producción sostenible y escalable, que articula los esfuerzos de la cooperación internacional y la empresa privada; como aporte al Plan Nacional de Desarrollo"/>
    <d v="2023-08-01T00:00:00"/>
    <d v="2026-07-31T00:00:00"/>
    <x v="28"/>
    <s v="Totoró"/>
    <s v="Suecia"/>
    <n v="355821.25"/>
    <x v="79"/>
    <s v="Sue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2-5491"/>
    <s v="AMAZONiA + "/>
    <s v="Fortalecer la prevención de la deforestación y degradación forestal en la Selva Amazónica en cooperación con pueblos indígenas y comunidades locales"/>
    <d v="2022-02-01T00:00:00"/>
    <d v="2027-02-01T00:00:00"/>
    <x v="24"/>
    <s v="No Reporta"/>
    <s v="Unión Europea"/>
    <n v="9915626"/>
    <x v="26"/>
    <s v="Bélgic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5491"/>
    <s v="AMAZONiA + "/>
    <s v="Fortalecer la prevención de la deforestación y degradación forestal en la Selva Amazónica en cooperación con pueblos indígenas y comunidades locales"/>
    <d v="2022-02-01T00:00:00"/>
    <d v="2027-02-01T00:00:00"/>
    <x v="19"/>
    <s v="No Reporta"/>
    <s v="Unión Europea"/>
    <n v="9915626"/>
    <x v="26"/>
    <s v="Bélgic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5495"/>
    <s v="ProDefensoras II. WOMEN LEADERS AND DEFENDERS PREVENTION AND PROTECTION PROGRAMME ASIGNACIÓN 2023 (Women Leaders and Defenders Prevention and Protection Programme -PHAse II) - 2000248"/>
    <s v=" avanzar en la consolidación de una estrategia territorial e integral de mitigación de riesgos para las Defensoras de Derechos Humanos, incluyendo firmantes de paz, y de protección para ellas y su tejido asociativo desde una perspectiva preventiva y sostenible, que incluya un rol más decidido de las entidades con competencia, no sólo la Defensoría del Pueblo como la entidad nacional de derechos humanos, sino también otras entidades que serán parte de la respuesta estatal en materia de prevención y protección en el marco de la política de paz total del nuevo gobierno. "/>
    <d v="2023-04-25T00:00:00"/>
    <d v="2026-03-21T00:00:00"/>
    <x v="7"/>
    <s v="No Reporta"/>
    <s v="Noruega"/>
    <n v="1231113"/>
    <x v="80"/>
    <s v="Noruega"/>
    <m/>
    <s v="3. Promover una cultura de paz, justicia y lucha contra la desigualdad"/>
    <s v="5.2.Eliminar todas las formas de violencia contra las mujeres y las niñas en las esferas públicas y privadas, incluyendo el tráfico sexual y otros tipos de explotación."/>
    <x v="2"/>
    <s v="SIN ALINEAR"/>
    <s v="Interior"/>
  </r>
  <r>
    <s v="R-AO-23-5495"/>
    <s v="ProDefensoras II. WOMEN LEADERS AND DEFENDERS PREVENTION AND PROTECTION PROGRAMME ASIGNACIÓN 2023 (Women Leaders and Defenders Prevention and Protection Programme -PHAse II) - 2000248"/>
    <s v=" avanzar en la consolidación de una estrategia territorial e integral de mitigación de riesgos para las Defensoras de Derechos Humanos, incluyendo firmantes de paz, y de protección para ellas y su tejido asociativo desde una perspectiva preventiva y sostenible, que incluya un rol más decidido de las entidades con competencia, no sólo la Defensoría del Pueblo como la entidad nacional de derechos humanos, sino también otras entidades que serán parte de la respuesta estatal en materia de prevención y protección en el marco de la política de paz total del nuevo gobierno. "/>
    <d v="2023-04-25T00:00:00"/>
    <d v="2026-03-21T00:00:00"/>
    <x v="28"/>
    <s v="No Reporta"/>
    <s v="Noruega"/>
    <n v="1231113"/>
    <x v="80"/>
    <s v="Noruega"/>
    <m/>
    <s v="3. Promover una cultura de paz, justicia y lucha contra la desigualdad"/>
    <s v="5.2.Eliminar todas las formas de violencia contra las mujeres y las niñas en las esferas públicas y privadas, incluyendo el tráfico sexual y otros tipos de explotación."/>
    <x v="2"/>
    <s v="SIN ALINEAR"/>
    <s v="Interior"/>
  </r>
  <r>
    <s v="R-AO-23-5495"/>
    <s v="ProDefensoras II. WOMEN LEADERS AND DEFENDERS PREVENTION AND PROTECTION PROGRAMME ASIGNACIÓN 2023 (Women Leaders and Defenders Prevention and Protection Programme -PHAse II) - 2000248"/>
    <s v=" avanzar en la consolidación de una estrategia territorial e integral de mitigación de riesgos para las Defensoras de Derechos Humanos, incluyendo firmantes de paz, y de protección para ellas y su tejido asociativo desde una perspectiva preventiva y sostenible, que incluya un rol más decidido de las entidades con competencia, no sólo la Defensoría del Pueblo como la entidad nacional de derechos humanos, sino también otras entidades que serán parte de la respuesta estatal en materia de prevención y protección en el marco de la política de paz total del nuevo gobierno. "/>
    <d v="2023-04-25T00:00:00"/>
    <d v="2026-03-21T00:00:00"/>
    <x v="30"/>
    <s v="No Reporta"/>
    <s v="Noruega"/>
    <n v="1231113"/>
    <x v="80"/>
    <s v="Noruega"/>
    <m/>
    <s v="3. Promover una cultura de paz, justicia y lucha contra la desigualdad"/>
    <s v="5.2.Eliminar todas las formas de violencia contra las mujeres y las niñas en las esferas públicas y privadas, incluyendo el tráfico sexual y otros tipos de explotación."/>
    <x v="2"/>
    <s v="SIN ALINEAR"/>
    <s v="Interior"/>
  </r>
  <r>
    <s v="R-AO-23-5495"/>
    <s v="ProDefensoras II. WOMEN LEADERS AND DEFENDERS PREVENTION AND PROTECTION PROGRAMME ASIGNACIÓN 2023 (Women Leaders and Defenders Prevention and Protection Programme -PHAse II) - 2000248"/>
    <s v=" avanzar en la consolidación de una estrategia territorial e integral de mitigación de riesgos para las Defensoras de Derechos Humanos, incluyendo firmantes de paz, y de protección para ellas y su tejido asociativo desde una perspectiva preventiva y sostenible, que incluya un rol más decidido de las entidades con competencia, no sólo la Defensoría del Pueblo como la entidad nacional de derechos humanos, sino también otras entidades que serán parte de la respuesta estatal en materia de prevención y protección en el marco de la política de paz total del nuevo gobierno. "/>
    <d v="2023-04-25T00:00:00"/>
    <d v="2026-03-21T00:00:00"/>
    <x v="27"/>
    <s v="No Reporta"/>
    <s v="Noruega"/>
    <n v="1231113"/>
    <x v="80"/>
    <s v="Noruega"/>
    <m/>
    <s v="3. Promover una cultura de paz, justicia y lucha contra la desigualdad"/>
    <s v="5.2.Eliminar todas las formas de violencia contra las mujeres y las niñas en las esferas públicas y privadas, incluyendo el tráfico sexual y otros tipos de explotación."/>
    <x v="2"/>
    <s v="SIN ALINEAR"/>
    <s v="Interior"/>
  </r>
  <r>
    <s v="R-AO-23-5512"/>
    <s v="Mujeres latinoamericanas y del caribe fortalecen su ciudadanía para la participación política y el liderazgo: una apuesta formativa desde la intersectorialidad, los feminismos y la educación popular. Exp 2023Qde00094"/>
    <s v="Impulsar procesos e iniciativas que contribuyan a promover la participación política plena, el liderazgo activo, efectivo y la igualdad de oportunidades para las mujeres en sus diversidades, en América Latina y el Caribe desde un enfoque interseccional y feminista._x000a__x000a__x000a__x000a__x000a__x000a__x000a_"/>
    <d v="2023-10-27T00:00:00"/>
    <d v="2026-06-27T00:00:00"/>
    <x v="8"/>
    <s v="Ámbito Nacional"/>
    <s v="España"/>
    <n v="364239"/>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20"/>
    <s v="No Reporta"/>
    <s v="España"/>
    <n v="76219.833333333299"/>
    <x v="27"/>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7"/>
    <s v="No Reporta"/>
    <s v="España"/>
    <n v="76219.833333333299"/>
    <x v="27"/>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28"/>
    <s v="No Reporta"/>
    <s v="España"/>
    <n v="76219.833333333299"/>
    <x v="27"/>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30"/>
    <s v="No Reporta"/>
    <s v="España"/>
    <n v="76219.833333333299"/>
    <x v="27"/>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27"/>
    <s v="No Reporta"/>
    <s v="España"/>
    <n v="76219.833333333299"/>
    <x v="27"/>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9"/>
    <s v="No Reporta"/>
    <s v="España"/>
    <n v="76219.833333333299"/>
    <x v="27"/>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20"/>
    <s v="No Reporta"/>
    <s v="ESAL"/>
    <n v="3409.3333333333298"/>
    <x v="81"/>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7"/>
    <s v="No Reporta"/>
    <s v="ESAL"/>
    <n v="3409.3333333333298"/>
    <x v="81"/>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28"/>
    <s v="No Reporta"/>
    <s v="ESAL"/>
    <n v="3409.3333333333298"/>
    <x v="81"/>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30"/>
    <s v="No Reporta"/>
    <s v="ESAL"/>
    <n v="3409.3333333333298"/>
    <x v="81"/>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27"/>
    <s v="No Reporta"/>
    <s v="ESAL"/>
    <n v="3409.3333333333298"/>
    <x v="81"/>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9"/>
    <s v="No Reporta"/>
    <s v="ESAL"/>
    <n v="3409.3333333333298"/>
    <x v="81"/>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4-5519"/>
    <s v="Agricultura Tropical 4.0: Gestión Eficiente del Agua - No. ATN/RF-20634-RG."/>
    <s v="Incrementar el uso eficiente del agua aplicando tecnologías de Agricultura 4.0 en cultivos tropicales de importancia comercial y social."/>
    <d v="2024-04-16T00:00:00"/>
    <d v="2027-10-16T00:00:00"/>
    <x v="9"/>
    <s v="Bolívar"/>
    <s v="Banca Multilateral"/>
    <n v="22446.1428571428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19"/>
    <s v="Agricultura Tropical 4.0: Gestión Eficiente del Agua - No. ATN/RF-20634-RG."/>
    <s v="Incrementar el uso eficiente del agua aplicando tecnologías de Agricultura 4.0 en cultivos tropicales de importancia comercial y social."/>
    <d v="2024-04-16T00:00:00"/>
    <d v="2027-10-16T00:00:00"/>
    <x v="9"/>
    <s v="la Unión"/>
    <s v="Banca Multilateral"/>
    <n v="22446.1428571428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19"/>
    <s v="Agricultura Tropical 4.0: Gestión Eficiente del Agua - No. ATN/RF-20634-RG."/>
    <s v="Incrementar el uso eficiente del agua aplicando tecnologías de Agricultura 4.0 en cultivos tropicales de importancia comercial y social."/>
    <d v="2024-04-16T00:00:00"/>
    <d v="2027-10-16T00:00:00"/>
    <x v="9"/>
    <s v="la Victoria"/>
    <s v="Banca Multilateral"/>
    <n v="22446.1428571428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19"/>
    <s v="Agricultura Tropical 4.0: Gestión Eficiente del Agua - No. ATN/RF-20634-RG."/>
    <s v="Incrementar el uso eficiente del agua aplicando tecnologías de Agricultura 4.0 en cultivos tropicales de importancia comercial y social."/>
    <d v="2024-04-16T00:00:00"/>
    <d v="2027-10-16T00:00:00"/>
    <x v="9"/>
    <s v="Obando"/>
    <s v="Banca Multilateral"/>
    <n v="22446.1428571428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19"/>
    <s v="Agricultura Tropical 4.0: Gestión Eficiente del Agua - No. ATN/RF-20634-RG."/>
    <s v="Incrementar el uso eficiente del agua aplicando tecnologías de Agricultura 4.0 en cultivos tropicales de importancia comercial y social."/>
    <d v="2024-04-16T00:00:00"/>
    <d v="2027-10-16T00:00:00"/>
    <x v="9"/>
    <s v="Roldanillo"/>
    <s v="Banca Multilateral"/>
    <n v="22446.1428571428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19"/>
    <s v="Agricultura Tropical 4.0: Gestión Eficiente del Agua - No. ATN/RF-20634-RG."/>
    <s v="Incrementar el uso eficiente del agua aplicando tecnologías de Agricultura 4.0 en cultivos tropicales de importancia comercial y social."/>
    <d v="2024-04-16T00:00:00"/>
    <d v="2027-10-16T00:00:00"/>
    <x v="9"/>
    <s v="Toro"/>
    <s v="Banca Multilateral"/>
    <n v="22446.1428571428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19"/>
    <s v="Agricultura Tropical 4.0: Gestión Eficiente del Agua - No. ATN/RF-20634-RG."/>
    <s v="Incrementar el uso eficiente del agua aplicando tecnologías de Agricultura 4.0 en cultivos tropicales de importancia comercial y social."/>
    <d v="2024-04-16T00:00:00"/>
    <d v="2027-10-16T00:00:00"/>
    <x v="9"/>
    <s v="Zarzal"/>
    <s v="Banca Multilateral"/>
    <n v="22446.1428571428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20"/>
    <s v="Innovaciones para Reducir Emisiones de Metano en Rumiantes - No. ATN/RF-20637-RG."/>
    <s v="Disminuir un 10% la intensidad de emisión (g de CO2Eq/kg Carne) en sistemas de producción bovina a través de la implementación de innovaciones tecnológicas desarrolladas en América Latina para la cuantificación y mitigación de emisiones de gases de efecto invernadero."/>
    <d v="2024-04-16T00:00:00"/>
    <d v="2027-10-16T00:00:00"/>
    <x v="6"/>
    <s v="No Reporta"/>
    <s v="Banca Multilateral"/>
    <n v="42538.666666666701"/>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20"/>
    <s v="Innovaciones para Reducir Emisiones de Metano en Rumiantes - No. ATN/RF-20637-RG."/>
    <s v="Disminuir un 10% la intensidad de emisión (g de CO2Eq/kg Carne) en sistemas de producción bovina a través de la implementación de innovaciones tecnológicas desarrolladas en América Latina para la cuantificación y mitigación de emisiones de gases de efecto invernadero."/>
    <d v="2024-04-16T00:00:00"/>
    <d v="2027-10-16T00:00:00"/>
    <x v="23"/>
    <s v="No Reporta"/>
    <s v="Banca Multilateral"/>
    <n v="42538.666666666701"/>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20"/>
    <s v="Innovaciones para Reducir Emisiones de Metano en Rumiantes - No. ATN/RF-20637-RG."/>
    <s v="Disminuir un 10% la intensidad de emisión (g de CO2Eq/kg Carne) en sistemas de producción bovina a través de la implementación de innovaciones tecnológicas desarrolladas en América Latina para la cuantificación y mitigación de emisiones de gases de efecto invernadero."/>
    <d v="2024-04-16T00:00:00"/>
    <d v="2027-10-16T00:00:00"/>
    <x v="7"/>
    <s v="No Reporta"/>
    <s v="Banca Multilateral"/>
    <n v="42538.666666666701"/>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3-5521"/>
    <s v="Protección, asistencia humanitaria y gestión de riesgo de desastres (GRD) con un enfoque multi afectación en los departamentos del Chocó y Arauca (Colombia). Expediente No 2023/ACHU/000050"/>
    <s v="&quot;Contribuir a la restitución de derechos de población víctima de multiafectación en Chocó-Arauca&quot;_x000a__x000a__x000a__x000a__x000a__x000a__x000a_"/>
    <d v="2023-11-13T00:00:00"/>
    <d v="2026-02-13T00:00:00"/>
    <x v="28"/>
    <s v="No Reporta"/>
    <s v="España"/>
    <n v="427679.5"/>
    <x v="27"/>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3-5521"/>
    <s v="Protección, asistencia humanitaria y gestión de riesgo de desastres (GRD) con un enfoque multi afectación en los departamentos del Chocó y Arauca (Colombia). Expediente No 2023/ACHU/000050"/>
    <s v="&quot;Contribuir a la restitución de derechos de población víctima de multiafectación en Chocó-Arauca&quot;_x000a__x000a__x000a__x000a__x000a__x000a__x000a_"/>
    <d v="2023-11-13T00:00:00"/>
    <d v="2026-02-13T00:00:00"/>
    <x v="30"/>
    <s v="No Reporta"/>
    <s v="España"/>
    <n v="427679.5"/>
    <x v="27"/>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3-5521"/>
    <s v="Protección, asistencia humanitaria y gestión de riesgo de desastres (GRD) con un enfoque multi afectación en los departamentos del Chocó y Arauca (Colombia). Expediente No 2023/ACHU/000050"/>
    <s v="&quot;Contribuir a la restitución de derechos de población víctima de multiafectación en Chocó-Arauca&quot;_x000a__x000a__x000a__x000a__x000a__x000a__x000a_"/>
    <d v="2023-11-13T00:00:00"/>
    <d v="2026-02-13T00:00:00"/>
    <x v="28"/>
    <s v="No Reporta"/>
    <s v="ESAL"/>
    <n v="47525.5"/>
    <x v="82"/>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3-5521"/>
    <s v="Protección, asistencia humanitaria y gestión de riesgo de desastres (GRD) con un enfoque multi afectación en los departamentos del Chocó y Arauca (Colombia). Expediente No 2023/ACHU/000050"/>
    <s v="&quot;Contribuir a la restitución de derechos de población víctima de multiafectación en Chocó-Arauca&quot;_x000a__x000a__x000a__x000a__x000a__x000a__x000a_"/>
    <d v="2023-11-13T00:00:00"/>
    <d v="2026-02-13T00:00:00"/>
    <x v="30"/>
    <s v="No Reporta"/>
    <s v="ESAL"/>
    <n v="47525.5"/>
    <x v="82"/>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Acevedo"/>
    <s v="Empresas"/>
    <n v="46572.714285714297"/>
    <x v="83"/>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Garzón"/>
    <s v="Empresas"/>
    <n v="46572.714285714297"/>
    <x v="83"/>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Gigante"/>
    <s v="Empresas"/>
    <n v="46572.714285714297"/>
    <x v="83"/>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Oporapa"/>
    <s v="Empresas"/>
    <n v="46572.714285714297"/>
    <x v="83"/>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Pitalito"/>
    <s v="Empresas"/>
    <n v="46572.714285714297"/>
    <x v="83"/>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San Agustín"/>
    <s v="Empresas"/>
    <n v="46572.714285714297"/>
    <x v="83"/>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Timaná"/>
    <s v="Empresas"/>
    <n v="46572.714285714297"/>
    <x v="83"/>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Acevedo"/>
    <s v="Empresas"/>
    <n v="34823"/>
    <x v="84"/>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Garzón"/>
    <s v="Empresas"/>
    <n v="34823"/>
    <x v="84"/>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Gigante"/>
    <s v="Empresas"/>
    <n v="34823"/>
    <x v="84"/>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Oporapa"/>
    <s v="Empresas"/>
    <n v="34823"/>
    <x v="84"/>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Pitalito"/>
    <s v="Empresas"/>
    <n v="34823"/>
    <x v="84"/>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San Agustín"/>
    <s v="Empresas"/>
    <n v="34823"/>
    <x v="84"/>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Timaná"/>
    <s v="Empresas"/>
    <n v="34823"/>
    <x v="84"/>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4"/>
    <s v="Jóvenes constructores de una cultura de reconciliación y paz Fase 3.  No 226-003-1054ZG"/>
    <s v="Jóvenes como agentes de cambio inciden local y regionalmente en la construcción de una cultura de reconciliación y de paz."/>
    <d v="2023-07-01T00:00:00"/>
    <d v="2027-06-30T00:00:00"/>
    <x v="12"/>
    <s v="Barrancabermeja"/>
    <s v="ESAL"/>
    <n v="52918.166666666701"/>
    <x v="85"/>
    <s v="Alemania"/>
    <m/>
    <s v="3. Promover una cultura de paz, justicia y lucha contra la desigualdad"/>
    <s v="16.7.Garantizar la toma de decisiones receptiva, inclusiva, participativa y representativa en todos los niveles."/>
    <x v="7"/>
    <s v="SIN ALINEAR"/>
    <s v="Presidencia de la República"/>
  </r>
  <r>
    <s v="R-FP-23-5524"/>
    <s v="Jóvenes constructores de una cultura de reconciliación y paz Fase 3.  No 226-003-1054ZG"/>
    <s v="Jóvenes como agentes de cambio inciden local y regionalmente en la construcción de una cultura de reconciliación y de paz."/>
    <d v="2023-07-01T00:00:00"/>
    <d v="2027-06-30T00:00:00"/>
    <x v="12"/>
    <s v="Cimitarra"/>
    <s v="ESAL"/>
    <n v="52918.166666666701"/>
    <x v="85"/>
    <s v="Alemania"/>
    <m/>
    <s v="3. Promover una cultura de paz, justicia y lucha contra la desigualdad"/>
    <s v="16.7.Garantizar la toma de decisiones receptiva, inclusiva, participativa y representativa en todos los niveles."/>
    <x v="7"/>
    <s v="SIN ALINEAR"/>
    <s v="Presidencia de la República"/>
  </r>
  <r>
    <s v="R-FP-23-5524"/>
    <s v="Jóvenes constructores de una cultura de reconciliación y paz Fase 3.  No 226-003-1054ZG"/>
    <s v="Jóvenes como agentes de cambio inciden local y regionalmente en la construcción de una cultura de reconciliación y de paz."/>
    <d v="2023-07-01T00:00:00"/>
    <d v="2027-06-30T00:00:00"/>
    <x v="12"/>
    <s v="Puerto Parra"/>
    <s v="ESAL"/>
    <n v="52918.166666666701"/>
    <x v="85"/>
    <s v="Alemania"/>
    <m/>
    <s v="3. Promover una cultura de paz, justicia y lucha contra la desigualdad"/>
    <s v="16.7.Garantizar la toma de decisiones receptiva, inclusiva, participativa y representativa en todos los niveles."/>
    <x v="7"/>
    <s v="SIN ALINEAR"/>
    <s v="Presidencia de la República"/>
  </r>
  <r>
    <s v="R-FP-23-5524"/>
    <s v="Jóvenes constructores de una cultura de reconciliación y paz Fase 3.  No 226-003-1054ZG"/>
    <s v="Jóvenes como agentes de cambio inciden local y regionalmente en la construcción de una cultura de reconciliación y de paz."/>
    <d v="2023-07-01T00:00:00"/>
    <d v="2027-06-30T00:00:00"/>
    <x v="7"/>
    <s v="Puerto Berrío"/>
    <s v="ESAL"/>
    <n v="79377.25"/>
    <x v="85"/>
    <s v="Alemania"/>
    <m/>
    <s v="3. Promover una cultura de paz, justicia y lucha contra la desigualdad"/>
    <s v="16.7.Garantizar la toma de decisiones receptiva, inclusiva, participativa y representativa en todos los niveles."/>
    <x v="7"/>
    <s v="SIN ALINEAR"/>
    <s v="Presidencia de la República"/>
  </r>
  <r>
    <s v="R-FP-23-5524"/>
    <s v="Jóvenes constructores de una cultura de reconciliación y paz Fase 3.  No 226-003-1054ZG"/>
    <s v="Jóvenes como agentes de cambio inciden local y regionalmente en la construcción de una cultura de reconciliación y de paz."/>
    <d v="2023-07-01T00:00:00"/>
    <d v="2027-06-30T00:00:00"/>
    <x v="7"/>
    <s v="Yondó"/>
    <s v="ESAL"/>
    <n v="79377.25"/>
    <x v="85"/>
    <s v="Alemania"/>
    <m/>
    <s v="3. Promover una cultura de paz, justicia y lucha contra la desigualdad"/>
    <s v="16.7.Garantizar la toma de decisiones receptiva, inclusiva, participativa y representativa en todos los niveles."/>
    <x v="7"/>
    <s v="SIN ALINEAR"/>
    <s v="Presidencia de la República"/>
  </r>
  <r>
    <s v="R-AO-24-5527"/>
    <s v="Conservación y recuperación de los ecosistemas naturales mediante el fortalecimiento del turismo ecológico y comunitario en la Región Pacífico. EXP. 2024QDE00031"/>
    <s v="Contribuir a la protección, conservación y restauración de la biodiversidad en comunidades del pacifico colombiano que desarrollan actividades de turismo ecológico y comunitario."/>
    <d v="2024-04-17T00:00:00"/>
    <d v="2026-10-16T00:00:00"/>
    <x v="9"/>
    <s v="Buenaventura"/>
    <s v="España"/>
    <n v="39892.4375"/>
    <x v="27"/>
    <s v="Españ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5527"/>
    <s v="Conservación y recuperación de los ecosistemas naturales mediante el fortalecimiento del turismo ecológico y comunitario en la Región Pacífico. EXP. 2024QDE00031"/>
    <s v="Contribuir a la protección, conservación y restauración de la biodiversidad en comunidades del pacifico colombiano que desarrollan actividades de turismo ecológico y comunitario."/>
    <d v="2024-04-17T00:00:00"/>
    <d v="2026-10-16T00:00:00"/>
    <x v="9"/>
    <s v="Guadalajara de Buga"/>
    <s v="España"/>
    <n v="39892.4375"/>
    <x v="27"/>
    <s v="Españ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5527"/>
    <s v="Conservación y recuperación de los ecosistemas naturales mediante el fortalecimiento del turismo ecológico y comunitario en la Región Pacífico. EXP. 2024QDE00031"/>
    <s v="Contribuir a la protección, conservación y restauración de la biodiversidad en comunidades del pacifico colombiano que desarrollan actividades de turismo ecológico y comunitario."/>
    <d v="2024-04-17T00:00:00"/>
    <d v="2026-10-16T00:00:00"/>
    <x v="9"/>
    <s v="Vijes"/>
    <s v="España"/>
    <n v="39892.4375"/>
    <x v="27"/>
    <s v="Españ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5527"/>
    <s v="Conservación y recuperación de los ecosistemas naturales mediante el fortalecimiento del turismo ecológico y comunitario en la Región Pacífico. EXP. 2024QDE00031"/>
    <s v="Contribuir a la protección, conservación y restauración de la biodiversidad en comunidades del pacifico colombiano que desarrollan actividades de turismo ecológico y comunitario."/>
    <d v="2024-04-17T00:00:00"/>
    <d v="2026-10-16T00:00:00"/>
    <x v="9"/>
    <s v="Yotoco"/>
    <s v="España"/>
    <n v="39892.4375"/>
    <x v="27"/>
    <s v="Españ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5527"/>
    <s v="Conservación y recuperación de los ecosistemas naturales mediante el fortalecimiento del turismo ecológico y comunitario en la Región Pacífico. EXP. 2024QDE00031"/>
    <s v="Contribuir a la protección, conservación y restauración de la biodiversidad en comunidades del pacifico colombiano que desarrollan actividades de turismo ecológico y comunitario."/>
    <d v="2024-04-17T00:00:00"/>
    <d v="2026-10-16T00:00:00"/>
    <x v="27"/>
    <s v="Pasto"/>
    <s v="España"/>
    <n v="79784.875"/>
    <x v="27"/>
    <s v="Españ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5527"/>
    <s v="Conservación y recuperación de los ecosistemas naturales mediante el fortalecimiento del turismo ecológico y comunitario en la Región Pacífico. EXP. 2024QDE00031"/>
    <s v="Contribuir a la protección, conservación y restauración de la biodiversidad en comunidades del pacifico colombiano que desarrollan actividades de turismo ecológico y comunitario."/>
    <d v="2024-04-17T00:00:00"/>
    <d v="2026-10-16T00:00:00"/>
    <x v="27"/>
    <s v="San Andrés de Tumaco"/>
    <s v="España"/>
    <n v="79784.875"/>
    <x v="27"/>
    <s v="Españ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5527"/>
    <s v="Conservación y recuperación de los ecosistemas naturales mediante el fortalecimiento del turismo ecológico y comunitario en la Región Pacífico. EXP. 2024QDE00031"/>
    <s v="Contribuir a la protección, conservación y restauración de la biodiversidad en comunidades del pacifico colombiano que desarrollan actividades de turismo ecológico y comunitario."/>
    <d v="2024-04-17T00:00:00"/>
    <d v="2026-10-16T00:00:00"/>
    <x v="28"/>
    <s v="Guapí"/>
    <s v="España"/>
    <n v="159569.75"/>
    <x v="27"/>
    <s v="Españ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5527"/>
    <s v="Conservación y recuperación de los ecosistemas naturales mediante el fortalecimiento del turismo ecológico y comunitario en la Región Pacífico. EXP. 2024QDE00031"/>
    <s v="Contribuir a la protección, conservación y restauración de la biodiversidad en comunidades del pacifico colombiano que desarrollan actividades de turismo ecológico y comunitario."/>
    <d v="2024-04-17T00:00:00"/>
    <d v="2026-10-16T00:00:00"/>
    <x v="30"/>
    <s v="Nuquí"/>
    <s v="España"/>
    <n v="159569.75"/>
    <x v="27"/>
    <s v="Españ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16"/>
    <s v="No Reporta"/>
    <s v="España"/>
    <n v="44641.5"/>
    <x v="27"/>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20"/>
    <s v="No Reporta"/>
    <s v="España"/>
    <n v="44641.5"/>
    <x v="27"/>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28"/>
    <s v="No Reporta"/>
    <s v="España"/>
    <n v="44641.5"/>
    <x v="27"/>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30"/>
    <s v="No Reporta"/>
    <s v="España"/>
    <n v="44641.5"/>
    <x v="27"/>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27"/>
    <s v="No Reporta"/>
    <s v="España"/>
    <n v="44641.5"/>
    <x v="27"/>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9"/>
    <s v="No Reporta"/>
    <s v="España"/>
    <n v="44641.5"/>
    <x v="27"/>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16"/>
    <s v="No Reporta"/>
    <s v="ESAL"/>
    <n v="8928.1666666666697"/>
    <x v="86"/>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20"/>
    <s v="No Reporta"/>
    <s v="ESAL"/>
    <n v="8928.1666666666697"/>
    <x v="86"/>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28"/>
    <s v="No Reporta"/>
    <s v="ESAL"/>
    <n v="8928.1666666666697"/>
    <x v="86"/>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30"/>
    <s v="No Reporta"/>
    <s v="ESAL"/>
    <n v="8928.1666666666697"/>
    <x v="86"/>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27"/>
    <s v="No Reporta"/>
    <s v="ESAL"/>
    <n v="8928.1666666666697"/>
    <x v="86"/>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9"/>
    <s v="No Reporta"/>
    <s v="ESAL"/>
    <n v="8928.1666666666697"/>
    <x v="86"/>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3-5530"/>
    <s v="Protección comunitaria e institucional con enfoque étnico frente a la VdG para personas con discapacidad y diversidad sexual y de género. Exp 2023/PRYC/000571"/>
    <s v="Contribuir al derecho a una vida libre de violencia en Tumaco, Barbacoas y Buenaventura (Colombia)"/>
    <d v="2023-11-17T00:00:00"/>
    <d v="2026-01-17T00:00:00"/>
    <x v="27"/>
    <s v="Barbacoas"/>
    <s v="España"/>
    <n v="217779.75"/>
    <x v="27"/>
    <s v="Españ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3-5530"/>
    <s v="Protección comunitaria e institucional con enfoque étnico frente a la VdG para personas con discapacidad y diversidad sexual y de género. Exp 2023/PRYC/000571"/>
    <s v="Contribuir al derecho a una vida libre de violencia en Tumaco, Barbacoas y Buenaventura (Colombia)"/>
    <d v="2023-11-17T00:00:00"/>
    <d v="2026-01-17T00:00:00"/>
    <x v="27"/>
    <s v="San Andrés de Tumaco"/>
    <s v="España"/>
    <n v="217779.75"/>
    <x v="27"/>
    <s v="Españ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3-5530"/>
    <s v="Protección comunitaria e institucional con enfoque étnico frente a la VdG para personas con discapacidad y diversidad sexual y de género. Exp 2023/PRYC/000571"/>
    <s v="Contribuir al derecho a una vida libre de violencia en Tumaco, Barbacoas y Buenaventura (Colombia)"/>
    <d v="2023-11-17T00:00:00"/>
    <d v="2026-01-17T00:00:00"/>
    <x v="9"/>
    <s v="Buenaventura"/>
    <s v="España"/>
    <n v="435559.5"/>
    <x v="27"/>
    <s v="Españ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Argelia"/>
    <s v="España"/>
    <n v="53172.916666666701"/>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Caldono"/>
    <s v="España"/>
    <n v="53172.916666666701"/>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Miranda"/>
    <s v="España"/>
    <n v="53172.916666666701"/>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Santander de Quilichao"/>
    <s v="España"/>
    <n v="53172.916666666701"/>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Bolívar"/>
    <s v="España"/>
    <n v="70897.222222222204"/>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Dagua"/>
    <s v="España"/>
    <n v="70897.222222222204"/>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Guacarí"/>
    <s v="España"/>
    <n v="70897.222222222204"/>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7"/>
    <s v="El Tambo"/>
    <s v="España"/>
    <n v="106345.83333333299"/>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7"/>
    <s v="San Andrés de Tumaco"/>
    <s v="España"/>
    <n v="106345.83333333299"/>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Argelia"/>
    <s v="ESAL"/>
    <n v="2436"/>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Caldono"/>
    <s v="ESAL"/>
    <n v="2436"/>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Miranda"/>
    <s v="ESAL"/>
    <n v="2436"/>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Santander de Quilichao"/>
    <s v="ESAL"/>
    <n v="2436"/>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Bolívar"/>
    <s v="ESAL"/>
    <n v="3248"/>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Dagua"/>
    <s v="ESAL"/>
    <n v="3248"/>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Guacarí"/>
    <s v="ESAL"/>
    <n v="3248"/>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7"/>
    <s v="El Tambo"/>
    <s v="ESAL"/>
    <n v="4872"/>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7"/>
    <s v="San Andrés de Tumaco"/>
    <s v="ESAL"/>
    <n v="4872"/>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Argelia"/>
    <s v="ESAL"/>
    <n v="12694.75"/>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Caldono"/>
    <s v="ESAL"/>
    <n v="12694.75"/>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Miranda"/>
    <s v="ESAL"/>
    <n v="12694.75"/>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Santander de Quilichao"/>
    <s v="ESAL"/>
    <n v="12694.75"/>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Bolívar"/>
    <s v="ESAL"/>
    <n v="16926.333333333299"/>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Dagua"/>
    <s v="ESAL"/>
    <n v="16926.333333333299"/>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Guacarí"/>
    <s v="ESAL"/>
    <n v="16926.333333333299"/>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7"/>
    <s v="El Tambo"/>
    <s v="ESAL"/>
    <n v="25389.5"/>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7"/>
    <s v="San Andrés de Tumaco"/>
    <s v="ESAL"/>
    <n v="25389.5"/>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Argelia"/>
    <s v="ESAL"/>
    <n v="1956.75"/>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Caldono"/>
    <s v="ESAL"/>
    <n v="1956.75"/>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Miranda"/>
    <s v="ESAL"/>
    <n v="1956.75"/>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Santander de Quilichao"/>
    <s v="ESAL"/>
    <n v="1956.75"/>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Bolívar"/>
    <s v="ESAL"/>
    <n v="2609"/>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Dagua"/>
    <s v="ESAL"/>
    <n v="2609"/>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Guacarí"/>
    <s v="ESAL"/>
    <n v="2609"/>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7"/>
    <s v="El Tambo"/>
    <s v="ESAL"/>
    <n v="3913.5"/>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7"/>
    <s v="San Andrés de Tumaco"/>
    <s v="ESAL"/>
    <n v="3913.5"/>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4-5534"/>
    <s v="Fortalecimiento productivo y comercial del proceso artesanal de tejido en lana de las mujeres tejedoras de Cumbal, Nariño"/>
    <s v="El objetivo general del Proyecto es fortalecer la capacidad productiva y comercial de las _x000a_mujeres tejedoras de la etnia Pastos, del Resguardo Cumbal, ubicado en el Departamento _x000a_de Nariño, Colombia, para promover su empoderamiento e inclusión socioeconómica"/>
    <d v="2024-05-07T00:00:00"/>
    <d v="2026-05-07T00:00:00"/>
    <x v="27"/>
    <s v="No Reporta"/>
    <s v="Banca Multilateral"/>
    <n v="270000"/>
    <x v="5"/>
    <s v="Estados Unidos"/>
    <m/>
    <s v="2. Contribuir a la lucha contra el hambre y la atención humanitaria a la poblacion"/>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Igualdad y Equidad"/>
  </r>
  <r>
    <s v="R-AO-22-5536"/>
    <s v="Transformación del subsector Panela de Colombia a través de la implementación  inicial del NAMA (CPS-NAMA) - CAF02 / GEF9581"/>
    <s v="Contribuir a la implementación de la NAMA a través de la transformación productiva y tecnológica del subsector Panela. Área Focal: Mitigación al cambio climático._x000a_"/>
    <d v="2022-08-22T00:00:00"/>
    <d v="2027-02-22T00:00:00"/>
    <x v="31"/>
    <s v="No Reporta"/>
    <s v="Empresas"/>
    <n v="333333.33333333302"/>
    <x v="8"/>
    <s v="Estados Unidos"/>
    <m/>
    <s v="C. Conservación Y Sostenibilidad Ambient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mbiente y Desarrollo Sostenible"/>
  </r>
  <r>
    <s v="R-AO-22-5536"/>
    <s v="Transformación del subsector Panela de Colombia a través de la implementación  inicial del NAMA (CPS-NAMA) - CAF02 / GEF9581"/>
    <s v="Contribuir a la implementación de la NAMA a través de la transformación productiva y tecnológica del subsector Panela. Área Focal: Mitigación al cambio climático._x000a_"/>
    <d v="2022-08-22T00:00:00"/>
    <d v="2027-02-22T00:00:00"/>
    <x v="23"/>
    <s v="No Reporta"/>
    <s v="Empresas"/>
    <n v="333333.33333333302"/>
    <x v="8"/>
    <s v="Estados Unidos"/>
    <m/>
    <s v="C. Conservación Y Sostenibilidad Ambient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mbiente y Desarrollo Sostenible"/>
  </r>
  <r>
    <s v="R-AO-22-5536"/>
    <s v="Transformación del subsector Panela de Colombia a través de la implementación  inicial del NAMA (CPS-NAMA) - CAF02 / GEF9581"/>
    <s v="Contribuir a la implementación de la NAMA a través de la transformación productiva y tecnológica del subsector Panela. Área Focal: Mitigación al cambio climático._x000a_"/>
    <d v="2022-08-22T00:00:00"/>
    <d v="2027-02-22T00:00:00"/>
    <x v="12"/>
    <s v="No Reporta"/>
    <s v="Empresas"/>
    <n v="333333.33333333302"/>
    <x v="8"/>
    <s v="Estados Unidos"/>
    <m/>
    <s v="C. Conservación Y Sostenibilidad Ambient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mbiente y Desarrollo Sostenible"/>
  </r>
  <r>
    <s v="R-AO-22-5536"/>
    <s v="Transformación del subsector Panela de Colombia a través de la implementación  inicial del NAMA (CPS-NAMA) - CAF02 / GEF9581"/>
    <s v="Contribuir a la implementación de la NAMA a través de la transformación productiva y tecnológica del subsector Panela. Área Focal: Mitigación al cambio climático._x000a_"/>
    <d v="2022-08-22T00:00:00"/>
    <d v="2027-02-22T00:00:00"/>
    <x v="7"/>
    <s v="No Reporta"/>
    <s v="Empresas"/>
    <n v="333333.33333333302"/>
    <x v="8"/>
    <s v="Estados Unidos"/>
    <m/>
    <s v="C. Conservación Y Sostenibilidad Ambient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mbiente y Desarrollo Sostenible"/>
  </r>
  <r>
    <s v="R-AO-22-5536"/>
    <s v="Transformación del subsector Panela de Colombia a través de la implementación  inicial del NAMA (CPS-NAMA) - CAF02 / GEF9581"/>
    <s v="Contribuir a la implementación de la NAMA a través de la transformación productiva y tecnológica del subsector Panela. Área Focal: Mitigación al cambio climático._x000a_"/>
    <d v="2022-08-22T00:00:00"/>
    <d v="2027-02-22T00:00:00"/>
    <x v="28"/>
    <s v="No Reporta"/>
    <s v="Empresas"/>
    <n v="333333.33333333302"/>
    <x v="8"/>
    <s v="Estados Unidos"/>
    <m/>
    <s v="C. Conservación Y Sostenibilidad Ambient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mbiente y Desarrollo Sostenible"/>
  </r>
  <r>
    <s v="R-AO-22-5536"/>
    <s v="Transformación del subsector Panela de Colombia a través de la implementación  inicial del NAMA (CPS-NAMA) - CAF02 / GEF9581"/>
    <s v="Contribuir a la implementación de la NAMA a través de la transformación productiva y tecnológica del subsector Panela. Área Focal: Mitigación al cambio climático._x000a_"/>
    <d v="2022-08-22T00:00:00"/>
    <d v="2027-02-22T00:00:00"/>
    <x v="27"/>
    <s v="No Reporta"/>
    <s v="Empresas"/>
    <n v="333333.33333333302"/>
    <x v="8"/>
    <s v="Estados Unidos"/>
    <m/>
    <s v="C. Conservación Y Sostenibilidad Ambient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mbiente y Desarrollo Sostenible"/>
  </r>
  <r>
    <s v="R-AO-24-5539"/>
    <s v="Bonos de Impacto Social, Fase II: Ampliación de Intervenciones Financieras Basadas en Resultados en Perú y Colombia.  No.ATN/CF-20665-CO, ATN/CF-20368-RG y ATN/CF-19740-RG."/>
    <s v="expandir los modelos de la financiación basada en resultados en Colombia, buscando fortalecer las instituciones públicas, el sector privado y los mercados para mejorar el impacto del financiamiento para el desarrollo, con posibles intervenciones en otros países miembros prestatarios del BID."/>
    <d v="2024-05-24T00:00:00"/>
    <d v="2027-05-24T00:00:00"/>
    <x v="8"/>
    <s v="Ámbito Nacional"/>
    <s v="Banca Multilateral"/>
    <n v="370000"/>
    <x v="5"/>
    <s v="Estados Unidos"/>
    <m/>
    <s v="No Aplica"/>
    <s v="17.3.Movilizar recursos financieros adicionales para los países en desarrollo a partir de múltiples fuentes."/>
    <x v="15"/>
    <s v="SIN ALINEAR"/>
    <s v="Planeación"/>
  </r>
  <r>
    <s v="R-AO-24-5539"/>
    <s v="Bonos de Impacto Social, Fase II: Ampliación de Intervenciones Financieras Basadas en Resultados en Perú y Colombia.  No.ATN/CF-20665-CO, ATN/CF-20368-RG y ATN/CF-19740-RG."/>
    <s v="expandir los modelos de la financiación basada en resultados en Colombia, buscando fortalecer las instituciones públicas, el sector privado y los mercados para mejorar el impacto del financiamiento para el desarrollo, con posibles intervenciones en otros países miembros prestatarios del BID."/>
    <d v="2024-05-24T00:00:00"/>
    <d v="2027-05-24T00:00:00"/>
    <x v="8"/>
    <s v="Ámbito Nacional"/>
    <s v="Suiza"/>
    <n v="1708442"/>
    <x v="23"/>
    <s v="Estados Unidos"/>
    <m/>
    <s v="No Aplica"/>
    <s v="17.3.Movilizar recursos financieros adicionales para los países en desarrollo a partir de múltiples fuentes."/>
    <x v="15"/>
    <s v="SIN ALINEAR"/>
    <s v="Planeación"/>
  </r>
  <r>
    <s v="R-AO-24-5546"/>
    <s v="Fortalecimiento Institucional de las Sociedades Nacionales de la Cruz Roja en Ecuador y Colombia"/>
    <s v="Las Sociedades de la Cruz Roja de Ecuador y Colombia han reforzado sus capacidades a nivel central y local, así como en el sector del voluntariado y del personal, y han consolidado su posición frente a los socios estatales."/>
    <d v="2024-01-01T00:00:00"/>
    <d v="2026-12-31T00:00:00"/>
    <x v="6"/>
    <s v="No Reporta"/>
    <s v="Alemania"/>
    <n v="60015"/>
    <x v="39"/>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5546"/>
    <s v="Fortalecimiento Institucional de las Sociedades Nacionales de la Cruz Roja en Ecuador y Colombia"/>
    <s v="Las Sociedades de la Cruz Roja de Ecuador y Colombia han reforzado sus capacidades a nivel central y local, así como en el sector del voluntariado y del personal, y han consolidado su posición frente a los socios estatales."/>
    <d v="2024-01-01T00:00:00"/>
    <d v="2026-12-31T00:00:00"/>
    <x v="4"/>
    <s v="No Reporta"/>
    <s v="Alemania"/>
    <n v="60015"/>
    <x v="39"/>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5546"/>
    <s v="Fortalecimiento Institucional de las Sociedades Nacionales de la Cruz Roja en Ecuador y Colombia"/>
    <s v="Las Sociedades de la Cruz Roja de Ecuador y Colombia han reforzado sus capacidades a nivel central y local, así como en el sector del voluntariado y del personal, y han consolidado su posición frente a los socios estatales."/>
    <d v="2024-01-01T00:00:00"/>
    <d v="2026-12-31T00:00:00"/>
    <x v="13"/>
    <s v="No Reporta"/>
    <s v="Alemania"/>
    <n v="60015"/>
    <x v="39"/>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5546"/>
    <s v="Fortalecimiento Institucional de las Sociedades Nacionales de la Cruz Roja en Ecuador y Colombia"/>
    <s v="Las Sociedades de la Cruz Roja de Ecuador y Colombia han reforzado sus capacidades a nivel central y local, así como en el sector del voluntariado y del personal, y han consolidado su posición frente a los socios estatales."/>
    <d v="2024-01-01T00:00:00"/>
    <d v="2026-12-31T00:00:00"/>
    <x v="25"/>
    <s v="No Reporta"/>
    <s v="Alemania"/>
    <n v="60015"/>
    <x v="39"/>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5546"/>
    <s v="Fortalecimiento Institucional de las Sociedades Nacionales de la Cruz Roja en Ecuador y Colombia"/>
    <s v="Las Sociedades de la Cruz Roja de Ecuador y Colombia han reforzado sus capacidades a nivel central y local, así como en el sector del voluntariado y del personal, y han consolidado su posición frente a los socios estatales."/>
    <d v="2024-01-01T00:00:00"/>
    <d v="2026-12-31T00:00:00"/>
    <x v="3"/>
    <s v="No Reporta"/>
    <s v="Alemania"/>
    <n v="60015"/>
    <x v="39"/>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2-5562"/>
    <s v="Fortalecimiento de la soberanía alimentaria, economía familiar y las organizaciones propias de las mujeres índigenas Pastos."/>
    <s v="Contribuir al buen vivir de las campesinas del pueblo Pasto en el sur andino de Nariño: El buen vivir se entiende como concepto de realización propia que incluye dimensiones tanto de espiritualidad como de materialidad en todos los ámbitos de la vida sean_x000a__x000a__x000a__x000a__x000a__x000a_"/>
    <d v="2022-11-28T00:00:00"/>
    <d v="2026-06-15T00:00:00"/>
    <x v="27"/>
    <s v="Córdoba"/>
    <s v="España"/>
    <n v="69252.399999999994"/>
    <x v="27"/>
    <s v="España"/>
    <m/>
    <s v="B. Desarrollo Rural"/>
    <s v="5.5.Garantizar la participación plena y efectiva de las mujeres y la igualdad de oportunidades para el liderazgo en todos los niveles de toma de decisiones en la vida política, económica y_x000a_pública."/>
    <x v="2"/>
    <s v="SIN ALINEAR"/>
    <s v="Igualdad y Equidad"/>
  </r>
  <r>
    <s v="R-AO-22-5562"/>
    <s v="Fortalecimiento de la soberanía alimentaria, economía familiar y las organizaciones propias de las mujeres índigenas Pastos."/>
    <s v="Contribuir al buen vivir de las campesinas del pueblo Pasto en el sur andino de Nariño: El buen vivir se entiende como concepto de realización propia que incluye dimensiones tanto de espiritualidad como de materialidad en todos los ámbitos de la vida sean_x000a__x000a__x000a__x000a__x000a__x000a_"/>
    <d v="2022-11-28T00:00:00"/>
    <d v="2026-06-15T00:00:00"/>
    <x v="27"/>
    <s v="Cumbal"/>
    <s v="España"/>
    <n v="69252.399999999994"/>
    <x v="27"/>
    <s v="España"/>
    <m/>
    <s v="B. Desarrollo Rural"/>
    <s v="5.5.Garantizar la participación plena y efectiva de las mujeres y la igualdad de oportunidades para el liderazgo en todos los niveles de toma de decisiones en la vida política, económica y_x000a_pública."/>
    <x v="2"/>
    <s v="SIN ALINEAR"/>
    <s v="Igualdad y Equidad"/>
  </r>
  <r>
    <s v="R-AO-22-5562"/>
    <s v="Fortalecimiento de la soberanía alimentaria, economía familiar y las organizaciones propias de las mujeres índigenas Pastos."/>
    <s v="Contribuir al buen vivir de las campesinas del pueblo Pasto en el sur andino de Nariño: El buen vivir se entiende como concepto de realización propia que incluye dimensiones tanto de espiritualidad como de materialidad en todos los ámbitos de la vida sean_x000a__x000a__x000a__x000a__x000a__x000a_"/>
    <d v="2022-11-28T00:00:00"/>
    <d v="2026-06-15T00:00:00"/>
    <x v="27"/>
    <s v="Guachucal"/>
    <s v="España"/>
    <n v="69252.399999999994"/>
    <x v="27"/>
    <s v="España"/>
    <m/>
    <s v="B. Desarrollo Rural"/>
    <s v="5.5.Garantizar la participación plena y efectiva de las mujeres y la igualdad de oportunidades para el liderazgo en todos los niveles de toma de decisiones en la vida política, económica y_x000a_pública."/>
    <x v="2"/>
    <s v="SIN ALINEAR"/>
    <s v="Igualdad y Equidad"/>
  </r>
  <r>
    <s v="R-AO-22-5562"/>
    <s v="Fortalecimiento de la soberanía alimentaria, economía familiar y las organizaciones propias de las mujeres índigenas Pastos."/>
    <s v="Contribuir al buen vivir de las campesinas del pueblo Pasto en el sur andino de Nariño: El buen vivir se entiende como concepto de realización propia que incluye dimensiones tanto de espiritualidad como de materialidad en todos los ámbitos de la vida sean_x000a__x000a__x000a__x000a__x000a__x000a_"/>
    <d v="2022-11-28T00:00:00"/>
    <d v="2026-06-15T00:00:00"/>
    <x v="27"/>
    <s v="Ipiales"/>
    <s v="España"/>
    <n v="69252.399999999994"/>
    <x v="27"/>
    <s v="España"/>
    <m/>
    <s v="B. Desarrollo Rural"/>
    <s v="5.5.Garantizar la participación plena y efectiva de las mujeres y la igualdad de oportunidades para el liderazgo en todos los niveles de toma de decisiones en la vida política, económica y_x000a_pública."/>
    <x v="2"/>
    <s v="SIN ALINEAR"/>
    <s v="Igualdad y Equidad"/>
  </r>
  <r>
    <s v="R-AO-22-5562"/>
    <s v="Fortalecimiento de la soberanía alimentaria, economía familiar y las organizaciones propias de las mujeres índigenas Pastos."/>
    <s v="Contribuir al buen vivir de las campesinas del pueblo Pasto en el sur andino de Nariño: El buen vivir se entiende como concepto de realización propia que incluye dimensiones tanto de espiritualidad como de materialidad en todos los ámbitos de la vida sean_x000a__x000a__x000a__x000a__x000a__x000a_"/>
    <d v="2022-11-28T00:00:00"/>
    <d v="2026-06-15T00:00:00"/>
    <x v="27"/>
    <s v="Puerres"/>
    <s v="España"/>
    <n v="69252.399999999994"/>
    <x v="27"/>
    <s v="España"/>
    <m/>
    <s v="B. Desarrollo Rural"/>
    <s v="5.5.Garantizar la participación plena y efectiva de las mujeres y la igualdad de oportunidades para el liderazgo en todos los niveles de toma de decisiones en la vida política, económica y_x000a_pública."/>
    <x v="2"/>
    <s v="SIN ALINEAR"/>
    <s v="Igualdad y Equidad"/>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5"/>
    <s v="Córdoba"/>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5"/>
    <s v="El Carmen de Bolívar"/>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5"/>
    <s v="El Guamo"/>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5"/>
    <s v="San Jacinto"/>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5"/>
    <s v="San Juan Nepomuceno"/>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5"/>
    <s v="Zambrano"/>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4"/>
    <s v="Chalán"/>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4"/>
    <s v="Colosó"/>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4"/>
    <s v="Los Palmitos"/>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4"/>
    <s v="Morroa"/>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4"/>
    <s v="Ovejas"/>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4"/>
    <s v="Tolú Viejo"/>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27"/>
    <s v="Barbacoas"/>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27"/>
    <s v="Cumbal"/>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27"/>
    <s v="Francisco Pizarro"/>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27"/>
    <s v="Ricaurte"/>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27"/>
    <s v="Roberto Payán"/>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27"/>
    <s v="San Andrés de Tumaco"/>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10"/>
    <s v="Santa Marta"/>
    <s v="España"/>
    <n v="65009.8"/>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11"/>
    <s v="Bogotá D.C."/>
    <s v="España"/>
    <n v="65009.8"/>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8"/>
    <s v="consolidacion de la paz en colombia - PROPAZ ii 2024 "/>
    <s v="EL PROGRAMA TIENE COMO OBJETIVO FORTALECER LA PROTECCIÓN, EL FOMENTO Y LAS GARANTÍAS DE LOS DERECHOS DE LAS VÍCTIMAS EN EL MARCO DE LOS PROCESOS DE VERDAD, JUSTICIA Y REPARACIÓN A NIVEL NACIONAL, REGIONAL Y LOCAL._x000a__x000a_ESTÁ DIRIGIDO A GRUPOS DE POBLACIÓN AFECTADOS POR EL CONFLICTO ARMADO EN LOS DEPARTAMENTOS META, NORTE DE SANTANDER Y CAQUETÁ QUE ACUDEN A LAS CORRESPONDIENTES INSTITUCIONES ESTATALES NACIONALES, REGIONALES Y LOCALES, ASÍ COMO A ORGANIZACIONES SOCIALES DEDICADAS A CUESTIONES DE VÍCTIMAS. LOS MEDIADORES Y MEDIADORAS SON EL PERSONAL TÉCNICO Y DIRECTIVO DE LAS RESPECTIVAS ORGANIZACIONES E INSTITUCIONES. _x000a__x000a_SE AMPLÍA EL ENFOQUE DEL PROGRAMA A LA CONSTRUCCIÓN DE PAZ A NIVEL MUNICIPAL Y EL FORTALECIMIENTO DE JÓVENES Y GRUPOS ÉTNICOS."/>
    <d v="2024-06-28T00:00:00"/>
    <d v="2026-02-28T00:00:00"/>
    <x v="20"/>
    <s v="No Reporta"/>
    <s v="Unión Europea"/>
    <n v="714597"/>
    <x v="26"/>
    <s v="Bélgic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8"/>
    <s v="consolidacion de la paz en colombia - PROPAZ ii 2024 "/>
    <s v="EL PROGRAMA TIENE COMO OBJETIVO FORTALECER LA PROTECCIÓN, EL FOMENTO Y LAS GARANTÍAS DE LOS DERECHOS DE LAS VÍCTIMAS EN EL MARCO DE LOS PROCESOS DE VERDAD, JUSTICIA Y REPARACIÓN A NIVEL NACIONAL, REGIONAL Y LOCAL._x000a__x000a_ESTÁ DIRIGIDO A GRUPOS DE POBLACIÓN AFECTADOS POR EL CONFLICTO ARMADO EN LOS DEPARTAMENTOS META, NORTE DE SANTANDER Y CAQUETÁ QUE ACUDEN A LAS CORRESPONDIENTES INSTITUCIONES ESTATALES NACIONALES, REGIONALES Y LOCALES, ASÍ COMO A ORGANIZACIONES SOCIALES DEDICADAS A CUESTIONES DE VÍCTIMAS. LOS MEDIADORES Y MEDIADORAS SON EL PERSONAL TÉCNICO Y DIRECTIVO DE LAS RESPECTIVAS ORGANIZACIONES E INSTITUCIONES. _x000a__x000a_SE AMPLÍA EL ENFOQUE DEL PROGRAMA A LA CONSTRUCCIÓN DE PAZ A NIVEL MUNICIPAL Y EL FORTALECIMIENTO DE JÓVENES Y GRUPOS ÉTNICOS."/>
    <d v="2024-06-28T00:00:00"/>
    <d v="2026-02-28T00:00:00"/>
    <x v="17"/>
    <s v="No Reporta"/>
    <s v="Unión Europea"/>
    <n v="714597"/>
    <x v="26"/>
    <s v="Bélgic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8"/>
    <s v="consolidacion de la paz en colombia - PROPAZ ii 2024 "/>
    <s v="EL PROGRAMA TIENE COMO OBJETIVO FORTALECER LA PROTECCIÓN, EL FOMENTO Y LAS GARANTÍAS DE LOS DERECHOS DE LAS VÍCTIMAS EN EL MARCO DE LOS PROCESOS DE VERDAD, JUSTICIA Y REPARACIÓN A NIVEL NACIONAL, REGIONAL Y LOCAL._x000a__x000a_ESTÁ DIRIGIDO A GRUPOS DE POBLACIÓN AFECTADOS POR EL CONFLICTO ARMADO EN LOS DEPARTAMENTOS META, NORTE DE SANTANDER Y CAQUETÁ QUE ACUDEN A LAS CORRESPONDIENTES INSTITUCIONES ESTATALES NACIONALES, REGIONALES Y LOCALES, ASÍ COMO A ORGANIZACIONES SOCIALES DEDICADAS A CUESTIONES DE VÍCTIMAS. LOS MEDIADORES Y MEDIADORAS SON EL PERSONAL TÉCNICO Y DIRECTIVO DE LAS RESPECTIVAS ORGANIZACIONES E INSTITUCIONES. _x000a__x000a_SE AMPLÍA EL ENFOQUE DEL PROGRAMA A LA CONSTRUCCIÓN DE PAZ A NIVEL MUNICIPAL Y EL FORTALECIMIENTO DE JÓVENES Y GRUPOS ÉTNICOS."/>
    <d v="2024-06-28T00:00:00"/>
    <d v="2026-02-28T00:00:00"/>
    <x v="2"/>
    <s v="No Reporta"/>
    <s v="Unión Europea"/>
    <n v="714597"/>
    <x v="26"/>
    <s v="Bélgic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72"/>
    <s v="Las formas asociativas de firmantes del Acuerdo de Paz ECOMUN y FEMNCAFÉ cuentan con estrategias y herramientas que fortalecen sus procesos productivos y organizativos con enfoque de sostenibilidad - Ref. Expediente 2024QdV00005"/>
    <s v="Contribuir a la sostenibilidad de la reincorporación social y económica de la población firmante del Acuerdo Final de Paz de Colombia"/>
    <d v="2024-05-20T00:00:00"/>
    <d v="2026-11-20T00:00:00"/>
    <x v="8"/>
    <s v="Ámbito Nacional"/>
    <s v="España"/>
    <n v="543299"/>
    <x v="27"/>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Presidencia de la República"/>
  </r>
  <r>
    <s v="R-AO-24-5572"/>
    <s v="Las formas asociativas de firmantes del Acuerdo de Paz ECOMUN y FEMNCAFÉ cuentan con estrategias y herramientas que fortalecen sus procesos productivos y organizativos con enfoque de sostenibilidad - Ref. Expediente 2024QdV00005"/>
    <s v="Contribuir a la sostenibilidad de la reincorporación social y económica de la población firmante del Acuerdo Final de Paz de Colombia"/>
    <d v="2024-05-20T00:00:00"/>
    <d v="2026-11-20T00:00:00"/>
    <x v="8"/>
    <s v="Ámbito Nacional"/>
    <s v="ESAL"/>
    <n v="32205"/>
    <x v="90"/>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Presidencia de la República"/>
  </r>
  <r>
    <s v="R-AO-24-5587"/>
    <s v="TOMA DE DECISIONES BASADA EN LA EVIDENCIA - EVIDEM. GESTIÓN DE LA INFORMACIÓN A TRAVÉS DE LA TOMA DE DECISIONES BASADA EN LA EVIDENCIA PARA UNA MEJOR RESPUESTA HUMANITARIA EN COLOMBIA - ECHO/-AM/BUD/2023/91012 - adenda 1"/>
    <s v="REFORZAR LA RESPUESTA HUMANITARIA EN COLOMBIA MEDIANTE UNA MEJOR TOMA DE DECISIONES FACILITADA POR LA GESTIÓN DE LA INFORMACIÓN DESDE LA RECOGIDA DE LOS DATOS HASTA SU ANÁLISIS."/>
    <d v="2024-01-01T00:00:00"/>
    <d v="2026-04-30T00:00:00"/>
    <x v="8"/>
    <s v="Ámbito Nacional"/>
    <s v="Unión Europea"/>
    <n v="1546723"/>
    <x v="26"/>
    <s v="Bélgica"/>
    <m/>
    <s v="3. Promover una cultura de paz, justicia y lucha contra la desigualdad"/>
    <s v="13.1.Fortalecer la resiliencia y capacidad de adaptación a los peligros relacionados con el clima y los desastres naturales en todos los países"/>
    <x v="0"/>
    <s v="SIN ALINEAR"/>
    <s v="Presidencia de la República"/>
  </r>
  <r>
    <s v="R-AO-24-5599"/>
    <s v="Programa Territorios Forestales Sostenibles (TEFOS ) - Pilar 3: “Medios de Vida Sostenible”"/>
    <s v="Apoyar el desarrollo de actividades para incentivar medios de vida sostenibles en comunidades localizadas en los núcleos de desarrollo forestal en la región Amazónica en cumplimiento del plan de contención de la deforestación."/>
    <d v="2024-05-20T00:00:00"/>
    <d v="2026-12-31T00:00:00"/>
    <x v="11"/>
    <s v="Bogotá D.C."/>
    <s v="Reino Unido"/>
    <n v="3143274.75"/>
    <x v="91"/>
    <s v="Reino Unido"/>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5599"/>
    <s v="Programa Territorios Forestales Sostenibles (TEFOS ) - Pilar 3: “Medios de Vida Sostenible”"/>
    <s v="Apoyar el desarrollo de actividades para incentivar medios de vida sostenibles en comunidades localizadas en los núcleos de desarrollo forestal en la región Amazónica en cumplimiento del plan de contención de la deforestación."/>
    <d v="2024-05-20T00:00:00"/>
    <d v="2026-12-31T00:00:00"/>
    <x v="17"/>
    <s v="Cartagena del Chairá"/>
    <s v="Reino Unido"/>
    <n v="3143274.75"/>
    <x v="91"/>
    <s v="Reino Unido"/>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5599"/>
    <s v="Programa Territorios Forestales Sostenibles (TEFOS ) - Pilar 3: “Medios de Vida Sostenible”"/>
    <s v="Apoyar el desarrollo de actividades para incentivar medios de vida sostenibles en comunidades localizadas en los núcleos de desarrollo forestal en la región Amazónica en cumplimiento del plan de contención de la deforestación."/>
    <d v="2024-05-20T00:00:00"/>
    <d v="2026-12-31T00:00:00"/>
    <x v="18"/>
    <s v="No Reporta"/>
    <s v="Reino Unido"/>
    <n v="3143274.75"/>
    <x v="91"/>
    <s v="Reino Unido"/>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5599"/>
    <s v="Programa Territorios Forestales Sostenibles (TEFOS ) - Pilar 3: “Medios de Vida Sostenible”"/>
    <s v="Apoyar el desarrollo de actividades para incentivar medios de vida sostenibles en comunidades localizadas en los núcleos de desarrollo forestal en la región Amazónica en cumplimiento del plan de contención de la deforestación."/>
    <d v="2024-05-20T00:00:00"/>
    <d v="2026-12-31T00:00:00"/>
    <x v="2"/>
    <s v="No Reporta"/>
    <s v="Reino Unido"/>
    <n v="3143274.75"/>
    <x v="91"/>
    <s v="Reino Unido"/>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5614"/>
    <s v="Fortalecimiento de organizaciones de jóvenes y mujeres en la defensa del Derecho de la Participación y a la Gobernanza Democrática para la Construcción de Paz en la región Caribe de Colombia"/>
    <s v="Promover la construcción de paz desde la gobernanza democrática local en los departamentos de Magdalena y La Guajira en Colombia"/>
    <d v="2023-11-21T00:00:00"/>
    <d v="2026-05-21T00:00:00"/>
    <x v="16"/>
    <s v="Dibulla"/>
    <s v="España"/>
    <n v="40647.333333333299"/>
    <x v="92"/>
    <s v="España"/>
    <m/>
    <s v="3. Promover una cultura de paz, justicia y lucha contra la desigualdad"/>
    <s v="16.7.Garantizar la toma de decisiones receptiva, inclusiva, participativa y representativa en todos los niveles."/>
    <x v="7"/>
    <s v="SIN ALINEAR"/>
    <s v="Igualdad y Equidad"/>
  </r>
  <r>
    <s v="R-AO-23-5614"/>
    <s v="Fortalecimiento de organizaciones de jóvenes y mujeres en la defensa del Derecho de la Participación y a la Gobernanza Democrática para la Construcción de Paz en la región Caribe de Colombia"/>
    <s v="Promover la construcción de paz desde la gobernanza democrática local en los departamentos de Magdalena y La Guajira en Colombia"/>
    <d v="2023-11-21T00:00:00"/>
    <d v="2026-05-21T00:00:00"/>
    <x v="16"/>
    <s v="Fonseca"/>
    <s v="España"/>
    <n v="40647.333333333299"/>
    <x v="92"/>
    <s v="España"/>
    <m/>
    <s v="3. Promover una cultura de paz, justicia y lucha contra la desigualdad"/>
    <s v="16.7.Garantizar la toma de decisiones receptiva, inclusiva, participativa y representativa en todos los niveles."/>
    <x v="7"/>
    <s v="SIN ALINEAR"/>
    <s v="Igualdad y Equidad"/>
  </r>
  <r>
    <s v="R-AO-23-5614"/>
    <s v="Fortalecimiento de organizaciones de jóvenes y mujeres en la defensa del Derecho de la Participación y a la Gobernanza Democrática para la Construcción de Paz en la región Caribe de Colombia"/>
    <s v="Promover la construcción de paz desde la gobernanza democrática local en los departamentos de Magdalena y La Guajira en Colombia"/>
    <d v="2023-11-21T00:00:00"/>
    <d v="2026-05-21T00:00:00"/>
    <x v="16"/>
    <s v="Riohacha"/>
    <s v="España"/>
    <n v="40647.333333333299"/>
    <x v="92"/>
    <s v="España"/>
    <m/>
    <s v="3. Promover una cultura de paz, justicia y lucha contra la desigualdad"/>
    <s v="16.7.Garantizar la toma de decisiones receptiva, inclusiva, participativa y representativa en todos los niveles."/>
    <x v="7"/>
    <s v="SIN ALINEAR"/>
    <s v="Igualdad y Equidad"/>
  </r>
  <r>
    <s v="R-AO-23-5614"/>
    <s v="Fortalecimiento de organizaciones de jóvenes y mujeres en la defensa del Derecho de la Participación y a la Gobernanza Democrática para la Construcción de Paz en la región Caribe de Colombia"/>
    <s v="Promover la construcción de paz desde la gobernanza democrática local en los departamentos de Magdalena y La Guajira en Colombia"/>
    <d v="2023-11-21T00:00:00"/>
    <d v="2026-05-21T00:00:00"/>
    <x v="10"/>
    <s v="Ciénaga"/>
    <s v="España"/>
    <n v="60971"/>
    <x v="92"/>
    <s v="España"/>
    <m/>
    <s v="3. Promover una cultura de paz, justicia y lucha contra la desigualdad"/>
    <s v="16.7.Garantizar la toma de decisiones receptiva, inclusiva, participativa y representativa en todos los niveles."/>
    <x v="7"/>
    <s v="SIN ALINEAR"/>
    <s v="Igualdad y Equidad"/>
  </r>
  <r>
    <s v="R-AO-23-5614"/>
    <s v="Fortalecimiento de organizaciones de jóvenes y mujeres en la defensa del Derecho de la Participación y a la Gobernanza Democrática para la Construcción de Paz en la región Caribe de Colombia"/>
    <s v="Promover la construcción de paz desde la gobernanza democrática local en los departamentos de Magdalena y La Guajira en Colombia"/>
    <d v="2023-11-21T00:00:00"/>
    <d v="2026-05-21T00:00:00"/>
    <x v="10"/>
    <s v="Santa Marta"/>
    <s v="España"/>
    <n v="60971"/>
    <x v="92"/>
    <s v="España"/>
    <m/>
    <s v="3. Promover una cultura de paz, justicia y lucha contra la desigualdad"/>
    <s v="16.7.Garantizar la toma de decisiones receptiva, inclusiva, participativa y representativa en todos los niveles."/>
    <x v="7"/>
    <s v="SIN ALINEAR"/>
    <s v="Igualdad y Equidad"/>
  </r>
  <r>
    <s v="R-AO-22-5623"/>
    <s v="Fortalecimiento de la gobernanza local"/>
    <s v="Promover sociedades pacíficas e incluyentes para el desarrollo sostenible en dos subregiones PDET"/>
    <d v="2022-11-18T00:00:00"/>
    <d v="2026-11-15T00:00:00"/>
    <x v="17"/>
    <s v="Albania"/>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Belén de los Andaquíes"/>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Cartagena del Chairá"/>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Curillo"/>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El Doncello"/>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El Paujíl"/>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Florencia"/>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La Montañita"/>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Milán"/>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Morelia"/>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Puerto Rico"/>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San José del Fragua"/>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San Vicente del Caguán"/>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Solano"/>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Solita"/>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Valparaíso"/>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29"/>
    <s v="Ataco"/>
    <s v="Corea del Sur"/>
    <n v="486798.66666666698"/>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29"/>
    <s v="Chaparral"/>
    <s v="Corea del Sur"/>
    <n v="486798.66666666698"/>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29"/>
    <s v="Planadas"/>
    <s v="Corea del Sur"/>
    <n v="486798.66666666698"/>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29"/>
    <s v="Rioblanco"/>
    <s v="Corea del Sur"/>
    <n v="486798.66666666698"/>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4"/>
    <s v="Algeciras"/>
    <s v="Corea del Sur"/>
    <n v="1947194.66666667"/>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Buenos Aires"/>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Caldono"/>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Caloto"/>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Inzá"/>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Jambaló"/>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Miranda"/>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Morales"/>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Padilla"/>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Puerto Tejada"/>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Santander de Quilichao"/>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Suárez"/>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Toribío"/>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Apartadó"/>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Carepa"/>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Chigorodó"/>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Dabeiba"/>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El Bagre"/>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Granada"/>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Mutatá"/>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San Carlos"/>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Turbo"/>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Urrao"/>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9"/>
    <s v="Candelaria"/>
    <s v="Naciones Unidas"/>
    <n v="21166.1"/>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9"/>
    <s v="Florida"/>
    <s v="Naciones Unidas"/>
    <n v="21166.1"/>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9"/>
    <s v="Jamundí"/>
    <s v="Naciones Unidas"/>
    <n v="21166.1"/>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9"/>
    <s v="Palmira"/>
    <s v="Naciones Unidas"/>
    <n v="21166.1"/>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9"/>
    <s v="Pradera"/>
    <s v="Naciones Unidas"/>
    <n v="21166.1"/>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4"/>
    <s v="Colosó"/>
    <s v="Naciones Unidas"/>
    <n v="52915.2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4"/>
    <s v="Ovejas"/>
    <s v="Naciones Unidas"/>
    <n v="52915.2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19"/>
    <s v="San Francisco"/>
    <s v="Naciones Unidas"/>
    <n v="52915.2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19"/>
    <s v="Valle del Guamuez"/>
    <s v="Naciones Unidas"/>
    <n v="52915.2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30"/>
    <s v="Acandí"/>
    <s v="Naciones Unidas"/>
    <n v="52915.2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30"/>
    <s v="Carmen del Darién"/>
    <s v="Naciones Unidas"/>
    <n v="52915.2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1"/>
    <s v="Barranquilla"/>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12"/>
    <s v="Cimitarra"/>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9"/>
    <s v="Icononzo"/>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15"/>
    <s v="Riosucio"/>
    <s v="Naciones Unidas"/>
    <n v="105830.5"/>
    <x v="93"/>
    <s v="Estados Unidos"/>
    <m/>
    <s v="1. FOCALIZAR Y DINAMIZAR"/>
    <s v="16.3.Promover el estado de derecho en los planos nacional e internacional, y garantizar la igualdad en el acceso a la justicia para todos."/>
    <x v="7"/>
    <s v="SIN ALINEAR"/>
    <s v="Protección Social"/>
  </r>
  <r>
    <s v="R-AO-22-5712"/>
    <s v="PRODUCTIVIDAD AGRÍCOLA"/>
    <s v="crear prosperidad, reducir la pobreza y cerrar las brechas en los territorios rurales de Colombia"/>
    <d v="2022-12-01T00:00:00"/>
    <d v="2027-12-31T00:00:00"/>
    <x v="5"/>
    <s v="No Reporta"/>
    <s v="Corea del Sur"/>
    <n v="425942"/>
    <x v="13"/>
    <s v="Corea del Sur"/>
    <m/>
    <s v="No Aplica"/>
    <s v="1.2.De aquí a 2030, reducir al menos a la mitad la proporción de hombres, mujeres y niños de todas las edades que viven en la pobreza en todas sus dimensiones con arreglo a las definiciones nacionales"/>
    <x v="1"/>
    <s v="SIN ALINEAR"/>
    <s v="Presidencia de la República"/>
  </r>
  <r>
    <s v="R-AO-24-5716"/>
    <s v="Salvaguardar los ecosistemas pasados por alto: Proteger, gestionar y restaurar praderas y sabanas en Argentina, Colombia y Paraguay"/>
    <s v="Proteger, gestionar y restaurar sabanas y pastizales en Argentina, Colombia y Paraguay mediante la participación multisectorial y el intercambio de conocimientos._x000a_"/>
    <d v="2024-01-01T00:00:00"/>
    <d v="2028-12-31T00:00:00"/>
    <x v="0"/>
    <s v="No Reporta"/>
    <s v="Alemania"/>
    <n v="553879"/>
    <x v="55"/>
    <s v="Alemania"/>
    <m/>
    <s v="1. Promover la lucha contra el cambio climatico, la justicia ambiental y la transformación productiva"/>
    <s v="15.5.Tomar medidas urgentes y significativas para reducir la degradación del hábitat natural, detener la pérdida de biodiversidad, y en 2020 de proteger y evitar la extinción de especies amenazadas."/>
    <x v="6"/>
    <s v="SIN ALINEAR"/>
    <s v="Ambiente y Desarrollo Sostenible"/>
  </r>
  <r>
    <s v="R-AO-24-5716"/>
    <s v="Salvaguardar los ecosistemas pasados por alto: Proteger, gestionar y restaurar praderas y sabanas en Argentina, Colombia y Paraguay"/>
    <s v="Proteger, gestionar y restaurar sabanas y pastizales en Argentina, Colombia y Paraguay mediante la participación multisectorial y el intercambio de conocimientos._x000a_"/>
    <d v="2024-01-01T00:00:00"/>
    <d v="2028-12-31T00:00:00"/>
    <x v="1"/>
    <s v="No Reporta"/>
    <s v="Alemania"/>
    <n v="553879"/>
    <x v="55"/>
    <s v="Alemania"/>
    <m/>
    <s v="1. Promover la lucha contra el cambio climatico, la justicia ambiental y la transformación productiva"/>
    <s v="15.5.Tomar medidas urgentes y significativas para reducir la degradación del hábitat natural, detener la pérdida de biodiversidad, y en 2020 de proteger y evitar la extinción de especies amenazadas."/>
    <x v="6"/>
    <s v="SIN ALINEAR"/>
    <s v="Ambiente y Desarrollo Sostenible"/>
  </r>
  <r>
    <s v="R-AO-24-5716"/>
    <s v="Salvaguardar los ecosistemas pasados por alto: Proteger, gestionar y restaurar praderas y sabanas en Argentina, Colombia y Paraguay"/>
    <s v="Proteger, gestionar y restaurar sabanas y pastizales en Argentina, Colombia y Paraguay mediante la participación multisectorial y el intercambio de conocimientos._x000a_"/>
    <d v="2024-01-01T00:00:00"/>
    <d v="2028-12-31T00:00:00"/>
    <x v="2"/>
    <s v="No Reporta"/>
    <s v="Alemania"/>
    <n v="553879"/>
    <x v="55"/>
    <s v="Alemania"/>
    <m/>
    <s v="1. Promover la lucha contra el cambio climatico, la justicia ambiental y la transformación productiva"/>
    <s v="15.5.Tomar medidas urgentes y significativas para reducir la degradación del hábitat natural, detener la pérdida de biodiversidad, y en 2020 de proteger y evitar la extinción de especies amenazadas."/>
    <x v="6"/>
    <s v="SIN ALINEAR"/>
    <s v="Ambiente y Desarrollo Sostenible"/>
  </r>
  <r>
    <s v="R-AO-24-5716"/>
    <s v="Salvaguardar los ecosistemas pasados por alto: Proteger, gestionar y restaurar praderas y sabanas en Argentina, Colombia y Paraguay"/>
    <s v="Proteger, gestionar y restaurar sabanas y pastizales en Argentina, Colombia y Paraguay mediante la participación multisectorial y el intercambio de conocimientos._x000a_"/>
    <d v="2024-01-01T00:00:00"/>
    <d v="2028-12-31T00:00:00"/>
    <x v="3"/>
    <s v="No Reporta"/>
    <s v="Alemania"/>
    <n v="553879"/>
    <x v="55"/>
    <s v="Alemania"/>
    <m/>
    <s v="1. Promover la lucha contra el cambio climatico, la justicia ambiental y la transformación productiva"/>
    <s v="15.5.Tomar medidas urgentes y significativas para reducir la degradación del hábitat natural, detener la pérdida de biodiversidad, y en 2020 de proteger y evitar la extinción de especies amenazadas."/>
    <x v="6"/>
    <s v="SIN ALINEAR"/>
    <s v="Ambiente y Desarrollo Sostenible"/>
  </r>
  <r>
    <s v="R-AO-22-5717"/>
    <s v="COMERCIALIZACION-UNDP-COL-00134158"/>
    <s v="crear prosperidad, reducir la pobreza y cerrar las brechas en los territorios rurales de Colombia"/>
    <d v="2022-12-01T00:00:00"/>
    <d v="2027-12-31T00:00:00"/>
    <x v="6"/>
    <s v="Montería"/>
    <s v="Corea del Sur"/>
    <n v="3942707.11"/>
    <x v="13"/>
    <s v="Corea del Sur"/>
    <m/>
    <s v="D. Emprendimiento Y Economía Naranjal"/>
    <s v="8.2.Alcanzar mayores niveles de productividad de las economías a través de la diversificación, el mejoramiento tecnológico y la innovación, en particular mediante un enfoque en sectores de alto valor agregado e intensivos en trabajo."/>
    <x v="14"/>
    <s v="SIN ALINEAR"/>
    <s v="Igualdad y Equidad"/>
  </r>
  <r>
    <s v="R-FP-24-5739"/>
    <s v="Programa: Work4Progress Colombia (en Necoclí, Antioquia)"/>
    <s v="Aceleración y escalado de la cartera de prototipos de negocios y servicios ya diseñados por el programa Work4Progress, buscando en todo momento su viabilidad comercial y financiera."/>
    <d v="2024-01-24T00:00:00"/>
    <d v="2026-01-23T00:00:00"/>
    <x v="7"/>
    <s v="Necoclí"/>
    <s v="ESAL"/>
    <n v="28554"/>
    <x v="94"/>
    <s v="Colombia/Eje Cafetero/Antioquia/Bello"/>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FP-24-5739"/>
    <s v="Programa: Work4Progress Colombia (en Necoclí, Antioquia)"/>
    <s v="Aceleración y escalado de la cartera de prototipos de negocios y servicios ya diseñados por el programa Work4Progress, buscando en todo momento su viabilidad comercial y financiera."/>
    <d v="2024-01-24T00:00:00"/>
    <d v="2026-01-23T00:00:00"/>
    <x v="7"/>
    <s v="Necoclí"/>
    <s v="ESAL"/>
    <n v="136287"/>
    <x v="70"/>
    <s v="Colombia/Eje Cafetero/Antioquia/Bello"/>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FP-24-5739"/>
    <s v="Programa: Work4Progress Colombia (en Necoclí, Antioquia)"/>
    <s v="Aceleración y escalado de la cartera de prototipos de negocios y servicios ya diseñados por el programa Work4Progress, buscando en todo momento su viabilidad comercial y financiera."/>
    <d v="2024-01-24T00:00:00"/>
    <d v="2026-01-23T00:00:00"/>
    <x v="7"/>
    <s v="Necoclí"/>
    <s v="ESAL"/>
    <n v="98126"/>
    <x v="72"/>
    <s v="Colombia/Eje Cafetero/Antioquia/Bello"/>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FP-24-5739"/>
    <s v="Programa: Work4Progress Colombia (en Necoclí, Antioquia)"/>
    <s v="Aceleración y escalado de la cartera de prototipos de negocios y servicios ya diseñados por el programa Work4Progress, buscando en todo momento su viabilidad comercial y financiera."/>
    <d v="2024-01-24T00:00:00"/>
    <d v="2026-01-23T00:00:00"/>
    <x v="7"/>
    <s v="Necoclí"/>
    <s v="ESAL"/>
    <n v="20767"/>
    <x v="95"/>
    <s v="Colombia/Eje Cafetero/Antioquia/Bello"/>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FP-24-5739"/>
    <s v="Programa: Work4Progress Colombia (en Necoclí, Antioquia)"/>
    <s v="Aceleración y escalado de la cartera de prototipos de negocios y servicios ya diseñados por el programa Work4Progress, buscando en todo momento su viabilidad comercial y financiera."/>
    <d v="2024-01-24T00:00:00"/>
    <d v="2026-01-23T00:00:00"/>
    <x v="7"/>
    <s v="Necoclí"/>
    <s v="Empresas"/>
    <n v="20767"/>
    <x v="96"/>
    <s v="Colombia/Eje Cafetero/Antioquia/Bello"/>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10"/>
    <s v="No Reporta"/>
    <s v="Reino Unido"/>
    <n v="2397500"/>
    <x v="97"/>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20"/>
    <s v="No Reporta"/>
    <s v="Reino Unido"/>
    <n v="2397500"/>
    <x v="97"/>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17"/>
    <s v="No Reporta"/>
    <s v="Reino Unido"/>
    <n v="2397500"/>
    <x v="97"/>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7"/>
    <s v="No Reporta"/>
    <s v="Reino Unido"/>
    <n v="2397500"/>
    <x v="97"/>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18"/>
    <s v="No Reporta"/>
    <s v="Reino Unido"/>
    <n v="2397500"/>
    <x v="97"/>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2"/>
    <s v="No Reporta"/>
    <s v="Reino Unido"/>
    <n v="2397500"/>
    <x v="97"/>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10"/>
    <s v="No Reporta"/>
    <s v="Noruega"/>
    <n v="1985833.33333333"/>
    <x v="80"/>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20"/>
    <s v="No Reporta"/>
    <s v="Noruega"/>
    <n v="1985833.33333333"/>
    <x v="80"/>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17"/>
    <s v="No Reporta"/>
    <s v="Noruega"/>
    <n v="1985833.33333333"/>
    <x v="80"/>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7"/>
    <s v="No Reporta"/>
    <s v="Noruega"/>
    <n v="1985833.33333333"/>
    <x v="80"/>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18"/>
    <s v="No Reporta"/>
    <s v="Noruega"/>
    <n v="1985833.33333333"/>
    <x v="80"/>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2"/>
    <s v="No Reporta"/>
    <s v="Noruega"/>
    <n v="1985833.33333333"/>
    <x v="80"/>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5768"/>
    <s v="Educación digital: mujeres diversas con discapacidad. Exp 2023/ACDE/001191"/>
    <s v="Fortalecer el derecho a una educación de calidad de las niñas y mujeres con discapacidad_x000a__x000a__x000a__x000a__x000a__x000a__x000a_"/>
    <d v="2023-11-15T00:00:00"/>
    <d v="2026-01-15T00:00:00"/>
    <x v="16"/>
    <s v="No Reporta"/>
    <s v="España"/>
    <n v="99461.333333333299"/>
    <x v="27"/>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0"/>
    <s v="No Reporta"/>
    <s v="España"/>
    <n v="99461.333333333299"/>
    <x v="27"/>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8"/>
    <s v="No Reporta"/>
    <s v="España"/>
    <n v="99461.333333333299"/>
    <x v="27"/>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30"/>
    <s v="No Reporta"/>
    <s v="España"/>
    <n v="99461.333333333299"/>
    <x v="27"/>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7"/>
    <s v="No Reporta"/>
    <s v="España"/>
    <n v="99461.333333333299"/>
    <x v="27"/>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9"/>
    <s v="No Reporta"/>
    <s v="España"/>
    <n v="99461.333333333299"/>
    <x v="27"/>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16"/>
    <s v="No Reporta"/>
    <s v="ESAL"/>
    <n v="1665.3333333333301"/>
    <x v="98"/>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0"/>
    <s v="No Reporta"/>
    <s v="ESAL"/>
    <n v="1665.3333333333301"/>
    <x v="98"/>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8"/>
    <s v="No Reporta"/>
    <s v="ESAL"/>
    <n v="1665.3333333333301"/>
    <x v="98"/>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30"/>
    <s v="No Reporta"/>
    <s v="ESAL"/>
    <n v="1665.3333333333301"/>
    <x v="98"/>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7"/>
    <s v="No Reporta"/>
    <s v="ESAL"/>
    <n v="1665.3333333333301"/>
    <x v="98"/>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9"/>
    <s v="No Reporta"/>
    <s v="ESAL"/>
    <n v="1665.3333333333301"/>
    <x v="98"/>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16"/>
    <s v="No Reporta"/>
    <s v="ESAL"/>
    <n v="24172.166666666701"/>
    <x v="99"/>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0"/>
    <s v="No Reporta"/>
    <s v="ESAL"/>
    <n v="24172.166666666701"/>
    <x v="99"/>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8"/>
    <s v="No Reporta"/>
    <s v="ESAL"/>
    <n v="24172.166666666701"/>
    <x v="99"/>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30"/>
    <s v="No Reporta"/>
    <s v="ESAL"/>
    <n v="24172.166666666701"/>
    <x v="99"/>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7"/>
    <s v="No Reporta"/>
    <s v="ESAL"/>
    <n v="24172.166666666701"/>
    <x v="99"/>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9"/>
    <s v="No Reporta"/>
    <s v="ESAL"/>
    <n v="24172.166666666701"/>
    <x v="99"/>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812"/>
    <s v="Proyecto de Inclusión de la Población Migrante, bajo el Programa de Biodiverciudad y Equidad Urbana en Barranquilla"/>
    <s v="Apoyar la integración de la población migrante en Barranquilla, mediante asistencia al Distrito en la implementación del Estatuto Temporal de Protección para Migrantes Venezolanos y acciones de apoyo para su integración social, económica y cultural en la ciudad"/>
    <d v="2023-10-27T00:00:00"/>
    <d v="2028-10-27T00:00:00"/>
    <x v="21"/>
    <s v="Barranquilla"/>
    <s v="España"/>
    <n v="6125800"/>
    <x v="27"/>
    <s v="Españ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Vivienda Ciudad y Territorio"/>
  </r>
  <r>
    <s v="R-AO-23-5819"/>
    <s v="Resiliencia de la Economia Azul : Prorgama de Barrios Resilientes"/>
    <s v="Apoya la resiliencia y el bienestar de comunidades vulnerables a través de un programa multisectorial que abarca medios de vida, nutrición, salud y WASH (agua, saneamiento e higiene). El programa también apoya un Fondo de Respuesta a Emergencias previamente posicionado, junto con el trabajo en educación para el desarrollo, participación pública y resiliencia"/>
    <d v="2023-01-01T00:00:00"/>
    <d v="2027-12-31T00:00:00"/>
    <x v="21"/>
    <s v="No Reporta"/>
    <s v="Irlanda"/>
    <n v="334532.5"/>
    <x v="100"/>
    <s v="Irlanda"/>
    <m/>
    <s v="1. Promover la lucha contra el cambio climatico, la justicia ambiental y la transformación productiva"/>
    <s v="6.1.En 2030, lograr el acceso universal y equitativo al agua potable segura y asequible para todos"/>
    <x v="3"/>
    <s v="SIN ALINEAR"/>
    <s v="Vivienda Ciudad y Territorio"/>
  </r>
  <r>
    <s v="R-AO-23-5819"/>
    <s v="Resiliencia de la Economia Azul : Prorgama de Barrios Resilientes"/>
    <s v="Apoya la resiliencia y el bienestar de comunidades vulnerables a través de un programa multisectorial que abarca medios de vida, nutrición, salud y WASH (agua, saneamiento e higiene). El programa también apoya un Fondo de Respuesta a Emergencias previamente posicionado, junto con el trabajo en educación para el desarrollo, participación pública y resiliencia"/>
    <d v="2023-01-01T00:00:00"/>
    <d v="2027-12-31T00:00:00"/>
    <x v="16"/>
    <s v="No Reporta"/>
    <s v="Irlanda"/>
    <n v="334532.5"/>
    <x v="100"/>
    <s v="Irlanda"/>
    <m/>
    <s v="1. Promover la lucha contra el cambio climatico, la justicia ambiental y la transformación productiva"/>
    <s v="6.1.En 2030, lograr el acceso universal y equitativo al agua potable segura y asequible para todos"/>
    <x v="3"/>
    <s v="SIN ALINEAR"/>
    <s v="Vivienda Ciudad y Territorio"/>
  </r>
  <r>
    <s v="R-AO-23-5829"/>
    <s v="Apoyo al Ecosistema de Innovación Sectorial en Colombia"/>
    <s v="promover instancias_x000a_de colaboración entre los prestadores y/o organizaciones comunitarias que_x000a_administran soluciones de agua, saneamiento y residuos sólidos (ASRS), tanto_x000a_pequeños, como medianos , e innovadores locales en ASRS, en Colombia, en_x000a_las que se desarrollen soluciones innovadoras que permitan avanzar en el cierre_x000a_de brechas en el acceso a estos servicios en el país, acorde con el contexto_x000a_geográfico, económico y sociocultural de las comunidades."/>
    <d v="2023-08-29T00:00:00"/>
    <d v="2026-12-29T00:00:00"/>
    <x v="8"/>
    <s v="No Reporta"/>
    <s v="Banca Multilateral"/>
    <n v="200000"/>
    <x v="5"/>
    <s v="Estados Unidos"/>
    <m/>
    <s v="1. Promover la lucha contra el cambio climatico, la justicia ambiental y la transformación productiva"/>
    <s v="11.1.Para 2030, asegurar el acceso para todos a una vivienda adecuada, segura y asequible, y a los servicios básicos y mejorar los tugurios."/>
    <x v="4"/>
    <s v="SIN ALINEAR"/>
    <s v="Vivienda Ciudad y Territorio"/>
  </r>
  <r>
    <s v="R-AO-24-5839"/>
    <s v="Bioeconomía y Acción por el Clima"/>
    <s v="Reducir la vulnerabilidad climática y financiera de la _x000a_población más vulnerable del país, al tiempo que se _x000a_reducen las emisiones de gases de efecto invernadero _x000a_como medida de mitigación del cambio climático en _x000a_algunas de las zonas climáticamente más vulnerables del _x000a_país"/>
    <d v="2024-06-01T00:00:00"/>
    <d v="2028-05-31T00:00:00"/>
    <x v="33"/>
    <s v="No Reporta"/>
    <s v="Suecia"/>
    <n v="676659.28571428603"/>
    <x v="49"/>
    <s v="Suec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4-5839"/>
    <s v="Bioeconomía y Acción por el Clima"/>
    <s v="Reducir la vulnerabilidad climática y financiera de la _x000a_población más vulnerable del país, al tiempo que se _x000a_reducen las emisiones de gases de efecto invernadero _x000a_como medida de mitigación del cambio climático en _x000a_algunas de las zonas climáticamente más vulnerables del _x000a_país"/>
    <d v="2024-06-01T00:00:00"/>
    <d v="2028-05-31T00:00:00"/>
    <x v="16"/>
    <s v="No Reporta"/>
    <s v="Suecia"/>
    <n v="676659.28571428603"/>
    <x v="49"/>
    <s v="Suec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4-5839"/>
    <s v="Bioeconomía y Acción por el Clima"/>
    <s v="Reducir la vulnerabilidad climática y financiera de la _x000a_población más vulnerable del país, al tiempo que se _x000a_reducen las emisiones de gases de efecto invernadero _x000a_como medida de mitigación del cambio climático en _x000a_algunas de las zonas climáticamente más vulnerables del _x000a_país"/>
    <d v="2024-06-01T00:00:00"/>
    <d v="2028-05-31T00:00:00"/>
    <x v="10"/>
    <s v="Santa Marta"/>
    <s v="Suecia"/>
    <n v="676659.28571428603"/>
    <x v="49"/>
    <s v="Suec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4-5839"/>
    <s v="Bioeconomía y Acción por el Clima"/>
    <s v="Reducir la vulnerabilidad climática y financiera de la _x000a_población más vulnerable del país, al tiempo que se _x000a_reducen las emisiones de gases de efecto invernadero _x000a_como medida de mitigación del cambio climático en _x000a_algunas de las zonas climáticamente más vulnerables del _x000a_país"/>
    <d v="2024-06-01T00:00:00"/>
    <d v="2028-05-31T00:00:00"/>
    <x v="24"/>
    <s v="No Reporta"/>
    <s v="Suecia"/>
    <n v="676659.28571428603"/>
    <x v="49"/>
    <s v="Suec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4-5839"/>
    <s v="Bioeconomía y Acción por el Clima"/>
    <s v="Reducir la vulnerabilidad climática y financiera de la _x000a_población más vulnerable del país, al tiempo que se _x000a_reducen las emisiones de gases de efecto invernadero _x000a_como medida de mitigación del cambio climático en _x000a_algunas de las zonas climáticamente más vulnerables del _x000a_país"/>
    <d v="2024-06-01T00:00:00"/>
    <d v="2028-05-31T00:00:00"/>
    <x v="19"/>
    <s v="Puerto Asís"/>
    <s v="Suecia"/>
    <n v="676659.28571428603"/>
    <x v="49"/>
    <s v="Suec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4-5839"/>
    <s v="Bioeconomía y Acción por el Clima"/>
    <s v="Reducir la vulnerabilidad climática y financiera de la _x000a_población más vulnerable del país, al tiempo que se _x000a_reducen las emisiones de gases de efecto invernadero _x000a_como medida de mitigación del cambio climático en _x000a_algunas de las zonas climáticamente más vulnerables del _x000a_país"/>
    <d v="2024-06-01T00:00:00"/>
    <d v="2028-05-31T00:00:00"/>
    <x v="18"/>
    <s v="San José del Guaviare"/>
    <s v="Suecia"/>
    <n v="676659.28571428603"/>
    <x v="49"/>
    <s v="Suec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4-5839"/>
    <s v="Bioeconomía y Acción por el Clima"/>
    <s v="Reducir la vulnerabilidad climática y financiera de la _x000a_población más vulnerable del país, al tiempo que se _x000a_reducen las emisiones de gases de efecto invernadero _x000a_como medida de mitigación del cambio climático en _x000a_algunas de las zonas climáticamente más vulnerables del _x000a_país"/>
    <d v="2024-06-01T00:00:00"/>
    <d v="2028-05-31T00:00:00"/>
    <x v="30"/>
    <s v="Nuquí"/>
    <s v="Suecia"/>
    <n v="676659.28571428603"/>
    <x v="49"/>
    <s v="Suec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4-5841"/>
    <s v="Apoyo al fortalecimiento de la misión de la Jurisdicción Especial para la Paz, para la consolidación de la transición hacia la paz en Colombia – Fase III.  Ref. Expediente nº 2024QdV00004"/>
    <s v="Apoyo a la Jurisdicción Especial para la Paz, para la consolidación de la transición hacia la paz en Colombia garantizando los derechos de las víctimas y la seguridad jurídica de los comparecientes, con enfoque territorial, diferencial y de género."/>
    <d v="2024-06-10T00:00:00"/>
    <d v="2027-12-10T00:00:00"/>
    <x v="8"/>
    <s v="Ámbito Nacional"/>
    <s v="España"/>
    <n v="536798"/>
    <x v="27"/>
    <s v="España"/>
    <m/>
    <s v="3. Promover una cultura de paz, justicia y lucha contra la desigualdad"/>
    <s v="16.3.Promover el estado de derecho en los planos nacional e internacional, y garantizar la igualdad en el acceso a la justicia para todos."/>
    <x v="7"/>
    <s v="SIN ALINEAR"/>
    <s v="Justicia y del Derecho"/>
  </r>
  <r>
    <s v="R-AO-24-5843"/>
    <s v="Construyendo puentes, tejiendo caminos: acciones para la protección de personas LGBTIQ+ en situación de movilidad humana -  Ref. Expediente nº 2024QdV00222"/>
    <s v="Mejoradas las condiciones de las personas LGTBIQ+ en situación de movilidad: procesos migratorios y de desplazamiento, en la región, así como en los procesos de integración socioeconómica"/>
    <d v="2024-08-01T00:00:00"/>
    <d v="2027-02-01T00:00:00"/>
    <x v="8"/>
    <s v="Ámbito Nacional"/>
    <s v="España"/>
    <n v="178183"/>
    <x v="27"/>
    <s v="España"/>
    <m/>
    <s v="2. Contribuir a la lucha contra el hambre y la atención humanitaria a la poblacion"/>
    <s v="10.2.Para 2030 potenciar y promover la inclusión social, económica y política de todos independientemente de la edad, sexo, discapacidad, raza, etnia, origen, religión o condición económica o de otro tipo."/>
    <x v="11"/>
    <s v="SIN ALINEAR"/>
    <s v="Igualdad y Equidad"/>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Cartagena"/>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Montecristo"/>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San Pablo"/>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Santa Rosa del Sur"/>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Cúcuta"/>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Ocaña"/>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Sardinata"/>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Tibú"/>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Ipiales"/>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Pasto"/>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Policarpa"/>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San Andrés de Tumaco"/>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Buenaventura"/>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Cali"/>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Calima"/>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Jamundí"/>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Apartadó"/>
    <s v="ESAL"/>
    <n v="11111.1111111111"/>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Medellín"/>
    <s v="ESAL"/>
    <n v="11111.1111111111"/>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Tarazá"/>
    <s v="ESAL"/>
    <n v="11111.1111111111"/>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11"/>
    <s v="Bogotá D.C."/>
    <s v="ESAL"/>
    <n v="33333.333333333299"/>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Cartagena"/>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Montecristo"/>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San Pablo"/>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Santa Rosa del Sur"/>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Cúcuta"/>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Ocaña"/>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Sardinata"/>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Tibú"/>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Ipiales"/>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Pasto"/>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Policarpa"/>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San Andrés de Tumaco"/>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Buenaventura"/>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Cali"/>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Calima"/>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Jamundí"/>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Apartadó"/>
    <s v="Naciones Unidas"/>
    <n v="27802.2222222222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Medellín"/>
    <s v="Naciones Unidas"/>
    <n v="27802.2222222222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Tarazá"/>
    <s v="Naciones Unidas"/>
    <n v="27802.2222222222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11"/>
    <s v="Bogotá D.C."/>
    <s v="Naciones Unidas"/>
    <n v="83406.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Cartagena"/>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Montecristo"/>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San Pablo"/>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Santa Rosa del Sur"/>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Cúcuta"/>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Ocaña"/>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Sardinata"/>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Tibú"/>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Ipiales"/>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Pasto"/>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Policarpa"/>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San Andrés de Tumaco"/>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Buenaventura"/>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Cali"/>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Calima"/>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Jamundí"/>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Apartadó"/>
    <s v="Reino Unido"/>
    <n v="5531.1111111111104"/>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Medellín"/>
    <s v="Reino Unido"/>
    <n v="5531.1111111111104"/>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Tarazá"/>
    <s v="Reino Unido"/>
    <n v="5531.1111111111104"/>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11"/>
    <s v="Bogotá D.C."/>
    <s v="Reino Unido"/>
    <n v="16593.333333333299"/>
    <x v="6"/>
    <s v="Colombia"/>
    <m/>
    <s v="No Aplica"/>
    <s v="16.5.Reducir sustancialmente la corrupción y el soborno en todas sus formas."/>
    <x v="7"/>
    <s v="SIN ALINEAR"/>
    <s v="Justicia y del Derecho"/>
  </r>
  <r>
    <s v="R-AO-23-5859"/>
    <s v="Apoyo a la Estrategia de Prevención contra la trata y trafico ilegal de migrantes en Colombia"/>
    <s v="El objetivo de la cooperación técnica es apoyar al Gobierno Nacional en la_x000a_implementación de acciones para mitigar la violencia basada en género (VBG), la trata_x000a_de personas y el tráfico ilícito de migrantes a través de: (i) Fortalecimiento de_x000a_instrumentos para la formulación e implementación de Planes de Acción Territorial_x000a_(PAT); (ii) Adecuación de campañas de prevención y difusión de los PAT y rutas de_x000a_atención a la VBG y (iii) Fortalecimiento institucional para la respuesta al tráfico ilícito_x000a_de migrantes. De igual forma, la CT busca implementar el segundo tramo del_x000a_Préstamo Programático (CO-L1272), apoyando los esfuerzos realizados por el país_x000a_en combatir los factores de vulnerabilidad asociados a la trata y tráfico de migrantes."/>
    <d v="2023-02-28T00:00:00"/>
    <d v="2026-02-27T00:00:00"/>
    <x v="8"/>
    <s v="No Reporta"/>
    <s v="Banca Multilateral"/>
    <n v="35000"/>
    <x v="5"/>
    <s v="Estados Unidos"/>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nterior"/>
  </r>
  <r>
    <s v="R-AO-23-5859"/>
    <s v="Apoyo a la Estrategia de Prevención contra la trata y trafico ilegal de migrantes en Colombia"/>
    <s v="El objetivo de la cooperación técnica es apoyar al Gobierno Nacional en la_x000a_implementación de acciones para mitigar la violencia basada en género (VBG), la trata_x000a_de personas y el tráfico ilícito de migrantes a través de: (i) Fortalecimiento de_x000a_instrumentos para la formulación e implementación de Planes de Acción Territorial_x000a_(PAT); (ii) Adecuación de campañas de prevención y difusión de los PAT y rutas de_x000a_atención a la VBG y (iii) Fortalecimiento institucional para la respuesta al tráfico ilícito_x000a_de migrantes. De igual forma, la CT busca implementar el segundo tramo del_x000a_Préstamo Programático (CO-L1272), apoyando los esfuerzos realizados por el país_x000a_en combatir los factores de vulnerabilidad asociados a la trata y tráfico de migrantes."/>
    <d v="2023-02-28T00:00:00"/>
    <d v="2026-02-27T00:00:00"/>
    <x v="16"/>
    <s v="No Reporta"/>
    <s v="Banca Multilateral"/>
    <n v="35000"/>
    <x v="5"/>
    <s v="Estados Unidos"/>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nterior"/>
  </r>
  <r>
    <s v="R-AO-23-5859"/>
    <s v="Apoyo a la Estrategia de Prevención contra la trata y trafico ilegal de migrantes en Colombia"/>
    <s v="El objetivo de la cooperación técnica es apoyar al Gobierno Nacional en la_x000a_implementación de acciones para mitigar la violencia basada en género (VBG), la trata_x000a_de personas y el tráfico ilícito de migrantes a través de: (i) Fortalecimiento de_x000a_instrumentos para la formulación e implementación de Planes de Acción Territorial_x000a_(PAT); (ii) Adecuación de campañas de prevención y difusión de los PAT y rutas de_x000a_atención a la VBG y (iii) Fortalecimiento institucional para la respuesta al tráfico ilícito_x000a_de migrantes. De igual forma, la CT busca implementar el segundo tramo del_x000a_Préstamo Programático (CO-L1272), apoyando los esfuerzos realizados por el país_x000a_en combatir los factores de vulnerabilidad asociados a la trata y tráfico de migrantes."/>
    <d v="2023-02-28T00:00:00"/>
    <d v="2026-02-27T00:00:00"/>
    <x v="20"/>
    <s v="No Reporta"/>
    <s v="Banca Multilateral"/>
    <n v="35000"/>
    <x v="5"/>
    <s v="Estados Unidos"/>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nterior"/>
  </r>
  <r>
    <s v="R-AO-23-5859"/>
    <s v="Apoyo a la Estrategia de Prevención contra la trata y trafico ilegal de migrantes en Colombia"/>
    <s v="El objetivo de la cooperación técnica es apoyar al Gobierno Nacional en la_x000a_implementación de acciones para mitigar la violencia basada en género (VBG), la trata_x000a_de personas y el tráfico ilícito de migrantes a través de: (i) Fortalecimiento de_x000a_instrumentos para la formulación e implementación de Planes de Acción Territorial_x000a_(PAT); (ii) Adecuación de campañas de prevención y difusión de los PAT y rutas de_x000a_atención a la VBG y (iii) Fortalecimiento institucional para la respuesta al tráfico ilícito_x000a_de migrantes. De igual forma, la CT busca implementar el segundo tramo del_x000a_Préstamo Programático (CO-L1272), apoyando los esfuerzos realizados por el país_x000a_en combatir los factores de vulnerabilidad asociados a la trata y tráfico de migrantes."/>
    <d v="2023-02-28T00:00:00"/>
    <d v="2026-02-27T00:00:00"/>
    <x v="7"/>
    <s v="No Reporta"/>
    <s v="Banca Multilateral"/>
    <n v="35000"/>
    <x v="5"/>
    <s v="Estados Unidos"/>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nterior"/>
  </r>
  <r>
    <s v="R-AO-23-5859"/>
    <s v="Apoyo a la Estrategia de Prevención contra la trata y trafico ilegal de migrantes en Colombia"/>
    <s v="El objetivo de la cooperación técnica es apoyar al Gobierno Nacional en la_x000a_implementación de acciones para mitigar la violencia basada en género (VBG), la trata_x000a_de personas y el tráfico ilícito de migrantes a través de: (i) Fortalecimiento de_x000a_instrumentos para la formulación e implementación de Planes de Acción Territorial_x000a_(PAT); (ii) Adecuación de campañas de prevención y difusión de los PAT y rutas de_x000a_atención a la VBG y (iii) Fortalecimiento institucional para la respuesta al tráfico ilícito_x000a_de migrantes. De igual forma, la CT busca implementar el segundo tramo del_x000a_Préstamo Programático (CO-L1272), apoyando los esfuerzos realizados por el país_x000a_en combatir los factores de vulnerabilidad asociados a la trata y tráfico de migrantes."/>
    <d v="2023-02-28T00:00:00"/>
    <d v="2026-02-27T00:00:00"/>
    <x v="30"/>
    <s v="No Reporta"/>
    <s v="Banca Multilateral"/>
    <n v="35000"/>
    <x v="5"/>
    <s v="Estados Unidos"/>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nterior"/>
  </r>
  <r>
    <s v="R-AO-23-5859"/>
    <s v="Apoyo a la Estrategia de Prevención contra la trata y trafico ilegal de migrantes en Colombia"/>
    <s v="El objetivo de la cooperación técnica es apoyar al Gobierno Nacional en la_x000a_implementación de acciones para mitigar la violencia basada en género (VBG), la trata_x000a_de personas y el tráfico ilícito de migrantes a través de: (i) Fortalecimiento de_x000a_instrumentos para la formulación e implementación de Planes de Acción Territorial_x000a_(PAT); (ii) Adecuación de campañas de prevención y difusión de los PAT y rutas de_x000a_atención a la VBG y (iii) Fortalecimiento institucional para la respuesta al tráfico ilícito_x000a_de migrantes. De igual forma, la CT busca implementar el segundo tramo del_x000a_Préstamo Programático (CO-L1272), apoyando los esfuerzos realizados por el país_x000a_en combatir los factores de vulnerabilidad asociados a la trata y tráfico de migrantes."/>
    <d v="2023-02-28T00:00:00"/>
    <d v="2026-02-27T00:00:00"/>
    <x v="27"/>
    <s v="No Reporta"/>
    <s v="Banca Multilateral"/>
    <n v="35000"/>
    <x v="5"/>
    <s v="Estados Unidos"/>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nterior"/>
  </r>
  <r>
    <s v="R-AO-23-5861"/>
    <s v="Apoyo al Fortalecimiento institucional del Grupo Bicentenario CO-T1718"/>
    <s v="apoyar el_x000a_fortalecimiento institucional del GRUPO BICENTENARIO para mejorar su contribución en el logro del_x000a_crecimiento económico, inclusivo y sostenible en Colombia."/>
    <d v="2023-05-10T00:00:00"/>
    <d v="2027-05-09T00:00:00"/>
    <x v="8"/>
    <s v="No Reporta"/>
    <s v="Banca Multilateral"/>
    <n v="590000"/>
    <x v="5"/>
    <s v="Estados Unidos"/>
    <m/>
    <s v="1. Promover la lucha contra el cambio climatico, la justicia ambiental y la transformación productiva"/>
    <s v="9.2.Promover la industrialización incluyente y sostenible, y en 2030 aumentar de manera significativa la participación de la industria en empleo y en el PIB de acuerdo con las circunstancias nacionales, y duplicar su participación en los PMA."/>
    <x v="8"/>
    <s v="SIN ALINEAR"/>
    <s v="Hacienda y Crédito Público"/>
  </r>
  <r>
    <s v="R-AO-24-5860"/>
    <s v="El territorio habla y el Centro Nacional de Memoria Escucha: promoviendo  los derechos de las víctimas en los departamentos de Chocó y Valle del  Cauca.  -2024QdV00002"/>
    <s v="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_x000a_"/>
    <d v="2024-06-07T00:00:00"/>
    <d v="2026-12-07T00:00:00"/>
    <x v="30"/>
    <s v="Bojayá"/>
    <s v="España"/>
    <n v="54064.833333333299"/>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860"/>
    <s v="El territorio habla y el Centro Nacional de Memoria Escucha: promoviendo  los derechos de las víctimas en los departamentos de Chocó y Valle del  Cauca.  -2024QdV00002"/>
    <s v="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_x000a_"/>
    <d v="2024-06-07T00:00:00"/>
    <d v="2026-12-07T00:00:00"/>
    <x v="30"/>
    <s v="El Carmen de Atrato"/>
    <s v="España"/>
    <n v="54064.833333333299"/>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860"/>
    <s v="El territorio habla y el Centro Nacional de Memoria Escucha: promoviendo  los derechos de las víctimas en los departamentos de Chocó y Valle del  Cauca.  -2024QdV00002"/>
    <s v="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_x000a_"/>
    <d v="2024-06-07T00:00:00"/>
    <d v="2026-12-07T00:00:00"/>
    <x v="30"/>
    <s v="Quibdó"/>
    <s v="España"/>
    <n v="54064.833333333299"/>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860"/>
    <s v="El territorio habla y el Centro Nacional de Memoria Escucha: promoviendo  los derechos de las víctimas en los departamentos de Chocó y Valle del  Cauca.  -2024QdV00002"/>
    <s v="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_x000a_"/>
    <d v="2024-06-07T00:00:00"/>
    <d v="2026-12-07T00:00:00"/>
    <x v="9"/>
    <s v="Buenaventura"/>
    <s v="España"/>
    <n v="162194.5"/>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5-5863"/>
    <s v="El territorio habla y el Centro Nacional de Memoria Escucha: promoviendo los derechos de las víctimas en los departamentos de Chocó y Valle del Cauca -2024QdV00002"/>
    <s v="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
    <d v="2025-01-01T00:00:00"/>
    <d v="2026-12-07T00:00:00"/>
    <x v="30"/>
    <s v="Bojayá"/>
    <s v="España"/>
    <n v="18021.5"/>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5-5863"/>
    <s v="El territorio habla y el Centro Nacional de Memoria Escucha: promoviendo los derechos de las víctimas en los departamentos de Chocó y Valle del Cauca -2024QdV00002"/>
    <s v="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
    <d v="2025-01-01T00:00:00"/>
    <d v="2026-12-07T00:00:00"/>
    <x v="30"/>
    <s v="El Carmen de Atrato"/>
    <s v="España"/>
    <n v="18021.5"/>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5-5863"/>
    <s v="El territorio habla y el Centro Nacional de Memoria Escucha: promoviendo los derechos de las víctimas en los departamentos de Chocó y Valle del Cauca -2024QdV00002"/>
    <s v="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
    <d v="2025-01-01T00:00:00"/>
    <d v="2026-12-07T00:00:00"/>
    <x v="30"/>
    <s v="Quibdó"/>
    <s v="España"/>
    <n v="18021.5"/>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5-5863"/>
    <s v="El territorio habla y el Centro Nacional de Memoria Escucha: promoviendo los derechos de las víctimas en los departamentos de Chocó y Valle del Cauca -2024QdV00002"/>
    <s v="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
    <d v="2025-01-01T00:00:00"/>
    <d v="2026-12-07T00:00:00"/>
    <x v="9"/>
    <s v="Buenaventura"/>
    <s v="España"/>
    <n v="54064.5"/>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3-5874"/>
    <s v="TetraPak &amp; FAO: Red lechera en Colombia (construcción de paz) -15362 (TetraPak &amp; FAO: Dairy network in Colombia (peacebuilding)"/>
    <s v="El objetivo del proyecto es contribuir al fortalecimiento de un sistema de producción lechera sostenible y replicable para pequeños productores de los municipios de Cajibío, Totoro, Silvia y Sotará en el Departamento del Cauca (Colombia). El objetivo principal es Conflicto, Paz y Seguridad, Género y Medio Ambiente."/>
    <d v="2023-08-01T00:00:00"/>
    <d v="2026-07-31T00:00:00"/>
    <x v="28"/>
    <s v="Cajibío"/>
    <s v="Suecia"/>
    <n v="94312"/>
    <x v="49"/>
    <s v="Suecia"/>
    <m/>
    <s v="No Aplica"/>
    <s v="12.a.Apoyar a los países en desarrollo para fortalecer sus capacidades científicas y tecnológicas para avanzar hacia patrones más sostenibles de consumo y producción."/>
    <x v="10"/>
    <s v="SIN ALINEAR"/>
    <s v="Comercio, Industria y Turismo"/>
  </r>
  <r>
    <s v="R-AO-23-5874"/>
    <s v="TetraPak &amp; FAO: Red lechera en Colombia (construcción de paz) -15362 (TetraPak &amp; FAO: Dairy network in Colombia (peacebuilding)"/>
    <s v="El objetivo del proyecto es contribuir al fortalecimiento de un sistema de producción lechera sostenible y replicable para pequeños productores de los municipios de Cajibío, Totoro, Silvia y Sotará en el Departamento del Cauca (Colombia). El objetivo principal es Conflicto, Paz y Seguridad, Género y Medio Ambiente."/>
    <d v="2023-08-01T00:00:00"/>
    <d v="2026-07-31T00:00:00"/>
    <x v="28"/>
    <s v="Silvia"/>
    <s v="Suecia"/>
    <n v="94312"/>
    <x v="49"/>
    <s v="Suecia"/>
    <m/>
    <s v="No Aplica"/>
    <s v="12.a.Apoyar a los países en desarrollo para fortalecer sus capacidades científicas y tecnológicas para avanzar hacia patrones más sostenibles de consumo y producción."/>
    <x v="10"/>
    <s v="SIN ALINEAR"/>
    <s v="Comercio, Industria y Turismo"/>
  </r>
  <r>
    <s v="R-AO-23-5874"/>
    <s v="TetraPak &amp; FAO: Red lechera en Colombia (construcción de paz) -15362 (TetraPak &amp; FAO: Dairy network in Colombia (peacebuilding)"/>
    <s v="El objetivo del proyecto es contribuir al fortalecimiento de un sistema de producción lechera sostenible y replicable para pequeños productores de los municipios de Cajibío, Totoro, Silvia y Sotará en el Departamento del Cauca (Colombia). El objetivo principal es Conflicto, Paz y Seguridad, Género y Medio Ambiente."/>
    <d v="2023-08-01T00:00:00"/>
    <d v="2026-07-31T00:00:00"/>
    <x v="28"/>
    <s v="Sotara"/>
    <s v="Suecia"/>
    <n v="94312"/>
    <x v="49"/>
    <s v="Suecia"/>
    <m/>
    <s v="No Aplica"/>
    <s v="12.a.Apoyar a los países en desarrollo para fortalecer sus capacidades científicas y tecnológicas para avanzar hacia patrones más sostenibles de consumo y producción."/>
    <x v="10"/>
    <s v="SIN ALINEAR"/>
    <s v="Comercio, Industria y Turismo"/>
  </r>
  <r>
    <s v="R-AO-23-5874"/>
    <s v="TetraPak &amp; FAO: Red lechera en Colombia (construcción de paz) -15362 (TetraPak &amp; FAO: Dairy network in Colombia (peacebuilding)"/>
    <s v="El objetivo del proyecto es contribuir al fortalecimiento de un sistema de producción lechera sostenible y replicable para pequeños productores de los municipios de Cajibío, Totoro, Silvia y Sotará en el Departamento del Cauca (Colombia). El objetivo principal es Conflicto, Paz y Seguridad, Género y Medio Ambiente."/>
    <d v="2023-08-01T00:00:00"/>
    <d v="2026-07-31T00:00:00"/>
    <x v="28"/>
    <s v="Totoró"/>
    <s v="Suecia"/>
    <n v="94312"/>
    <x v="49"/>
    <s v="Suecia"/>
    <m/>
    <s v="No Aplica"/>
    <s v="12.a.Apoyar a los países en desarrollo para fortalecer sus capacidades científicas y tecnológicas para avanzar hacia patrones más sostenibles de consumo y producción."/>
    <x v="10"/>
    <s v="SIN ALINEAR"/>
    <s v="Comercio, Industria y Turismo"/>
  </r>
  <r>
    <s v="R-AO-23-5875"/>
    <s v="Sector privado y construcción de paz en Colombia 2023-2026 - 16063 ( Private sector &amp; Peacebuilding Colombia 2023-2026)"/>
    <s v="El aporte tiene como objetivo coordinar los esfuerzos de las tres organizaciones para promover un enfoque integral que incluya insumos e información para los responsables políticos y la opinión pública, construya puentes entre los gobiernos nacionales y regionales y las empresas, concientice a las empresas privadas sobre los buenos ejemplos de conducta empresarial responsable junto con el impacto que podrían tener en la construcción de la paz y, finalmente, promueva vínculos comerciales entre grandes empresas y pequeños agricultores campesinos de las regiones afectadas por el conflicto, estimulando así las oportunidades económicas en las regiones seleccionadas."/>
    <d v="2023-12-01T00:00:00"/>
    <d v="2027-03-31T00:00:00"/>
    <x v="8"/>
    <s v="Ámbito Nacional"/>
    <s v="Suecia"/>
    <n v="377248"/>
    <x v="49"/>
    <s v="Suecia"/>
    <m/>
    <s v="No Aplica"/>
    <s v="17.15.Respetar el espacio político y el liderazgo de cada país para establecer y poner en práctica políticas para la erradicación de la pobreza y el desarrollo sostenible."/>
    <x v="15"/>
    <s v="SIN ALINEAR"/>
    <s v="Presidencia de la República"/>
  </r>
  <r>
    <s v="R-AO-23-5909"/>
    <s v="Reincorporación en Colombia-Efecto nosotros - 15253 (We Effect - återintegrering Colombia 2022-2026) desembolso 2023"/>
    <s v="El apoyo al proyecto We Effect en Colombia tiene como objetivo facilitar el proceso de reincorporación de mujeres y hombres excombatientes conjuntamente con sus comunidades vecinas, a través de la implementación de modelos económicos sostenibles basados ??en modelos cooperativos con perspectiva de género incluida. El aporte tiene su enfoque geográfico en la región de los Montes de María (Sucre, Bolívar y Córdoba), que son regiones afectadas por conflictos."/>
    <d v="2023-01-01T00:00:00"/>
    <d v="2026-04-30T00:00:00"/>
    <x v="5"/>
    <s v="No Reporta"/>
    <s v="Suecia"/>
    <n v="138324.33333333299"/>
    <x v="49"/>
    <s v="Suecia"/>
    <m/>
    <s v="No Aplica"/>
    <s v="16.3.Promover el estado de derecho en los planos nacional e internacional, y garantizar la igualdad en el acceso a la justicia para todos."/>
    <x v="7"/>
    <s v="SIN ALINEAR"/>
    <s v="Presidencia de la República"/>
  </r>
  <r>
    <s v="R-AO-23-5909"/>
    <s v="Reincorporación en Colombia-Efecto nosotros - 15253 (We Effect - återintegrering Colombia 2022-2026) desembolso 2023"/>
    <s v="El apoyo al proyecto We Effect en Colombia tiene como objetivo facilitar el proceso de reincorporación de mujeres y hombres excombatientes conjuntamente con sus comunidades vecinas, a través de la implementación de modelos económicos sostenibles basados ??en modelos cooperativos con perspectiva de género incluida. El aporte tiene su enfoque geográfico en la región de los Montes de María (Sucre, Bolívar y Córdoba), que son regiones afectadas por conflictos."/>
    <d v="2023-01-01T00:00:00"/>
    <d v="2026-04-30T00:00:00"/>
    <x v="6"/>
    <s v="No Reporta"/>
    <s v="Suecia"/>
    <n v="138324.33333333299"/>
    <x v="49"/>
    <s v="Suecia"/>
    <m/>
    <s v="No Aplica"/>
    <s v="16.3.Promover el estado de derecho en los planos nacional e internacional, y garantizar la igualdad en el acceso a la justicia para todos."/>
    <x v="7"/>
    <s v="SIN ALINEAR"/>
    <s v="Presidencia de la República"/>
  </r>
  <r>
    <s v="R-AO-23-5909"/>
    <s v="Reincorporación en Colombia-Efecto nosotros - 15253 (We Effect - återintegrering Colombia 2022-2026) desembolso 2023"/>
    <s v="El apoyo al proyecto We Effect en Colombia tiene como objetivo facilitar el proceso de reincorporación de mujeres y hombres excombatientes conjuntamente con sus comunidades vecinas, a través de la implementación de modelos económicos sostenibles basados ??en modelos cooperativos con perspectiva de género incluida. El aporte tiene su enfoque geográfico en la región de los Montes de María (Sucre, Bolívar y Córdoba), que son regiones afectadas por conflictos."/>
    <d v="2023-01-01T00:00:00"/>
    <d v="2026-04-30T00:00:00"/>
    <x v="4"/>
    <s v="No Reporta"/>
    <s v="Suecia"/>
    <n v="138324.33333333299"/>
    <x v="49"/>
    <s v="Suecia"/>
    <m/>
    <s v="No Aplica"/>
    <s v="16.3.Promover el estado de derecho en los planos nacional e internacional, y garantizar la igualdad en el acceso a la justicia para todos."/>
    <x v="7"/>
    <s v="SIN ALINEAR"/>
    <s v="Presidencia de la República"/>
  </r>
  <r>
    <s v="R-AO-24-5913"/>
    <s v="Estrategia de desarrollo rural integral con enfoque de género - CO-T1709"/>
    <s v="El objetivo de esta cooperación técnica (CT) es apoyar al gobierno de Colombia en el_x000a_diseño y la implementación de esta Reforma Rural Integral con enfoque de género para la generación de programas y políticas encaminadas a aumentar los ingresos, la productividad y la autonomía económica de las mujeres rurales, considerando la_x000a_economía del cuidado. "/>
    <d v="2024-06-29T00:00:00"/>
    <d v="2026-06-28T00:00:00"/>
    <x v="8"/>
    <s v="No Reporta"/>
    <s v="Banca Multilateral"/>
    <n v="500000"/>
    <x v="5"/>
    <s v="Estados Unidos"/>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3-5915"/>
    <s v="Politica Fiscal para el Cambio Climático en Colombia"/>
    <s v="apoyar al Ministerio de Hacienda y Crédito Público de Colombia (MHCP) y al Departamento_x000a_Nacional de Planeación (DNP) en la integración de la acción climática en su política y_x000a_gestión fiscal y de la inversión pública. "/>
    <d v="2023-05-07T00:00:00"/>
    <d v="2026-05-07T00:00:00"/>
    <x v="8"/>
    <s v="No Reporta"/>
    <s v="Banca Multilateral"/>
    <n v="990000"/>
    <x v="5"/>
    <s v="Estados Unidos"/>
    <m/>
    <s v="1. Promover la lucha contra el cambio climatico, la justicia ambiental y la transformación productiva"/>
    <s v="13.2.Integrar medidas de cambio climático en las políticas, estrategias y planificación nacional."/>
    <x v="0"/>
    <s v="SIN ALINEAR"/>
    <s v="Hacienda y Crédito Público"/>
  </r>
  <r>
    <s v="R-AO-23-5917"/>
    <s v="Prevención de violencias basadas en género en municipios con alta presencia de grupos étnicos"/>
    <s v="El objetivo central de esta Cooperación Técnica es apoyar la formulación e implementación de instrumentos para la prevención y atención integral de las violencias basadas en género con enfoque étnico y territorial para pueblos indígenas, afrodescendientes y campesinos de la Amazonía colombiana."/>
    <d v="2023-10-03T00:00:00"/>
    <d v="2026-02-03T00:00:00"/>
    <x v="24"/>
    <s v="No Reporta"/>
    <s v="Banca Multilateral"/>
    <n v="70000"/>
    <x v="5"/>
    <s v="Estados Unidos"/>
    <m/>
    <s v="4. Fortalecimiento institucional para la gestión de la cooperación internacional"/>
    <s v="5.2.Eliminar todas las formas de violencia contra las mujeres y las niñas en las esferas públicas y privadas, incluyendo el tráfico sexual y otros tipos de explotación."/>
    <x v="2"/>
    <s v="SIN ALINEAR"/>
    <s v="Igualdad y Equidad"/>
  </r>
  <r>
    <s v="R-AO-23-5917"/>
    <s v="Prevención de violencias basadas en género en municipios con alta presencia de grupos étnicos"/>
    <s v="El objetivo central de esta Cooperación Técnica es apoyar la formulación e implementación de instrumentos para la prevención y atención integral de las violencias basadas en género con enfoque étnico y territorial para pueblos indígenas, afrodescendientes y campesinos de la Amazonía colombiana."/>
    <d v="2023-10-03T00:00:00"/>
    <d v="2026-02-03T00:00:00"/>
    <x v="17"/>
    <s v="No Reporta"/>
    <s v="Banca Multilateral"/>
    <n v="70000"/>
    <x v="5"/>
    <s v="Estados Unidos"/>
    <m/>
    <s v="4. Fortalecimiento institucional para la gestión de la cooperación internacional"/>
    <s v="5.2.Eliminar todas las formas de violencia contra las mujeres y las niñas en las esferas públicas y privadas, incluyendo el tráfico sexual y otros tipos de explotación."/>
    <x v="2"/>
    <s v="SIN ALINEAR"/>
    <s v="Igualdad y Equidad"/>
  </r>
  <r>
    <s v="R-AO-23-5917"/>
    <s v="Prevención de violencias basadas en género en municipios con alta presencia de grupos étnicos"/>
    <s v="El objetivo central de esta Cooperación Técnica es apoyar la formulación e implementación de instrumentos para la prevención y atención integral de las violencias basadas en género con enfoque étnico y territorial para pueblos indígenas, afrodescendientes y campesinos de la Amazonía colombiana."/>
    <d v="2023-10-03T00:00:00"/>
    <d v="2026-02-03T00:00:00"/>
    <x v="19"/>
    <s v="No Reporta"/>
    <s v="Banca Multilateral"/>
    <n v="70000"/>
    <x v="5"/>
    <s v="Estados Unidos"/>
    <m/>
    <s v="4. Fortalecimiento institucional para la gestión de la cooperación internacional"/>
    <s v="5.2.Eliminar todas las formas de violencia contra las mujeres y las niñas en las esferas públicas y privadas, incluyendo el tráfico sexual y otros tipos de explotación."/>
    <x v="2"/>
    <s v="SIN ALINEAR"/>
    <s v="Igualdad y Equidad"/>
  </r>
  <r>
    <s v="R-AO-23-5917"/>
    <s v="Prevención de violencias basadas en género en municipios con alta presencia de grupos étnicos"/>
    <s v="El objetivo central de esta Cooperación Técnica es apoyar la formulación e implementación de instrumentos para la prevención y atención integral de las violencias basadas en género con enfoque étnico y territorial para pueblos indígenas, afrodescendientes y campesinos de la Amazonía colombiana."/>
    <d v="2023-10-03T00:00:00"/>
    <d v="2026-02-03T00:00:00"/>
    <x v="18"/>
    <s v="No Reporta"/>
    <s v="Banca Multilateral"/>
    <n v="70000"/>
    <x v="5"/>
    <s v="Estados Unidos"/>
    <m/>
    <s v="4. Fortalecimiento institucional para la gestión de la cooperación internacional"/>
    <s v="5.2.Eliminar todas las formas de violencia contra las mujeres y las niñas en las esferas públicas y privadas, incluyendo el tráfico sexual y otros tipos de explotación."/>
    <x v="2"/>
    <s v="SIN ALINEAR"/>
    <s v="Igualdad y Equidad"/>
  </r>
  <r>
    <s v="R-AO-23-5917"/>
    <s v="Prevención de violencias basadas en género en municipios con alta presencia de grupos étnicos"/>
    <s v="El objetivo central de esta Cooperación Técnica es apoyar la formulación e implementación de instrumentos para la prevención y atención integral de las violencias basadas en género con enfoque étnico y territorial para pueblos indígenas, afrodescendientes y campesinos de la Amazonía colombiana."/>
    <d v="2023-10-03T00:00:00"/>
    <d v="2026-02-03T00:00:00"/>
    <x v="26"/>
    <s v="No Reporta"/>
    <s v="Banca Multilateral"/>
    <n v="70000"/>
    <x v="5"/>
    <s v="Estados Unidos"/>
    <m/>
    <s v="4. Fortalecimiento institucional para la gestión de la cooperación internacional"/>
    <s v="5.2.Eliminar todas las formas de violencia contra las mujeres y las niñas en las esferas públicas y privadas, incluyendo el tráfico sexual y otros tipos de explotación."/>
    <x v="2"/>
    <s v="SIN ALINEAR"/>
    <s v="Igualdad y Equidad"/>
  </r>
  <r>
    <s v="R-AO-23-5917"/>
    <s v="Prevención de violencias basadas en género en municipios con alta presencia de grupos étnicos"/>
    <s v="El objetivo central de esta Cooperación Técnica es apoyar la formulación e implementación de instrumentos para la prevención y atención integral de las violencias basadas en género con enfoque étnico y territorial para pueblos indígenas, afrodescendientes y campesinos de la Amazonía colombiana."/>
    <d v="2023-10-03T00:00:00"/>
    <d v="2026-02-03T00:00:00"/>
    <x v="3"/>
    <s v="No Reporta"/>
    <s v="Banca Multilateral"/>
    <n v="70000"/>
    <x v="5"/>
    <s v="Estados Unidos"/>
    <m/>
    <s v="4. Fortalecimiento institucional para la gestión de la cooperación internacional"/>
    <s v="5.2.Eliminar todas las formas de violencia contra las mujeres y las niñas en las esferas públicas y privadas, incluyendo el tráfico sexual y otros tipos de explotación."/>
    <x v="2"/>
    <s v="SIN ALINEAR"/>
    <s v="Igualdad y Equidad"/>
  </r>
  <r>
    <s v="R-AO-23-5918"/>
    <s v="Programa de inclusión laboral para inmigrantes y población de acogida en trabajos no convencionales de transporte"/>
    <s v="_x000a_El objetivo general es apoyar la inclusión laboral de mujeres, migrantes y locales de acogida._x000a_Poblaciones del sector transporte del Distrito de Bogotá. "/>
    <d v="2023-06-26T00:00:00"/>
    <d v="2026-06-26T00:00:00"/>
    <x v="11"/>
    <s v="No Reporta"/>
    <s v="Banca Multilateral"/>
    <n v="420000"/>
    <x v="5"/>
    <s v="Estados Unidos"/>
    <m/>
    <s v="2. Contribuir a la lucha contra el hambre y la atención humanitaria a la poblacion"/>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Transporte"/>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28"/>
    <s v="Buenos Aires"/>
    <s v="Unión Europea"/>
    <n v="124855.75"/>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28"/>
    <s v="Caloto"/>
    <s v="Unión Europea"/>
    <n v="124855.75"/>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28"/>
    <s v="Corinto"/>
    <s v="Unión Europea"/>
    <n v="124855.75"/>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28"/>
    <s v="Santander de Quilichao"/>
    <s v="Unión Europea"/>
    <n v="124855.75"/>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28"/>
    <s v="Suárez"/>
    <s v="Unión Europea"/>
    <n v="124855.75"/>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0"/>
    <s v="Arauca"/>
    <s v="Unión Europea"/>
    <n v="208092.91666666701"/>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0"/>
    <s v="Arauquita"/>
    <s v="Unión Europea"/>
    <n v="208092.91666666701"/>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0"/>
    <s v="Saravena"/>
    <s v="Unión Europea"/>
    <n v="208092.91666666701"/>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27"/>
    <s v="San Andrés de Tumaco"/>
    <s v="Unión Europea"/>
    <n v="624278.75"/>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9"/>
    <s v="Buenaventura"/>
    <s v="Unión Europea"/>
    <n v="624278.75"/>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FP-24-5933"/>
    <s v="Senior Expert Contact Colombia - Ofrecer asesoramiento personalizado a pequeñas empresas en crecimiento a través de una red de expertos sénior de América Latina y Europa - GR-079844"/>
    <s v="Ofrecer apoyo a la medida a empresas colombianas, principalmente pequeñas y medianas, para que aumenten sus ventas y generen nuevos empleos a través de una red de expertos senior voluntarios en Colombia, América Latina y Europa; y promover el intercambio de experticia entre los países de América Latina."/>
    <d v="2024-01-01T00:00:00"/>
    <d v="2027-12-31T00:00:00"/>
    <x v="8"/>
    <s v="Ámbito Nacional"/>
    <s v="ESAL"/>
    <n v="890978"/>
    <x v="103"/>
    <s v="Suiza"/>
    <m/>
    <s v="1. Promover la lucha contra el cambio climatico, la justicia ambiental y la transformación productiva"/>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FP-24-5933"/>
    <s v="Senior Expert Contact Colombia - Ofrecer asesoramiento personalizado a pequeñas empresas en crecimiento a través de una red de expertos sénior de América Latina y Europa - GR-079844"/>
    <s v="Ofrecer apoyo a la medida a empresas colombianas, principalmente pequeñas y medianas, para que aumenten sus ventas y generen nuevos empleos a través de una red de expertos senior voluntarios en Colombia, América Latina y Europa; y promover el intercambio de experticia entre los países de América Latina."/>
    <d v="2024-01-01T00:00:00"/>
    <d v="2027-12-31T00:00:00"/>
    <x v="8"/>
    <s v="Ámbito Nacional"/>
    <s v="Empresas"/>
    <n v="562490"/>
    <x v="104"/>
    <s v="Suiza"/>
    <m/>
    <s v="1. Promover la lucha contra el cambio climatico, la justicia ambiental y la transformación productiva"/>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FP-24-5956"/>
    <s v="COLOMBIA: CERRO NEGRO - SAN FRANCISCO - 2-CO-1212-23-3-a"/>
    <s v="Declarar al ecosistema de Páramo Cerro Negro – San Francisco, ubicado en los municipios de como área protegida bajo la figura Parque Natural Regional (PNR) Andino Amazónico."/>
    <d v="2024-01-01T00:00:00"/>
    <d v="2028-08-31T00:00:00"/>
    <x v="27"/>
    <s v="Córdoba"/>
    <s v="ESAL"/>
    <n v="277156"/>
    <x v="105"/>
    <s v="Reino Unido"/>
    <m/>
    <s v="1. Promover la lucha contra el cambio climatico, la justicia ambiental y la transformación productiva"/>
    <s v="15.5.Tomar medidas urgentes y significativas para reducir la degradación del hábitat natural, detener la pérdida de biodiversidad, y en 2020 de proteger y evitar la extinción de especies amenazadas."/>
    <x v="6"/>
    <s v="SIN ALINEAR"/>
    <s v="Ambiente y Desarrollo Sostenible"/>
  </r>
  <r>
    <s v="R-FP-24-5956"/>
    <s v="COLOMBIA: CERRO NEGRO - SAN FRANCISCO - 2-CO-1212-23-3-a"/>
    <s v="Declarar al ecosistema de Páramo Cerro Negro – San Francisco, ubicado en los municipios de como área protegida bajo la figura Parque Natural Regional (PNR) Andino Amazónico."/>
    <d v="2024-01-01T00:00:00"/>
    <d v="2028-08-31T00:00:00"/>
    <x v="27"/>
    <s v="Potosí"/>
    <s v="ESAL"/>
    <n v="277156"/>
    <x v="105"/>
    <s v="Reino Unido"/>
    <m/>
    <s v="1. Promover la lucha contra el cambio climatico, la justicia ambiental y la transformación productiva"/>
    <s v="15.5.Tomar medidas urgentes y significativas para reducir la degradación del hábitat natural, detener la pérdida de biodiversidad, y en 2020 de proteger y evitar la extinción de especies amenazadas."/>
    <x v="6"/>
    <s v="SIN ALINEAR"/>
    <s v="Ambiente y Desarrollo Sostenible"/>
  </r>
  <r>
    <s v="R-FP-24-5956"/>
    <s v="COLOMBIA: CERRO NEGRO - SAN FRANCISCO - 2-CO-1212-23-3-a"/>
    <s v="Declarar al ecosistema de Páramo Cerro Negro – San Francisco, ubicado en los municipios de como área protegida bajo la figura Parque Natural Regional (PNR) Andino Amazónico."/>
    <d v="2024-01-01T00:00:00"/>
    <d v="2028-08-31T00:00:00"/>
    <x v="27"/>
    <s v="Puerres"/>
    <s v="ESAL"/>
    <n v="277156"/>
    <x v="105"/>
    <s v="Reino Unido"/>
    <m/>
    <s v="1. Promover la lucha contra el cambio climatico, la justicia ambiental y la transformación productiva"/>
    <s v="15.5.Tomar medidas urgentes y significativas para reducir la degradación del hábitat natural, detener la pérdida de biodiversidad, y en 2020 de proteger y evitar la extinción de especies amenazadas."/>
    <x v="6"/>
    <s v="SIN ALINEAR"/>
    <s v="Ambiente y Desarrollo Sostenible"/>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8"/>
    <s v="Buenos Aires"/>
    <s v="Alemania"/>
    <n v="194423.4"/>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8"/>
    <s v="Caloto"/>
    <s v="Alemania"/>
    <n v="194423.4"/>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8"/>
    <s v="Morales"/>
    <s v="Alemania"/>
    <n v="194423.4"/>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8"/>
    <s v="Santander de Quilichao"/>
    <s v="Alemania"/>
    <n v="194423.4"/>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8"/>
    <s v="Suárez"/>
    <s v="Alemania"/>
    <n v="194423.4"/>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7"/>
    <s v="La Llanada"/>
    <s v="Alemania"/>
    <n v="243029.25"/>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7"/>
    <s v="Ricaurte"/>
    <s v="Alemania"/>
    <n v="243029.25"/>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7"/>
    <s v="Samaniego"/>
    <s v="Alemania"/>
    <n v="243029.25"/>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7"/>
    <s v="Santacruz"/>
    <s v="Alemania"/>
    <n v="243029.25"/>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6"/>
    <s v="Tierralta"/>
    <s v="Alemania"/>
    <n v="972117"/>
    <x v="106"/>
    <s v="Alemania"/>
    <m/>
    <s v="3. Promover una cultura de paz, justicia y lucha contra la desigualdad"/>
    <s v="16.1.Reducir significativamente todas las formas de violencia y las tasas de mortalidad relacionadas en todas partes."/>
    <x v="7"/>
    <s v="SIN ALINEAR"/>
    <s v="Presidencia de la República"/>
  </r>
  <r>
    <s v="R-FP-24-5976"/>
    <s v="Fi Wi Riif (“Nuestro Arrecife”): Resiliencia y Recuperación Humana y de los Ecosistemas para el Archipiélago de San Andrés y Providencia del Caribe Colombiano, en una Realidad de Cambio Climático - 09_31_24-29_FondoAccion_CO"/>
    <s v="Mejorar, para el año 2029, la resiliencia de los ecosistemas costeros y marinos y la capacidad de las comunidades para recuperarse y adaptarse al cambio climático y a las amenazas a la biodiversidad en el Archipiélago de San Andrés, Providencia Vieja (Providencia) y Santa Catalina (ASAPSC) en el Caribe colombiano, a través de un sistema mejorado de áreas protegidas, una estrategia para recuperar y restaurar la salud de los ecosistemas, y la mejora de los medios de vida de las poblaciones locales y autóctonas."/>
    <d v="2024-09-01T00:00:00"/>
    <d v="2029-08-31T00:00:00"/>
    <x v="33"/>
    <s v="Providencia"/>
    <s v="ESAL"/>
    <n v="1139424.5"/>
    <x v="107"/>
    <s v="Alemania"/>
    <m/>
    <s v="1. Promover la lucha contra el cambio climatico, la justicia ambiental y la transformación productiva"/>
    <s v="14.5.Para 2020, conservar al menos el 10% de las zonas marinas y costeras, en armonía con la legislación nacional e internacional y con base en la mejor información científica disponible"/>
    <x v="9"/>
    <s v="SIN ALINEAR"/>
    <s v="Ambiente y Desarrollo Sostenible"/>
  </r>
  <r>
    <s v="R-FP-24-5976"/>
    <s v="Fi Wi Riif (“Nuestro Arrecife”): Resiliencia y Recuperación Humana y de los Ecosistemas para el Archipiélago de San Andrés y Providencia del Caribe Colombiano, en una Realidad de Cambio Climático - 09_31_24-29_FondoAccion_CO"/>
    <s v="Mejorar, para el año 2029, la resiliencia de los ecosistemas costeros y marinos y la capacidad de las comunidades para recuperarse y adaptarse al cambio climático y a las amenazas a la biodiversidad en el Archipiélago de San Andrés, Providencia Vieja (Providencia) y Santa Catalina (ASAPSC) en el Caribe colombiano, a través de un sistema mejorado de áreas protegidas, una estrategia para recuperar y restaurar la salud de los ecosistemas, y la mejora de los medios de vida de las poblaciones locales y autóctonas."/>
    <d v="2024-09-01T00:00:00"/>
    <d v="2029-08-31T00:00:00"/>
    <x v="33"/>
    <s v="San Andrés"/>
    <s v="ESAL"/>
    <n v="1139424.5"/>
    <x v="107"/>
    <s v="Alemania"/>
    <m/>
    <s v="1. Promover la lucha contra el cambio climatico, la justicia ambiental y la transformación productiva"/>
    <s v="14.5.Para 2020, conservar al menos el 10% de las zonas marinas y costeras, en armonía con la legislación nacional e internacional y con base en la mejor información científica disponible"/>
    <x v="9"/>
    <s v="SIN ALINEAR"/>
    <s v="Ambiente y Desarrollo Sostenible"/>
  </r>
  <r>
    <s v="R-FP-24-5976"/>
    <s v="Fi Wi Riif (“Nuestro Arrecife”): Resiliencia y Recuperación Humana y de los Ecosistemas para el Archipiélago de San Andrés y Providencia del Caribe Colombiano, en una Realidad de Cambio Climático - 09_31_24-29_FondoAccion_CO"/>
    <s v="Mejorar, para el año 2029, la resiliencia de los ecosistemas costeros y marinos y la capacidad de las comunidades para recuperarse y adaptarse al cambio climático y a las amenazas a la biodiversidad en el Archipiélago de San Andrés, Providencia Vieja (Providencia) y Santa Catalina (ASAPSC) en el Caribe colombiano, a través de un sistema mejorado de áreas protegidas, una estrategia para recuperar y restaurar la salud de los ecosistemas, y la mejora de los medios de vida de las poblaciones locales y autóctonas."/>
    <d v="2024-09-01T00:00:00"/>
    <d v="2029-08-31T00:00:00"/>
    <x v="11"/>
    <s v="Bogotá D.C."/>
    <s v="ESAL"/>
    <n v="2278849"/>
    <x v="107"/>
    <s v="Alemania"/>
    <m/>
    <s v="1. Promover la lucha contra el cambio climatico, la justicia ambiental y la transformación productiva"/>
    <s v="14.5.Para 2020, conservar al menos el 10% de las zonas marinas y costeras, en armonía con la legislación nacional e internacional y con base en la mejor información científica disponible"/>
    <x v="9"/>
    <s v="SIN ALINEAR"/>
    <s v="Ambiente y Desarrollo Sostenible"/>
  </r>
  <r>
    <s v="R-FP-24-5976"/>
    <s v="Fi Wi Riif (“Nuestro Arrecife”): Resiliencia y Recuperación Humana y de los Ecosistemas para el Archipiélago de San Andrés y Providencia del Caribe Colombiano, en una Realidad de Cambio Climático - 09_31_24-29_FondoAccion_CO"/>
    <s v="Mejorar, para el año 2029, la resiliencia de los ecosistemas costeros y marinos y la capacidad de las comunidades para recuperarse y adaptarse al cambio climático y a las amenazas a la biodiversidad en el Archipiélago de San Andrés, Providencia Vieja (Providencia) y Santa Catalina (ASAPSC) en el Caribe colombiano, a través de un sistema mejorado de áreas protegidas, una estrategia para recuperar y restaurar la salud de los ecosistemas, y la mejora de los medios de vida de las poblaciones locales y autóctonas."/>
    <d v="2024-09-01T00:00:00"/>
    <d v="2029-08-31T00:00:00"/>
    <x v="33"/>
    <s v="Providencia"/>
    <s v="ESAL"/>
    <n v="481505.75"/>
    <x v="108"/>
    <s v="Alemania"/>
    <m/>
    <s v="1. Promover la lucha contra el cambio climatico, la justicia ambiental y la transformación productiva"/>
    <s v="14.5.Para 2020, conservar al menos el 10% de las zonas marinas y costeras, en armonía con la legislación nacional e internacional y con base en la mejor información científica disponible"/>
    <x v="9"/>
    <s v="SIN ALINEAR"/>
    <s v="Ambiente y Desarrollo Sostenible"/>
  </r>
  <r>
    <s v="R-FP-24-5976"/>
    <s v="Fi Wi Riif (“Nuestro Arrecife”): Resiliencia y Recuperación Humana y de los Ecosistemas para el Archipiélago de San Andrés y Providencia del Caribe Colombiano, en una Realidad de Cambio Climático - 09_31_24-29_FondoAccion_CO"/>
    <s v="Mejorar, para el año 2029, la resiliencia de los ecosistemas costeros y marinos y la capacidad de las comunidades para recuperarse y adaptarse al cambio climático y a las amenazas a la biodiversidad en el Archipiélago de San Andrés, Providencia Vieja (Providencia) y Santa Catalina (ASAPSC) en el Caribe colombiano, a través de un sistema mejorado de áreas protegidas, una estrategia para recuperar y restaurar la salud de los ecosistemas, y la mejora de los medios de vida de las poblaciones locales y autóctonas."/>
    <d v="2024-09-01T00:00:00"/>
    <d v="2029-08-31T00:00:00"/>
    <x v="33"/>
    <s v="San Andrés"/>
    <s v="ESAL"/>
    <n v="481505.75"/>
    <x v="108"/>
    <s v="Alemania"/>
    <m/>
    <s v="1. Promover la lucha contra el cambio climatico, la justicia ambiental y la transformación productiva"/>
    <s v="14.5.Para 2020, conservar al menos el 10% de las zonas marinas y costeras, en armonía con la legislación nacional e internacional y con base en la mejor información científica disponible"/>
    <x v="9"/>
    <s v="SIN ALINEAR"/>
    <s v="Ambiente y Desarrollo Sostenible"/>
  </r>
  <r>
    <s v="R-FP-24-5976"/>
    <s v="Fi Wi Riif (“Nuestro Arrecife”): Resiliencia y Recuperación Humana y de los Ecosistemas para el Archipiélago de San Andrés y Providencia del Caribe Colombiano, en una Realidad de Cambio Climático - 09_31_24-29_FondoAccion_CO"/>
    <s v="Mejorar, para el año 2029, la resiliencia de los ecosistemas costeros y marinos y la capacidad de las comunidades para recuperarse y adaptarse al cambio climático y a las amenazas a la biodiversidad en el Archipiélago de San Andrés, Providencia Vieja (Providencia) y Santa Catalina (ASAPSC) en el Caribe colombiano, a través de un sistema mejorado de áreas protegidas, una estrategia para recuperar y restaurar la salud de los ecosistemas, y la mejora de los medios de vida de las poblaciones locales y autóctonas."/>
    <d v="2024-09-01T00:00:00"/>
    <d v="2029-08-31T00:00:00"/>
    <x v="11"/>
    <s v="Bogotá D.C."/>
    <s v="ESAL"/>
    <n v="963011.5"/>
    <x v="108"/>
    <s v="Alemania"/>
    <m/>
    <s v="1. Promover la lucha contra el cambio climatico, la justicia ambiental y la transformación productiva"/>
    <s v="14.5.Para 2020, conservar al menos el 10% de las zonas marinas y costeras, en armonía con la legislación nacional e internacional y con base en la mejor información científica disponible"/>
    <x v="9"/>
    <s v="SIN ALINEAR"/>
    <s v="Ambiente y Desarrollo Sostenible"/>
  </r>
  <r>
    <s v="R-AO-23-5981"/>
    <s v="cacao amazónico y paz colombia: mejores condiciones de vida de las comunidades rurales mediante el cultivo agroecológico del cacao y cadenas de suministro sin deforestación"/>
    <s v="Promover modelo de producción de cacao cero deforestación y mejorar la calidad de vida de los productores de cacao en las zonas priorizadas para la implementación del acuerdo de paz."/>
    <d v="2023-11-15T00:00:00"/>
    <d v="2027-03-14T00:00:00"/>
    <x v="17"/>
    <s v="No Reporta"/>
    <s v="Alemania"/>
    <n v="978029.33333333302"/>
    <x v="39"/>
    <s v="Alemania"/>
    <m/>
    <s v="3. Promover una cultura de paz, justicia y lucha contra la desigualdad"/>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5981"/>
    <s v="cacao amazónico y paz colombia: mejores condiciones de vida de las comunidades rurales mediante el cultivo agroecológico del cacao y cadenas de suministro sin deforestación"/>
    <s v="Promover modelo de producción de cacao cero deforestación y mejorar la calidad de vida de los productores de cacao en las zonas priorizadas para la implementación del acuerdo de paz."/>
    <d v="2023-11-15T00:00:00"/>
    <d v="2027-03-14T00:00:00"/>
    <x v="19"/>
    <s v="No Reporta"/>
    <s v="Alemania"/>
    <n v="978029.33333333302"/>
    <x v="39"/>
    <s v="Alemania"/>
    <m/>
    <s v="3. Promover una cultura de paz, justicia y lucha contra la desigualdad"/>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5981"/>
    <s v="cacao amazónico y paz colombia: mejores condiciones de vida de las comunidades rurales mediante el cultivo agroecológico del cacao y cadenas de suministro sin deforestación"/>
    <s v="Promover modelo de producción de cacao cero deforestación y mejorar la calidad de vida de los productores de cacao en las zonas priorizadas para la implementación del acuerdo de paz."/>
    <d v="2023-11-15T00:00:00"/>
    <d v="2027-03-14T00:00:00"/>
    <x v="18"/>
    <s v="No Reporta"/>
    <s v="Alemania"/>
    <n v="978029.33333333302"/>
    <x v="39"/>
    <s v="Alemania"/>
    <m/>
    <s v="3. Promover una cultura de paz, justicia y lucha contra la desigualdad"/>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5981"/>
    <s v="cacao amazónico y paz colombia: mejores condiciones de vida de las comunidades rurales mediante el cultivo agroecológico del cacao y cadenas de suministro sin deforestación"/>
    <s v="Promover modelo de producción de cacao cero deforestación y mejorar la calidad de vida de los productores de cacao en las zonas priorizadas para la implementación del acuerdo de paz."/>
    <d v="2023-11-15T00:00:00"/>
    <d v="2027-03-14T00:00:00"/>
    <x v="17"/>
    <s v="No Reporta"/>
    <s v="ESAL"/>
    <n v="108669.66666666701"/>
    <x v="109"/>
    <s v="Alemania"/>
    <m/>
    <s v="3. Promover una cultura de paz, justicia y lucha contra la desigualdad"/>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5981"/>
    <s v="cacao amazónico y paz colombia: mejores condiciones de vida de las comunidades rurales mediante el cultivo agroecológico del cacao y cadenas de suministro sin deforestación"/>
    <s v="Promover modelo de producción de cacao cero deforestación y mejorar la calidad de vida de los productores de cacao en las zonas priorizadas para la implementación del acuerdo de paz."/>
    <d v="2023-11-15T00:00:00"/>
    <d v="2027-03-14T00:00:00"/>
    <x v="19"/>
    <s v="No Reporta"/>
    <s v="ESAL"/>
    <n v="108669.66666666701"/>
    <x v="109"/>
    <s v="Alemania"/>
    <m/>
    <s v="3. Promover una cultura de paz, justicia y lucha contra la desigualdad"/>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5981"/>
    <s v="cacao amazónico y paz colombia: mejores condiciones de vida de las comunidades rurales mediante el cultivo agroecológico del cacao y cadenas de suministro sin deforestación"/>
    <s v="Promover modelo de producción de cacao cero deforestación y mejorar la calidad de vida de los productores de cacao en las zonas priorizadas para la implementación del acuerdo de paz."/>
    <d v="2023-11-15T00:00:00"/>
    <d v="2027-03-14T00:00:00"/>
    <x v="18"/>
    <s v="No Reporta"/>
    <s v="ESAL"/>
    <n v="108669.66666666701"/>
    <x v="109"/>
    <s v="Alemania"/>
    <m/>
    <s v="3. Promover una cultura de paz, justicia y lucha contra la desigualdad"/>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4-5987"/>
    <s v="Conexión Colombia Anfitriones 2024 – 2026"/>
    <s v="Los Anfitriones para la Paz dinamizan destinos turísticos _x000a_en La Guajira, Magdalena y Putumayo como estrategia de conservación de los _x000a_ecosistemas e inclusión socio-económica"/>
    <d v="2024-01-01T00:00:00"/>
    <d v="2026-12-31T00:00:00"/>
    <x v="16"/>
    <s v="No Reporta"/>
    <s v="ESAL"/>
    <n v="143624"/>
    <x v="110"/>
    <s v="Alemania"/>
    <m/>
    <s v="No Aplica"/>
    <s v="12.b.Desarrollar e implementar herramientas para monitorear los impactos en materia de desarrollo sostenible del turismo sostenible, que cree puestos de trabajo, promueva la cultura y los_x000a_productos locales."/>
    <x v="10"/>
    <s v="SIN ALINEAR"/>
    <s v="Comercio, Industria y Turismo"/>
  </r>
  <r>
    <s v="R-FP-24-5987"/>
    <s v="Conexión Colombia Anfitriones 2024 – 2026"/>
    <s v="Los Anfitriones para la Paz dinamizan destinos turísticos _x000a_en La Guajira, Magdalena y Putumayo como estrategia de conservación de los _x000a_ecosistemas e inclusión socio-económica"/>
    <d v="2024-01-01T00:00:00"/>
    <d v="2026-12-31T00:00:00"/>
    <x v="10"/>
    <s v="No Reporta"/>
    <s v="ESAL"/>
    <n v="143624"/>
    <x v="110"/>
    <s v="Alemania"/>
    <m/>
    <s v="No Aplica"/>
    <s v="12.b.Desarrollar e implementar herramientas para monitorear los impactos en materia de desarrollo sostenible del turismo sostenible, que cree puestos de trabajo, promueva la cultura y los_x000a_productos locales."/>
    <x v="10"/>
    <s v="SIN ALINEAR"/>
    <s v="Comercio, Industria y Turismo"/>
  </r>
  <r>
    <s v="R-FP-24-5987"/>
    <s v="Conexión Colombia Anfitriones 2024 – 2026"/>
    <s v="Los Anfitriones para la Paz dinamizan destinos turísticos _x000a_en La Guajira, Magdalena y Putumayo como estrategia de conservación de los _x000a_ecosistemas e inclusión socio-económica"/>
    <d v="2024-01-01T00:00:00"/>
    <d v="2026-12-31T00:00:00"/>
    <x v="19"/>
    <s v="No Reporta"/>
    <s v="ESAL"/>
    <n v="143624"/>
    <x v="110"/>
    <s v="Alemania"/>
    <m/>
    <s v="No Aplica"/>
    <s v="12.b.Desarrollar e implementar herramientas para monitorear los impactos en materia de desarrollo sostenible del turismo sostenible, que cree puestos de trabajo, promueva la cultura y los_x000a_productos locales."/>
    <x v="10"/>
    <s v="SIN ALINEAR"/>
    <s v="Comercio, Industria y Turismo"/>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Belen de Bajira"/>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Acandí"/>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Alto Baud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Atrato"/>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Bagad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Bahía Solano"/>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Bajo Baud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Bojayá"/>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Carmen del Darién"/>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Cértegui"/>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Condoto"/>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El Cantón del San Pablo"/>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El Carmen de Atrato"/>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El Litoral del San Juan"/>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Istmina"/>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Jurad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llor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Medio Atrato"/>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Medio Baud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Medio san juan"/>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Nóvita"/>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Nuquí"/>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Quibd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Río Ir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Rio Quito"/>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Riosucio"/>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San José del Palmar"/>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Sipí"/>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Tad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Unguía"/>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Unión Panamericana"/>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7"/>
    <s v="Alianzas Público-Comunitarias para el Cuidado (APPC) en Colombia"/>
    <s v="Explorar la implementación, evaluación y escalabilidad de los Proponemos Asociaciones de Atención publico Comunitaria (PCCP) como modelo de bienes sociales comunes para la economia del cuidado _x000a__x000a__x000a__x000a__x000a__x000a__x000a_"/>
    <d v="2024-01-01T00:00:00"/>
    <d v="2027-12-31T00:00:00"/>
    <x v="11"/>
    <s v="Bogotá D.C."/>
    <s v="Francia"/>
    <n v="220739"/>
    <x v="111"/>
    <s v="Colombia"/>
    <m/>
    <s v="3. Promover una cultura de paz, justicia y lucha contra la desigualdad"/>
    <s v="5.4.Reconocer y valorar el trabajo doméstico y de cuidado no remunerado a través de la provisión de servicios públicos, infraestructura, políticas de protección social y la promoción de la responsabilidad compartida en el hogar y la familia según corresponda a nivel nacional."/>
    <x v="2"/>
    <s v="SIN ALINEAR"/>
    <s v="Igualdad y Equidad"/>
  </r>
  <r>
    <s v="R-AO-24-6008"/>
    <s v="Cuarta Comunicación Nacional, Primer y Segundo Informe Bienal de Transparencia (1BTR, 4NC+2BTR)"/>
    <s v="Preparar y presentar el Primer Informe Bienal de Transparencia (BTR1) y la Cuarta Comunicación Nacional sobre Cambio Climático (4NC)_x000a_en combinación con el Segundo Informe Bienal de Transparencia (BTR2) y cumplir con las obligaciones de información de Colombia en virtud de la CMNUCC y el Acuerdo de París, de conformidad con las Modalidades, Procedimientos y Directrices (MPG) para el Marco de Transparencia Reforzada para la Acción Climática y el apoyo a la Decisión 13 del Acuerdo de París (Decisión 18/CMA.1) y orientaciones sobre la aplicación de las MPGM en virtud de la decisión 5/CMA.3."/>
    <d v="2024-01-31T00:00:00"/>
    <d v="2027-10-01T00:00:00"/>
    <x v="8"/>
    <s v="No Reporta"/>
    <s v="Empresas"/>
    <n v="1233000"/>
    <x v="8"/>
    <s v="Estados Unidos"/>
    <m/>
    <s v="1. Promover la lucha contra el cambio climatico, la justicia ambiental y la transformación productiva"/>
    <s v="13.2.Integrar medidas de cambio climático en las políticas, estrategias y planificación nacional."/>
    <x v="0"/>
    <s v="SIN ALINEAR"/>
    <s v="Ambiente y Desarrollo Sostenible"/>
  </r>
  <r>
    <s v="R-FP-24-6013"/>
    <s v="APOYO POR PARTE DE RE:ARC A ECOMUN EN PROYECTO UBICADO EN CIMITARRA - SANTANDER -  desarrollar distintas iniciativas que contribuyan al proceso de reincorporación económica y social de firmantes de paz -  00410"/>
    <s v="desarrollar distintas iniciativas que contribuyan al proceso de reincorporación económica y social de firmantes de paz."/>
    <d v="2024-08-22T00:00:00"/>
    <d v="2026-08-21T00:00:00"/>
    <x v="12"/>
    <s v="Cimitarra"/>
    <s v="ESAL"/>
    <n v="222339"/>
    <x v="112"/>
    <s v="Países Bajos"/>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Presidencia de la República"/>
  </r>
  <r>
    <s v="R-AO-24-6031"/>
    <s v="Fortalecimiento y articulación de organizaciones, redes y plataformas de sociedad civil de ALC para el seguimiento de las cumbres CELAC-UE"/>
    <s v="Garantizar la participación significativa y efectiva de la sociedad civil de América Latina y Caribe para el seguimiento de las Cumbres CELAC-UE."/>
    <d v="2024-09-01T00:00:00"/>
    <d v="2026-09-01T00:00:00"/>
    <x v="8"/>
    <s v="No Reporta"/>
    <s v="España"/>
    <n v="221399"/>
    <x v="27"/>
    <s v="España"/>
    <m/>
    <s v="3. Promover una cultura de paz, justicia y lucha contra la desigualdad"/>
    <s v="16.7.Garantizar la toma de decisiones receptiva, inclusiva, participativa y representativa en todos los niveles."/>
    <x v="7"/>
    <s v="SIN ALINEAR"/>
    <s v="Presidencia de la República"/>
  </r>
  <r>
    <s v="R-AO-22-6034"/>
    <s v="Territorios de vida: conservacion biocultural y enfoque de salud ünica en la Amazonia colombiana-"/>
    <s v="Contribuir al dialogo intercultural para la conservación de la biodiversidad la protección de la diversidad cultural y la mejora de la salud humana."/>
    <d v="2022-02-21T00:00:00"/>
    <d v="2026-08-31T00:00:00"/>
    <x v="25"/>
    <s v="No Reporta"/>
    <s v="Alemania"/>
    <n v="840498.25"/>
    <x v="39"/>
    <s v="Alemania"/>
    <m/>
    <s v="C. Conservación Y Sostenibilidad Ambiental"/>
    <s v="12.2.En 2030 alcanzar la gestión sostenible y uso eficiente de los recursos naturales."/>
    <x v="10"/>
    <s v="SIN ALINEAR"/>
    <s v="Ambiente y Desarrollo Sostenible"/>
  </r>
  <r>
    <s v="R-AO-22-6034"/>
    <s v="Territorios de vida: conservacion biocultural y enfoque de salud ünica en la Amazonia colombiana-"/>
    <s v="Contribuir al dialogo intercultural para la conservación de la biodiversidad la protección de la diversidad cultural y la mejora de la salud humana."/>
    <d v="2022-02-21T00:00:00"/>
    <d v="2026-08-31T00:00:00"/>
    <x v="18"/>
    <s v="No Reporta"/>
    <s v="Alemania"/>
    <n v="840498.25"/>
    <x v="39"/>
    <s v="Alemania"/>
    <m/>
    <s v="C. Conservación Y Sostenibilidad Ambiental"/>
    <s v="12.2.En 2030 alcanzar la gestión sostenible y uso eficiente de los recursos naturales."/>
    <x v="10"/>
    <s v="SIN ALINEAR"/>
    <s v="Ambiente y Desarrollo Sostenible"/>
  </r>
  <r>
    <s v="R-AO-22-6034"/>
    <s v="Territorios de vida: conservacion biocultural y enfoque de salud ünica en la Amazonia colombiana-"/>
    <s v="Contribuir al dialogo intercultural para la conservación de la biodiversidad la protección de la diversidad cultural y la mejora de la salud humana."/>
    <d v="2022-02-21T00:00:00"/>
    <d v="2026-08-31T00:00:00"/>
    <x v="26"/>
    <s v="No Reporta"/>
    <s v="Alemania"/>
    <n v="840498.25"/>
    <x v="39"/>
    <s v="Alemania"/>
    <m/>
    <s v="C. Conservación Y Sostenibilidad Ambiental"/>
    <s v="12.2.En 2030 alcanzar la gestión sostenible y uso eficiente de los recursos naturales."/>
    <x v="10"/>
    <s v="SIN ALINEAR"/>
    <s v="Ambiente y Desarrollo Sostenible"/>
  </r>
  <r>
    <s v="R-AO-22-6034"/>
    <s v="Territorios de vida: conservacion biocultural y enfoque de salud ünica en la Amazonia colombiana-"/>
    <s v="Contribuir al dialogo intercultural para la conservación de la biodiversidad la protección de la diversidad cultural y la mejora de la salud humana."/>
    <d v="2022-02-21T00:00:00"/>
    <d v="2026-08-31T00:00:00"/>
    <x v="3"/>
    <s v="No Reporta"/>
    <s v="Alemania"/>
    <n v="840498.25"/>
    <x v="39"/>
    <s v="Alemania"/>
    <m/>
    <s v="C. Conservación Y Sostenibilidad Ambiental"/>
    <s v="12.2.En 2030 alcanzar la gestión sostenible y uso eficiente de los recursos naturales."/>
    <x v="10"/>
    <s v="SIN ALINEAR"/>
    <s v="Ambiente y Desarrollo Sostenible"/>
  </r>
  <r>
    <s v="R-AO-24-6035"/>
    <s v="RESPIN Reforzar las interfaces entre ciencia y política para impulsar la eficacia y la interconexión de las políticas sobre biodiversidad y clima - Contrato 101135490 — RESPIN — HORIZON-CL6-2023-BIODIV-01. Horizon Europe"/>
    <s v="Contribuir a fortalecer las capacidades de apoyo científico- político a la toma de decisiones y la elaboración de políticas sobre biodiversidad y clima, abordando lasinterconexiones entre la biodiversidad y las políticas climáticas, en el nexo entre las plataformas IPBES e IPCC."/>
    <d v="2024-01-01T00:00:00"/>
    <d v="2027-12-31T00:00:00"/>
    <x v="8"/>
    <s v="No Reporta"/>
    <s v="Unión Europea"/>
    <n v="197770"/>
    <x v="26"/>
    <s v="Bélgica"/>
    <m/>
    <s v="1. Promover la lucha contra el cambio climatico, la justicia ambiental y la transformación productiva"/>
    <s v="13.2.Integrar medidas de cambio climático en las políticas, estrategias y planificación nacional."/>
    <x v="0"/>
    <s v="SIN ALINEAR"/>
    <s v="Ambiente y Desarrollo Sostenible"/>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Acandí"/>
    <s v="ESAL"/>
    <n v="3854.2249999999999"/>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Alto Baudó"/>
    <s v="ESAL"/>
    <n v="3854.2249999999999"/>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Istmina"/>
    <s v="ESAL"/>
    <n v="3854.2249999999999"/>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Medio Baudó"/>
    <s v="ESAL"/>
    <n v="3854.2249999999999"/>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Quibdó"/>
    <s v="ESAL"/>
    <n v="3854.2249999999999"/>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7"/>
    <s v="Necoclí"/>
    <s v="ESAL"/>
    <n v="9635.56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7"/>
    <s v="Turbo"/>
    <s v="ESAL"/>
    <n v="9635.56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0"/>
    <s v="Arauca"/>
    <s v="ESAL"/>
    <n v="9635.56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0"/>
    <s v="Arauquita"/>
    <s v="ESAL"/>
    <n v="9635.56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
    <s v="Cumaribo"/>
    <s v="ESAL"/>
    <n v="9635.56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
    <s v="Puerto Carreño"/>
    <s v="ESAL"/>
    <n v="9635.56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8"/>
    <s v="Argelia"/>
    <s v="ESAL"/>
    <n v="9635.56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8"/>
    <s v="Balboa"/>
    <s v="ESAL"/>
    <n v="9635.56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0"/>
    <s v="No Reporta"/>
    <s v="ESAL"/>
    <n v="19271.1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12"/>
    <s v="No Reporta"/>
    <s v="ESAL"/>
    <n v="19271.1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5"/>
    <s v="Inírida"/>
    <s v="ESAL"/>
    <n v="19271.1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Acandí"/>
    <s v="ESAL"/>
    <n v="624.27499999999998"/>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Alto Baudó"/>
    <s v="ESAL"/>
    <n v="624.27499999999998"/>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Istmina"/>
    <s v="ESAL"/>
    <n v="624.27499999999998"/>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Medio Baudó"/>
    <s v="ESAL"/>
    <n v="624.27499999999998"/>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Quibdó"/>
    <s v="ESAL"/>
    <n v="624.27499999999998"/>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7"/>
    <s v="Necoclí"/>
    <s v="ESAL"/>
    <n v="1560.68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7"/>
    <s v="Turbo"/>
    <s v="ESAL"/>
    <n v="1560.68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0"/>
    <s v="Arauca"/>
    <s v="ESAL"/>
    <n v="1560.68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0"/>
    <s v="Arauquita"/>
    <s v="ESAL"/>
    <n v="1560.68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
    <s v="Cumaribo"/>
    <s v="ESAL"/>
    <n v="1560.68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
    <s v="Puerto Carreño"/>
    <s v="ESAL"/>
    <n v="1560.68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8"/>
    <s v="Argelia"/>
    <s v="ESAL"/>
    <n v="1560.68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8"/>
    <s v="Balboa"/>
    <s v="ESAL"/>
    <n v="1560.68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0"/>
    <s v="No Reporta"/>
    <s v="ESAL"/>
    <n v="3121.3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12"/>
    <s v="No Reporta"/>
    <s v="ESAL"/>
    <n v="3121.3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5"/>
    <s v="Inírida"/>
    <s v="ESAL"/>
    <n v="3121.3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Acandí"/>
    <s v="Unión Europea"/>
    <n v="105855.97500000001"/>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Alto Baudó"/>
    <s v="Unión Europea"/>
    <n v="105855.97500000001"/>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Istmina"/>
    <s v="Unión Europea"/>
    <n v="105855.97500000001"/>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Medio Baudó"/>
    <s v="Unión Europea"/>
    <n v="105855.97500000001"/>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Quibdó"/>
    <s v="Unión Europea"/>
    <n v="105855.97500000001"/>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7"/>
    <s v="Necoclí"/>
    <s v="Unión Europea"/>
    <n v="264639.93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7"/>
    <s v="Turbo"/>
    <s v="Unión Europea"/>
    <n v="264639.93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0"/>
    <s v="Arauca"/>
    <s v="Unión Europea"/>
    <n v="264639.93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0"/>
    <s v="Arauquita"/>
    <s v="Unión Europea"/>
    <n v="264639.93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
    <s v="Cumaribo"/>
    <s v="Unión Europea"/>
    <n v="264639.93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
    <s v="Puerto Carreño"/>
    <s v="Unión Europea"/>
    <n v="264639.93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8"/>
    <s v="Argelia"/>
    <s v="Unión Europea"/>
    <n v="264639.93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8"/>
    <s v="Balboa"/>
    <s v="Unión Europea"/>
    <n v="264639.93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0"/>
    <s v="No Reporta"/>
    <s v="Unión Europea"/>
    <n v="529279.8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12"/>
    <s v="No Reporta"/>
    <s v="Unión Europea"/>
    <n v="529279.8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5"/>
    <s v="Inírida"/>
    <s v="Unión Europea"/>
    <n v="529279.8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044"/>
    <s v="AYMURAY: Fortalecimiento de la capacidad de respuesta y adaptación de pequeños productores a los efectos deeventos climáticos y conflictos sociales. SAI_CICL/2023/1961. Fase II"/>
    <s v="Incrementar la estabilidad económica y social en las zonas más afectadas por crisis ambientales y sociales, como forma de contribuir a los procesos de desarrollo sostenible_x000a__x000a__x000a__x000a__x000a__x000a__x000a_"/>
    <d v="2025-02-01T00:00:00"/>
    <d v="2026-01-31T00:00:00"/>
    <x v="27"/>
    <s v="Buesaco"/>
    <s v="Portugal"/>
    <n v="143039"/>
    <x v="115"/>
    <s v="Portugal"/>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Agricultura y Desarrollo Rural"/>
  </r>
  <r>
    <s v="R-AO-25-6044"/>
    <s v="AYMURAY: Fortalecimiento de la capacidad de respuesta y adaptación de pequeños productores a los efectos deeventos climáticos y conflictos sociales. SAI_CICL/2023/1961. Fase II"/>
    <s v="Incrementar la estabilidad económica y social en las zonas más afectadas por crisis ambientales y sociales, como forma de contribuir a los procesos de desarrollo sostenible_x000a__x000a__x000a__x000a__x000a__x000a__x000a_"/>
    <d v="2025-02-01T00:00:00"/>
    <d v="2026-01-31T00:00:00"/>
    <x v="27"/>
    <s v="Pasto"/>
    <s v="Portugal"/>
    <n v="143039"/>
    <x v="115"/>
    <s v="Portugal"/>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Agricultura y Desarrollo Rural"/>
  </r>
  <r>
    <s v="R-AO-24-6046"/>
    <s v="Áreas Protegidas y Paz – Mejoramiento de la efectividad de las Áreas protegidas, combatiendo las causas subyacentes de la deforestación y la degradación en Colombia - Enmienda 2024"/>
    <s v="contribuir a superar los conflictos relacionados con la tierra en y alrededor de las áreas protegidas, entre las vertientes andinas orientales, la selva amazónica y el Orinoco, y a la implementación del primer capítulo del Acuerdo de Paz - Desarrollo Rural Integral - en beneficio de los pequeños agricultores locales. De esta manera, se haría también una contribución a la disminución de la deforestación y a la preservación de la biodiversidad. Porque en las áreas protegidas de Colombia, los pequeños agricultores viven sin derechos sobre la tierra, lo que en el vacío de poder, después de 52 años de guerra civil, intensifica los conflictos por la tierra y la degradación de los recursos naturales."/>
    <d v="2024-01-01T00:00:00"/>
    <d v="2026-03-31T00:00:00"/>
    <x v="8"/>
    <s v="No Reporta"/>
    <s v="Alemania"/>
    <n v="2091194"/>
    <x v="55"/>
    <s v="Alemani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048"/>
    <s v="Actividades de Desminado Humanitario en Cumaribo, Urrao, Montelíbano y San José de Uré, Colombia"/>
    <s v="La población de Cumaribo (Vichada), Urrao (Antioquia), Montelíbano y San José de Uré_x000a_(Córdoba) mejoran su calidad de vida, aumentan sus oportunidades económicas y tienen más fácil acceso a bienes y servicios, como resultado de la liberación de tierras por  contaminación de minas/REG"/>
    <d v="2024-07-01T00:00:00"/>
    <d v="2026-07-31T00:00:00"/>
    <x v="6"/>
    <s v="Montelíbano"/>
    <s v="Alemania"/>
    <n v="626122.16666666698"/>
    <x v="106"/>
    <s v="Alemania"/>
    <m/>
    <s v="3. Promover una cultura de paz, justicia y lucha contra la desigualdad"/>
    <s v="16.1.Reducir significativamente todas las formas de violencia y las tasas de mortalidad relacionadas en todas partes."/>
    <x v="7"/>
    <s v="SIN ALINEAR"/>
    <s v="Presidencia de la República"/>
  </r>
  <r>
    <s v="R-AO-24-6048"/>
    <s v="Actividades de Desminado Humanitario en Cumaribo, Urrao, Montelíbano y San José de Uré, Colombia"/>
    <s v="La población de Cumaribo (Vichada), Urrao (Antioquia), Montelíbano y San José de Uré_x000a_(Córdoba) mejoran su calidad de vida, aumentan sus oportunidades económicas y tienen más fácil acceso a bienes y servicios, como resultado de la liberación de tierras por  contaminación de minas/REG"/>
    <d v="2024-07-01T00:00:00"/>
    <d v="2026-07-31T00:00:00"/>
    <x v="6"/>
    <s v="San José de Uré"/>
    <s v="Alemania"/>
    <n v="626122.16666666698"/>
    <x v="106"/>
    <s v="Alemania"/>
    <m/>
    <s v="3. Promover una cultura de paz, justicia y lucha contra la desigualdad"/>
    <s v="16.1.Reducir significativamente todas las formas de violencia y las tasas de mortalidad relacionadas en todas partes."/>
    <x v="7"/>
    <s v="SIN ALINEAR"/>
    <s v="Presidencia de la República"/>
  </r>
  <r>
    <s v="R-AO-24-6048"/>
    <s v="Actividades de Desminado Humanitario en Cumaribo, Urrao, Montelíbano y San José de Uré, Colombia"/>
    <s v="La población de Cumaribo (Vichada), Urrao (Antioquia), Montelíbano y San José de Uré_x000a_(Córdoba) mejoran su calidad de vida, aumentan sus oportunidades económicas y tienen más fácil acceso a bienes y servicios, como resultado de la liberación de tierras por  contaminación de minas/REG"/>
    <d v="2024-07-01T00:00:00"/>
    <d v="2026-07-31T00:00:00"/>
    <x v="7"/>
    <s v="Urrao"/>
    <s v="Alemania"/>
    <n v="1252244.33333333"/>
    <x v="106"/>
    <s v="Alemania"/>
    <m/>
    <s v="3. Promover una cultura de paz, justicia y lucha contra la desigualdad"/>
    <s v="16.1.Reducir significativamente todas las formas de violencia y las tasas de mortalidad relacionadas en todas partes."/>
    <x v="7"/>
    <s v="SIN ALINEAR"/>
    <s v="Presidencia de la República"/>
  </r>
  <r>
    <s v="R-AO-24-6048"/>
    <s v="Actividades de Desminado Humanitario en Cumaribo, Urrao, Montelíbano y San José de Uré, Colombia"/>
    <s v="La población de Cumaribo (Vichada), Urrao (Antioquia), Montelíbano y San José de Uré_x000a_(Córdoba) mejoran su calidad de vida, aumentan sus oportunidades económicas y tienen más fácil acceso a bienes y servicios, como resultado de la liberación de tierras por  contaminación de minas/REG"/>
    <d v="2024-07-01T00:00:00"/>
    <d v="2026-07-31T00:00:00"/>
    <x v="3"/>
    <s v="Cumaribo"/>
    <s v="Alemania"/>
    <n v="1252244.33333333"/>
    <x v="106"/>
    <s v="Alemania"/>
    <m/>
    <s v="3. Promover una cultura de paz, justicia y lucha contra la desigualdad"/>
    <s v="16.1.Reducir significativamente todas las formas de violencia y las tasas de mortalidad relacionadas en todas partes."/>
    <x v="7"/>
    <s v="SIN ALINEAR"/>
    <s v="Presidencia de la República"/>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Chachagüí"/>
    <s v="Francia"/>
    <n v="40241.18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Colón"/>
    <s v="Francia"/>
    <n v="40241.18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La Cruz"/>
    <s v="Francia"/>
    <n v="40241.18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La Unión"/>
    <s v="Francia"/>
    <n v="40241.18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Pasto"/>
    <s v="Francia"/>
    <n v="40241.18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San Lorenzo"/>
    <s v="Francia"/>
    <n v="40241.18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San Pablo"/>
    <s v="Francia"/>
    <n v="40241.18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Yacuanquer"/>
    <s v="Francia"/>
    <n v="40241.18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19"/>
    <s v="Colón"/>
    <s v="Francia"/>
    <n v="80482.3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19"/>
    <s v="San Francisco"/>
    <s v="Francia"/>
    <n v="80482.3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19"/>
    <s v="Santiago"/>
    <s v="Francia"/>
    <n v="80482.3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19"/>
    <s v="Sibundoy"/>
    <s v="Francia"/>
    <n v="80482.3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Chachagüí"/>
    <s v="ESAL"/>
    <n v="875.3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Colón"/>
    <s v="ESAL"/>
    <n v="875.3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La Cruz"/>
    <s v="ESAL"/>
    <n v="875.3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La Unión"/>
    <s v="ESAL"/>
    <n v="875.3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Pasto"/>
    <s v="ESAL"/>
    <n v="875.3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San Lorenzo"/>
    <s v="ESAL"/>
    <n v="875.3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San Pablo"/>
    <s v="ESAL"/>
    <n v="875.3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Yacuanquer"/>
    <s v="ESAL"/>
    <n v="875.3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19"/>
    <s v="Colón"/>
    <s v="ESAL"/>
    <n v="1750.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19"/>
    <s v="San Francisco"/>
    <s v="ESAL"/>
    <n v="1750.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19"/>
    <s v="Santiago"/>
    <s v="ESAL"/>
    <n v="1750.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19"/>
    <s v="Sibundoy"/>
    <s v="ESAL"/>
    <n v="1750.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50"/>
    <s v="Proyecto de Desarrollo Territorial y construcción de paz  en Nariño"/>
    <s v="Contribuir a la paz territorial en el departamento de Nariño, a través del empoderamiento social, económico y político de las mujeres y jóvenes en 5 municipios de la Costa Pacífica del departamento de Nariño."/>
    <d v="2024-09-04T00:00:00"/>
    <d v="2028-03-04T00:00:00"/>
    <x v="27"/>
    <s v="Barbacoas"/>
    <s v="España"/>
    <n v="17747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50"/>
    <s v="Proyecto de Desarrollo Territorial y construcción de paz  en Nariño"/>
    <s v="Contribuir a la paz territorial en el departamento de Nariño, a través del empoderamiento social, económico y político de las mujeres y jóvenes en 5 municipios de la Costa Pacífica del departamento de Nariño."/>
    <d v="2024-09-04T00:00:00"/>
    <d v="2028-03-04T00:00:00"/>
    <x v="27"/>
    <s v="Francisco Pizarro"/>
    <s v="España"/>
    <n v="17747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50"/>
    <s v="Proyecto de Desarrollo Territorial y construcción de paz  en Nariño"/>
    <s v="Contribuir a la paz territorial en el departamento de Nariño, a través del empoderamiento social, económico y político de las mujeres y jóvenes en 5 municipios de la Costa Pacífica del departamento de Nariño."/>
    <d v="2024-09-04T00:00:00"/>
    <d v="2028-03-04T00:00:00"/>
    <x v="27"/>
    <s v="Magüí"/>
    <s v="España"/>
    <n v="17747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50"/>
    <s v="Proyecto de Desarrollo Territorial y construcción de paz  en Nariño"/>
    <s v="Contribuir a la paz territorial en el departamento de Nariño, a través del empoderamiento social, económico y político de las mujeres y jóvenes en 5 municipios de la Costa Pacífica del departamento de Nariño."/>
    <d v="2024-09-04T00:00:00"/>
    <d v="2028-03-04T00:00:00"/>
    <x v="27"/>
    <s v="Roberto Payán"/>
    <s v="España"/>
    <n v="17747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50"/>
    <s v="Proyecto de Desarrollo Territorial y construcción de paz  en Nariño"/>
    <s v="Contribuir a la paz territorial en el departamento de Nariño, a través del empoderamiento social, económico y político de las mujeres y jóvenes en 5 municipios de la Costa Pacífica del departamento de Nariño."/>
    <d v="2024-09-04T00:00:00"/>
    <d v="2028-03-04T00:00:00"/>
    <x v="27"/>
    <s v="San Andrés de Tumaco"/>
    <s v="España"/>
    <n v="17747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051"/>
    <s v="Proyecto de Desarrollo Territorial y construcción de paz  en Nariño - desembolso 2025"/>
    <s v="Contribuir a la paz territorial en el departamento de Nariño, a través del empoderamiento social, económico y político de las mujeres y jóvenes en 5 municipios de la Costa Pacífica del departamento de Nariño."/>
    <d v="2025-01-01T00:00:00"/>
    <d v="2028-03-04T00:00:00"/>
    <x v="27"/>
    <s v="Barbacoas"/>
    <s v="España"/>
    <n v="15166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051"/>
    <s v="Proyecto de Desarrollo Territorial y construcción de paz  en Nariño - desembolso 2025"/>
    <s v="Contribuir a la paz territorial en el departamento de Nariño, a través del empoderamiento social, económico y político de las mujeres y jóvenes en 5 municipios de la Costa Pacífica del departamento de Nariño."/>
    <d v="2025-01-01T00:00:00"/>
    <d v="2028-03-04T00:00:00"/>
    <x v="27"/>
    <s v="Francisco Pizarro"/>
    <s v="España"/>
    <n v="15166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051"/>
    <s v="Proyecto de Desarrollo Territorial y construcción de paz  en Nariño - desembolso 2025"/>
    <s v="Contribuir a la paz territorial en el departamento de Nariño, a través del empoderamiento social, económico y político de las mujeres y jóvenes en 5 municipios de la Costa Pacífica del departamento de Nariño."/>
    <d v="2025-01-01T00:00:00"/>
    <d v="2028-03-04T00:00:00"/>
    <x v="27"/>
    <s v="Magüí"/>
    <s v="España"/>
    <n v="15166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051"/>
    <s v="Proyecto de Desarrollo Territorial y construcción de paz  en Nariño - desembolso 2025"/>
    <s v="Contribuir a la paz territorial en el departamento de Nariño, a través del empoderamiento social, económico y político de las mujeres y jóvenes en 5 municipios de la Costa Pacífica del departamento de Nariño."/>
    <d v="2025-01-01T00:00:00"/>
    <d v="2028-03-04T00:00:00"/>
    <x v="27"/>
    <s v="Roberto Payán"/>
    <s v="España"/>
    <n v="15166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051"/>
    <s v="Proyecto de Desarrollo Territorial y construcción de paz  en Nariño - desembolso 2025"/>
    <s v="Contribuir a la paz territorial en el departamento de Nariño, a través del empoderamiento social, económico y político de las mujeres y jóvenes en 5 municipios de la Costa Pacífica del departamento de Nariño."/>
    <d v="2025-01-01T00:00:00"/>
    <d v="2028-03-04T00:00:00"/>
    <x v="27"/>
    <s v="San Andrés de Tumaco"/>
    <s v="España"/>
    <n v="15166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62"/>
    <s v="Articulación institucional para avanzar en la ruta de reparación y restitución de las víctimas del conflicto armado en Colombia - desembolso 2024"/>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4-08-13T00:00:00"/>
    <d v="2028-02-13T00:00:00"/>
    <x v="30"/>
    <s v="Bagadó"/>
    <s v="España"/>
    <n v="127549.33333333299"/>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4-6062"/>
    <s v="Articulación institucional para avanzar en la ruta de reparación y restitución de las víctimas del conflicto armado en Colombia - desembolso 2024"/>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4-08-13T00:00:00"/>
    <d v="2028-02-13T00:00:00"/>
    <x v="30"/>
    <s v="Juradó"/>
    <s v="España"/>
    <n v="127549.33333333299"/>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4-6062"/>
    <s v="Articulación institucional para avanzar en la ruta de reparación y restitución de las víctimas del conflicto armado en Colombia - desembolso 2024"/>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4-08-13T00:00:00"/>
    <d v="2028-02-13T00:00:00"/>
    <x v="27"/>
    <s v="Barbacoas"/>
    <s v="España"/>
    <n v="127549.33333333299"/>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4-6062"/>
    <s v="Articulación institucional para avanzar en la ruta de reparación y restitución de las víctimas del conflicto armado en Colombia - desembolso 2024"/>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4-08-13T00:00:00"/>
    <d v="2028-02-13T00:00:00"/>
    <x v="27"/>
    <s v="San Andrés de Tumaco"/>
    <s v="España"/>
    <n v="127549.33333333299"/>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4-6062"/>
    <s v="Articulación institucional para avanzar en la ruta de reparación y restitución de las víctimas del conflicto armado en Colombia - desembolso 2024"/>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4-08-13T00:00:00"/>
    <d v="2028-02-13T00:00:00"/>
    <x v="28"/>
    <s v="Timbiquí"/>
    <s v="España"/>
    <n v="255098.66666666701"/>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5-6063"/>
    <s v="Articulación institucional para avanzar en la ruta de reparación y restitución de las víctimas del conflicto armado en Colombia - desembolso 2025"/>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5-01-01T00:00:00"/>
    <d v="2028-02-13T00:00:00"/>
    <x v="30"/>
    <s v="Bagadó"/>
    <s v="España"/>
    <n v="144440"/>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5-6063"/>
    <s v="Articulación institucional para avanzar en la ruta de reparación y restitución de las víctimas del conflicto armado en Colombia - desembolso 2025"/>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5-01-01T00:00:00"/>
    <d v="2028-02-13T00:00:00"/>
    <x v="30"/>
    <s v="Juradó"/>
    <s v="España"/>
    <n v="144440"/>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5-6063"/>
    <s v="Articulación institucional para avanzar en la ruta de reparación y restitución de las víctimas del conflicto armado en Colombia - desembolso 2025"/>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5-01-01T00:00:00"/>
    <d v="2028-02-13T00:00:00"/>
    <x v="27"/>
    <s v="Barbacoas"/>
    <s v="España"/>
    <n v="144440"/>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5-6063"/>
    <s v="Articulación institucional para avanzar en la ruta de reparación y restitución de las víctimas del conflicto armado en Colombia - desembolso 2025"/>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5-01-01T00:00:00"/>
    <d v="2028-02-13T00:00:00"/>
    <x v="27"/>
    <s v="San Andrés de Tumaco"/>
    <s v="España"/>
    <n v="144440"/>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5-6063"/>
    <s v="Articulación institucional para avanzar en la ruta de reparación y restitución de las víctimas del conflicto armado en Colombia - desembolso 2025"/>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5-01-01T00:00:00"/>
    <d v="2028-02-13T00:00:00"/>
    <x v="28"/>
    <s v="Timbiquí"/>
    <s v="España"/>
    <n v="288880"/>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1-6065"/>
    <s v="Fortalecimiento de  Capacidades de Grupos étnicos para Reducir  la Deforestación y Mejorar la Gestión de los  Bosques -  ATN/CM-18742-CO"/>
    <s v="impulsar en comunidades étnicas procesos que fortalezcan la gobernanza territorial y ambiental, la reducción de la deforestación y propicien la conservación en el marco de los acuerdos establecidos en el proceso de consulta previa  del Plan Nacional de Desarrollo."/>
    <d v="2021-10-08T00:00:00"/>
    <d v="2026-10-08T00:00:00"/>
    <x v="8"/>
    <s v="No Reporta"/>
    <s v="Banca Multilateral"/>
    <n v="4820000"/>
    <x v="5"/>
    <s v="Estados Unidos"/>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6073"/>
    <s v="Respuesta de protección integral de las comunidades indígenas y afro de Bojayá y Rio Quito - 2024/ACHU/001167"/>
    <s v="Contribuir a la protección integral en Bojayá y Río Quito, Chocó, en contexto de crisis  humanitaria"/>
    <d v="2024-08-21T00:00:00"/>
    <d v="2027-02-21T00:00:00"/>
    <x v="30"/>
    <s v="Bojayá"/>
    <s v="España"/>
    <n v="497353.5"/>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73"/>
    <s v="Respuesta de protección integral de las comunidades indígenas y afro de Bojayá y Rio Quito - 2024/ACHU/001167"/>
    <s v="Contribuir a la protección integral en Bojayá y Río Quito, Chocó, en contexto de crisis  humanitaria"/>
    <d v="2024-08-21T00:00:00"/>
    <d v="2027-02-21T00:00:00"/>
    <x v="30"/>
    <s v="Rio Quito"/>
    <s v="España"/>
    <n v="497353.5"/>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73"/>
    <s v="Respuesta de protección integral de las comunidades indígenas y afro de Bojayá y Rio Quito - 2024/ACHU/001167"/>
    <s v="Contribuir a la protección integral en Bojayá y Río Quito, Chocó, en contexto de crisis  humanitaria"/>
    <d v="2024-08-21T00:00:00"/>
    <d v="2027-02-21T00:00:00"/>
    <x v="30"/>
    <s v="Bojayá"/>
    <s v="ESAL"/>
    <n v="4344"/>
    <x v="11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73"/>
    <s v="Respuesta de protección integral de las comunidades indígenas y afro de Bojayá y Rio Quito - 2024/ACHU/001167"/>
    <s v="Contribuir a la protección integral en Bojayá y Río Quito, Chocó, en contexto de crisis  humanitaria"/>
    <d v="2024-08-21T00:00:00"/>
    <d v="2027-02-21T00:00:00"/>
    <x v="30"/>
    <s v="Rio Quito"/>
    <s v="ESAL"/>
    <n v="4344"/>
    <x v="11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75"/>
    <s v="TRANSICIÓN ECOLÓGICA Y JUSTICIA DE GÉNERO - SOLPCD/2023/0131"/>
    <s v="Contribuir al desarrollo humano sostenible desde un enfoque étnico y de justicia de género en el Norte del Cauca."/>
    <d v="2024-05-01T00:00:00"/>
    <d v="2026-05-30T00:00:00"/>
    <x v="28"/>
    <s v="Buenos Aires"/>
    <s v="España"/>
    <n v="213699.66666666701"/>
    <x v="92"/>
    <s v="España"/>
    <m/>
    <s v="3. Promover una cultura de paz, justicia y lucha contra la desigualdad"/>
    <s v="5.1.Acabar todas las formas de discriminación contra todas las mujeres y niñas en todas partes."/>
    <x v="2"/>
    <s v="SIN ALINEAR"/>
    <s v="Igualdad y Equidad"/>
  </r>
  <r>
    <s v="R-AO-24-6075"/>
    <s v="TRANSICIÓN ECOLÓGICA Y JUSTICIA DE GÉNERO - SOLPCD/2023/0131"/>
    <s v="Contribuir al desarrollo humano sostenible desde un enfoque étnico y de justicia de género en el Norte del Cauca."/>
    <d v="2024-05-01T00:00:00"/>
    <d v="2026-05-30T00:00:00"/>
    <x v="28"/>
    <s v="Corinto"/>
    <s v="España"/>
    <n v="213699.66666666701"/>
    <x v="92"/>
    <s v="España"/>
    <m/>
    <s v="3. Promover una cultura de paz, justicia y lucha contra la desigualdad"/>
    <s v="5.1.Acabar todas las formas de discriminación contra todas las mujeres y niñas en todas partes."/>
    <x v="2"/>
    <s v="SIN ALINEAR"/>
    <s v="Igualdad y Equidad"/>
  </r>
  <r>
    <s v="R-AO-24-6075"/>
    <s v="TRANSICIÓN ECOLÓGICA Y JUSTICIA DE GÉNERO - SOLPCD/2023/0131"/>
    <s v="Contribuir al desarrollo humano sostenible desde un enfoque étnico y de justicia de género en el Norte del Cauca."/>
    <d v="2024-05-01T00:00:00"/>
    <d v="2026-05-30T00:00:00"/>
    <x v="28"/>
    <s v="Santander de Quilichao"/>
    <s v="España"/>
    <n v="213699.66666666701"/>
    <x v="92"/>
    <s v="España"/>
    <m/>
    <s v="3. Promover una cultura de paz, justicia y lucha contra la desigualdad"/>
    <s v="5.1.Acabar todas las formas de discriminación contra todas las mujeres y niñas en todas partes."/>
    <x v="2"/>
    <s v="SIN ALINEAR"/>
    <s v="Igualdad y Equidad"/>
  </r>
  <r>
    <s v="R-AO-24-6077"/>
    <s v="Contribuir al Fortalecimiento del Sistema de Salud pública en Colombia a través del apoyo al sistema nacional de vigilancia en salud. Exp  2024Qde00093"/>
    <s v="Reforzar la capacidad de Colombia, en materia de alerta temprana, reducción de riesgos y gestión de los riesgos para la salud naciona y mundial_x000a__x000a__x000a__x000a__x000a__x000a_"/>
    <d v="2024-10-01T00:00:00"/>
    <d v="2027-10-01T00:00:00"/>
    <x v="8"/>
    <s v="Ámbito Nacional"/>
    <s v="España"/>
    <n v="720069"/>
    <x v="27"/>
    <s v="Españ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4-6077"/>
    <s v="Contribuir al Fortalecimiento del Sistema de Salud pública en Colombia a través del apoyo al sistema nacional de vigilancia en salud. Exp  2024Qde00093"/>
    <s v="Reforzar la capacidad de Colombia, en materia de alerta temprana, reducción de riesgos y gestión de los riesgos para la salud naciona y mundial_x000a__x000a__x000a__x000a__x000a__x000a_"/>
    <d v="2024-10-01T00:00:00"/>
    <d v="2027-10-01T00:00:00"/>
    <x v="8"/>
    <s v="Ámbito Nacional"/>
    <s v="ESAL"/>
    <n v="49983"/>
    <x v="118"/>
    <s v="Españ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4-6079"/>
    <s v="Fortalecimiento integral de la competitividad de mujeres privadas de la libertad a partir de la puesta en valor de los oficios y saberes propios de la actividad artesanal. Exp 2024/SPE/0000400205 FaseI"/>
    <s v="Contribuir al cierre de brechas sociales, con enfoque diferencial de género para el empoderamiento y la inclusión productiva de las mujeres privadas de la libertad_x000a__x000a__x000a__x000a__x000a__x000a_"/>
    <d v="2024-10-21T00:00:00"/>
    <d v="2027-04-21T00:00:00"/>
    <x v="20"/>
    <s v="Cúcuta"/>
    <s v="España"/>
    <n v="72240"/>
    <x v="27"/>
    <s v="Españ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Cultura"/>
  </r>
  <r>
    <s v="R-AO-24-6079"/>
    <s v="Fortalecimiento integral de la competitividad de mujeres privadas de la libertad a partir de la puesta en valor de los oficios y saberes propios de la actividad artesanal. Exp 2024/SPE/0000400205 FaseI"/>
    <s v="Contribuir al cierre de brechas sociales, con enfoque diferencial de género para el empoderamiento y la inclusión productiva de las mujeres privadas de la libertad_x000a__x000a__x000a__x000a__x000a__x000a_"/>
    <d v="2024-10-21T00:00:00"/>
    <d v="2027-04-21T00:00:00"/>
    <x v="28"/>
    <s v="Popayán"/>
    <s v="España"/>
    <n v="72240"/>
    <x v="27"/>
    <s v="Españ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Cultura"/>
  </r>
  <r>
    <s v="R-AO-24-6079"/>
    <s v="Fortalecimiento integral de la competitividad de mujeres privadas de la libertad a partir de la puesta en valor de los oficios y saberes propios de la actividad artesanal. Exp 2024/SPE/0000400205 FaseI"/>
    <s v="Contribuir al cierre de brechas sociales, con enfoque diferencial de género para el empoderamiento y la inclusión productiva de las mujeres privadas de la libertad_x000a__x000a__x000a__x000a__x000a__x000a_"/>
    <d v="2024-10-21T00:00:00"/>
    <d v="2027-04-21T00:00:00"/>
    <x v="9"/>
    <s v="Jamundí"/>
    <s v="España"/>
    <n v="72240"/>
    <x v="27"/>
    <s v="Españ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Cultura"/>
  </r>
  <r>
    <s v="R-AO-25-6080"/>
    <s v="Fortalecimiento integral de la competitividad de mujeres privadas de la libertad a partir de la puesta en valor de los oficios y saberes propios de la actividad artesanal. Exp 2024/SPE/0000400205 Fase II"/>
    <s v="Contribuir al cierre de brechas sociales, con enfoque diferencial de género para el empoderamiento y la inclusión productiva de las mujeres privadas de la libertad_x000a__x000a__x000a__x000a__x000a__x000a_"/>
    <d v="2025-01-01T00:00:00"/>
    <d v="2027-04-21T00:00:00"/>
    <x v="20"/>
    <s v="Cúcuta"/>
    <s v="España"/>
    <n v="72240"/>
    <x v="27"/>
    <s v="Españ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nclusión Social y Reconciliación"/>
  </r>
  <r>
    <s v="R-AO-25-6080"/>
    <s v="Fortalecimiento integral de la competitividad de mujeres privadas de la libertad a partir de la puesta en valor de los oficios y saberes propios de la actividad artesanal. Exp 2024/SPE/0000400205 Fase II"/>
    <s v="Contribuir al cierre de brechas sociales, con enfoque diferencial de género para el empoderamiento y la inclusión productiva de las mujeres privadas de la libertad_x000a__x000a__x000a__x000a__x000a__x000a_"/>
    <d v="2025-01-01T00:00:00"/>
    <d v="2027-04-21T00:00:00"/>
    <x v="28"/>
    <s v="Popayán"/>
    <s v="España"/>
    <n v="72240"/>
    <x v="27"/>
    <s v="Españ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nclusión Social y Reconciliación"/>
  </r>
  <r>
    <s v="R-AO-25-6080"/>
    <s v="Fortalecimiento integral de la competitividad de mujeres privadas de la libertad a partir de la puesta en valor de los oficios y saberes propios de la actividad artesanal. Exp 2024/SPE/0000400205 Fase II"/>
    <s v="Contribuir al cierre de brechas sociales, con enfoque diferencial de género para el empoderamiento y la inclusión productiva de las mujeres privadas de la libertad_x000a__x000a__x000a__x000a__x000a__x000a_"/>
    <d v="2025-01-01T00:00:00"/>
    <d v="2027-04-21T00:00:00"/>
    <x v="9"/>
    <s v="Jamundí"/>
    <s v="España"/>
    <n v="72240"/>
    <x v="27"/>
    <s v="Españ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nclusión Social y Reconciliación"/>
  </r>
  <r>
    <s v="R-AO-24-6083"/>
    <s v="Creación de un banco de extractos y bioprospección con tecnologías de cribado de alto rendimiento para buscar nuevos compuestos en la flora Amazónica de Colombia - CT ATN/NL-19267-RG"/>
    <s v="Realizar un piloto de bioprospección utilizando tecnologías de cribado de alto rendimiento (“High Throughput Screening” – HTS) de flora amazónica en Colombia, que incremente las capacidades del Instituto SINCHI para lograr un mayor conocimiento y aprovechamiento de la biodiversidad como estrategia para la consolidación de la bioeconomía en el país."/>
    <d v="2024-07-02T00:00:00"/>
    <d v="2026-01-02T00:00:00"/>
    <x v="18"/>
    <s v="El Retorno"/>
    <s v="Banca Multilateral"/>
    <n v="100000"/>
    <x v="5"/>
    <s v="Estados Unidos"/>
    <m/>
    <s v="1. Promover la lucha contra el cambio climatico, la justicia ambiental y la transformación productiva"/>
    <s v="15.5.Tomar medidas urgentes y significativas para reducir la degradación del hábitat natural, detener la pérdida de biodiversidad, y en 2020 de proteger y evitar la extinción de especies amenazadas."/>
    <x v="6"/>
    <s v="SIN ALINEAR"/>
    <s v="Ambiente y Desarrollo Sostenible"/>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22"/>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16"/>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11"/>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31"/>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23"/>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29"/>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7"/>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13"/>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0"/>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1"/>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18"/>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28"/>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30"/>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27"/>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9"/>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6"/>
    <s v="Mujeres y jóvenes del Pacífico nariñense construyendo paz y autonomía económica en el territorio colombiano -  Ref exp no° 2023/PRYC/ 000723"/>
    <s v="Contribuira la paz y el desarrollo sosteniblee inclusivo en el Pacifico colombiano"/>
    <d v="2024-03-15T00:00:00"/>
    <d v="2026-09-14T00:00:00"/>
    <x v="27"/>
    <s v="Barbacoas"/>
    <s v="España"/>
    <n v="462781.5"/>
    <x v="27"/>
    <s v="España"/>
    <m/>
    <s v="3. Promover una cultura de paz, justicia y lucha contra la desigualdad"/>
    <s v="16.1.Reducir significativamente todas las formas de violencia y las tasas de mortalidad relacionadas en todas partes."/>
    <x v="7"/>
    <s v="SIN ALINEAR"/>
    <s v="Presidencia de la República"/>
  </r>
  <r>
    <s v="R-AO-24-6086"/>
    <s v="Mujeres y jóvenes del Pacífico nariñense construyendo paz y autonomía económica en el territorio colombiano -  Ref exp no° 2023/PRYC/ 000723"/>
    <s v="Contribuira la paz y el desarrollo sosteniblee inclusivo en el Pacifico colombiano"/>
    <d v="2024-03-15T00:00:00"/>
    <d v="2026-09-14T00:00:00"/>
    <x v="27"/>
    <s v="San Andrés de Tumaco"/>
    <s v="España"/>
    <n v="462781.5"/>
    <x v="27"/>
    <s v="España"/>
    <m/>
    <s v="3. Promover una cultura de paz, justicia y lucha contra la desigualdad"/>
    <s v="16.1.Reducir significativamente todas las formas de violencia y las tasas de mortalidad relacionadas en todas partes."/>
    <x v="7"/>
    <s v="SIN ALINEAR"/>
    <s v="Presidencia de la República"/>
  </r>
  <r>
    <s v="R-AO-24-6088"/>
    <s v="Implementación de Sistemas Agroforestales Sostenibles para Fincas Cacaoteras-GRT/CM-21027-CO"/>
    <s v="El objetivo de la presente Operación de Inversión No Reembolsable (IGR) es fortalecer los sistemas productivos agropecuarios sostenibles para fincas cacaoteras, que reduzcan la presión sobre la ampliación de la frontera agropecuaria y que a su vez generen ingresos a los pequeños productores. Los objetivos específicos del proyecto son: (i) mejorar el modelo de producción de cacao "/>
    <d v="2024-11-18T00:00:00"/>
    <d v="2027-05-14T00:00:00"/>
    <x v="31"/>
    <s v="No Reporta"/>
    <s v="Banca Multilateral"/>
    <n v="250000"/>
    <x v="5"/>
    <s v="Estados Unidos"/>
    <m/>
    <s v="2. Contribuir a la lucha contra el hambre y la atención humanitaria a la poblacion"/>
    <s v="12.2.En 2030 alcanzar la gestión sostenible y uso eficiente de los recursos naturales."/>
    <x v="10"/>
    <s v="SIN ALINEAR"/>
    <s v="Agricultura y Desarrollo Rural"/>
  </r>
  <r>
    <s v="R-AO-24-6088"/>
    <s v="Implementación de Sistemas Agroforestales Sostenibles para Fincas Cacaoteras-GRT/CM-21027-CO"/>
    <s v="El objetivo de la presente Operación de Inversión No Reembolsable (IGR) es fortalecer los sistemas productivos agropecuarios sostenibles para fincas cacaoteras, que reduzcan la presión sobre la ampliación de la frontera agropecuaria y que a su vez generen ingresos a los pequeños productores. Los objetivos específicos del proyecto son: (i) mejorar el modelo de producción de cacao "/>
    <d v="2024-11-18T00:00:00"/>
    <d v="2027-05-14T00:00:00"/>
    <x v="12"/>
    <s v="No Reporta"/>
    <s v="Banca Multilateral"/>
    <n v="250000"/>
    <x v="5"/>
    <s v="Estados Unidos"/>
    <m/>
    <s v="2. Contribuir a la lucha contra el hambre y la atención humanitaria a la poblacion"/>
    <s v="12.2.En 2030 alcanzar la gestión sostenible y uso eficiente de los recursos naturales."/>
    <x v="10"/>
    <s v="SIN ALINEAR"/>
    <s v="Agricultura y Desarrollo Rural"/>
  </r>
  <r>
    <s v="R-AO-24-6088"/>
    <s v="Implementación de Sistemas Agroforestales Sostenibles para Fincas Cacaoteras-GRT/CM-21027-CO"/>
    <s v="El objetivo de la presente Operación de Inversión No Reembolsable (IGR) es fortalecer los sistemas productivos agropecuarios sostenibles para fincas cacaoteras, que reduzcan la presión sobre la ampliación de la frontera agropecuaria y que a su vez generen ingresos a los pequeños productores. Los objetivos específicos del proyecto son: (i) mejorar el modelo de producción de cacao "/>
    <d v="2024-11-18T00:00:00"/>
    <d v="2027-05-14T00:00:00"/>
    <x v="17"/>
    <s v="No Reporta"/>
    <s v="Banca Multilateral"/>
    <n v="250000"/>
    <x v="5"/>
    <s v="Estados Unidos"/>
    <m/>
    <s v="2. Contribuir a la lucha contra el hambre y la atención humanitaria a la poblacion"/>
    <s v="12.2.En 2030 alcanzar la gestión sostenible y uso eficiente de los recursos naturales."/>
    <x v="10"/>
    <s v="SIN ALINEAR"/>
    <s v="Agricultura y Desarrollo Rural"/>
  </r>
  <r>
    <s v="R-AO-24-6088"/>
    <s v="Implementación de Sistemas Agroforestales Sostenibles para Fincas Cacaoteras-GRT/CM-21027-CO"/>
    <s v="El objetivo de la presente Operación de Inversión No Reembolsable (IGR) es fortalecer los sistemas productivos agropecuarios sostenibles para fincas cacaoteras, que reduzcan la presión sobre la ampliación de la frontera agropecuaria y que a su vez generen ingresos a los pequeños productores. Los objetivos específicos del proyecto son: (i) mejorar el modelo de producción de cacao "/>
    <d v="2024-11-18T00:00:00"/>
    <d v="2027-05-14T00:00:00"/>
    <x v="0"/>
    <s v="No Reporta"/>
    <s v="Banca Multilateral"/>
    <n v="250000"/>
    <x v="5"/>
    <s v="Estados Unidos"/>
    <m/>
    <s v="2. Contribuir a la lucha contra el hambre y la atención humanitaria a la poblacion"/>
    <s v="12.2.En 2030 alcanzar la gestión sostenible y uso eficiente de los recursos naturales."/>
    <x v="10"/>
    <s v="SIN ALINEAR"/>
    <s v="Agricultura y Desarrollo Rural"/>
  </r>
  <r>
    <s v="R-AO-24-6088"/>
    <s v="Implementación de Sistemas Agroforestales Sostenibles para Fincas Cacaoteras-GRT/CM-21027-CO"/>
    <s v="El objetivo de la presente Operación de Inversión No Reembolsable (IGR) es fortalecer los sistemas productivos agropecuarios sostenibles para fincas cacaoteras, que reduzcan la presión sobre la ampliación de la frontera agropecuaria y que a su vez generen ingresos a los pequeños productores. Los objetivos específicos del proyecto son: (i) mejorar el modelo de producción de cacao "/>
    <d v="2024-11-18T00:00:00"/>
    <d v="2027-05-14T00:00:00"/>
    <x v="2"/>
    <s v="No Reporta"/>
    <s v="Banca Multilateral"/>
    <n v="250000"/>
    <x v="5"/>
    <s v="Estados Unidos"/>
    <m/>
    <s v="2. Contribuir a la lucha contra el hambre y la atención humanitaria a la poblacion"/>
    <s v="12.2.En 2030 alcanzar la gestión sostenible y uso eficiente de los recursos naturales."/>
    <x v="10"/>
    <s v="SIN ALINEAR"/>
    <s v="Agricultura y Desarrollo Rural"/>
  </r>
  <r>
    <s v="R-AO-24-6089"/>
    <s v="MUJERES AWÁ DEL PACÍFICO NARIÑENSE CONSTRUYENDO AUTONOMÍA ECONÓMICA Y PAZ EN EL TERRITORIO - SOLPCD/2023/0127"/>
    <s v="Contribuir al &quot;buen vivir&quot;, la autonomía y gobierno propio del pueblo Awá desde un enfoque de género, étnico y basado en DDHH, como requisito para una vida próspera, sostenible y libre de violencias en el Pacifico colombiano"/>
    <d v="2024-05-15T00:00:00"/>
    <d v="2027-05-14T00:00:00"/>
    <x v="27"/>
    <s v="Barbacoas"/>
    <s v="España"/>
    <n v="488609.5"/>
    <x v="92"/>
    <s v="España"/>
    <m/>
    <s v="3. Promover una cultura de paz, justicia y lucha contra la desigualdad"/>
    <s v="1.3.Implementar a nivel nacional sistemas y medidas apropiados de protección social para todos, incluidos niveles mínimos, y, de aquí a 2030, lograr una amplia cobertura de las personas pobres y vulnerables"/>
    <x v="1"/>
    <s v="SIN ALINEAR"/>
    <s v="Interior"/>
  </r>
  <r>
    <s v="R-AO-24-6089"/>
    <s v="MUJERES AWÁ DEL PACÍFICO NARIÑENSE CONSTRUYENDO AUTONOMÍA ECONÓMICA Y PAZ EN EL TERRITORIO - SOLPCD/2023/0127"/>
    <s v="Contribuir al &quot;buen vivir&quot;, la autonomía y gobierno propio del pueblo Awá desde un enfoque de género, étnico y basado en DDHH, como requisito para una vida próspera, sostenible y libre de violencias en el Pacifico colombiano"/>
    <d v="2024-05-15T00:00:00"/>
    <d v="2027-05-14T00:00:00"/>
    <x v="27"/>
    <s v="San Andrés de Tumaco"/>
    <s v="España"/>
    <n v="488609.5"/>
    <x v="92"/>
    <s v="España"/>
    <m/>
    <s v="3. Promover una cultura de paz, justicia y lucha contra la desigualdad"/>
    <s v="1.3.Implementar a nivel nacional sistemas y medidas apropiados de protección social para todos, incluidos niveles mínimos, y, de aquí a 2030, lograr una amplia cobertura de las personas pobres y vulnerables"/>
    <x v="1"/>
    <s v="SIN ALINEAR"/>
    <s v="Interior"/>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21"/>
    <s v="No Reporta"/>
    <s v="Naciones Unidas"/>
    <n v="33524.142857142899"/>
    <x v="119"/>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5"/>
    <s v="No Reporta"/>
    <s v="Naciones Unidas"/>
    <n v="33524.142857142899"/>
    <x v="119"/>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11"/>
    <s v="No Reporta"/>
    <s v="Naciones Unidas"/>
    <n v="33524.142857142899"/>
    <x v="119"/>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23"/>
    <s v="No Reporta"/>
    <s v="Naciones Unidas"/>
    <n v="33524.142857142899"/>
    <x v="119"/>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12"/>
    <s v="No Reporta"/>
    <s v="Naciones Unidas"/>
    <n v="33524.142857142899"/>
    <x v="119"/>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28"/>
    <s v="No Reporta"/>
    <s v="Naciones Unidas"/>
    <n v="33524.142857142899"/>
    <x v="119"/>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9"/>
    <s v="No Reporta"/>
    <s v="Naciones Unidas"/>
    <n v="33524.142857142899"/>
    <x v="119"/>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21"/>
    <s v="No Reporta"/>
    <s v="Suiza"/>
    <n v="257879.714285714"/>
    <x v="23"/>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5"/>
    <s v="No Reporta"/>
    <s v="Suiza"/>
    <n v="257879.714285714"/>
    <x v="23"/>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11"/>
    <s v="No Reporta"/>
    <s v="Suiza"/>
    <n v="257879.714285714"/>
    <x v="23"/>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23"/>
    <s v="No Reporta"/>
    <s v="Suiza"/>
    <n v="257879.714285714"/>
    <x v="23"/>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12"/>
    <s v="No Reporta"/>
    <s v="Suiza"/>
    <n v="257879.714285714"/>
    <x v="23"/>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28"/>
    <s v="No Reporta"/>
    <s v="Suiza"/>
    <n v="257879.714285714"/>
    <x v="23"/>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9"/>
    <s v="No Reporta"/>
    <s v="Suiza"/>
    <n v="257879.714285714"/>
    <x v="23"/>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3-6092"/>
    <s v="Partners for Water (Alianza por el Agua): Water as Leverage Cartagena -equipo ‘Raíces de Cartagena’  - PfW-2-PIPP23CO06"/>
    <s v="Asistencia técnica para la formulación de proyectos de infraestructura sostenible relacionados con retos hídricos y climáticos en la ciudad de Cartagena. La asistencia técnica incluye la elaboración de diseños y estudios de pre-factibilidad y factibilidad."/>
    <d v="2023-02-15T00:00:00"/>
    <d v="2026-12-01T00:00:00"/>
    <x v="5"/>
    <s v="Cartagena"/>
    <s v="Países Bajos"/>
    <n v="1761439"/>
    <x v="120"/>
    <s v="Países Bajos"/>
    <m/>
    <s v="1. Promover la lucha contra el cambio climatico, la justicia ambiental y la transformación productiva"/>
    <s v="6.1.En 2030, lograr el acceso universal y equitativo al agua potable segura y asequible para todos"/>
    <x v="3"/>
    <s v="SIN ALINEAR"/>
    <s v="Vivienda Ciudad y Territorio"/>
  </r>
  <r>
    <s v="R-AO-24-6094"/>
    <s v="Partners for Water (Alianza por el Agua): Conservación del Área Ramsar CGSM a través de Tecnologías de Eficiencia y Descontaminación del Agua en la Producción de Café - PfW-3-PVW523CO09"/>
    <s v="apoyar a contrapartes locales y nacionales en sus esfuerzos por conservar el área Ramsar CGSM, trabajando con el sector cafetero de las cuencas de los ríos Fundación y Aracataca en la implementación de tecnologías de eficiencia y descontaminación del agua. "/>
    <d v="2024-07-08T00:00:00"/>
    <d v="2026-01-31T00:00:00"/>
    <x v="10"/>
    <s v="No Reporta"/>
    <s v="Países Bajos"/>
    <n v="284196"/>
    <x v="120"/>
    <s v="Países Bajos"/>
    <m/>
    <s v="1. Promover la lucha contra el cambio climatico, la justicia ambiental y la transformación productiva"/>
    <s v="6.1.En 2030, lograr el acceso universal y equitativo al agua potable segura y asequible para todos"/>
    <x v="3"/>
    <s v="SIN ALINEAR"/>
    <s v="Vivienda Ciudad y Territorio"/>
  </r>
  <r>
    <s v="R-AO-24-6099"/>
    <s v="Asistencia humanitaria a las comunidades afectadas or el conflicto armado y la movilidad humana en Colombia. Exp 2024/ACHU/000478"/>
    <s v="Mejorar las condiciones de vida de población afectada por el conflicto armado y movilidad humana._x000a__x000a__x000a__x000a__x000a__x000a_"/>
    <d v="2024-12-01T00:00:00"/>
    <d v="2026-05-31T00:00:00"/>
    <x v="8"/>
    <s v="Ámbito Nacional"/>
    <s v="ESAL"/>
    <n v="13994"/>
    <x v="121"/>
    <s v="Colombia/Centro Oriente/Bogotá D.C./Bogotá D.C."/>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099"/>
    <s v="Asistencia humanitaria a las comunidades afectadas or el conflicto armado y la movilidad humana en Colombia. Exp 2024/ACHU/000478"/>
    <s v="Mejorar las condiciones de vida de población afectada por el conflicto armado y movilidad humana._x000a__x000a__x000a__x000a__x000a__x000a_"/>
    <d v="2024-12-01T00:00:00"/>
    <d v="2026-05-31T00:00:00"/>
    <x v="8"/>
    <s v="Ámbito Nacional"/>
    <s v="España"/>
    <n v="1041270"/>
    <x v="27"/>
    <s v="Colombia/Centro Oriente/Bogotá D.C./Bogotá D.C."/>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108"/>
    <s v=" Implementación de la Alianza para la  Conservación de Sitios de Extinción Cero (AZE) y Prevención de Extinciones Globales -  GEF AZE - PNUMA/ECOSYSTEMS/GEFBD-LD/AZE"/>
    <s v="implementar el proyecto del Fondo para el Medio Ambiente Mundial (GEF), Implementando la _x000a_Alianza para la Conservación de Sitios de Extinción Cero (AZE) y Previniendo Extinciones Globales, en adelante Proyecto GEF AZE. El proyecto tiene 3 componentes principales a nivel global. El componente 1 busca mejorar el estado de conservación de 20 sitios AZE y especies _x000a_desencadenantes AZE asociadas en 4 países: Madagascar, Chile, República Dominicana y Colombia. El componente 2 establece la integración de la conservación de sitios AZE a _x000a_nivel mundial y nacional. Y el componente 3 busca la gestión del conocimiento para mejorar la comprensión y el interés en la conservación de sitios AZE en todos los sectores."/>
    <d v="2024-03-12T00:00:00"/>
    <d v="2027-01-15T00:00:00"/>
    <x v="8"/>
    <s v="No Reporta"/>
    <s v="Empresas"/>
    <n v="41786.75"/>
    <x v="8"/>
    <s v="Estados Unidos"/>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AO-24-6108"/>
    <s v=" Implementación de la Alianza para la  Conservación de Sitios de Extinción Cero (AZE) y Prevención de Extinciones Globales -  GEF AZE - PNUMA/ECOSYSTEMS/GEFBD-LD/AZE"/>
    <s v="implementar el proyecto del Fondo para el Medio Ambiente Mundial (GEF), Implementando la _x000a_Alianza para la Conservación de Sitios de Extinción Cero (AZE) y Previniendo Extinciones Globales, en adelante Proyecto GEF AZE. El proyecto tiene 3 componentes principales a nivel global. El componente 1 busca mejorar el estado de conservación de 20 sitios AZE y especies _x000a_desencadenantes AZE asociadas en 4 países: Madagascar, Chile, República Dominicana y Colombia. El componente 2 establece la integración de la conservación de sitios AZE a _x000a_nivel mundial y nacional. Y el componente 3 busca la gestión del conocimiento para mejorar la comprensión y el interés en la conservación de sitios AZE en todos los sectores."/>
    <d v="2024-03-12T00:00:00"/>
    <d v="2027-01-15T00:00:00"/>
    <x v="7"/>
    <s v="No Reporta"/>
    <s v="Empresas"/>
    <n v="41786.75"/>
    <x v="8"/>
    <s v="Estados Unidos"/>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AO-24-6108"/>
    <s v=" Implementación de la Alianza para la  Conservación de Sitios de Extinción Cero (AZE) y Prevención de Extinciones Globales -  GEF AZE - PNUMA/ECOSYSTEMS/GEFBD-LD/AZE"/>
    <s v="implementar el proyecto del Fondo para el Medio Ambiente Mundial (GEF), Implementando la _x000a_Alianza para la Conservación de Sitios de Extinción Cero (AZE) y Previniendo Extinciones Globales, en adelante Proyecto GEF AZE. El proyecto tiene 3 componentes principales a nivel global. El componente 1 busca mejorar el estado de conservación de 20 sitios AZE y especies _x000a_desencadenantes AZE asociadas en 4 países: Madagascar, Chile, República Dominicana y Colombia. El componente 2 establece la integración de la conservación de sitios AZE a _x000a_nivel mundial y nacional. Y el componente 3 busca la gestión del conocimiento para mejorar la comprensión y el interés en la conservación de sitios AZE en todos los sectores."/>
    <d v="2024-03-12T00:00:00"/>
    <d v="2027-01-15T00:00:00"/>
    <x v="28"/>
    <s v="No Reporta"/>
    <s v="Empresas"/>
    <n v="41786.75"/>
    <x v="8"/>
    <s v="Estados Unidos"/>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AO-24-6108"/>
    <s v=" Implementación de la Alianza para la  Conservación de Sitios de Extinción Cero (AZE) y Prevención de Extinciones Globales -  GEF AZE - PNUMA/ECOSYSTEMS/GEFBD-LD/AZE"/>
    <s v="implementar el proyecto del Fondo para el Medio Ambiente Mundial (GEF), Implementando la _x000a_Alianza para la Conservación de Sitios de Extinción Cero (AZE) y Previniendo Extinciones Globales, en adelante Proyecto GEF AZE. El proyecto tiene 3 componentes principales a nivel global. El componente 1 busca mejorar el estado de conservación de 20 sitios AZE y especies _x000a_desencadenantes AZE asociadas en 4 países: Madagascar, Chile, República Dominicana y Colombia. El componente 2 establece la integración de la conservación de sitios AZE a _x000a_nivel mundial y nacional. Y el componente 3 busca la gestión del conocimiento para mejorar la comprensión y el interés en la conservación de sitios AZE en todos los sectores."/>
    <d v="2024-03-12T00:00:00"/>
    <d v="2027-01-15T00:00:00"/>
    <x v="9"/>
    <s v="No Reporta"/>
    <s v="Empresas"/>
    <n v="41786.75"/>
    <x v="8"/>
    <s v="Estados Unidos"/>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AO-24-6109"/>
    <s v="Programa de Fortalecimiento y Respuesta a la Corrupción y el Lavado de Dinero de las Autoridades del Sector Justicia- SINLEC24LA5113"/>
    <s v="La Policía Nacional (PNC), la Fiscalía General de la República (FGN) y el poder judicial colombiano refuerzan sus esfuerzos en la investigación, procesamiento y resolución de casos de delitos financieros y corrupción en Colombia."/>
    <d v="2024-08-27T00:00:00"/>
    <d v="2027-08-27T00:00:00"/>
    <x v="11"/>
    <s v="No Reporta"/>
    <s v="Estados Unidos"/>
    <n v="5880743"/>
    <x v="11"/>
    <s v="Estados Unidos"/>
    <m/>
    <s v="3. Promover una cultura de paz, justicia y lucha contra la desigualdad"/>
    <s v="16.5.Reducir sustancialmente la corrupción y el soborno en todas sus formas."/>
    <x v="7"/>
    <s v="SIN ALINEAR"/>
    <s v="Justicia y del Derecho"/>
  </r>
  <r>
    <s v="R-AO-24-6123"/>
    <s v="Asesoría política y técnica sobre el uso beneficioso de los sedimentos marinos dragados para la aplicación de soluciones basadas en la naturaleza en Colombia"/>
    <s v="Brindar asistencia técina relacionada con a adaptación del martco regulatorio, aspectos técnicos , formulación de proyectos y otros componentes que conduzcan a una mayor reutilización de los materiales dragados en Colombia con usos benéficos e impacto ambiental favorable "/>
    <d v="2024-10-01T00:00:00"/>
    <d v="2026-01-31T00:00:00"/>
    <x v="8"/>
    <s v="No Reporta"/>
    <s v="Países Bajos"/>
    <n v="276949"/>
    <x v="120"/>
    <s v="Países Bajos"/>
    <m/>
    <s v="1. Promover la lucha contra el cambio climatico, la justicia ambiental y la transformación productiva"/>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5"/>
    <s v="Cartagena"/>
    <s v="España"/>
    <n v="5959.3636363636397"/>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5"/>
    <s v="Mompós"/>
    <s v="España"/>
    <n v="5959.3636363636397"/>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28"/>
    <s v="Popayán"/>
    <s v="España"/>
    <n v="5959.3636363636397"/>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28"/>
    <s v="Puerto Tejada"/>
    <s v="España"/>
    <n v="5959.3636363636397"/>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21"/>
    <s v="Puerto Colombia"/>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16"/>
    <s v="Riohacha"/>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11"/>
    <s v="Bogotá D.C."/>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31"/>
    <s v="Tunja"/>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20"/>
    <s v="Villa del Rosario"/>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12"/>
    <s v="Barichara"/>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30"/>
    <s v="Quibdó"/>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27"/>
    <s v="San Andrés de Tumaco"/>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9"/>
    <s v="Buenaventura"/>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8"/>
    <s v="Grant Facility Agreement entre la AFD y Bancoldex para el apoyo a Bancoldex en su alineación al clima, la biodiversidad, diversidad equidad e inclusión - N.° DE CONVENIO AFD CCO 1144 02 L y 01 K"/>
    <s v=" apoyar y transformar BANCOLDEX mediante la mejora de su estrategia de gobernanza y sostenibilidad, asegurando la alineación con el Acuerdo de París, el Marco Global de Biodiversidad y los esfuerzos para abordar el género, la equidad y la inclusión "/>
    <d v="2024-10-29T00:00:00"/>
    <d v="2028-10-29T00:00:00"/>
    <x v="8"/>
    <s v="No Reporta"/>
    <s v="Francia"/>
    <n v="1079999"/>
    <x v="111"/>
    <s v="Colombia"/>
    <m/>
    <s v="1. Promover la lucha contra el cambio climatico, la justicia ambiental y la transformación productiva"/>
    <s v="8.10.Fortalecer la capacidad de las instituciones financieras locales para promover la expansión del acceso a la banca, los seguros y los servicios financieros para todos."/>
    <x v="14"/>
    <s v="SIN ALINEAR"/>
    <s v="Comercio, Industria y Turismo"/>
  </r>
  <r>
    <s v="R-AO-24-6129"/>
    <s v="Accion humanitaria con poblacion migrante en norte de santander"/>
    <s v="Contribuir a la protección y bienestar de la población migrante venezolana en Norte de Santander, a través de la provisión de atención humanitaria, información sobre regularización migratoria, orientación para el acceso a derechos, y la implementación de estrategias de prevención del reclutamiento forzado y la trata de personas, promoviendo su integración social y el respeto a su dignidad. "/>
    <d v="2024-10-22T00:00:00"/>
    <d v="2026-03-12T00:00:00"/>
    <x v="20"/>
    <s v="No Reporta"/>
    <s v="España"/>
    <n v="97298"/>
    <x v="12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129"/>
    <s v="Accion humanitaria con poblacion migrante en norte de santander"/>
    <s v="Contribuir a la protección y bienestar de la población migrante venezolana en Norte de Santander, a través de la provisión de atención humanitaria, información sobre regularización migratoria, orientación para el acceso a derechos, y la implementación de estrategias de prevención del reclutamiento forzado y la trata de personas, promoviendo su integración social y el respeto a su dignidad. "/>
    <d v="2024-10-22T00:00:00"/>
    <d v="2026-03-12T00:00:00"/>
    <x v="20"/>
    <s v="No Reporta"/>
    <s v="ESAL"/>
    <n v="17854"/>
    <x v="28"/>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1-6131"/>
    <s v="Fortalecimiento de la calidad y la capacidad de cumplimiento de las normas de las cadenas de valor de la acuicultura de camarón y tilapia en Colombia para facilitar el acceso al mercado - Programa Global de Acceso a Mercados (GMAP Colombia) - ID 200025"/>
    <s v="Facilitar el acceso a los mercados de los productores y las micro, pequeñas y medianas empresas (mipymes) mediante el fortalecimiento de su capacidad de calidad y cumplimiento de las normas."/>
    <d v="2021-01-01T00:00:00"/>
    <d v="2026-12-31T00:00:00"/>
    <x v="14"/>
    <s v="No Reporta"/>
    <s v="Noruega"/>
    <n v="734130.5"/>
    <x v="22"/>
    <s v="Noruega"/>
    <m/>
    <s v="D. Emprendimiento Y Economía Naranjal"/>
    <s v="14.b.Proporcionar acceso de los pescadores artesanales de pequeña escala a los recursos marinos y los mercados."/>
    <x v="9"/>
    <s v="SIN ALINEAR"/>
    <s v="Agricultura y Desarrollo Rural"/>
  </r>
  <r>
    <s v="R-AO-21-6131"/>
    <s v="Fortalecimiento de la calidad y la capacidad de cumplimiento de las normas de las cadenas de valor de la acuicultura de camarón y tilapia en Colombia para facilitar el acceso al mercado - Programa Global de Acceso a Mercados (GMAP Colombia) - ID 200025"/>
    <s v="Facilitar el acceso a los mercados de los productores y las micro, pequeñas y medianas empresas (mipymes) mediante el fortalecimiento de su capacidad de calidad y cumplimiento de las normas."/>
    <d v="2021-01-01T00:00:00"/>
    <d v="2026-12-31T00:00:00"/>
    <x v="27"/>
    <s v="No Reporta"/>
    <s v="Noruega"/>
    <n v="734130.5"/>
    <x v="22"/>
    <s v="Noruega"/>
    <m/>
    <s v="D. Emprendimiento Y Economía Naranjal"/>
    <s v="14.b.Proporcionar acceso de los pescadores artesanales de pequeña escala a los recursos marinos y los mercados."/>
    <x v="9"/>
    <s v="SIN ALINEAR"/>
    <s v="Agricultura y Desarrollo Rural"/>
  </r>
  <r>
    <s v="R-AO-24-6132"/>
    <s v="Camino a una reparación integral de las víctimas de desplazamiento y despojo forzado a través de la representación judicial y administrativa en los casos emblemáticos mediante un litigio estratégico- 01002877"/>
    <s v="Promover el acceso de las víctimas de desplazamiento forzado y despojo de tierras a la justicia transicional y ordinaria, a través de la representación legal, asistencia, seguimiento y acompañamiento psicosocial, que permitan una participación activa de las comunidades para la transformación veredal de los procesos adelantados y que tienen amplio impacto ambiental en las parcelaciones de Michoacán y El Toco, correspondientes al corredor minero."/>
    <d v="2024-09-07T00:00:00"/>
    <d v="2026-03-02T00:00:00"/>
    <x v="22"/>
    <s v="Becerril"/>
    <s v="Naciones Unidas"/>
    <n v="161453.95499999999"/>
    <x v="93"/>
    <s v="Estados Unidos"/>
    <m/>
    <s v="3. Promover una cultura de paz, justicia y lucha contra la desigualdad"/>
    <s v="16.4.En 2030 reducir significativamente los flujos financieros y de armas ilícitas, fortalecer la recuperación y devolución de activos robados, y combatir todas las formas de delincuencia organizada."/>
    <x v="7"/>
    <s v="SIN ALINEAR"/>
    <s v="Presidencia de la República"/>
  </r>
  <r>
    <s v="R-AO-24-6132"/>
    <s v="Camino a una reparación integral de las víctimas de desplazamiento y despojo forzado a través de la representación judicial y administrativa en los casos emblemáticos mediante un litigio estratégico- 01002877"/>
    <s v="Promover el acceso de las víctimas de desplazamiento forzado y despojo de tierras a la justicia transicional y ordinaria, a través de la representación legal, asistencia, seguimiento y acompañamiento psicosocial, que permitan una participación activa de las comunidades para la transformación veredal de los procesos adelantados y que tienen amplio impacto ambiental en las parcelaciones de Michoacán y El Toco, correspondientes al corredor minero."/>
    <d v="2024-09-07T00:00:00"/>
    <d v="2026-03-02T00:00:00"/>
    <x v="22"/>
    <s v="San Diego"/>
    <s v="Naciones Unidas"/>
    <n v="161453.95499999999"/>
    <x v="93"/>
    <s v="Estados Unidos"/>
    <m/>
    <s v="3. Promover una cultura de paz, justicia y lucha contra la desigualdad"/>
    <s v="16.4.En 2030 reducir significativamente los flujos financieros y de armas ilícitas, fortalecer la recuperación y devolución de activos robados, y combatir todas las formas de delincuencia organizada."/>
    <x v="7"/>
    <s v="SIN ALINEAR"/>
    <s v="Presidencia de la República"/>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Anserma"/>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Belalcázar"/>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Filadelfia"/>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La Merced"/>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Marmato"/>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Riosucio"/>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Risaralda"/>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San José"/>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Supía"/>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Viterbo"/>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0"/>
    <s v="Ábrego"/>
    <s v="Francia"/>
    <n v="112027.08333333299"/>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0"/>
    <s v="Convención"/>
    <s v="Francia"/>
    <n v="112027.08333333299"/>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0"/>
    <s v="Hacarí"/>
    <s v="Francia"/>
    <n v="112027.08333333299"/>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0"/>
    <s v="La Playa"/>
    <s v="Francia"/>
    <n v="112027.08333333299"/>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0"/>
    <s v="Ocaña"/>
    <s v="Francia"/>
    <n v="112027.08333333299"/>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0"/>
    <s v="Teorama"/>
    <s v="Francia"/>
    <n v="112027.08333333299"/>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8"/>
    <s v="Buenos Aires"/>
    <s v="Francia"/>
    <n v="168040.625"/>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8"/>
    <s v="Morales"/>
    <s v="Francia"/>
    <n v="168040.625"/>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8"/>
    <s v="Santander de Quilichao"/>
    <s v="Francia"/>
    <n v="168040.625"/>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8"/>
    <s v="Suárez"/>
    <s v="Francia"/>
    <n v="168040.625"/>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1-6141"/>
    <s v="agrocadenas - alianzas público privadas para la consolidación de la paz a través del fortalecimiento de la comercialización y de los servicios prioritarios para el agro colombiano"/>
    <s v="fortalecer las cadenas agro productivas colombianas desde el punto de vista técnico, cooperativo y de gestión, impulsando la colaboración entre el sector público y privado. "/>
    <d v="2021-06-22T00:00:00"/>
    <d v="2027-12-19T00:00:00"/>
    <x v="14"/>
    <s v="No Reporta"/>
    <s v="Italia"/>
    <n v="2975003"/>
    <x v="17"/>
    <s v="Italia"/>
    <m/>
    <s v="B. Desarrollo Rural"/>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Agricultura y Desarrollo Rural"/>
  </r>
  <r>
    <s v="R-AO-21-6141"/>
    <s v="agrocadenas - alianzas público privadas para la consolidación de la paz a través del fortalecimiento de la comercialización y de los servicios prioritarios para el agro colombiano"/>
    <s v="fortalecer las cadenas agro productivas colombianas desde el punto de vista técnico, cooperativo y de gestión, impulsando la colaboración entre el sector público y privado. "/>
    <d v="2021-06-22T00:00:00"/>
    <d v="2027-12-19T00:00:00"/>
    <x v="29"/>
    <s v="No Reporta"/>
    <s v="Italia"/>
    <n v="2975003"/>
    <x v="17"/>
    <s v="Italia"/>
    <m/>
    <s v="B. Desarrollo Rural"/>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Agricultura y Desarrollo Rural"/>
  </r>
  <r>
    <s v="R-AO-21-6141"/>
    <s v="agrocadenas - alianzas público privadas para la consolidación de la paz a través del fortalecimiento de la comercialización y de los servicios prioritarios para el agro colombiano"/>
    <s v="fortalecer las cadenas agro productivas colombianas desde el punto de vista técnico, cooperativo y de gestión, impulsando la colaboración entre el sector público y privado. "/>
    <d v="2021-06-22T00:00:00"/>
    <d v="2027-12-19T00:00:00"/>
    <x v="0"/>
    <s v="No Reporta"/>
    <s v="Italia"/>
    <n v="2975003"/>
    <x v="17"/>
    <s v="Italia"/>
    <m/>
    <s v="B. Desarrollo Rural"/>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Agricultura y Desarrollo Rural"/>
  </r>
  <r>
    <s v="R-AO-25-6149"/>
    <s v="Co-crear y poner a prueba un programa de mini-subvenciones flexibles (FMG) para empoderar a las organizaciones comunitarias y dirigidas por refugiados que operan fuera del sistema formal de coordinación humanitaria -  ECHO/ERC/BUD/2024/91012"/>
    <s v="Aumentar la capacidad de respuesta global a través de un programa adaptado de pequeñas subvenciones flexibles que se pondrá a prueba en Colombia y estará dirigido a organizaciones de base comunitaria, dirigidas por refugiados y/o voluntarias"/>
    <d v="2025-01-01T00:00:00"/>
    <d v="2026-06-30T00:00:00"/>
    <x v="8"/>
    <s v="No Reporta"/>
    <s v="Unión Europea"/>
    <n v="517514"/>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10"/>
    <s v="No Reporta"/>
    <s v="ESAL"/>
    <n v="6509.2"/>
    <x v="123"/>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31"/>
    <s v="No Reporta"/>
    <s v="ESAL"/>
    <n v="6509.2"/>
    <x v="123"/>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17"/>
    <s v="No Reporta"/>
    <s v="ESAL"/>
    <n v="6509.2"/>
    <x v="123"/>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0"/>
    <s v="No Reporta"/>
    <s v="ESAL"/>
    <n v="6509.2"/>
    <x v="123"/>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2"/>
    <s v="No Reporta"/>
    <s v="ESAL"/>
    <n v="6509.2"/>
    <x v="123"/>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10"/>
    <s v="No Reporta"/>
    <s v="ESAL"/>
    <n v="9764"/>
    <x v="124"/>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31"/>
    <s v="No Reporta"/>
    <s v="ESAL"/>
    <n v="9764"/>
    <x v="124"/>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17"/>
    <s v="No Reporta"/>
    <s v="ESAL"/>
    <n v="9764"/>
    <x v="124"/>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0"/>
    <s v="No Reporta"/>
    <s v="ESAL"/>
    <n v="9764"/>
    <x v="124"/>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2"/>
    <s v="No Reporta"/>
    <s v="ESAL"/>
    <n v="9764"/>
    <x v="124"/>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10"/>
    <s v="No Reporta"/>
    <s v="Unión Europea"/>
    <n v="65093.8"/>
    <x v="26"/>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31"/>
    <s v="No Reporta"/>
    <s v="Unión Europea"/>
    <n v="65093.8"/>
    <x v="26"/>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17"/>
    <s v="No Reporta"/>
    <s v="Unión Europea"/>
    <n v="65093.8"/>
    <x v="26"/>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0"/>
    <s v="No Reporta"/>
    <s v="Unión Europea"/>
    <n v="65093.8"/>
    <x v="26"/>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2"/>
    <s v="No Reporta"/>
    <s v="Unión Europea"/>
    <n v="65093.8"/>
    <x v="26"/>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150"/>
    <s v="Fortalecimiento de reformas de partidos políticos, la construcción de consensos y la transparencia legislativa - 2024-4-072 "/>
    <s v=" Fortalecer las prácticas de las organizaciones políticas y el diálogo con la sociedad civil en la creación de consensos para la reforma política"/>
    <d v="2025-01-01T00:00:00"/>
    <d v="2026-11-30T00:00:00"/>
    <x v="8"/>
    <s v="Ámbito Nacional"/>
    <s v="ESAL"/>
    <n v="1246000"/>
    <x v="125"/>
    <s v="Estados Unidos"/>
    <m/>
    <s v="No Aplica"/>
    <s v="16.10.Garantizar el acceso público a la información y proteger las libertades fundamentales, de conformidad con la legislación nacional y los acuerdos internacionales."/>
    <x v="7"/>
    <s v="SIN ALINEAR"/>
    <s v="Rama Legislativa"/>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5"/>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22"/>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6"/>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10"/>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4"/>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20"/>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12"/>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19"/>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7"/>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0"/>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1"/>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2"/>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7"/>
    <s v="Mejorar el acceso a los derechos sexuales y reproductivos de las mujeres Emberá chami y Wayuu - 2024QdV00364"/>
    <s v="Lograr la igualdad entre los géneros y empoderar a todas las mujeres y las niñas, asegurando el acceso universal a la salud sexual y reproductiva y los derechos reproductivos"/>
    <d v="2024-11-27T00:00:00"/>
    <d v="2026-11-27T00:00:00"/>
    <x v="13"/>
    <s v="Marsella"/>
    <s v="España"/>
    <n v="17619.111111111099"/>
    <x v="27"/>
    <s v="España"/>
    <m/>
    <s v="3. Promover una cultura de paz, justicia y lucha contra la desigualdad"/>
    <s v="5.6.Asegurar el acceso universal a la salud sexual y reproductiva y los derechos reproductivos según lo acordado de conformidad con el Programa de Acción de la CIPD y de la Plataforma de Acción de Beijing y los documentos finales de sus conferencias de examen."/>
    <x v="2"/>
    <s v="SIN ALINEAR"/>
    <s v="Interior"/>
  </r>
  <r>
    <s v="R-AO-24-6157"/>
    <s v="Mejorar el acceso a los derechos sexuales y reproductivos de las mujeres Emberá chami y Wayuu - 2024QdV00364"/>
    <s v="Lograr la igualdad entre los géneros y empoderar a todas las mujeres y las niñas, asegurando el acceso universal a la salud sexual y reproductiva y los derechos reproductivos"/>
    <d v="2024-11-27T00:00:00"/>
    <d v="2026-11-27T00:00:00"/>
    <x v="13"/>
    <s v="Mistrató"/>
    <s v="España"/>
    <n v="17619.111111111099"/>
    <x v="27"/>
    <s v="España"/>
    <m/>
    <s v="3. Promover una cultura de paz, justicia y lucha contra la desigualdad"/>
    <s v="5.6.Asegurar el acceso universal a la salud sexual y reproductiva y los derechos reproductivos según lo acordado de conformidad con el Programa de Acción de la CIPD y de la Plataforma de Acción de Beijing y los documentos finales de sus conferencias de examen."/>
    <x v="2"/>
    <s v="SIN ALINEAR"/>
    <s v="Interior"/>
  </r>
  <r>
    <s v="R-AO-24-6157"/>
    <s v="Mejorar el acceso a los derechos sexuales y reproductivos de las mujeres Emberá chami y Wayuu - 2024QdV00364"/>
    <s v="Lograr la igualdad entre los géneros y empoderar a todas las mujeres y las niñas, asegurando el acceso universal a la salud sexual y reproductiva y los derechos reproductivos"/>
    <d v="2024-11-27T00:00:00"/>
    <d v="2026-11-27T00:00:00"/>
    <x v="13"/>
    <s v="Pueblo Rico"/>
    <s v="España"/>
    <n v="17619.111111111099"/>
    <x v="27"/>
    <s v="España"/>
    <m/>
    <s v="3. Promover una cultura de paz, justicia y lucha contra la desigualdad"/>
    <s v="5.6.Asegurar el acceso universal a la salud sexual y reproductiva y los derechos reproductivos según lo acordado de conformidad con el Programa de Acción de la CIPD y de la Plataforma de Acción de Beijing y los documentos finales de sus conferencias de examen."/>
    <x v="2"/>
    <s v="SIN ALINEAR"/>
    <s v="Interior"/>
  </r>
  <r>
    <s v="R-AO-24-6157"/>
    <s v="Mejorar el acceso a los derechos sexuales y reproductivos de las mujeres Emberá chami y Wayuu - 2024QdV00364"/>
    <s v="Lograr la igualdad entre los géneros y empoderar a todas las mujeres y las niñas, asegurando el acceso universal a la salud sexual y reproductiva y los derechos reproductivos"/>
    <d v="2024-11-27T00:00:00"/>
    <d v="2026-11-27T00:00:00"/>
    <x v="16"/>
    <s v="Manaure"/>
    <s v="España"/>
    <n v="26428.666666666701"/>
    <x v="27"/>
    <s v="España"/>
    <m/>
    <s v="3. Promover una cultura de paz, justicia y lucha contra la desigualdad"/>
    <s v="5.6.Asegurar el acceso universal a la salud sexual y reproductiva y los derechos reproductivos según lo acordado de conformidad con el Programa de Acción de la CIPD y de la Plataforma de Acción de Beijing y los documentos finales de sus conferencias de examen."/>
    <x v="2"/>
    <s v="SIN ALINEAR"/>
    <s v="Interior"/>
  </r>
  <r>
    <s v="R-AO-24-6157"/>
    <s v="Mejorar el acceso a los derechos sexuales y reproductivos de las mujeres Emberá chami y Wayuu - 2024QdV00364"/>
    <s v="Lograr la igualdad entre los géneros y empoderar a todas las mujeres y las niñas, asegurando el acceso universal a la salud sexual y reproductiva y los derechos reproductivos"/>
    <d v="2024-11-27T00:00:00"/>
    <d v="2026-11-27T00:00:00"/>
    <x v="16"/>
    <s v="Uribía"/>
    <s v="España"/>
    <n v="26428.666666666701"/>
    <x v="27"/>
    <s v="España"/>
    <m/>
    <s v="3. Promover una cultura de paz, justicia y lucha contra la desigualdad"/>
    <s v="5.6.Asegurar el acceso universal a la salud sexual y reproductiva y los derechos reproductivos según lo acordado de conformidad con el Programa de Acción de la CIPD y de la Plataforma de Acción de Beijing y los documentos finales de sus conferencias de examen."/>
    <x v="2"/>
    <s v="SIN ALINEAR"/>
    <s v="Interior"/>
  </r>
  <r>
    <s v="R-AO-24-6157"/>
    <s v="Mejorar el acceso a los derechos sexuales y reproductivos de las mujeres Emberá chami y Wayuu - 2024QdV00364"/>
    <s v="Lograr la igualdad entre los géneros y empoderar a todas las mujeres y las niñas, asegurando el acceso universal a la salud sexual y reproductiva y los derechos reproductivos"/>
    <d v="2024-11-27T00:00:00"/>
    <d v="2026-11-27T00:00:00"/>
    <x v="30"/>
    <s v="No Reporta"/>
    <s v="España"/>
    <n v="52857.333333333299"/>
    <x v="27"/>
    <s v="España"/>
    <m/>
    <s v="3. Promover una cultura de paz, justicia y lucha contra la desigualdad"/>
    <s v="5.6.Asegurar el acceso universal a la salud sexual y reproductiva y los derechos reproductivos según lo acordado de conformidad con el Programa de Acción de la CIPD y de la Plataforma de Acción de Beijing y los documentos finales de sus conferencias de examen."/>
    <x v="2"/>
    <s v="SIN ALINEAR"/>
    <s v="Interior"/>
  </r>
  <r>
    <s v="R-AO-24-6158"/>
    <s v="Promoviendo ecosistemas de economía circular en el norte del Cauca para el desarrollo sostenible y la construcción de paz-2024/PRYC/000585"/>
    <s v="El Objetivo General del proyecto es Contribuir al desarrollo económico sostenible y la construcción de paz en el norte del Cauca, mediante el fomento de iniciativas de economía circular articulando la empresa privada, la academia y las organizaciones sociales"/>
    <d v="2024-11-12T00:00:00"/>
    <d v="2027-05-12T00:00:00"/>
    <x v="28"/>
    <s v="Caloto"/>
    <s v="España"/>
    <n v="115209"/>
    <x v="27"/>
    <s v="España"/>
    <m/>
    <s v="1. Promover la lucha contra el cambio climatico, la justicia ambiental y la transformación productiva"/>
    <s v="1.3.Implementar a nivel nacional sistemas y medidas apropiados de protección social para todos, incluidos niveles mínimos, y, de aquí a 2030, lograr una amplia cobertura de las personas pobres y vulnerables"/>
    <x v="1"/>
    <s v="SIN ALINEAR"/>
    <s v="Agricultura y Desarrollo Rural"/>
  </r>
  <r>
    <s v="R-AO-24-6158"/>
    <s v="Promoviendo ecosistemas de economía circular en el norte del Cauca para el desarrollo sostenible y la construcción de paz-2024/PRYC/000585"/>
    <s v="El Objetivo General del proyecto es Contribuir al desarrollo económico sostenible y la construcción de paz en el norte del Cauca, mediante el fomento de iniciativas de economía circular articulando la empresa privada, la academia y las organizaciones sociales"/>
    <d v="2024-11-12T00:00:00"/>
    <d v="2027-05-12T00:00:00"/>
    <x v="28"/>
    <s v="Corinto"/>
    <s v="España"/>
    <n v="115209"/>
    <x v="27"/>
    <s v="España"/>
    <m/>
    <s v="1. Promover la lucha contra el cambio climatico, la justicia ambiental y la transformación productiva"/>
    <s v="1.3.Implementar a nivel nacional sistemas y medidas apropiados de protección social para todos, incluidos niveles mínimos, y, de aquí a 2030, lograr una amplia cobertura de las personas pobres y vulnerables"/>
    <x v="1"/>
    <s v="SIN ALINEAR"/>
    <s v="Agricultura y Desarrollo Rural"/>
  </r>
  <r>
    <s v="R-AO-24-6158"/>
    <s v="Promoviendo ecosistemas de economía circular en el norte del Cauca para el desarrollo sostenible y la construcción de paz-2024/PRYC/000585"/>
    <s v="El Objetivo General del proyecto es Contribuir al desarrollo económico sostenible y la construcción de paz en el norte del Cauca, mediante el fomento de iniciativas de economía circular articulando la empresa privada, la academia y las organizaciones sociales"/>
    <d v="2024-11-12T00:00:00"/>
    <d v="2027-05-12T00:00:00"/>
    <x v="28"/>
    <s v="Guachené"/>
    <s v="España"/>
    <n v="115209"/>
    <x v="27"/>
    <s v="España"/>
    <m/>
    <s v="1. Promover la lucha contra el cambio climatico, la justicia ambiental y la transformación productiva"/>
    <s v="1.3.Implementar a nivel nacional sistemas y medidas apropiados de protección social para todos, incluidos niveles mínimos, y, de aquí a 2030, lograr una amplia cobertura de las personas pobres y vulnerables"/>
    <x v="1"/>
    <s v="SIN ALINEAR"/>
    <s v="Agricultura y Desarrollo Rural"/>
  </r>
  <r>
    <s v="R-AO-24-6158"/>
    <s v="Promoviendo ecosistemas de economía circular en el norte del Cauca para el desarrollo sostenible y la construcción de paz-2024/PRYC/000585"/>
    <s v="El Objetivo General del proyecto es Contribuir al desarrollo económico sostenible y la construcción de paz en el norte del Cauca, mediante el fomento de iniciativas de economía circular articulando la empresa privada, la academia y las organizaciones sociales"/>
    <d v="2024-11-12T00:00:00"/>
    <d v="2027-05-12T00:00:00"/>
    <x v="28"/>
    <s v="Miranda"/>
    <s v="España"/>
    <n v="115209"/>
    <x v="27"/>
    <s v="España"/>
    <m/>
    <s v="1. Promover la lucha contra el cambio climatico, la justicia ambiental y la transformación productiva"/>
    <s v="1.3.Implementar a nivel nacional sistemas y medidas apropiados de protección social para todos, incluidos niveles mínimos, y, de aquí a 2030, lograr una amplia cobertura de las personas pobres y vulnerables"/>
    <x v="1"/>
    <s v="SIN ALINEAR"/>
    <s v="Agricultura y Desarrollo Rural"/>
  </r>
  <r>
    <s v="R-AO-24-6158"/>
    <s v="Promoviendo ecosistemas de economía circular en el norte del Cauca para el desarrollo sostenible y la construcción de paz-2024/PRYC/000585"/>
    <s v="El Objetivo General del proyecto es Contribuir al desarrollo económico sostenible y la construcción de paz en el norte del Cauca, mediante el fomento de iniciativas de economía circular articulando la empresa privada, la academia y las organizaciones sociales"/>
    <d v="2024-11-12T00:00:00"/>
    <d v="2027-05-12T00:00:00"/>
    <x v="28"/>
    <s v="Padilla"/>
    <s v="España"/>
    <n v="115209"/>
    <x v="27"/>
    <s v="España"/>
    <m/>
    <s v="1. Promover la lucha contra el cambio climatico, la justicia ambiental y la transformación productiva"/>
    <s v="1.3.Implementar a nivel nacional sistemas y medidas apropiados de protección social para todos, incluidos niveles mínimos, y, de aquí a 2030, lograr una amplia cobertura de las personas pobres y vulnerables"/>
    <x v="1"/>
    <s v="SIN ALINEAR"/>
    <s v="Agricultura y Desarrollo Rural"/>
  </r>
  <r>
    <s v="R-FP-24-6159"/>
    <s v="Fomento a las dinámicas juveniles activas en los escenarios de consolidación de la paz y ciudadanía en el sur de Córdoba -  226-041-1037 ZG"/>
    <s v=" La población civil en Córdoba recupera sus espacios de organización y participación afectados por el conflicto armado. Superar la exclusión de jóvenes que se vieron afectados por el_x000a_conflicto armado en el Sur del departamento de Córdoba y que ahora se convertirán en protagonistas de la consolidación de una paz duradera de la región."/>
    <d v="2024-04-01T00:00:00"/>
    <d v="2028-03-31T00:00:00"/>
    <x v="6"/>
    <s v="Puerto Libertador"/>
    <s v="ESAL"/>
    <n v="248768.5"/>
    <x v="85"/>
    <s v="Alemania"/>
    <m/>
    <s v="3. Promover una cultura de paz, justicia y lucha contra la desigualdad"/>
    <s v="16.7.Garantizar la toma de decisiones receptiva, inclusiva, participativa y representativa en todos los niveles."/>
    <x v="7"/>
    <s v="SIN ALINEAR"/>
    <s v="Interior"/>
  </r>
  <r>
    <s v="R-FP-24-6159"/>
    <s v="Fomento a las dinámicas juveniles activas en los escenarios de consolidación de la paz y ciudadanía en el sur de Córdoba -  226-041-1037 ZG"/>
    <s v=" La población civil en Córdoba recupera sus espacios de organización y participación afectados por el conflicto armado. Superar la exclusión de jóvenes que se vieron afectados por el_x000a_conflicto armado en el Sur del departamento de Córdoba y que ahora se convertirán en protagonistas de la consolidación de una paz duradera de la región."/>
    <d v="2024-04-01T00:00:00"/>
    <d v="2028-03-31T00:00:00"/>
    <x v="6"/>
    <s v="Tierralta"/>
    <s v="ESAL"/>
    <n v="248768.5"/>
    <x v="85"/>
    <s v="Alemania"/>
    <m/>
    <s v="3. Promover una cultura de paz, justicia y lucha contra la desigualdad"/>
    <s v="16.7.Garantizar la toma de decisiones receptiva, inclusiva, participativa y representativa en todos los niveles."/>
    <x v="7"/>
    <s v="SIN ALINEAR"/>
    <s v="Interior"/>
  </r>
  <r>
    <s v="R-AO-24-6160"/>
    <s v="Proyecto de servicios de apoyo al Programa en Colombia y Ecuador - Field Suport Services Proyect in Colombia and Ecuador - FSSP"/>
    <s v="Mejorar la eficacia del trabajo que se adelanta el Programa de Cooperación en Colombia y Ecuador con diversos socios y aumentar el impacto de la asistencia internacional de  Canadá en ambos países. Aproximadamente 75-80% del presupuesto está asignado para Actividades en Colombia."/>
    <d v="2024-09-03T00:00:00"/>
    <d v="2029-09-02T00:00:00"/>
    <x v="8"/>
    <s v="No Reporta"/>
    <s v="Canadá"/>
    <n v="3402786.55"/>
    <x v="2"/>
    <s v="Canadá"/>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4-6165"/>
    <s v="Asistencia técnica que brinda AFD a Empresas Públicas de Medellín - EPM "/>
    <s v="otorgar una subvención para cooperación técnica mediante la contratación de un tercero por parte de AFD  para la prestación de una asistencia técnica para el desarrollo de dos iniciativas de EPM, una para el negocio de Generación de Energía y otra para el negocio de Gestión de Aguas Residuales."/>
    <d v="2024-03-01T00:00:00"/>
    <d v="2026-06-30T00:00:00"/>
    <x v="8"/>
    <s v="No Reporta"/>
    <s v="Francia"/>
    <n v="541849"/>
    <x v="111"/>
    <s v="Francia"/>
    <m/>
    <s v="1. Promover la lucha contra el cambio climatico, la justicia ambiental y la transformación productiva"/>
    <s v="12.2.En 2030 alcanzar la gestión sostenible y uso eficiente de los recursos naturales."/>
    <x v="10"/>
    <s v="SIN ALINEAR"/>
    <s v="Minas y Energía"/>
  </r>
  <r>
    <s v="R-AO-25-6166"/>
    <s v="CAF-BID- GEF 38: Eficiencia Energética para la Transición a Ciudades Carbono Neutrales en Colombia"/>
    <s v="Contribuir a la reducción de emisiones de CO2 incrementando la eficiencia energética en el sector de la construcción en Barranquilla, Pasto y Cali mediante el desarrollo de acciones que involucren las diferentes etapas del ciclo de vida de las edificaciones e intervenciones en el espacio público."/>
    <d v="2025-01-03T00:00:00"/>
    <d v="2030-01-03T00:00:00"/>
    <x v="21"/>
    <s v="No Reporta"/>
    <s v="Regional"/>
    <n v="2040928.66666667"/>
    <x v="46"/>
    <s v="Colombia"/>
    <m/>
    <s v="1. Promover la lucha contra el cambio climatico, la justicia ambiental y la transformación productiva"/>
    <s v="7.b.En 2030 ampliar la infraestructura y mejorar la tecnología para el suministro de servicios energéticos modernos y sostenibles para todos en los países en desarrollo, especialmente los PMA y los PEID."/>
    <x v="16"/>
    <s v="SIN ALINEAR"/>
    <s v="Ambiente y Desarrollo Sostenible"/>
  </r>
  <r>
    <s v="R-AO-25-6166"/>
    <s v="CAF-BID- GEF 38: Eficiencia Energética para la Transición a Ciudades Carbono Neutrales en Colombia"/>
    <s v="Contribuir a la reducción de emisiones de CO2 incrementando la eficiencia energética en el sector de la construcción en Barranquilla, Pasto y Cali mediante el desarrollo de acciones que involucren las diferentes etapas del ciclo de vida de las edificaciones e intervenciones en el espacio público."/>
    <d v="2025-01-03T00:00:00"/>
    <d v="2030-01-03T00:00:00"/>
    <x v="27"/>
    <s v="No Reporta"/>
    <s v="Regional"/>
    <n v="2040928.66666667"/>
    <x v="46"/>
    <s v="Colombia"/>
    <m/>
    <s v="1. Promover la lucha contra el cambio climatico, la justicia ambiental y la transformación productiva"/>
    <s v="7.b.En 2030 ampliar la infraestructura y mejorar la tecnología para el suministro de servicios energéticos modernos y sostenibles para todos en los países en desarrollo, especialmente los PMA y los PEID."/>
    <x v="16"/>
    <s v="SIN ALINEAR"/>
    <s v="Ambiente y Desarrollo Sostenible"/>
  </r>
  <r>
    <s v="R-AO-25-6166"/>
    <s v="CAF-BID- GEF 38: Eficiencia Energética para la Transición a Ciudades Carbono Neutrales en Colombia"/>
    <s v="Contribuir a la reducción de emisiones de CO2 incrementando la eficiencia energética en el sector de la construcción en Barranquilla, Pasto y Cali mediante el desarrollo de acciones que involucren las diferentes etapas del ciclo de vida de las edificaciones e intervenciones en el espacio público."/>
    <d v="2025-01-03T00:00:00"/>
    <d v="2030-01-03T00:00:00"/>
    <x v="9"/>
    <s v="No Reporta"/>
    <s v="Regional"/>
    <n v="2040928.66666667"/>
    <x v="46"/>
    <s v="Colombia"/>
    <m/>
    <s v="1. Promover la lucha contra el cambio climatico, la justicia ambiental y la transformación productiva"/>
    <s v="7.b.En 2030 ampliar la infraestructura y mejorar la tecnología para el suministro de servicios energéticos modernos y sostenibles para todos en los países en desarrollo, especialmente los PMA y los PEID."/>
    <x v="16"/>
    <s v="SIN ALINEAR"/>
    <s v="Ambiente y Desarrollo Sostenible"/>
  </r>
  <r>
    <s v="R-AO-25-6169"/>
    <s v="EL PROYECTO PARA EL MEJORAMIENTO DE LAS INSTALCIONES DE LA INSTITUCIÓN EDUCATIVA DEL LICEO DE LA AMISTAD"/>
    <s v="La construcción y adecuación de rampas (4 lugares), adecuación de escaleras (con pasamanos, en 3 lugares), adecuación de andenes (3 lugares), y compactación y aterrazamiento del terreno en la Institución Educativa del Liceo de la Amistad (con una superficie total de 430.87 m²), en el municipio de Santiago de Cali, tiene como objetivo garantizar un entorno físico seguro dentro de la institución. Esto contribuirá a fortalecer la educación básica y a ofrecer un entorno inclusivo a los usuarios de las instituciones incluyendo los habitantes de la zona."/>
    <d v="2025-02-14T00:00:00"/>
    <d v="2026-02-14T00:00:00"/>
    <x v="9"/>
    <s v="Cali"/>
    <s v="Japón"/>
    <n v="55225"/>
    <x v="127"/>
    <s v="Colombia"/>
    <m/>
    <s v="1. Promover la lucha contra el cambio climatico, la justicia ambiental y la transformación productiva"/>
    <s v="4.a.Construir y mejorar las instalaciones educativas para hacerlas sensibles a los niños, las personas con discapacidad y el género y proporcionar entornos de aprendizaje seguros, no violentos, inclusivos y eficaces para todos."/>
    <x v="5"/>
    <s v="SIN ALINEAR"/>
    <s v="Educación Nacional"/>
  </r>
  <r>
    <s v="R-AO-25-6171"/>
    <s v="ACORDES DE PAZ, INNOVACIÓN ARTE Y CULTURA AFROCOLOMBIANA PARA LA RECONCILIACIÓN Y LA TRANSFORMACIÓN SOCIAL - NDICI CSO/2024/ 461-955"/>
    <s v="Contribuir al fortalecimiento del rol de las Organizaciones de la Sociedad Civil (OSC) del Pacífico Colombiano comprometidas con el rescate y puesta en valor de su conocimiento, cultura y arte, como catalizadoras del desarrollo territorial sostenible, democrático e inclusivo en los departamentos de Chocó y Valle del Cauca. "/>
    <d v="2025-02-01T00:00:00"/>
    <d v="2028-02-01T00:00:00"/>
    <x v="9"/>
    <s v="Buenaventura"/>
    <s v="ESAL"/>
    <n v="89368.25"/>
    <x v="128"/>
    <s v="Itali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171"/>
    <s v="ACORDES DE PAZ, INNOVACIÓN ARTE Y CULTURA AFROCOLOMBIANA PARA LA RECONCILIACIÓN Y LA TRANSFORMACIÓN SOCIAL - NDICI CSO/2024/ 461-955"/>
    <s v="Contribuir al fortalecimiento del rol de las Organizaciones de la Sociedad Civil (OSC) del Pacífico Colombiano comprometidas con el rescate y puesta en valor de su conocimiento, cultura y arte, como catalizadoras del desarrollo territorial sostenible, democrático e inclusivo en los departamentos de Chocó y Valle del Cauca. "/>
    <d v="2025-02-01T00:00:00"/>
    <d v="2028-02-01T00:00:00"/>
    <x v="9"/>
    <s v="Cali"/>
    <s v="ESAL"/>
    <n v="89368.25"/>
    <x v="128"/>
    <s v="Itali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171"/>
    <s v="ACORDES DE PAZ, INNOVACIÓN ARTE Y CULTURA AFROCOLOMBIANA PARA LA RECONCILIACIÓN Y LA TRANSFORMACIÓN SOCIAL - NDICI CSO/2024/ 461-955"/>
    <s v="Contribuir al fortalecimiento del rol de las Organizaciones de la Sociedad Civil (OSC) del Pacífico Colombiano comprometidas con el rescate y puesta en valor de su conocimiento, cultura y arte, como catalizadoras del desarrollo territorial sostenible, democrático e inclusivo en los departamentos de Chocó y Valle del Cauca. "/>
    <d v="2025-02-01T00:00:00"/>
    <d v="2028-02-01T00:00:00"/>
    <x v="30"/>
    <s v="Quibdó"/>
    <s v="ESAL"/>
    <n v="178736.5"/>
    <x v="128"/>
    <s v="Itali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171"/>
    <s v="ACORDES DE PAZ, INNOVACIÓN ARTE Y CULTURA AFROCOLOMBIANA PARA LA RECONCILIACIÓN Y LA TRANSFORMACIÓN SOCIAL - NDICI CSO/2024/ 461-955"/>
    <s v="Contribuir al fortalecimiento del rol de las Organizaciones de la Sociedad Civil (OSC) del Pacífico Colombiano comprometidas con el rescate y puesta en valor de su conocimiento, cultura y arte, como catalizadoras del desarrollo territorial sostenible, democrático e inclusivo en los departamentos de Chocó y Valle del Cauca. "/>
    <d v="2025-02-01T00:00:00"/>
    <d v="2028-02-01T00:00:00"/>
    <x v="9"/>
    <s v="Buenaventura"/>
    <s v="Unión Europea"/>
    <n v="259494"/>
    <x v="26"/>
    <s v="Itali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171"/>
    <s v="ACORDES DE PAZ, INNOVACIÓN ARTE Y CULTURA AFROCOLOMBIANA PARA LA RECONCILIACIÓN Y LA TRANSFORMACIÓN SOCIAL - NDICI CSO/2024/ 461-955"/>
    <s v="Contribuir al fortalecimiento del rol de las Organizaciones de la Sociedad Civil (OSC) del Pacífico Colombiano comprometidas con el rescate y puesta en valor de su conocimiento, cultura y arte, como catalizadoras del desarrollo territorial sostenible, democrático e inclusivo en los departamentos de Chocó y Valle del Cauca. "/>
    <d v="2025-02-01T00:00:00"/>
    <d v="2028-02-01T00:00:00"/>
    <x v="9"/>
    <s v="Cali"/>
    <s v="Unión Europea"/>
    <n v="259494"/>
    <x v="26"/>
    <s v="Itali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171"/>
    <s v="ACORDES DE PAZ, INNOVACIÓN ARTE Y CULTURA AFROCOLOMBIANA PARA LA RECONCILIACIÓN Y LA TRANSFORMACIÓN SOCIAL - NDICI CSO/2024/ 461-955"/>
    <s v="Contribuir al fortalecimiento del rol de las Organizaciones de la Sociedad Civil (OSC) del Pacífico Colombiano comprometidas con el rescate y puesta en valor de su conocimiento, cultura y arte, como catalizadoras del desarrollo territorial sostenible, democrático e inclusivo en los departamentos de Chocó y Valle del Cauca. "/>
    <d v="2025-02-01T00:00:00"/>
    <d v="2028-02-01T00:00:00"/>
    <x v="30"/>
    <s v="Quibdó"/>
    <s v="Unión Europea"/>
    <n v="518988"/>
    <x v="26"/>
    <s v="Itali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172"/>
    <s v="Fortalecimiento de la inclusión socioeconómica en los municipios de frontera en la región de Norte de Santander de Colombia - 2024QdV00374"/>
    <s v="Fomentar la dinamización socioeconómica de la frontera colombo venezolana."/>
    <d v="2024-12-03T00:00:00"/>
    <d v="2028-06-03T00:00:00"/>
    <x v="20"/>
    <s v="No Reporta"/>
    <s v="España"/>
    <n v="1404083"/>
    <x v="27"/>
    <s v="España"/>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173"/>
    <s v="Conectando a los no conectados - Redes comunitarias de internet como vehículo para reducir la brecha digital en zonas rurales de Colombia - NDICI CSO/2023/451-673"/>
    <s v="Contribuir a la reducción de la brecha digital en zonas rurales a través de la promoción de redes comunicativas de internet y la apropiación significativa y con propósito de las herramientas digitales"/>
    <d v="2024-09-20T00:00:00"/>
    <d v="2027-01-20T00:00:00"/>
    <x v="8"/>
    <s v="Ámbito Nacional"/>
    <s v="Unión Europea"/>
    <n v="1114399"/>
    <x v="26"/>
    <s v="Bélgic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4-6180"/>
    <s v="acceso a los servicios a través de acciones regionales en latam (astral) - echo/-am/bud/2024/91022"/>
    <s v="En Colombia, IRC tiene como objetivo alcanzar a 14,680 personas a través de actividades de salud sexual y reproductiva (SSR) y la gestión integral de casos para sobrevivientes de violencia basada en género (VBG). Para ello, implementará un enfoque integral que incluirá el Paquete Mínimo Inicial de Servicios (PMIS) para SSR en situaciones de emergencia, complementado con servicios de salud mental y apoyo psicosocial (MHPSS), mediante una estrategia holística que abarca diversas modalidades de atención. Estas incluirán centros de salud fijos, telemedicina, y actividades de extensión con equipos móviles para identificar y atender a mujeres migrantes en tránsito y poblaciones desplazadas. "/>
    <d v="2024-06-01T00:00:00"/>
    <d v="2026-05-31T00:00:00"/>
    <x v="20"/>
    <s v="Los Patios"/>
    <s v="Unión Europea"/>
    <n v="235235.5"/>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Salud y Protección Social"/>
  </r>
  <r>
    <s v="R-AO-24-6180"/>
    <s v="acceso a los servicios a través de acciones regionales en latam (astral) - echo/-am/bud/2024/91022"/>
    <s v="En Colombia, IRC tiene como objetivo alcanzar a 14,680 personas a través de actividades de salud sexual y reproductiva (SSR) y la gestión integral de casos para sobrevivientes de violencia basada en género (VBG). Para ello, implementará un enfoque integral que incluirá el Paquete Mínimo Inicial de Servicios (PMIS) para SSR en situaciones de emergencia, complementado con servicios de salud mental y apoyo psicosocial (MHPSS), mediante una estrategia holística que abarca diversas modalidades de atención. Estas incluirán centros de salud fijos, telemedicina, y actividades de extensión con equipos móviles para identificar y atender a mujeres migrantes en tránsito y poblaciones desplazadas. "/>
    <d v="2024-06-01T00:00:00"/>
    <d v="2026-05-31T00:00:00"/>
    <x v="20"/>
    <s v="Puerto Santander"/>
    <s v="Unión Europea"/>
    <n v="235235.5"/>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Salud y Protección Social"/>
  </r>
  <r>
    <s v="R-AO-24-6180"/>
    <s v="acceso a los servicios a través de acciones regionales en latam (astral) - echo/-am/bud/2024/91022"/>
    <s v="En Colombia, IRC tiene como objetivo alcanzar a 14,680 personas a través de actividades de salud sexual y reproductiva (SSR) y la gestión integral de casos para sobrevivientes de violencia basada en género (VBG). Para ello, implementará un enfoque integral que incluirá el Paquete Mínimo Inicial de Servicios (PMIS) para SSR en situaciones de emergencia, complementado con servicios de salud mental y apoyo psicosocial (MHPSS), mediante una estrategia holística que abarca diversas modalidades de atención. Estas incluirán centros de salud fijos, telemedicina, y actividades de extensión con equipos móviles para identificar y atender a mujeres migrantes en tránsito y poblaciones desplazadas. "/>
    <d v="2024-06-01T00:00:00"/>
    <d v="2026-05-31T00:00:00"/>
    <x v="20"/>
    <s v="Villa del Rosario"/>
    <s v="Unión Europea"/>
    <n v="235235.5"/>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Salud y Protección Social"/>
  </r>
  <r>
    <s v="R-AO-24-6180"/>
    <s v="acceso a los servicios a través de acciones regionales en latam (astral) - echo/-am/bud/2024/91022"/>
    <s v="En Colombia, IRC tiene como objetivo alcanzar a 14,680 personas a través de actividades de salud sexual y reproductiva (SSR) y la gestión integral de casos para sobrevivientes de violencia basada en género (VBG). Para ello, implementará un enfoque integral que incluirá el Paquete Mínimo Inicial de Servicios (PMIS) para SSR en situaciones de emergencia, complementado con servicios de salud mental y apoyo psicosocial (MHPSS), mediante una estrategia holística que abarca diversas modalidades de atención. Estas incluirán centros de salud fijos, telemedicina, y actividades de extensión con equipos móviles para identificar y atender a mujeres migrantes en tránsito y poblaciones desplazadas. "/>
    <d v="2024-06-01T00:00:00"/>
    <d v="2026-05-31T00:00:00"/>
    <x v="27"/>
    <s v="Ipiales"/>
    <s v="Unión Europea"/>
    <n v="705706.5"/>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Salud y Protección Social"/>
  </r>
  <r>
    <s v="R-AO-25-6182"/>
    <s v="JÓVENES, TEATRO Y COMUNIDAD: ACTUANDO DERECHOS POR LA PAZ  - CSO-LA/2024/459-086"/>
    <s v="CONTRIBUIR A LA CONSTRUCCIÓN DE LA PAZ TERRITORIAL EN EL VALLE DEL CAUCA, DESDE LA ANIMACIÓN TEATRAL, IMPULSANDO LA GENERACIÓN DE RELACIONES PACÍFICAS QUE FORTALEZCAN EL TEJIDO SOCIAL DE LAS COMUNIDADES Y FUNDAMENTEN UNA CULTURA DE PAZ Y RECONCILIACIÓN"/>
    <d v="2025-01-13T00:00:00"/>
    <d v="2028-01-12T00:00:00"/>
    <x v="9"/>
    <s v="Cali"/>
    <s v="Unión Europea"/>
    <n v="254924.33333333299"/>
    <x v="26"/>
    <s v="Bélgica"/>
    <m/>
    <s v="No Aplica"/>
    <s v="4.4.Para 2030, aumentar en un x% el número de jóvenes y adultos con habilidades relevantes incluidas las aptitudes técnicas y vocacionales, para el empleo, trabajo decente y el emprendimiento."/>
    <x v="5"/>
    <s v="SIN ALINEAR"/>
    <s v="Cultura"/>
  </r>
  <r>
    <s v="R-AO-25-6182"/>
    <s v="JÓVENES, TEATRO Y COMUNIDAD: ACTUANDO DERECHOS POR LA PAZ  - CSO-LA/2024/459-086"/>
    <s v="CONTRIBUIR A LA CONSTRUCCIÓN DE LA PAZ TERRITORIAL EN EL VALLE DEL CAUCA, DESDE LA ANIMACIÓN TEATRAL, IMPULSANDO LA GENERACIÓN DE RELACIONES PACÍFICAS QUE FORTALEZCAN EL TEJIDO SOCIAL DE LAS COMUNIDADES Y FUNDAMENTEN UNA CULTURA DE PAZ Y RECONCILIACIÓN"/>
    <d v="2025-01-13T00:00:00"/>
    <d v="2028-01-12T00:00:00"/>
    <x v="9"/>
    <s v="Candelaria"/>
    <s v="Unión Europea"/>
    <n v="254924.33333333299"/>
    <x v="26"/>
    <s v="Bélgica"/>
    <m/>
    <s v="No Aplica"/>
    <s v="4.4.Para 2030, aumentar en un x% el número de jóvenes y adultos con habilidades relevantes incluidas las aptitudes técnicas y vocacionales, para el empleo, trabajo decente y el emprendimiento."/>
    <x v="5"/>
    <s v="SIN ALINEAR"/>
    <s v="Cultura"/>
  </r>
  <r>
    <s v="R-AO-25-6182"/>
    <s v="JÓVENES, TEATRO Y COMUNIDAD: ACTUANDO DERECHOS POR LA PAZ  - CSO-LA/2024/459-086"/>
    <s v="CONTRIBUIR A LA CONSTRUCCIÓN DE LA PAZ TERRITORIAL EN EL VALLE DEL CAUCA, DESDE LA ANIMACIÓN TEATRAL, IMPULSANDO LA GENERACIÓN DE RELACIONES PACÍFICAS QUE FORTALEZCAN EL TEJIDO SOCIAL DE LAS COMUNIDADES Y FUNDAMENTEN UNA CULTURA DE PAZ Y RECONCILIACIÓN"/>
    <d v="2025-01-13T00:00:00"/>
    <d v="2028-01-12T00:00:00"/>
    <x v="9"/>
    <s v="Pradera"/>
    <s v="Unión Europea"/>
    <n v="254924.33333333299"/>
    <x v="26"/>
    <s v="Bélgica"/>
    <m/>
    <s v="No Aplica"/>
    <s v="4.4.Para 2030, aumentar en un x% el número de jóvenes y adultos con habilidades relevantes incluidas las aptitudes técnicas y vocacionales, para el empleo, trabajo decente y el emprendimiento."/>
    <x v="5"/>
    <s v="SIN ALINEAR"/>
    <s v="Cultura"/>
  </r>
  <r>
    <s v="R-AO-24-6181"/>
    <s v="Fronteras para la vida, integración de Colombia con la región y garantía de los derechos de la población migrante"/>
    <s v="Desarrollar estudios de preinversión que optimicen la infraestructura en pasos fronterizos prioritarios, fortaleciendo la gestión migratoria y comercial en puntos estratégicos para promover la integración de Colombia en la región."/>
    <d v="2024-12-13T00:00:00"/>
    <d v="2026-06-13T00:00:00"/>
    <x v="30"/>
    <s v="Acandí"/>
    <s v="Banca Multilateral"/>
    <n v="300000"/>
    <x v="46"/>
    <s v="Venezuela"/>
    <m/>
    <s v="2. Contribuir a la lucha contra el hambre y la atención humanitaria a la poblacion"/>
    <s v="16.8.Ampliar y fortalecer la participación de los países en desarrollo en las instituciones de gobernanza global."/>
    <x v="7"/>
    <s v="SIN ALINEAR"/>
    <s v="Relaciones Exteriores"/>
  </r>
  <r>
    <s v="R-AO-24-6181"/>
    <s v="Fronteras para la vida, integración de Colombia con la región y garantía de los derechos de la población migrante"/>
    <s v="Desarrollar estudios de preinversión que optimicen la infraestructura en pasos fronterizos prioritarios, fortaleciendo la gestión migratoria y comercial en puntos estratégicos para promover la integración de Colombia en la región."/>
    <d v="2024-12-13T00:00:00"/>
    <d v="2026-06-13T00:00:00"/>
    <x v="30"/>
    <s v="Juradó"/>
    <s v="Banca Multilateral"/>
    <n v="300000"/>
    <x v="46"/>
    <s v="Venezuela"/>
    <m/>
    <s v="2. Contribuir a la lucha contra el hambre y la atención humanitaria a la poblacion"/>
    <s v="16.8.Ampliar y fortalecer la participación de los países en desarrollo en las instituciones de gobernanza global."/>
    <x v="7"/>
    <s v="SIN ALINEAR"/>
    <s v="Relaciones Exteriores"/>
  </r>
  <r>
    <s v="R-AO-24-6181"/>
    <s v="Fronteras para la vida, integración de Colombia con la región y garantía de los derechos de la población migrante"/>
    <s v="Desarrollar estudios de preinversión que optimicen la infraestructura en pasos fronterizos prioritarios, fortaleciendo la gestión migratoria y comercial en puntos estratégicos para promover la integración de Colombia en la región."/>
    <d v="2024-12-13T00:00:00"/>
    <d v="2026-06-13T00:00:00"/>
    <x v="16"/>
    <s v="Maicao"/>
    <s v="Banca Multilateral"/>
    <n v="600000"/>
    <x v="46"/>
    <s v="Venezuela"/>
    <m/>
    <s v="2. Contribuir a la lucha contra el hambre y la atención humanitaria a la poblacion"/>
    <s v="16.8.Ampliar y fortalecer la participación de los países en desarrollo en las instituciones de gobernanza global."/>
    <x v="7"/>
    <s v="SIN ALINEAR"/>
    <s v="Relaciones Exteriores"/>
  </r>
  <r>
    <s v="R-AO-24-6181"/>
    <s v="Fronteras para la vida, integración de Colombia con la región y garantía de los derechos de la población migrante"/>
    <s v="Desarrollar estudios de preinversión que optimicen la infraestructura en pasos fronterizos prioritarios, fortaleciendo la gestión migratoria y comercial en puntos estratégicos para promover la integración de Colombia en la región."/>
    <d v="2024-12-13T00:00:00"/>
    <d v="2026-06-13T00:00:00"/>
    <x v="24"/>
    <s v="Leticia"/>
    <s v="Banca Multilateral"/>
    <n v="600000"/>
    <x v="46"/>
    <s v="Venezuela"/>
    <m/>
    <s v="2. Contribuir a la lucha contra el hambre y la atención humanitaria a la poblacion"/>
    <s v="16.8.Ampliar y fortalecer la participación de los países en desarrollo en las instituciones de gobernanza global."/>
    <x v="7"/>
    <s v="SIN ALINEAR"/>
    <s v="Relaciones Exteriores"/>
  </r>
  <r>
    <s v="R-AO-24-6181"/>
    <s v="Fronteras para la vida, integración de Colombia con la región y garantía de los derechos de la población migrante"/>
    <s v="Desarrollar estudios de preinversión que optimicen la infraestructura en pasos fronterizos prioritarios, fortaleciendo la gestión migratoria y comercial en puntos estratégicos para promover la integración de Colombia en la región."/>
    <d v="2024-12-13T00:00:00"/>
    <d v="2026-06-13T00:00:00"/>
    <x v="0"/>
    <s v="Arauca"/>
    <s v="Banca Multilateral"/>
    <n v="600000"/>
    <x v="46"/>
    <s v="Venezuela"/>
    <m/>
    <s v="2. Contribuir a la lucha contra el hambre y la atención humanitaria a la poblacion"/>
    <s v="16.8.Ampliar y fortalecer la participación de los países en desarrollo en las instituciones de gobernanza global."/>
    <x v="7"/>
    <s v="SIN ALINEAR"/>
    <s v="Relaciones Exteriores"/>
  </r>
  <r>
    <s v="R-AO-24-6181"/>
    <s v="Fronteras para la vida, integración de Colombia con la región y garantía de los derechos de la población migrante"/>
    <s v="Desarrollar estudios de preinversión que optimicen la infraestructura en pasos fronterizos prioritarios, fortaleciendo la gestión migratoria y comercial en puntos estratégicos para promover la integración de Colombia en la región."/>
    <d v="2024-12-13T00:00:00"/>
    <d v="2026-06-13T00:00:00"/>
    <x v="3"/>
    <s v="Puerto Carreño"/>
    <s v="Banca Multilateral"/>
    <n v="600000"/>
    <x v="46"/>
    <s v="Venezuela"/>
    <m/>
    <s v="2. Contribuir a la lucha contra el hambre y la atención humanitaria a la poblacion"/>
    <s v="16.8.Ampliar y fortalecer la participación de los países en desarrollo en las instituciones de gobernanza global."/>
    <x v="7"/>
    <s v="SIN ALINEAR"/>
    <s v="Relaciones Exteriores"/>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0"/>
    <s v="No Reporta"/>
    <s v="ESAL"/>
    <n v="8890.5"/>
    <x v="129"/>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20"/>
    <s v="No Reporta"/>
    <s v="ESAL"/>
    <n v="8890.5"/>
    <x v="129"/>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7"/>
    <s v="No Reporta"/>
    <s v="ESAL"/>
    <n v="8890.5"/>
    <x v="129"/>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4"/>
    <s v="No Reporta"/>
    <s v="ESAL"/>
    <n v="8890.5"/>
    <x v="129"/>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9"/>
    <s v="No Reporta"/>
    <s v="ESAL"/>
    <n v="8890.5"/>
    <x v="129"/>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7"/>
    <s v="No Reporta"/>
    <s v="ESAL"/>
    <n v="8890.5"/>
    <x v="129"/>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0"/>
    <s v="No Reporta"/>
    <s v="ESAL"/>
    <n v="8890.5"/>
    <x v="129"/>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28"/>
    <s v="No Reporta"/>
    <s v="ESAL"/>
    <n v="8890.5"/>
    <x v="129"/>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0"/>
    <s v="No Reporta"/>
    <s v="ESAL"/>
    <n v="4933"/>
    <x v="130"/>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20"/>
    <s v="No Reporta"/>
    <s v="ESAL"/>
    <n v="4933"/>
    <x v="130"/>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7"/>
    <s v="No Reporta"/>
    <s v="ESAL"/>
    <n v="4933"/>
    <x v="130"/>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4"/>
    <s v="No Reporta"/>
    <s v="ESAL"/>
    <n v="4933"/>
    <x v="130"/>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9"/>
    <s v="No Reporta"/>
    <s v="ESAL"/>
    <n v="4933"/>
    <x v="130"/>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7"/>
    <s v="No Reporta"/>
    <s v="ESAL"/>
    <n v="4933"/>
    <x v="130"/>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0"/>
    <s v="No Reporta"/>
    <s v="ESAL"/>
    <n v="4933"/>
    <x v="130"/>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28"/>
    <s v="No Reporta"/>
    <s v="ESAL"/>
    <n v="4933"/>
    <x v="130"/>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0"/>
    <s v="No Reporta"/>
    <s v="ESAL"/>
    <n v="7012.5"/>
    <x v="131"/>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20"/>
    <s v="No Reporta"/>
    <s v="ESAL"/>
    <n v="7012.5"/>
    <x v="131"/>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7"/>
    <s v="No Reporta"/>
    <s v="ESAL"/>
    <n v="7012.5"/>
    <x v="131"/>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4"/>
    <s v="No Reporta"/>
    <s v="ESAL"/>
    <n v="7012.5"/>
    <x v="131"/>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9"/>
    <s v="No Reporta"/>
    <s v="ESAL"/>
    <n v="7012.5"/>
    <x v="131"/>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7"/>
    <s v="No Reporta"/>
    <s v="ESAL"/>
    <n v="7012.5"/>
    <x v="131"/>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0"/>
    <s v="No Reporta"/>
    <s v="ESAL"/>
    <n v="7012.5"/>
    <x v="131"/>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28"/>
    <s v="No Reporta"/>
    <s v="ESAL"/>
    <n v="7012.5"/>
    <x v="131"/>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0"/>
    <s v="No Reporta"/>
    <s v="Unión Europea"/>
    <n v="276825.375"/>
    <x v="26"/>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20"/>
    <s v="No Reporta"/>
    <s v="Unión Europea"/>
    <n v="276825.375"/>
    <x v="26"/>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7"/>
    <s v="No Reporta"/>
    <s v="Unión Europea"/>
    <n v="276825.375"/>
    <x v="26"/>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4"/>
    <s v="No Reporta"/>
    <s v="Unión Europea"/>
    <n v="276825.375"/>
    <x v="26"/>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9"/>
    <s v="No Reporta"/>
    <s v="Unión Europea"/>
    <n v="276825.375"/>
    <x v="26"/>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7"/>
    <s v="No Reporta"/>
    <s v="Unión Europea"/>
    <n v="276825.375"/>
    <x v="26"/>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0"/>
    <s v="No Reporta"/>
    <s v="Unión Europea"/>
    <n v="276825.375"/>
    <x v="26"/>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28"/>
    <s v="No Reporta"/>
    <s v="Unión Europea"/>
    <n v="276825.375"/>
    <x v="26"/>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4-6185"/>
    <s v="Estrategias de sostenibilidad financiera para proyectos de innovación social de la Gobernación del Valle del Cauca - CAF -FAFIS"/>
    <s v="Generar estrategias de sostenibilidad para los proyectos de innovación pública de la gobernación del Valle del Cauca (Voy en Bici al Colegio, Roperos de inclusión Comedores comunitarios, Jardines infantiles nocturnos “arrullo”, Modelo organizativo para la salvaguardia y dinamización de la cadena de valor del viche/biche), que pretenden reducir las brechas territoriales para fomentar desarrollo en el Departamento, garantizando así la continuación y autonomía de los mismos, además de generar eficiencia en el gasto público"/>
    <d v="2024-11-17T00:00:00"/>
    <d v="2026-11-17T00:00:00"/>
    <x v="9"/>
    <s v="No Reporta"/>
    <s v="Banca Multilateral"/>
    <n v="400000"/>
    <x v="46"/>
    <s v="Venezuela"/>
    <m/>
    <s v="2. Contribuir a la lucha contra el hambre y la atención humanitaria a la poblacion"/>
    <s v="2.2.De aquí a 2030, poner fin a todas las formas de malnutrición, incluso logrando, a más tardar en 2025, las metas convenidas internacionalmente sobre el retraso del crecimiento y la emaciación de los niños menores de 5 años, y abordar las necesidades de nutrición de las adolescentes, las mujeres embarazadas y lactantes y las personas de edad"/>
    <x v="12"/>
    <s v="SIN ALINEAR"/>
    <s v="Salud y Protección Social"/>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27"/>
    <s v="Barbacoas"/>
    <s v="Unión Europea"/>
    <n v="75645.5"/>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27"/>
    <s v="La Tola"/>
    <s v="Unión Europea"/>
    <n v="75645.5"/>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27"/>
    <s v="Magüí"/>
    <s v="Unión Europea"/>
    <n v="75645.5"/>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27"/>
    <s v="Olaya Herrera"/>
    <s v="Unión Europea"/>
    <n v="75645.5"/>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27"/>
    <s v="Roberto Payán"/>
    <s v="Unión Europea"/>
    <n v="75645.5"/>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27"/>
    <s v="San Andrés de Tumaco"/>
    <s v="Unión Europea"/>
    <n v="75645.5"/>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16"/>
    <s v="Maicao"/>
    <s v="Unión Europea"/>
    <n v="151291"/>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16"/>
    <s v="Riohacha"/>
    <s v="Unión Europea"/>
    <n v="151291"/>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16"/>
    <s v="Uribía"/>
    <s v="Unión Europea"/>
    <n v="151291"/>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20"/>
    <s v="El tarra"/>
    <s v="Unión Europea"/>
    <n v="226936.5"/>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20"/>
    <s v="Tibú"/>
    <s v="Unión Europea"/>
    <n v="226936.5"/>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5-6190"/>
    <s v="Hambre y conflicto: proteger a las personas en situaciones de conflicto armado y violencia relacionada con la inseguridad alimentaria, fomentando el cumplimiento del DIH ECHO/ERC/BUD/2022/91013 FASE II ADENDA 1"/>
    <s v="Contribuir a reducir el impacto de los conflictos armados y la violencia conexa en la seguridad alimentaria y los medios de subsistencia, mejorando el cumplimiento del DIH."/>
    <d v="2025-01-29T00:00:00"/>
    <d v="2026-05-31T00:00:00"/>
    <x v="19"/>
    <s v="No Reporta"/>
    <s v="Unión Europea"/>
    <n v="37511"/>
    <x v="26"/>
    <s v="Bélgic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190"/>
    <s v="Hambre y conflicto: proteger a las personas en situaciones de conflicto armado y violencia relacionada con la inseguridad alimentaria, fomentando el cumplimiento del DIH ECHO/ERC/BUD/2022/91013 FASE II ADENDA 1"/>
    <s v="Contribuir a reducir el impacto de los conflictos armados y la violencia conexa en la seguridad alimentaria y los medios de subsistencia, mejorando el cumplimiento del DIH."/>
    <d v="2025-01-29T00:00:00"/>
    <d v="2026-05-31T00:00:00"/>
    <x v="27"/>
    <s v="No Reporta"/>
    <s v="Unión Europea"/>
    <n v="37511"/>
    <x v="26"/>
    <s v="Bélgic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4-6196"/>
    <s v="ASEGURAMIENTO DE LA SOSTENIBILIDAD DE LA CADENA DE VALOR DEL CAFÉ COLOMBIANO - 922-AIV-1/2023-045"/>
    <s v="Aseguramiento de la sostenibilidad de cadenas de valor de café de especialidad colombiano para el cumplimiento con la regulación y ambiciones europeas de sostenibilidad e.g. Pacto Verde Europeo y_x000a_Directiva de Diligencia Debida, mediante el apoyo directo a 200 MiPymes productoras, comercializadoras y exportadoras de café a Europa, integradas a cadenas de valor trazables y libres de deforestación, con especial enfoque en la generación de capacidades, prácticas sostenibles y justas para pequeñas empresas colombianas."/>
    <d v="2024-04-15T00:00:00"/>
    <d v="2026-04-15T00:00:00"/>
    <x v="14"/>
    <s v="No Reporta"/>
    <s v="Unión Europea"/>
    <n v="255071"/>
    <x v="26"/>
    <s v="Colombia/Centro Sur/Huila/Neiva"/>
    <m/>
    <s v="1. Promover la lucha contra el cambio climatico, la justicia ambiental y la transformación productiva"/>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4-6199"/>
    <s v="Camino a la reparación: acceso a la justicia, fortalecimiento de liderazgos feministas para la paz y autonomía económica para mujeres LBT - 2024/PRYC/000401"/>
    <s v="Contribuir a la consolidación de la paz en Colombia garantizando los derechos de las mujeres LBT."/>
    <d v="2024-11-12T00:00:00"/>
    <d v="2027-05-12T00:00:00"/>
    <x v="28"/>
    <s v="No Reporta"/>
    <s v="España"/>
    <n v="243644.33333333299"/>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99"/>
    <s v="Camino a la reparación: acceso a la justicia, fortalecimiento de liderazgos feministas para la paz y autonomía económica para mujeres LBT - 2024/PRYC/000401"/>
    <s v="Contribuir a la consolidación de la paz en Colombia garantizando los derechos de las mujeres LBT."/>
    <d v="2024-11-12T00:00:00"/>
    <d v="2027-05-12T00:00:00"/>
    <x v="30"/>
    <s v="No Reporta"/>
    <s v="España"/>
    <n v="243644.33333333299"/>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99"/>
    <s v="Camino a la reparación: acceso a la justicia, fortalecimiento de liderazgos feministas para la paz y autonomía económica para mujeres LBT - 2024/PRYC/000401"/>
    <s v="Contribuir a la consolidación de la paz en Colombia garantizando los derechos de las mujeres LBT."/>
    <d v="2024-11-12T00:00:00"/>
    <d v="2027-05-12T00:00:00"/>
    <x v="27"/>
    <s v="No Reporta"/>
    <s v="España"/>
    <n v="243644.33333333299"/>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1-6203"/>
    <s v="La Minga: un enfoque comunitario a largo plazo para impulsar la conservación marina en la Costa Pacífica de Colombia - 05_15_21-25_FondoAccion_Colombia"/>
    <s v="apoyar la conservación actual y futura de acciones de desarrollo sostenible que forman parte de los planes a largo plazo de tres Áreas Marinas Protegidas (AMP) con presencia de las comunidades de la Costa Pacífica de Colombia."/>
    <d v="2021-08-01T00:00:00"/>
    <d v="2026-03-31T00:00:00"/>
    <x v="30"/>
    <s v="No Reporta"/>
    <s v="ESAL"/>
    <n v="1704011.5"/>
    <x v="107"/>
    <s v="Alemania"/>
    <m/>
    <s v="C. Conservación Y Sostenibilidad Ambiental"/>
    <s v="14.5.Para 2020, conservar al menos el 10% de las zonas marinas y costeras, en armonía con la legislación nacional e internacional y con base en la mejor información científica disponible"/>
    <x v="9"/>
    <s v="SIN ALINEAR"/>
    <s v="Ambiente y Desarrollo Sostenible"/>
  </r>
  <r>
    <s v="R-AO-21-6203"/>
    <s v="La Minga: un enfoque comunitario a largo plazo para impulsar la conservación marina en la Costa Pacífica de Colombia - 05_15_21-25_FondoAccion_Colombia"/>
    <s v="apoyar la conservación actual y futura de acciones de desarrollo sostenible que forman parte de los planes a largo plazo de tres Áreas Marinas Protegidas (AMP) con presencia de las comunidades de la Costa Pacífica de Colombia."/>
    <d v="2021-08-01T00:00:00"/>
    <d v="2026-03-31T00:00:00"/>
    <x v="9"/>
    <s v="No Reporta"/>
    <s v="ESAL"/>
    <n v="1704011.5"/>
    <x v="107"/>
    <s v="Alemania"/>
    <m/>
    <s v="C. Conservación Y Sostenibilidad Ambiental"/>
    <s v="14.5.Para 2020, conservar al menos el 10% de las zonas marinas y costeras, en armonía con la legislación nacional e internacional y con base en la mejor información científica disponible"/>
    <x v="9"/>
    <s v="SIN ALINEAR"/>
    <s v="Ambiente y Desarrollo Sostenible"/>
  </r>
  <r>
    <s v="R-AO-24-6212"/>
    <s v="Mundo Verde-Una apuesta por la adopción e implementación de prácticas sostenibles - 922-AIV-2/2023-045"/>
    <s v="Fortalecer las MiPymes del Eje Cafetero y Bucaramanga mediante la generación de capacidades y adopción de prácticas sostenibles y digitales en cooperación con la Unión Europea, promoviendo una economía baja en carbono, eficiente en el uso de los recursos y más circulares."/>
    <d v="2024-04-01T00:00:00"/>
    <d v="2026-04-01T00:00:00"/>
    <x v="15"/>
    <s v="Chinchiná"/>
    <s v="Unión Europea"/>
    <n v="34664.5"/>
    <x v="26"/>
    <s v="Bélgica"/>
    <m/>
    <s v="1. Promover la lucha contra el cambio climatico, la justicia ambiental y la transformación productiva"/>
    <s v="12.a.Apoyar a los países en desarrollo para fortalecer sus capacidades científicas y tecnológicas para avanzar hacia patrones más sostenibles de consumo y producción."/>
    <x v="10"/>
    <s v="SIN ALINEAR"/>
    <s v="Comercio, Industria y Turismo"/>
  </r>
  <r>
    <s v="R-AO-24-6212"/>
    <s v="Mundo Verde-Una apuesta por la adopción e implementación de prácticas sostenibles - 922-AIV-2/2023-045"/>
    <s v="Fortalecer las MiPymes del Eje Cafetero y Bucaramanga mediante la generación de capacidades y adopción de prácticas sostenibles y digitales en cooperación con la Unión Europea, promoviendo una economía baja en carbono, eficiente en el uso de los recursos y más circulares."/>
    <d v="2024-04-01T00:00:00"/>
    <d v="2026-04-01T00:00:00"/>
    <x v="15"/>
    <s v="Manizales"/>
    <s v="Unión Europea"/>
    <n v="34664.5"/>
    <x v="26"/>
    <s v="Bélgica"/>
    <m/>
    <s v="1. Promover la lucha contra el cambio climatico, la justicia ambiental y la transformación productiva"/>
    <s v="12.a.Apoyar a los países en desarrollo para fortalecer sus capacidades científicas y tecnológicas para avanzar hacia patrones más sostenibles de consumo y producción."/>
    <x v="10"/>
    <s v="SIN ALINEAR"/>
    <s v="Comercio, Industria y Turismo"/>
  </r>
  <r>
    <s v="R-AO-24-6212"/>
    <s v="Mundo Verde-Una apuesta por la adopción e implementación de prácticas sostenibles - 922-AIV-2/2023-045"/>
    <s v="Fortalecer las MiPymes del Eje Cafetero y Bucaramanga mediante la generación de capacidades y adopción de prácticas sostenibles y digitales en cooperación con la Unión Europea, promoviendo una economía baja en carbono, eficiente en el uso de los recursos y más circulares."/>
    <d v="2024-04-01T00:00:00"/>
    <d v="2026-04-01T00:00:00"/>
    <x v="13"/>
    <s v="Dosquebradas"/>
    <s v="Unión Europea"/>
    <n v="34664.5"/>
    <x v="26"/>
    <s v="Bélgica"/>
    <m/>
    <s v="1. Promover la lucha contra el cambio climatico, la justicia ambiental y la transformación productiva"/>
    <s v="12.a.Apoyar a los países en desarrollo para fortalecer sus capacidades científicas y tecnológicas para avanzar hacia patrones más sostenibles de consumo y producción."/>
    <x v="10"/>
    <s v="SIN ALINEAR"/>
    <s v="Comercio, Industria y Turismo"/>
  </r>
  <r>
    <s v="R-AO-24-6212"/>
    <s v="Mundo Verde-Una apuesta por la adopción e implementación de prácticas sostenibles - 922-AIV-2/2023-045"/>
    <s v="Fortalecer las MiPymes del Eje Cafetero y Bucaramanga mediante la generación de capacidades y adopción de prácticas sostenibles y digitales en cooperación con la Unión Europea, promoviendo una economía baja en carbono, eficiente en el uso de los recursos y más circulares."/>
    <d v="2024-04-01T00:00:00"/>
    <d v="2026-04-01T00:00:00"/>
    <x v="13"/>
    <s v="Pereira"/>
    <s v="Unión Europea"/>
    <n v="34664.5"/>
    <x v="26"/>
    <s v="Bélgica"/>
    <m/>
    <s v="1. Promover la lucha contra el cambio climatico, la justicia ambiental y la transformación productiva"/>
    <s v="12.a.Apoyar a los países en desarrollo para fortalecer sus capacidades científicas y tecnológicas para avanzar hacia patrones más sostenibles de consumo y producción."/>
    <x v="10"/>
    <s v="SIN ALINEAR"/>
    <s v="Comercio, Industria y Turismo"/>
  </r>
  <r>
    <s v="R-AO-24-6212"/>
    <s v="Mundo Verde-Una apuesta por la adopción e implementación de prácticas sostenibles - 922-AIV-2/2023-045"/>
    <s v="Fortalecer las MiPymes del Eje Cafetero y Bucaramanga mediante la generación de capacidades y adopción de prácticas sostenibles y digitales en cooperación con la Unión Europea, promoviendo una economía baja en carbono, eficiente en el uso de los recursos y más circulares."/>
    <d v="2024-04-01T00:00:00"/>
    <d v="2026-04-01T00:00:00"/>
    <x v="12"/>
    <s v="Bucaramanga"/>
    <s v="Unión Europea"/>
    <n v="69329"/>
    <x v="26"/>
    <s v="Bélgica"/>
    <m/>
    <s v="1. Promover la lucha contra el cambio climatico, la justicia ambiental y la transformación productiva"/>
    <s v="12.a.Apoyar a los países en desarrollo para fortalecer sus capacidades científicas y tecnológicas para avanzar hacia patrones más sostenibles de consumo y producción."/>
    <x v="10"/>
    <s v="SIN ALINEAR"/>
    <s v="Comercio, Industria y Turismo"/>
  </r>
  <r>
    <s v="R-AO-24-6212"/>
    <s v="Mundo Verde-Una apuesta por la adopción e implementación de prácticas sostenibles - 922-AIV-2/2023-045"/>
    <s v="Fortalecer las MiPymes del Eje Cafetero y Bucaramanga mediante la generación de capacidades y adopción de prácticas sostenibles y digitales en cooperación con la Unión Europea, promoviendo una economía baja en carbono, eficiente en el uso de los recursos y más circulares."/>
    <d v="2024-04-01T00:00:00"/>
    <d v="2026-04-01T00:00:00"/>
    <x v="32"/>
    <s v="Armenia"/>
    <s v="Unión Europea"/>
    <n v="69329"/>
    <x v="26"/>
    <s v="Bélgica"/>
    <m/>
    <s v="1. Promover la lucha contra el cambio climatico, la justicia ambiental y la transformación productiva"/>
    <s v="12.a.Apoyar a los países en desarrollo para fortalecer sus capacidades científicas y tecnológicas para avanzar hacia patrones más sostenibles de consumo y producción."/>
    <x v="10"/>
    <s v="SIN ALINEAR"/>
    <s v="Comercio, Industria y Turismo"/>
  </r>
  <r>
    <s v="R-AO-25-6213"/>
    <s v="Fortalecimiento de la Sostenibilidad Ambiental, Social y Económica en el Núcleo de Desarrollo Forestal y de Biodiversidad Yaguara II - GRT/AZ-21456-CO"/>
    <s v="contribuir a proteger la biodiversidad y los sumideros de carbono existentes en el resguardo indígena ubicado en el núcleo de desarrollo forestal y de biodiversidad (ndfyb) yaguara ii"/>
    <d v="2025-02-19T00:00:00"/>
    <d v="2028-02-19T00:00:00"/>
    <x v="17"/>
    <s v="San Vicente del Caguán"/>
    <s v="Banca Multilateral"/>
    <n v="1166666.66666667"/>
    <x v="5"/>
    <s v="Estados Unidos"/>
    <m/>
    <s v="1. Promover la lucha contra el cambio climatico, la justicia ambiental y la transformación productiva"/>
    <s v="15.4.En 2030 asegurar la preservación de los ecosistemas de montaña, incluyendo su biodiversidad, para mejorar su capacidad para proporcionar beneficios que son esenciales para el desarrollo sostenible."/>
    <x v="6"/>
    <s v="SIN ALINEAR"/>
    <s v="Ambiente y Desarrollo Sostenible"/>
  </r>
  <r>
    <s v="R-AO-25-6213"/>
    <s v="Fortalecimiento de la Sostenibilidad Ambiental, Social y Económica en el Núcleo de Desarrollo Forestal y de Biodiversidad Yaguara II - GRT/AZ-21456-CO"/>
    <s v="contribuir a proteger la biodiversidad y los sumideros de carbono existentes en el resguardo indígena ubicado en el núcleo de desarrollo forestal y de biodiversidad (ndfyb) yaguara ii"/>
    <d v="2025-02-19T00:00:00"/>
    <d v="2028-02-19T00:00:00"/>
    <x v="18"/>
    <s v="Calamar"/>
    <s v="Banca Multilateral"/>
    <n v="1166666.66666667"/>
    <x v="5"/>
    <s v="Estados Unidos"/>
    <m/>
    <s v="1. Promover la lucha contra el cambio climatico, la justicia ambiental y la transformación productiva"/>
    <s v="15.4.En 2030 asegurar la preservación de los ecosistemas de montaña, incluyendo su biodiversidad, para mejorar su capacidad para proporcionar beneficios que son esenciales para el desarrollo sostenible."/>
    <x v="6"/>
    <s v="SIN ALINEAR"/>
    <s v="Ambiente y Desarrollo Sostenible"/>
  </r>
  <r>
    <s v="R-AO-25-6213"/>
    <s v="Fortalecimiento de la Sostenibilidad Ambiental, Social y Económica en el Núcleo de Desarrollo Forestal y de Biodiversidad Yaguara II - GRT/AZ-21456-CO"/>
    <s v="contribuir a proteger la biodiversidad y los sumideros de carbono existentes en el resguardo indígena ubicado en el núcleo de desarrollo forestal y de biodiversidad (ndfyb) yaguara ii"/>
    <d v="2025-02-19T00:00:00"/>
    <d v="2028-02-19T00:00:00"/>
    <x v="2"/>
    <s v="La Macarena"/>
    <s v="Banca Multilateral"/>
    <n v="1166666.66666667"/>
    <x v="5"/>
    <s v="Estados Unidos"/>
    <m/>
    <s v="1. Promover la lucha contra el cambio climatico, la justicia ambiental y la transformación productiva"/>
    <s v="15.4.En 2030 asegurar la preservación de los ecosistemas de montaña, incluyendo su biodiversidad, para mejorar su capacidad para proporcionar beneficios que son esenciales para el desarrollo sostenible."/>
    <x v="6"/>
    <s v="SIN ALINEAR"/>
    <s v="Ambiente y Desarrollo Sostenible"/>
  </r>
  <r>
    <s v="R-AO-24-6215"/>
    <s v="Eficiencia Energética para la Transición a Ciudades Carbono Neutrales en Colombia -  No.  ATN/FM- 20857-CO"/>
    <s v="Contribuir a la reducción de emisiones de CO2 mediante el aumento de la eficiencia energética en el sector de la construcción, en particular en las ciudades de Barranquilla, Cali y Pasto, mediante el desarrollo de acciones que involucren diferentes etapas del ciclo de vida de las edificaciones e intervenciones en el espacio público, mediante el logro de los siguientes resultados: (i) fortalecimiento de la capacidad institucional local mediante la dotación de herramientas técnicas, normativas y metodológicas; y (ii) mejora del intercambio y difusión del conocimiento organizacional mediante el desarrollo de comunicaciones de gestión del conocimiento. El Proyecto aborda las barreras identificadas durante la elaboración del Formulario de Identificación de Proyecto (PIF) relacionado con la eficiencia energética en edificaciones y espacios públicos en Colombia, en consonancia con la necesidad de reducir las emisiones de gases de efecto invernadero (GEI) asociadas."/>
    <d v="2024-11-06T00:00:00"/>
    <d v="2027-11-06T00:00:00"/>
    <x v="21"/>
    <s v="Barranquilla"/>
    <s v="Banca Multilateral"/>
    <n v="604116.33333333302"/>
    <x v="5"/>
    <s v="Estados Unidos"/>
    <m/>
    <s v="1. Promover la lucha contra el cambio climatico, la justicia ambiental y la transformación productiva"/>
    <s v="7.3. Doblar la tasa mundial de mejora de la eficiencia energética de aquí a 2030."/>
    <x v="16"/>
    <s v="SIN ALINEAR"/>
    <s v="Minas y Energía"/>
  </r>
  <r>
    <s v="R-AO-24-6215"/>
    <s v="Eficiencia Energética para la Transición a Ciudades Carbono Neutrales en Colombia -  No.  ATN/FM- 20857-CO"/>
    <s v="Contribuir a la reducción de emisiones de CO2 mediante el aumento de la eficiencia energética en el sector de la construcción, en particular en las ciudades de Barranquilla, Cali y Pasto, mediante el desarrollo de acciones que involucren diferentes etapas del ciclo de vida de las edificaciones e intervenciones en el espacio público, mediante el logro de los siguientes resultados: (i) fortalecimiento de la capacidad institucional local mediante la dotación de herramientas técnicas, normativas y metodológicas; y (ii) mejora del intercambio y difusión del conocimiento organizacional mediante el desarrollo de comunicaciones de gestión del conocimiento. El Proyecto aborda las barreras identificadas durante la elaboración del Formulario de Identificación de Proyecto (PIF) relacionado con la eficiencia energética en edificaciones y espacios públicos en Colombia, en consonancia con la necesidad de reducir las emisiones de gases de efecto invernadero (GEI) asociadas."/>
    <d v="2024-11-06T00:00:00"/>
    <d v="2027-11-06T00:00:00"/>
    <x v="27"/>
    <s v="Pasto"/>
    <s v="Banca Multilateral"/>
    <n v="604116.33333333302"/>
    <x v="5"/>
    <s v="Estados Unidos"/>
    <m/>
    <s v="1. Promover la lucha contra el cambio climatico, la justicia ambiental y la transformación productiva"/>
    <s v="7.3. Doblar la tasa mundial de mejora de la eficiencia energética de aquí a 2030."/>
    <x v="16"/>
    <s v="SIN ALINEAR"/>
    <s v="Minas y Energía"/>
  </r>
  <r>
    <s v="R-AO-24-6215"/>
    <s v="Eficiencia Energética para la Transición a Ciudades Carbono Neutrales en Colombia -  No.  ATN/FM- 20857-CO"/>
    <s v="Contribuir a la reducción de emisiones de CO2 mediante el aumento de la eficiencia energética en el sector de la construcción, en particular en las ciudades de Barranquilla, Cali y Pasto, mediante el desarrollo de acciones que involucren diferentes etapas del ciclo de vida de las edificaciones e intervenciones en el espacio público, mediante el logro de los siguientes resultados: (i) fortalecimiento de la capacidad institucional local mediante la dotación de herramientas técnicas, normativas y metodológicas; y (ii) mejora del intercambio y difusión del conocimiento organizacional mediante el desarrollo de comunicaciones de gestión del conocimiento. El Proyecto aborda las barreras identificadas durante la elaboración del Formulario de Identificación de Proyecto (PIF) relacionado con la eficiencia energética en edificaciones y espacios públicos en Colombia, en consonancia con la necesidad de reducir las emisiones de gases de efecto invernadero (GEI) asociadas."/>
    <d v="2024-11-06T00:00:00"/>
    <d v="2027-11-06T00:00:00"/>
    <x v="9"/>
    <s v="Cali"/>
    <s v="Banca Multilateral"/>
    <n v="604116.33333333302"/>
    <x v="5"/>
    <s v="Estados Unidos"/>
    <m/>
    <s v="1. Promover la lucha contra el cambio climatico, la justicia ambiental y la transformación productiva"/>
    <s v="7.3. Doblar la tasa mundial de mejora de la eficiencia energética de aquí a 2030."/>
    <x v="16"/>
    <s v="SIN ALINEAR"/>
    <s v="Minas y Energía"/>
  </r>
  <r>
    <s v="R-AO-24-6217"/>
    <s v="Un café para la sostenibilidad y la productividad: comunidades inteligentes para la adaptación y mitigación al cambio climático y la regeneración de los paisajes cafeteros - REF: 922-AIV-1/2023-056"/>
    <s v="Promover cadenas de valor cafeteras inteligentes, sostenibles y regenerativas en Risaralda, elevando la competitividad de las MYPIMES fortaleciendo la seguridad alimentaria y la productividad, impulsando el desarrollo económico local y preservando_x000a_los ecosistemas mediante la colaboración comunitaria. "/>
    <d v="2024-06-01T00:00:00"/>
    <d v="2026-06-01T00:00:00"/>
    <x v="7"/>
    <s v="Anzá"/>
    <s v="Unión Europea"/>
    <n v="108570"/>
    <x v="26"/>
    <s v="Bélgica"/>
    <m/>
    <s v="1. Promover la lucha contra el cambio climatico, la justicia ambiental y la transformación productiva"/>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217"/>
    <s v="Un café para la sostenibilidad y la productividad: comunidades inteligentes para la adaptación y mitigación al cambio climático y la regeneración de los paisajes cafeteros - REF: 922-AIV-1/2023-056"/>
    <s v="Promover cadenas de valor cafeteras inteligentes, sostenibles y regenerativas en Risaralda, elevando la competitividad de las MYPIMES fortaleciendo la seguridad alimentaria y la productividad, impulsando el desarrollo económico local y preservando_x000a_los ecosistemas mediante la colaboración comunitaria. "/>
    <d v="2024-06-01T00:00:00"/>
    <d v="2026-06-01T00:00:00"/>
    <x v="7"/>
    <s v="Betulia"/>
    <s v="Unión Europea"/>
    <n v="108570"/>
    <x v="26"/>
    <s v="Bélgica"/>
    <m/>
    <s v="1. Promover la lucha contra el cambio climatico, la justicia ambiental y la transformación productiva"/>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217"/>
    <s v="Un café para la sostenibilidad y la productividad: comunidades inteligentes para la adaptación y mitigación al cambio climático y la regeneración de los paisajes cafeteros - REF: 922-AIV-1/2023-056"/>
    <s v="Promover cadenas de valor cafeteras inteligentes, sostenibles y regenerativas en Risaralda, elevando la competitividad de las MYPIMES fortaleciendo la seguridad alimentaria y la productividad, impulsando el desarrollo económico local y preservando_x000a_los ecosistemas mediante la colaboración comunitaria. "/>
    <d v="2024-06-01T00:00:00"/>
    <d v="2026-06-01T00:00:00"/>
    <x v="7"/>
    <s v="Caicedo"/>
    <s v="Unión Europea"/>
    <n v="108570"/>
    <x v="26"/>
    <s v="Bélgica"/>
    <m/>
    <s v="1. Promover la lucha contra el cambio climatico, la justicia ambiental y la transformación productiva"/>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5"/>
    <s v="Cartagena"/>
    <s v="ESAL"/>
    <n v="1083.5999999999999"/>
    <x v="132"/>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6"/>
    <s v="Riohacha"/>
    <s v="ESAL"/>
    <n v="1083.5999999999999"/>
    <x v="132"/>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0"/>
    <s v="Santa Marta"/>
    <s v="ESAL"/>
    <n v="1083.5999999999999"/>
    <x v="132"/>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2"/>
    <s v="Bucaramanga"/>
    <s v="ESAL"/>
    <n v="1083.5999999999999"/>
    <x v="132"/>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5"/>
    <s v="Manizales"/>
    <s v="ESAL"/>
    <n v="1083.5999999999999"/>
    <x v="132"/>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5"/>
    <s v="Cartagena"/>
    <s v="ESAL"/>
    <n v="1950.6"/>
    <x v="133"/>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6"/>
    <s v="Riohacha"/>
    <s v="ESAL"/>
    <n v="1950.6"/>
    <x v="133"/>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0"/>
    <s v="Santa Marta"/>
    <s v="ESAL"/>
    <n v="1950.6"/>
    <x v="133"/>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2"/>
    <s v="Bucaramanga"/>
    <s v="ESAL"/>
    <n v="1950.6"/>
    <x v="133"/>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5"/>
    <s v="Manizales"/>
    <s v="ESAL"/>
    <n v="1950.6"/>
    <x v="133"/>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5"/>
    <s v="Cartagena"/>
    <s v="ESAL"/>
    <n v="11920.6"/>
    <x v="134"/>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6"/>
    <s v="Riohacha"/>
    <s v="ESAL"/>
    <n v="11920.6"/>
    <x v="134"/>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0"/>
    <s v="Santa Marta"/>
    <s v="ESAL"/>
    <n v="11920.6"/>
    <x v="134"/>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2"/>
    <s v="Bucaramanga"/>
    <s v="ESAL"/>
    <n v="11920.6"/>
    <x v="134"/>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5"/>
    <s v="Manizales"/>
    <s v="ESAL"/>
    <n v="11920.6"/>
    <x v="134"/>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5"/>
    <s v="Cartagena"/>
    <s v="ESAL"/>
    <n v="1950.6"/>
    <x v="135"/>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6"/>
    <s v="Riohacha"/>
    <s v="ESAL"/>
    <n v="1950.6"/>
    <x v="135"/>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0"/>
    <s v="Santa Marta"/>
    <s v="ESAL"/>
    <n v="1950.6"/>
    <x v="135"/>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2"/>
    <s v="Bucaramanga"/>
    <s v="ESAL"/>
    <n v="1950.6"/>
    <x v="135"/>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5"/>
    <s v="Manizales"/>
    <s v="ESAL"/>
    <n v="1950.6"/>
    <x v="135"/>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5"/>
    <s v="Cartagena"/>
    <s v="Unión Europea"/>
    <n v="54184.800000000003"/>
    <x v="26"/>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6"/>
    <s v="Riohacha"/>
    <s v="Unión Europea"/>
    <n v="54184.800000000003"/>
    <x v="26"/>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0"/>
    <s v="Santa Marta"/>
    <s v="Unión Europea"/>
    <n v="54184.800000000003"/>
    <x v="26"/>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2"/>
    <s v="Bucaramanga"/>
    <s v="Unión Europea"/>
    <n v="54184.800000000003"/>
    <x v="26"/>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5"/>
    <s v="Manizales"/>
    <s v="Unión Europea"/>
    <n v="54184.800000000003"/>
    <x v="26"/>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3"/>
    <s v="Estrategias de reconciliación entre ciudadanos y de estos con la sociedad y la naturaleza en Santiago de Cali, Capital Pacífica de Colombia"/>
    <s v="Diseñar estrategias de reconciliación entre ciudadanos y de estos con la sociedad y la naturaleza de Santiago de Cali, Capital Pacífica de Colombia, mediante la formulación de un modelo pedagógico para la reconciliación y la cultura ciudadana, y el apoyo a la creación de un parque para la recuperación ambiental y la integración social. "/>
    <d v="2024-12-13T00:00:00"/>
    <d v="2026-12-13T00:00:00"/>
    <x v="9"/>
    <s v="Cali"/>
    <s v="Banca Multilateral"/>
    <n v="400000"/>
    <x v="46"/>
    <s v="Venezuela"/>
    <m/>
    <s v="No Aplica"/>
    <s v="9.a.Facilitar el desarrollo de infraestructuras sostenibles y resilientes en los países en desarrollo a través de un mayor apoyo financiero,_x000a_tecnológico y técnico a los países africanos, los PMA, PDSL y los PEID."/>
    <x v="8"/>
    <s v="SIN ALINEAR"/>
    <s v="Ambiente y Desarrollo Sostenible"/>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20"/>
    <s v="Cúcuta"/>
    <s v="ESAL"/>
    <n v="30737"/>
    <x v="13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17"/>
    <s v="Florencia"/>
    <s v="ESAL"/>
    <n v="30737"/>
    <x v="13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30"/>
    <s v="Quibdó"/>
    <s v="ESAL"/>
    <n v="30737"/>
    <x v="13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27"/>
    <s v="San Andrés de Tumaco"/>
    <s v="ESAL"/>
    <n v="30737"/>
    <x v="13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9"/>
    <s v="Buenaventura"/>
    <s v="ESAL"/>
    <n v="30737"/>
    <x v="13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17"/>
    <s v="Florencia"/>
    <s v="Banca Multilateral"/>
    <n v="15000"/>
    <x v="4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17"/>
    <s v="San Vicente del Caguán"/>
    <s v="Banca Multilateral"/>
    <n v="15000"/>
    <x v="4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20"/>
    <s v="Cúcuta"/>
    <s v="Banca Multilateral"/>
    <n v="30000"/>
    <x v="4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30"/>
    <s v="Quibdó"/>
    <s v="Banca Multilateral"/>
    <n v="30000"/>
    <x v="4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27"/>
    <s v="San Andrés de Tumaco"/>
    <s v="Banca Multilateral"/>
    <n v="30000"/>
    <x v="4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9"/>
    <s v="Buenaventura"/>
    <s v="Banca Multilateral"/>
    <n v="30000"/>
    <x v="4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4"/>
    <s v="ELABORACIÓN DE ESTUDIOS Y DISEÑOS DEL HOSPITAL DE SUÁREZ, CAUCA"/>
    <s v="Realizar de manera integral, contemplando todas las etapas, los estudios y diseños para la construcción del hospital de Suárez, Cauca con el fin de mejorar la prestación de salud en el territorio"/>
    <d v="2024-12-23T00:00:00"/>
    <d v="2026-06-23T00:00:00"/>
    <x v="28"/>
    <s v="Suárez"/>
    <s v="Banca Multilateral"/>
    <n v="413000"/>
    <x v="46"/>
    <s v="Venezuela"/>
    <m/>
    <s v="No Aplica"/>
    <s v="16.1.Reducir significativamente todas las formas de violencia y las tasas de mortalidad relacionadas en todas partes."/>
    <x v="7"/>
    <s v="SIN ALINEAR"/>
    <s v="Salud y Protección Social"/>
  </r>
  <r>
    <s v="R-AO-24-6247"/>
    <s v="Saneamiento Básico Buenavista, Ciénaga Grande de Santa Marta FASE II "/>
    <s v="Crear un prototipo replicable de vivienda con gestión sostenible del agua, mediante el acompañamiento técnico a un proceso de autoconstrucción en la comunidad palafítica de Buenavista en la Ciénaga Grande de Santa Marta, con el fin de hacer un uso eficiente del agua, disminuir la incidencia de enfermedades de origen hídrico y reducir la contaminación del ecosistema."/>
    <d v="2024-12-17T00:00:00"/>
    <d v="2026-06-17T00:00:00"/>
    <x v="10"/>
    <s v="Ciénaga"/>
    <s v="Banca Multilateral"/>
    <n v="53333.333333333299"/>
    <x v="46"/>
    <s v="Venezuela"/>
    <m/>
    <s v="1. Promover la lucha contra el cambio climatico, la justicia ambiental y la transformación productiva"/>
    <s v="6.b.Apoyar y fortalecer la participación de las comunidades locales para mejorar la gestión del agua y el saneamiento."/>
    <x v="3"/>
    <s v="SIN ALINEAR"/>
    <s v="Vivienda Ciudad y Territorio"/>
  </r>
  <r>
    <s v="R-AO-24-6247"/>
    <s v="Saneamiento Básico Buenavista, Ciénaga Grande de Santa Marta FASE II "/>
    <s v="Crear un prototipo replicable de vivienda con gestión sostenible del agua, mediante el acompañamiento técnico a un proceso de autoconstrucción en la comunidad palafítica de Buenavista en la Ciénaga Grande de Santa Marta, con el fin de hacer un uso eficiente del agua, disminuir la incidencia de enfermedades de origen hídrico y reducir la contaminación del ecosistema."/>
    <d v="2024-12-17T00:00:00"/>
    <d v="2026-06-17T00:00:00"/>
    <x v="10"/>
    <s v="San Sebastián de Buenavista"/>
    <s v="Banca Multilateral"/>
    <n v="53333.333333333299"/>
    <x v="46"/>
    <s v="Venezuela"/>
    <m/>
    <s v="1. Promover la lucha contra el cambio climatico, la justicia ambiental y la transformación productiva"/>
    <s v="6.b.Apoyar y fortalecer la participación de las comunidades locales para mejorar la gestión del agua y el saneamiento."/>
    <x v="3"/>
    <s v="SIN ALINEAR"/>
    <s v="Vivienda Ciudad y Territorio"/>
  </r>
  <r>
    <s v="R-AO-24-6247"/>
    <s v="Saneamiento Básico Buenavista, Ciénaga Grande de Santa Marta FASE II "/>
    <s v="Crear un prototipo replicable de vivienda con gestión sostenible del agua, mediante el acompañamiento técnico a un proceso de autoconstrucción en la comunidad palafítica de Buenavista en la Ciénaga Grande de Santa Marta, con el fin de hacer un uso eficiente del agua, disminuir la incidencia de enfermedades de origen hídrico y reducir la contaminación del ecosistema."/>
    <d v="2024-12-17T00:00:00"/>
    <d v="2026-06-17T00:00:00"/>
    <x v="10"/>
    <s v="Santa Marta"/>
    <s v="Banca Multilateral"/>
    <n v="53333.333333333299"/>
    <x v="46"/>
    <s v="Venezuela"/>
    <m/>
    <s v="1. Promover la lucha contra el cambio climatico, la justicia ambiental y la transformación productiva"/>
    <s v="6.b.Apoyar y fortalecer la participación de las comunidades locales para mejorar la gestión del agua y el saneamiento."/>
    <x v="3"/>
    <s v="SIN ALINEAR"/>
    <s v="Vivienda Ciudad y Territorio"/>
  </r>
  <r>
    <s v="R-AO-24-6248"/>
    <s v="Estrategia de Reconciliación e integridad de los ciudadanos en santiago de Cali, capital pacifica de Colombia"/>
    <s v="Diseñar estrategias de reconciliación entre ciudadanos y de estos con la sociedad y la naturaleza de Santiago de Cali, Capital Pacífica de Colombia, mediante la formulación de un modelo pedagógico para la reconciliación y la cultura ciudadana, y el apoyo a la creación de un parque para la recuperación ambiental y la integración social"/>
    <d v="2024-12-13T00:00:00"/>
    <d v="2026-12-13T00:00:00"/>
    <x v="9"/>
    <s v="Cali"/>
    <s v="Banca Multilateral"/>
    <n v="400000"/>
    <x v="46"/>
    <s v="Venezuela"/>
    <m/>
    <s v="3. Promover una cultura de paz, justicia y lucha contra la desigualdad"/>
    <s v="10.3.Garantizar la igualdad de oportunidades y reducir las desigualdades de los resultados, en particular mediante la eliminación de leyes, políticas y prácticas discriminatorias y promover la legislación adecuada, las políticas y acciones en este sentido."/>
    <x v="11"/>
    <s v="SIN ALINEAR"/>
    <s v="Inclusión Social y Reconciliación"/>
  </r>
  <r>
    <s v="R-AO-24-6256"/>
    <s v="EJES: Mejorar el acceso a los mercados para las MIPYME en cadenas de suministro sostenibles o libres de deforestación en regiones rurales de Colombia y Costa Rica concedido por Sequa Gmbh- 922-AIV-1/2023-053"/>
    <s v="Desarrollar cadenas de suministro transparentes y verificadas en Colombia y Costa Rica para productos que no contribuyan a la deforestación y degradación de los bosques, y así impulsar su competitividad en el mercado de la UE y otros mercados globales."/>
    <d v="2024-04-01T00:00:00"/>
    <d v="2026-04-01T00:00:00"/>
    <x v="7"/>
    <s v="No Reporta"/>
    <s v="Unión Europea"/>
    <n v="238012"/>
    <x v="26"/>
    <s v="Bélgica"/>
    <m/>
    <s v="1. Promover la lucha contra el cambio climatico, la justicia ambiental y la transformación productiva"/>
    <s v="12.8.Para 2030 asegurar que todas las poblaciones tengan la información y el conocimiento relevante para el desarrollo sostenible y los estilos de vida en armonía con la naturaleza."/>
    <x v="10"/>
    <s v="SIN ALINEAR"/>
    <s v="Agricultura y Desarrollo Rural"/>
  </r>
  <r>
    <s v="R-AO-24-6263"/>
    <s v="Bilingüismo para la equidad (Bienestar Integral para Comunidades más Inspiradas - B.I.C.I.)"/>
    <s v="Promover el fortalecimiento de habilidades, capacidades y autoconocimiento de 100 jóvenes entre los 12 y los 18 años, de la Escuela de Participación Juvenil (EPJ), para disminuir las brechas de desigualdad presentes en su educación y contexto social para tener acceso a mejores oportunidades de estudio y empleabilidad. "/>
    <d v="2024-03-21T00:00:00"/>
    <d v="2026-03-21T00:00:00"/>
    <x v="11"/>
    <s v="No Reporta"/>
    <s v="Banca Multilateral"/>
    <n v="48000"/>
    <x v="46"/>
    <s v="Venezuela"/>
    <m/>
    <s v="3. Promover una cultura de paz, justicia y lucha contra la desigualdad"/>
    <s v="4.4.Para 2030, aumentar en un x% el número de jóvenes y adultos con habilidades relevantes incluidas las aptitudes técnicas y vocacionales, para el empleo, trabajo decente y el emprendimiento."/>
    <x v="5"/>
    <s v="SIN ALINEAR"/>
    <s v="Educación Nacional"/>
  </r>
  <r>
    <s v="R-AO-24-6264"/>
    <s v="Fortalecimiento estratégico al Ministerio de Hacienda y Crédito Público de Colombia para la gestión del Crédito Público periodo 2024-2026, Etapa I"/>
    <s v="Contar con un equipo de consultores altamente calificado para acompañar y apoyar la ejecución del Plan Financiero del Gobierno Nacional, fortaleciendo las capacidades de la Dirección General de Crédito Público y Tesoro Nacional para llevar a cabo Operaciones de crédito público y asimiladas, manejo de deuda y actividades conexas, lineadas con los principios del Plan Nacional de Desarrollo."/>
    <d v="2024-03-21T00:00:00"/>
    <d v="2026-07-21T00:00:00"/>
    <x v="8"/>
    <s v="Ámbito Nacional"/>
    <s v="Banca Multilateral"/>
    <n v="225000"/>
    <x v="46"/>
    <s v="Venezuela"/>
    <m/>
    <s v="4. Fortalecimiento institucional para la gestión de la cooperación internacional"/>
    <s v="16.8.Ampliar y fortalecer la participación de los países en desarrollo en las instituciones de gobernanza global."/>
    <x v="7"/>
    <s v="SIN ALINEAR"/>
    <s v="Hacienda y Crédito Público"/>
  </r>
  <r>
    <s v="R-AO-22-6274"/>
    <s v="15400 - ICTJ Colombia 2022-2026 (Centro internacionacional para la justicia transicional Colombia)"/>
    <s v="Este es un proyecto de apoyo asignado al ICTJ (Centro Internacional para la Justicia Transicional) en Colombia"/>
    <d v="2022-05-01T00:00:00"/>
    <d v="2026-03-31T00:00:00"/>
    <x v="8"/>
    <s v="Ámbito Nacional"/>
    <s v="Suecia"/>
    <n v="235780"/>
    <x v="49"/>
    <s v="Suecia"/>
    <m/>
    <s v="A. Paz y Estabilización Territorial"/>
    <s v="16.3.Promover el estado de derecho en los planos nacional e internacional, y garantizar la igualdad en el acceso a la justicia para todos."/>
    <x v="7"/>
    <s v="SIN ALINEAR"/>
    <s v="Justicia y del Derecho"/>
  </r>
  <r>
    <s v="R-AO-23-6276"/>
    <s v="CS1239 - Promover las oportunidades de integración y la resiliencia comunitaria para refugiados, migrantes y comunidades de acogida, a través de acciones centradas en el nexo humanitario-desarrollo-paz. (Promoting integration opportunity and community resilience for Refugees, Migrants and Host Communities, through actions focusing on the Humanitarian-Development-Peace nexus.)"/>
    <s v="Apoyar la integración sostenible de las personas refugiadas y migrantes de Venezuela mediante la implementación de un enfoque integral que comprende tres pilares fundamentales: asistencia humanitaria, empoderamiento económico e integración social en las comunidades destinatarias."/>
    <d v="2023-11-30T00:00:00"/>
    <d v="2026-04-29T00:00:00"/>
    <x v="9"/>
    <s v="Cali"/>
    <s v="Corea del Sur"/>
    <n v="298848.83333333302"/>
    <x v="13"/>
    <s v="Corea del Sur"/>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3-6276"/>
    <s v="CS1239 - Promover las oportunidades de integración y la resiliencia comunitaria para refugiados, migrantes y comunidades de acogida, a través de acciones centradas en el nexo humanitario-desarrollo-paz. (Promoting integration opportunity and community resilience for Refugees, Migrants and Host Communities, through actions focusing on the Humanitarian-Development-Peace nexus.)"/>
    <s v="Apoyar la integración sostenible de las personas refugiadas y migrantes de Venezuela mediante la implementación de un enfoque integral que comprende tres pilares fundamentales: asistencia humanitaria, empoderamiento económico e integración social en las comunidades destinatarias."/>
    <d v="2023-11-30T00:00:00"/>
    <d v="2026-04-29T00:00:00"/>
    <x v="9"/>
    <s v="Palmira"/>
    <s v="Corea del Sur"/>
    <n v="298848.83333333302"/>
    <x v="13"/>
    <s v="Corea del Sur"/>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3-6276"/>
    <s v="CS1239 - Promover las oportunidades de integración y la resiliencia comunitaria para refugiados, migrantes y comunidades de acogida, a través de acciones centradas en el nexo humanitario-desarrollo-paz. (Promoting integration opportunity and community resilience for Refugees, Migrants and Host Communities, through actions focusing on the Humanitarian-Development-Peace nexus.)"/>
    <s v="Apoyar la integración sostenible de las personas refugiadas y migrantes de Venezuela mediante la implementación de un enfoque integral que comprende tres pilares fundamentales: asistencia humanitaria, empoderamiento económico e integración social en las comunidades destinatarias."/>
    <d v="2023-11-30T00:00:00"/>
    <d v="2026-04-29T00:00:00"/>
    <x v="5"/>
    <s v="No Reporta"/>
    <s v="Corea del Sur"/>
    <n v="597697.66666666698"/>
    <x v="13"/>
    <s v="Corea del Sur"/>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3-6276"/>
    <s v="CS1239 - Promover las oportunidades de integración y la resiliencia comunitaria para refugiados, migrantes y comunidades de acogida, a través de acciones centradas en el nexo humanitario-desarrollo-paz. (Promoting integration opportunity and community resilience for Refugees, Migrants and Host Communities, through actions focusing on the Humanitarian-Development-Peace nexus.)"/>
    <s v="Apoyar la integración sostenible de las personas refugiadas y migrantes de Venezuela mediante la implementación de un enfoque integral que comprende tres pilares fundamentales: asistencia humanitaria, empoderamiento económico e integración social en las comunidades destinatarias."/>
    <d v="2023-11-30T00:00:00"/>
    <d v="2026-04-29T00:00:00"/>
    <x v="10"/>
    <s v="Santa Marta"/>
    <s v="Corea del Sur"/>
    <n v="597697.66666666698"/>
    <x v="13"/>
    <s v="Corea del Sur"/>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4-6289"/>
    <s v="Empoderamiento de comunidades y gobiernos para sistemas de preparación ante desastres que incluyan el desplazamiento y tengan en cuenta las cuestiones de género en Bolivia, Chile, Colombia, Ecuador y Panamá. - EP0055"/>
    <s v="Fortalecer los sistemas de preparación para desastres integrando dinámicas sensibles al desplazamiento y con perspectiva de género en las estrategias y políticas a nivel subregional y nacional para informar al nivel mundial."/>
    <d v="2024-10-31T00:00:00"/>
    <d v="2026-10-30T00:00:00"/>
    <x v="8"/>
    <s v="No Reporta"/>
    <s v="Unión Europea"/>
    <n v="38663"/>
    <x v="26"/>
    <s v="Bélgic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298"/>
    <s v="SMA ID 201409 - GEF-11047 Acelerar el cumplimiento del Convenio de Minamata mediante una mejor comprensión y control del comercio de mercurio en América Latina"/>
    <s v="Acelerar el cumplimiento del Convenio de Minamata mediante una mejor comprensión de las tendencias del comercio de mercurio en América Latina y la promoción de la cooperación regional para un mejor control de los principales flujos de mercurio."/>
    <d v="2025-01-02T00:00:00"/>
    <d v="2028-01-01T00:00:00"/>
    <x v="8"/>
    <s v="Ámbito Nacional"/>
    <s v="Multilateral"/>
    <n v="3000000"/>
    <x v="137"/>
    <s v="Estados Unidos"/>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Minas y Energía"/>
  </r>
  <r>
    <s v="R-AO-24-6297"/>
    <s v="CO-T1715 Apoyo técnico para fortalecer la Estrategia de Inclusión Productiva del Departamento de Prosperidad Social - ATN/OC-21275-CO"/>
    <s v="Fortalecer las capacidades institucionales del Departamento de Prosperidad Social (DPS) para formular e implementar su estrategia de inclusión productiva en Colombia."/>
    <d v="2024-08-30T00:00:00"/>
    <d v="2027-11-19T00:00:00"/>
    <x v="8"/>
    <s v="Ámbito Nacional"/>
    <s v="Banca Multilateral"/>
    <n v="100000"/>
    <x v="5"/>
    <s v="Estados Unidos"/>
    <m/>
    <s v="3. Promover una cultura de paz, justicia y lucha contra la desigualdad"/>
    <s v="10.4.Adoptar políticas, especialmente fiscales, salariales y de protección social y lograr progresivamente mayores niveles de igualdad."/>
    <x v="11"/>
    <s v="SIN ALINEAR"/>
    <s v="Inclusión Social y Reconciliación"/>
  </r>
  <r>
    <s v="R-AO-25-6299"/>
    <s v="Implementación de un Mecanismo de Respuesta Rápida (MRR) en el Meta y el Guaviare para atender crisis humanitarias, garantizar necesidades básicas y fortalecer capacidades locales con enfoque diferencial - COL-24-R-NG0-34482"/>
    <s v="Brindar atención a emergencias por conflicto armado y desastres naturales en Meta y Guaviare, mediante el despliegue del EMT-BHSR, para ofrecer servicios básicos de salud, fortalecer capacidades institucionales y comunitarias y llevar a cabo misiones de prevención de violencia basada en género (VBG) y agua, saneamiento e Higiene (WASH) a 2.600 personas, bajo un modelo de atención etnocultural, diferencial y multisectorial."/>
    <d v="2025-03-17T00:00:00"/>
    <d v="2026-03-16T00:00:00"/>
    <x v="18"/>
    <s v="No Reporta"/>
    <s v="Naciones Unidas"/>
    <n v="156382.09"/>
    <x v="138"/>
    <s v="Estados Unidos"/>
    <m/>
    <s v="1. Promover la lucha contra el cambio climatico, la justicia ambiental y la transformación productiva"/>
    <s v="3.9.De aquí a 2030, reducir considerablemente el número de muertes y enfermedades causadas por productos químicos peligrosos y por la polución y contaminación del aire, el agua y el suelo"/>
    <x v="13"/>
    <s v="SIN ALINEAR"/>
    <s v="Vivienda Ciudad y Territorio"/>
  </r>
  <r>
    <s v="R-AO-25-6299"/>
    <s v="Implementación de un Mecanismo de Respuesta Rápida (MRR) en el Meta y el Guaviare para atender crisis humanitarias, garantizar necesidades básicas y fortalecer capacidades locales con enfoque diferencial - COL-24-R-NG0-34482"/>
    <s v="Brindar atención a emergencias por conflicto armado y desastres naturales en Meta y Guaviare, mediante el despliegue del EMT-BHSR, para ofrecer servicios básicos de salud, fortalecer capacidades institucionales y comunitarias y llevar a cabo misiones de prevención de violencia basada en género (VBG) y agua, saneamiento e Higiene (WASH) a 2.600 personas, bajo un modelo de atención etnocultural, diferencial y multisectorial."/>
    <d v="2025-03-17T00:00:00"/>
    <d v="2026-03-16T00:00:00"/>
    <x v="2"/>
    <s v="No Reporta"/>
    <s v="Naciones Unidas"/>
    <n v="156382.09"/>
    <x v="138"/>
    <s v="Estados Unidos"/>
    <m/>
    <s v="1. Promover la lucha contra el cambio climatico, la justicia ambiental y la transformación productiva"/>
    <s v="3.9.De aquí a 2030, reducir considerablemente el número de muertes y enfermedades causadas por productos químicos peligrosos y por la polución y contaminación del aire, el agua y el suelo"/>
    <x v="13"/>
    <s v="SIN ALINEAR"/>
    <s v="Vivienda Ciudad y Territorio"/>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Albán"/>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Aldan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Ancuyá"/>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Arboled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Barbacoa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Belén"/>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Buesac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Chachagüí"/>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Colón"/>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Consacá"/>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Contader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Córdob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Cuaspúd"/>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Cumbal"/>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Cumbitar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El Charc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El Peñol"/>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El Rosari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El Tablón de Gómez"/>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El Tamb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Francisco Pizarr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Fun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Guachucal"/>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Guaitarill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Gualmatán"/>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Il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Imué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Ipial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La Cruz"/>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La Florid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La Llanad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La Tol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La Unión"/>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Leiv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Linar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Los And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Magüí"/>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Mallam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Mosquer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Nariñ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Olaya Herrer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Ospin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Past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Policarp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Potosí"/>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Providenci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Puerr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Pupial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Ricaurte"/>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Roberto Payán"/>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manieg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n Andrés de Tumac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n Bernard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n Lorenz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n Pabl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n Pedro de Cartag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ndoná"/>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nta Bárbar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ntacruz"/>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puy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Taminang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Tangu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Túquerr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Yacuanquer"/>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5-6307"/>
    <s v="Fortalecimiento del Parque Tecnológico Guatiguará para Potenciar el Sector de la Tecnología de la Información en Colombia - ATN/PS-20993-CO"/>
    <s v="Potenciar las capacidades de Tecnología de la Información (TI) del Parque Tecnológico Guatiguará (PTG), que es un actor y activo estratégico para la estructuración y el desarrollo del ecosistema industrial digital en Santander, Colombia. "/>
    <d v="2025-01-29T00:00:00"/>
    <d v="2029-01-29T00:00:00"/>
    <x v="12"/>
    <s v="Bucaramanga"/>
    <s v="ESAL"/>
    <n v="2425763"/>
    <x v="139"/>
    <s v="Corea del Sur"/>
    <m/>
    <s v="1. Promover la lucha contra el cambio climatico, la justicia ambiental y la transformación productiva"/>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Tecnologías de la Información y las Comunicaciones"/>
  </r>
  <r>
    <s v="R-AO-25-6307"/>
    <s v="Fortalecimiento del Parque Tecnológico Guatiguará para Potenciar el Sector de la Tecnología de la Información en Colombia - ATN/PS-20993-CO"/>
    <s v="Potenciar las capacidades de Tecnología de la Información (TI) del Parque Tecnológico Guatiguará (PTG), que es un actor y activo estratégico para la estructuración y el desarrollo del ecosistema industrial digital en Santander, Colombia. "/>
    <d v="2025-01-29T00:00:00"/>
    <d v="2029-01-29T00:00:00"/>
    <x v="12"/>
    <s v="Piedecuesta"/>
    <s v="ESAL"/>
    <n v="2425763"/>
    <x v="139"/>
    <s v="Corea del Sur"/>
    <m/>
    <s v="1. Promover la lucha contra el cambio climatico, la justicia ambiental y la transformación productiva"/>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Tecnologías de la Información y las Comunicaciones"/>
  </r>
  <r>
    <s v="R-AO-24-6310"/>
    <s v="Paz, justicia e institucionalidad sólida a través del fortalecimiento del Sistema Integral de Paz en Colombia / (Peace, justice, and strong institutions through the strengthening of the Comprehensive Peace System in Colombia) - PB0114"/>
    <s v="Contribuir a garantizar los derechos de las víctimas del conflicto armado colombiano de todos los géneros, edades, capacidades y otras diversidades, favoreciendo su recuperación y resiliencia para la estabilización y la construcción de la paz"/>
    <d v="2024-04-30T00:00:00"/>
    <d v="2027-04-29T00:00:00"/>
    <x v="8"/>
    <s v="No Reporta"/>
    <s v="Suecia"/>
    <n v="1818512"/>
    <x v="49"/>
    <s v="Suecia"/>
    <m/>
    <s v="3. Promover una cultura de paz, justicia y lucha contra la desigualdad"/>
    <s v="16.1.Reducir significativamente todas las formas de violencia y las tasas de mortalidad relacionadas en todas partes."/>
    <x v="7"/>
    <s v="SIN ALINEAR"/>
    <s v="Presidencia de la República"/>
  </r>
  <r>
    <s v="R-AO-24-6313"/>
    <s v="Aumentar la resiliencia de los refugiados, los migrantes y las comunidades de acogida vulnerables para mejorar sus condiciones económicas, acceder a los servicios de salud y mantener condiciones de vivienda dignas - IS0172"/>
    <s v="Aumentar la resiliencia de los refugiados, los migrantes y las comunidades de acogida vulnerables para mejorar sus condiciones económicas, acceder a los servicios de salud y mantener condiciones de vivienda dignas."/>
    <d v="2024-09-30T00:00:00"/>
    <d v="2026-09-29T00:00:00"/>
    <x v="8"/>
    <s v="Ámbito Nacional"/>
    <s v="Banca Multilateral"/>
    <n v="147966"/>
    <x v="46"/>
    <s v="Colomb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Relaciones Exteriores"/>
  </r>
  <r>
    <s v="R-AO-24-6314"/>
    <s v="Alianza multiactor para la cadena de valor de la yuca industrial en municipios PDET de Sucre. - CD0112"/>
    <s v="Productores y productoras se integran socialmente, disponen de medios de vida sostenibles y adaptados al cambio climático y contribuyen al desarrollo sostenible, basado en las economías locales y regionales dinamizadas con el sector privado."/>
    <d v="2024-07-30T00:00:00"/>
    <d v="2026-07-27T00:00:00"/>
    <x v="4"/>
    <s v="Chalán"/>
    <s v="Naciones Unidas"/>
    <n v="24761"/>
    <x v="93"/>
    <s v="Estados Unidos"/>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Presidencia de la República"/>
  </r>
  <r>
    <s v="R-AO-24-6314"/>
    <s v="Alianza multiactor para la cadena de valor de la yuca industrial en municipios PDET de Sucre. - CD0112"/>
    <s v="Productores y productoras se integran socialmente, disponen de medios de vida sostenibles y adaptados al cambio climático y contribuyen al desarrollo sostenible, basado en las economías locales y regionales dinamizadas con el sector privado."/>
    <d v="2024-07-30T00:00:00"/>
    <d v="2026-07-27T00:00:00"/>
    <x v="4"/>
    <s v="Palmito"/>
    <s v="Naciones Unidas"/>
    <n v="24761"/>
    <x v="93"/>
    <s v="Estados Unidos"/>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Presidencia de la República"/>
  </r>
  <r>
    <s v="R-AO-24-6314"/>
    <s v="Alianza multiactor para la cadena de valor de la yuca industrial en municipios PDET de Sucre. - CD0112"/>
    <s v="Productores y productoras se integran socialmente, disponen de medios de vida sostenibles y adaptados al cambio climático y contribuyen al desarrollo sostenible, basado en las economías locales y regionales dinamizadas con el sector privado."/>
    <d v="2024-07-30T00:00:00"/>
    <d v="2026-07-27T00:00:00"/>
    <x v="4"/>
    <s v="Tolú Viejo"/>
    <s v="Naciones Unidas"/>
    <n v="24761"/>
    <x v="93"/>
    <s v="Estados Unidos"/>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Presidencia de la República"/>
  </r>
  <r>
    <s v="R-AO-24-6321"/>
    <s v="CO-T1773 Cooperación técnica para la estructuración de proyectos urbanos y de infraestructura relacionados con hábitat, reúso de edificaciones y generación de vivienda"/>
    <s v="Facilitar la estructuración de proyectos urbanos detonantes en las principales ciudades de Colombia asociados al hábitat, reutilización de edificaciones y generación de vivienda."/>
    <d v="2024-04-16T00:00:00"/>
    <d v="2026-12-10T00:00:00"/>
    <x v="11"/>
    <s v="No Reporta"/>
    <s v="Banca Multilateral"/>
    <n v="350000"/>
    <x v="5"/>
    <s v="Estados Unidos"/>
    <m/>
    <s v="3. Promover una cultura de paz, justicia y lucha contra la desigualdad"/>
    <s v="11.1.Para 2030, asegurar el acceso para todos a una vivienda adecuada, segura y asequible, y a los servicios básicos y mejorar los tugurios."/>
    <x v="4"/>
    <s v="SIN ALINEAR"/>
    <s v="Vivienda Ciudad y Territorio"/>
  </r>
  <r>
    <s v="R-AO-24-6320"/>
    <s v="Part of SMA ID 198885-2: ACCESS: Acelerar el acceso a soluciones de movilidad urbana bajas en carbono a través de la digitalización"/>
    <s v="Descarbonización del sector transporte a través de la digitalización."/>
    <d v="2024-06-01T00:00:00"/>
    <d v="2029-12-31T00:00:00"/>
    <x v="8"/>
    <s v="No Reporta"/>
    <s v="Alemania"/>
    <n v="8000000"/>
    <x v="74"/>
    <s v="Alemania"/>
    <m/>
    <s v="1. Promover la lucha contra el cambio climatico, la justicia ambiental y la transformación productiva"/>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Ambiente y Desarrollo Sostenible"/>
  </r>
  <r>
    <s v="R-AO-24-6318"/>
    <s v="Reforzar la Resiliencia y mejorar las condiciones de vida y los ingresos de los grupos indígenas,  Colombia - P7860"/>
    <s v="Las comunidades wayuu están utilizando con eficacia la capacidad y los recursos recién creados para lograr resultados inmediatos en los ámbitos del abastecimiento sostenible de agua, la seguridad alimentaria, el desarrollo económico y la resiliencia medioambiental."/>
    <d v="2024-07-15T00:00:00"/>
    <d v="2027-01-14T00:00:00"/>
    <x v="16"/>
    <s v="Manaure"/>
    <s v="ESAL"/>
    <n v="32426"/>
    <x v="140"/>
    <s v="Colombia/Centro Oriente/Bogotá D.C./Bogotá D.C."/>
    <m/>
    <s v="1. Promover la lucha contra el cambio climatico, la justicia ambiental y la transformación productiva"/>
    <s v="6.2.En 2030, lograr el acceso a servicios de saneamiento y de higiene adecuados y equitativos para todos, y eliminar la defecación al aire libre, con especial atención a las necesidades de las mujeres y las niñas y en situación de vulnerabilidad."/>
    <x v="3"/>
    <s v="SIN ALINEAR"/>
    <s v="Igualdad y Equidad"/>
  </r>
  <r>
    <s v="R-AO-24-6318"/>
    <s v="Reforzar la Resiliencia y mejorar las condiciones de vida y los ingresos de los grupos indígenas,  Colombia - P7860"/>
    <s v="Las comunidades wayuu están utilizando con eficacia la capacidad y los recursos recién creados para lograr resultados inmediatos en los ámbitos del abastecimiento sostenible de agua, la seguridad alimentaria, el desarrollo económico y la resiliencia medioambiental."/>
    <d v="2024-07-15T00:00:00"/>
    <d v="2027-01-14T00:00:00"/>
    <x v="16"/>
    <s v="Manaure"/>
    <s v="Alemania"/>
    <n v="287963"/>
    <x v="39"/>
    <s v="Colombia/Centro Oriente/Bogotá D.C./Bogotá D.C."/>
    <m/>
    <s v="1. Promover la lucha contra el cambio climatico, la justicia ambiental y la transformación productiva"/>
    <s v="6.2.En 2030, lograr el acceso a servicios de saneamiento y de higiene adecuados y equitativos para todos, y eliminar la defecación al aire libre, con especial atención a las necesidades de las mujeres y las niñas y en situación de vulnerabilidad."/>
    <x v="3"/>
    <s v="SIN ALINEAR"/>
    <s v="Igualdad y Equidad"/>
  </r>
  <r>
    <s v="R-AO-23-6322"/>
    <s v="SMA ID 160083 - GEF-10921 Aumento de la Voluntad Política para el Financiamiento de Áreas Protegidas Sostenibles"/>
    <s v="Aprovechar el modelo de caucus de conservación para aumentar la sostenibilidad de los fondos para los sistemas de áreas protegidas."/>
    <d v="2023-09-05T00:00:00"/>
    <d v="2026-07-31T00:00:00"/>
    <x v="8"/>
    <s v="No Reporta"/>
    <s v="Empresas"/>
    <n v="2000000"/>
    <x v="8"/>
    <s v="Estados Unidos"/>
    <m/>
    <s v="1. Promover la lucha contra el cambio climatico, la justicia ambiental y la transformación productiva"/>
    <s v="17.14.Mejorar la coherencia de las políticas para el desarrollo sostenible."/>
    <x v="15"/>
    <s v="SIN ALINEAR"/>
    <s v="Ambiente y Desarrollo Sostenible"/>
  </r>
  <r>
    <s v="R-AO-24-6325"/>
    <s v="CO-T1774 Apoyo a la estructuración de una plataforma de Transición Energética Justa"/>
    <s v="apoyar al Gobierno de Colombia en la estructuración de una _x000a_Plataforma Nacional de Transición Energética Justa ambiciosa. Se financiarán análisis _x000a_que prioricen y estimen las inversiones requeridas, así como los impactos de estas _x000a_inversiones, entre otros."/>
    <d v="2024-09-18T00:00:00"/>
    <d v="2026-09-12T00:00:00"/>
    <x v="8"/>
    <s v="No Reporta"/>
    <s v="Banca Multilateral"/>
    <n v="200000"/>
    <x v="5"/>
    <s v="Estados Unidos"/>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324"/>
    <s v="Financiamiento de Soluciones Basadas en la Naturaleza (SbN) para una recuperación verde e inclusiva en América Latina"/>
    <s v="Este proyecto tiene como objetivo mejorar el marco de la política fiscal agropecuaria en Colombia con la finalida de cumplir con las NDC de reduccion de 51% de GEI para el 2030."/>
    <d v="2023-09-01T00:00:00"/>
    <d v="2026-06-30T00:00:00"/>
    <x v="8"/>
    <s v="No Reporta"/>
    <s v="Multilateral"/>
    <n v="17500"/>
    <x v="141"/>
    <s v="Estados Unidos"/>
    <m/>
    <s v="1. Promover la lucha contra el cambio climatico, la justicia ambiental y la transformación productiva"/>
    <s v="12.2.En 2030 alcanzar la gestión sostenible y uso eficiente de los recursos naturales."/>
    <x v="10"/>
    <s v="SIN ALINEAR"/>
    <s v="Ambiente y Desarrollo Sostenible"/>
  </r>
  <r>
    <s v="R-AO-24-6331"/>
    <s v="CO-T1764 Apoyo al Grupo Bicentenario para Canalizar Financiamiento a Proyectos en la Amazonia Colombiana"/>
    <s v="Apoyar el fortalecimiento institucional de las las IFPs del Grupo Bicentenario  (GB) para mejorar su contribución a canalizar más recursos públicos y privados hacia proyectos en la Amazonía colombiana que favorezcan el cumplimiento de los Objetivos de Desarrollo Sostenible (ODS"/>
    <d v="2024-09-06T00:00:00"/>
    <d v="2026-06-09T00:00:00"/>
    <x v="24"/>
    <s v="No Reporta"/>
    <s v="Banca Multilateral"/>
    <n v="500000"/>
    <x v="5"/>
    <s v="Estados Unidos"/>
    <m/>
    <s v="1. Promover la lucha contra el cambio climatico, la justicia ambiental y la transformación productiva"/>
    <s v="17.16.Fortalecer la asociación mundial para el desarrollo sostenible complementada por asociaciones multipartes (multi-stakeholder_x000a_partnerships) para movilizar y compartir los conocimientos, la experiencia, las tecnologías y los recursos financieros para apoyar el logro de los objetivos de desarrollo sostenible en todos_x000a_los países, en particular en los países en desarrollo."/>
    <x v="15"/>
    <s v="SIN ALINEAR"/>
    <s v="Hacienda y Crédito Público"/>
  </r>
  <r>
    <s v="R-AO-22-6333"/>
    <s v="Reducir los plásticos marinos y la contaminación plástica en ciudades de América Latina y el Caribe a través de un enfoque de economía circular"/>
    <s v="Reducir los plásticos marinos y la contaminación plástica en la región de América Latina y el Caribe facilitando acciones circulares a nivel de ciudad para acelerar la transición hacia una economía circular, en línea con los compromisos gubernamentales y empresariales para abordar los plásticos marinos y la contaminación plástica."/>
    <d v="2022-10-28T00:00:00"/>
    <d v="2027-08-31T00:00:00"/>
    <x v="21"/>
    <s v="No Reporta"/>
    <s v="Empresas"/>
    <n v="3500000"/>
    <x v="8"/>
    <s v="Estados Unidos"/>
    <m/>
    <s v="C. Conservación Y Sostenibilidad Ambiental"/>
    <s v="14.a.Aumentar el conocimiento científico, el desarrollo de las capacidades de investigación y la transferencia de tecnología marina, teniendo en cuenta los criterios y directrices de la Comisión Oceanográfica Intergubernamental sobre la transmisión de tecnología marina, con el fin de mejorar la salud de los océanos y aumentar la contribución de la biodiversidad marina para el desarrollo de los países en desarrollo, en particular los PEID y los PMA."/>
    <x v="9"/>
    <s v="SIN ALINEAR"/>
    <s v="Ambiente y Desarrollo Sostenible"/>
  </r>
  <r>
    <s v="R-AO-22-6333"/>
    <s v="Reducir los plásticos marinos y la contaminación plástica en ciudades de América Latina y el Caribe a través de un enfoque de economía circular"/>
    <s v="Reducir los plásticos marinos y la contaminación plástica en la región de América Latina y el Caribe facilitando acciones circulares a nivel de ciudad para acelerar la transición hacia una economía circular, en línea con los compromisos gubernamentales y empresariales para abordar los plásticos marinos y la contaminación plástica."/>
    <d v="2022-10-28T00:00:00"/>
    <d v="2027-08-31T00:00:00"/>
    <x v="5"/>
    <s v="No Reporta"/>
    <s v="Empresas"/>
    <n v="3500000"/>
    <x v="8"/>
    <s v="Estados Unidos"/>
    <m/>
    <s v="C. Conservación Y Sostenibilidad Ambiental"/>
    <s v="14.a.Aumentar el conocimiento científico, el desarrollo de las capacidades de investigación y la transferencia de tecnología marina, teniendo en cuenta los criterios y directrices de la Comisión Oceanográfica Intergubernamental sobre la transmisión de tecnología marina, con el fin de mejorar la salud de los océanos y aumentar la contribución de la biodiversidad marina para el desarrollo de los países en desarrollo, en particular los PEID y los PMA."/>
    <x v="9"/>
    <s v="SIN ALINEAR"/>
    <s v="Ambiente y Desarrollo Sostenible"/>
  </r>
  <r>
    <s v="R-AO-24-6334"/>
    <s v="CO-T1786 Apoyar el uso de la IA para generar eficiencias en el Sistema de Salud Colombiano"/>
    <s v="apoyar el uso de inteligencia artificial para aumentar la eficiencia del Sistema General de Seguridad Social en Salud en _x000a_Colombia"/>
    <d v="2024-11-10T00:00:00"/>
    <d v="2026-09-11T00:00:00"/>
    <x v="8"/>
    <s v="Ámbito Nacional"/>
    <s v="Banca Multilateral"/>
    <n v="200000"/>
    <x v="5"/>
    <s v="Estados Unidos"/>
    <m/>
    <s v="No Aplica"/>
    <s v="9.b.Ayudar al desarrollo de la tecnología local, la investigación y la innovación en los países en desarrollo garantizando un entorno normativo propicio para, entre otras cosas, la diversificación_x000a_industrial y la adición de valor a los productos básicos."/>
    <x v="8"/>
    <s v="SIN ALINEAR"/>
    <s v="Salud y Protección Social"/>
  </r>
  <r>
    <s v="R-AO-24-6339"/>
    <s v="CO-T1770 Apoyar el proceso de integración de los servicios de atención a la primera infancia y la juventud en Bogotá D.C."/>
    <s v="Apoyar el desarrollo de estrategias integrales que mejoren la provisión de los servicios de atención para a la primera infancia y la juventud en Bogotá D.C."/>
    <d v="2024-06-25T00:00:00"/>
    <d v="2026-10-18T00:00:00"/>
    <x v="11"/>
    <s v="No Reporta"/>
    <s v="Banca Multilateral"/>
    <n v="250000"/>
    <x v="5"/>
    <s v="Estados Unidos"/>
    <m/>
    <s v="3. Promover una cultura de paz, justicia y lucha contra la desigualdad"/>
    <s v="4.2.Para 2030 garantizar que todas las niñas y los niños tengan acceso a un desarrollo de calidad en la primera infancia, al cuidado y la educación infantil para que estén listos para la educación primaria."/>
    <x v="5"/>
    <s v="SIN ALINEAR"/>
    <s v="Protección Social"/>
  </r>
  <r>
    <s v="R-AO-24-6340"/>
    <s v="CO-T1748 Apoyo al desarrollo del proyecto piloto de BID Clima en Colombia"/>
    <s v="Apoyar la implementación de la Hoja de Ruta del Programa Piloto BID CLIMA (Hoja de Ruta BID CLIMA) en Colombia, en el marco de la operación de crédito CO-L1287 con la Financiera de Desarrollo Nacional (FDN)"/>
    <d v="2024-04-25T00:00:00"/>
    <d v="2026-10-22T00:00:00"/>
    <x v="8"/>
    <s v="No Reporta"/>
    <s v="Banca Multilateral"/>
    <n v="400000"/>
    <x v="5"/>
    <s v="Estados Unidos"/>
    <m/>
    <s v="1. Promover la lucha contra el cambio climatico, la justicia ambiental y la transformación productiva"/>
    <s v="13.2.Integrar medidas de cambio climático en las políticas, estrategias y planificación nacional."/>
    <x v="0"/>
    <s v="SIN ALINEAR"/>
    <s v="Hacienda y Crédito Público"/>
  </r>
  <r>
    <s v="R-AO-24-6341"/>
    <s v="CO-T1690 Apoyo al Desarrollo de los Servicios de Atención Primaria de Salud en la Amazonía Colombiana"/>
    <s v="mejorar el acceso efectivo a los servicios de salud de la población vulnerable mediante el fortalecimiento de la atención primaria de salud, con el propósito de garantizar acciones de promoción de la salud y prevención de enfermedades, así como la continuidad y disponibilidad de los servicios en los territorios priorizados."/>
    <d v="2024-03-21T00:00:00"/>
    <d v="2026-09-20T00:00:00"/>
    <x v="24"/>
    <s v="No Reporta"/>
    <s v="Banca Multilateral"/>
    <n v="150000"/>
    <x v="5"/>
    <s v="Estados Unidos"/>
    <m/>
    <s v="3. Promover una cultura de paz, justicia y lucha contra la desigualdad"/>
    <s v="1.3.Implementar a nivel nacional sistemas y medidas apropiados de protección social para todos, incluidos niveles mínimos, y, de aquí a 2030, lograr una amplia cobertura de las personas pobres y vulnerables"/>
    <x v="1"/>
    <s v="SIN ALINEAR"/>
    <s v="Salud y Protección Social"/>
  </r>
  <r>
    <s v="R-AO-24-6342"/>
    <s v="CO-T1738 Apoyo al sistema integral de información migratoria en Colombia"/>
    <s v="Mejorar la interoperabilidad y gestión de datos para un intercambio eficiente y seguro de información migratoria entre entidades que producen o consumen datos relacionados, apoyando políticas basadas en evidencia y procesos de toma de decisiones para la integración socioeconómica de los migrantes y las comunidades de acogida. La CT contribuirá a la consolidación de un sistema integrado de información migratoria en Colombia en el corto y mediano plazo"/>
    <d v="2024-07-16T00:00:00"/>
    <d v="2027-11-05T00:00:00"/>
    <x v="8"/>
    <s v="Ámbito Nacional"/>
    <s v="Banca Multilateral"/>
    <n v="700000"/>
    <x v="5"/>
    <s v="Estados Unidos"/>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Relaciones Exteriores"/>
  </r>
  <r>
    <s v="R-AO-24-6343"/>
    <s v="CO-T1751 Apoyo al fortalecimiento institucional del sector minero-energetico"/>
    <s v="Fortalecer capacidades institucionales que aceleren la transformación digital del sector minero energético en _x000a_Colombia"/>
    <d v="2024-07-03T00:00:00"/>
    <d v="2027-10-27T00:00:00"/>
    <x v="8"/>
    <s v="Ámbito Nacional"/>
    <s v="Banca Multilateral"/>
    <n v="125000"/>
    <x v="5"/>
    <s v="Estados Unidos"/>
    <m/>
    <s v="4. Fortalecimiento institucional para la gestión de la cooperación internacional"/>
    <s v="9.b.Ayudar al desarrollo de la tecnología local, la investigación y la innovación en los países en desarrollo garantizando un entorno normativo propicio para, entre otras cosas, la diversificación_x000a_industrial y la adición de valor a los productos básicos."/>
    <x v="8"/>
    <s v="SIN ALINEAR"/>
    <s v="Minas y Energía"/>
  </r>
  <r>
    <s v="R-AO-24-6344"/>
    <s v="CO-T1745 Apoyo a la Implementación del Programa Reformulado de Catastro Multipropósito"/>
    <s v="Fortalecimiento institucional de las entidades del gobierno central responsables de la implementación de la política de catastro multipropósito en Colombia, en particular DNP, IGAC, ANT y SNR.  Esto se logrará a través de apoyo operativo a la implementación del préstamo CO-L1164, &quot;Programa para la Adopción e Implementación de un Catastro Multipropósito rural-urbano&quot;, que está en proceso de reformulación y extensión y cuyo objetivo general es mejorar la gestión de tierras en Colombia a través de la implementación de un sistema catastral multipropósito que incluya el fortalecimiento institucional y tecnológico de las entidades responsables, para así aumentar la seguridad jurídica en la tenencia de la propiedad, fortalecer la gestión fiscal, y lograr un ordenamiento territorial más efectivo."/>
    <d v="2024-04-02T00:00:00"/>
    <d v="2027-06-13T00:00:00"/>
    <x v="8"/>
    <s v="Ámbito Nacional"/>
    <s v="Banca Multilateral"/>
    <n v="150000"/>
    <x v="5"/>
    <s v="Estados Unidos"/>
    <m/>
    <s v="No Aplica"/>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Planeación"/>
  </r>
  <r>
    <s v="R-AO-24-6347"/>
    <s v="CO-T1741 Apoyo para la implementación del Sistema Nacional de Cuidado"/>
    <s v="Apoyar al Ministerio de Igualdad y Equidad en la implementación del Sistema Nacional de Cuidados."/>
    <d v="2024-09-04T00:00:00"/>
    <d v="2027-12-05T00:00:00"/>
    <x v="8"/>
    <s v="Ámbito Nacional"/>
    <s v="Banca Multilateral"/>
    <n v="400000"/>
    <x v="5"/>
    <s v="Estados Unidos"/>
    <m/>
    <s v="3. Promover una cultura de paz, justicia y lucha contra la desigualdad"/>
    <s v="5.4.Reconocer y valorar el trabajo doméstico y de cuidado no remunerado a través de la provisión de servicios públicos, infraestructura, políticas de protección social y la promoción de la responsabilidad compartida en el hogar y la familia según corresponda a nivel nacional."/>
    <x v="2"/>
    <s v="SIN ALINEAR"/>
    <s v="Igualdad y Equidad"/>
  </r>
  <r>
    <s v="R-AO-24-6348"/>
    <s v="CO-T1749 Apoyo a la ejecución de las Líneas 1 y 2 del Metro de Bogotá"/>
    <s v="apoyar la ejecución de los proyectos Línea 1 y Línea 2 del Metro de Bogotá, a través de soporte técnico, financiero y gerencial que permita fortalecer la gestión social, ambiental, técnica y de riesgos de la EMB, para así garantizar una correcta construcción de la red de metro en la ciudad."/>
    <d v="2024-05-31T00:00:00"/>
    <d v="2027-03-24T00:00:00"/>
    <x v="11"/>
    <s v="No Reporta"/>
    <s v="Banca Multilateral"/>
    <n v="200000"/>
    <x v="5"/>
    <s v="Estados Unidos"/>
    <m/>
    <s v="1. Promover la lucha contra el cambio climatico, la justicia ambiental y la transformación productiva"/>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349"/>
    <s v="CO-T1758 Apoyo para el desarrollo de políticas y programas para mejorar el acceso y graduación en la educación media"/>
    <s v="apoyar el diseño de estrategias para mejorar el acceso y la graduación en la educación media (EM) en Colombia."/>
    <d v="2024-06-17T00:00:00"/>
    <d v="2026-10-07T00:00:00"/>
    <x v="8"/>
    <s v="Ámbito Nacional"/>
    <s v="Banca Multilateral"/>
    <n v="150000"/>
    <x v="5"/>
    <s v="Estados Unidos"/>
    <m/>
    <s v="3. Promover una cultura de paz, justicia y lucha contra la desigualdad"/>
    <s v="4.1. Para 2030, asegurar que todos los niños y niñas completen la educación primaria y secundaria gratuita, equitativa y de calidad que lleve a resultados relevantes y eficaces del aprendizaje."/>
    <x v="5"/>
    <s v="SIN ALINEAR"/>
    <s v="Educación Nacional"/>
  </r>
  <r>
    <s v="R-AO-24-6350"/>
    <s v="CO-T1750 Apoyo a la agenda de ciberseguridad y gobierno digital de Colombia"/>
    <s v="fortalecer capacidades institucionales que aceleren la transformación digital del sector público y el desarrollo de la seguridad digital en Colombia. "/>
    <d v="2024-05-08T00:00:00"/>
    <d v="2026-02-23T00:00:00"/>
    <x v="8"/>
    <s v="Ámbito Nacional"/>
    <s v="Banca Multilateral"/>
    <n v="125000"/>
    <x v="5"/>
    <s v="Estados Unidos"/>
    <m/>
    <s v="4. Fortalecimiento institucional para la gestión de la cooperación internacional"/>
    <s v="16.6.Desarrollar instituciones eficaces, responsables y transparentes a todos los niveles."/>
    <x v="7"/>
    <s v="SIN ALINEAR"/>
    <s v="Rama Judicial"/>
  </r>
  <r>
    <s v="R-AO-23-6363"/>
    <s v="230189 - Programa Global de Calidad y Estándares Colombia fase II: Fortalecimiento de la calidad y estándares en la cadena de valor fitoterapéutica (GQSP II)"/>
    <s v="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
    <d v="2023-11-30T00:00:00"/>
    <d v="2027-11-30T00:00:00"/>
    <x v="22"/>
    <s v="No Reporta"/>
    <s v="Suiza"/>
    <n v="133684.1"/>
    <x v="23"/>
    <s v="Colombia/Centro Oriente/Bogotá D.C./Bogotá D.C."/>
    <m/>
    <s v="1. Promover la lucha contra el cambio climatico, la justicia ambiental y la transformación productiva"/>
    <s v="17.10.Promover un sistema multilateral de comercio universal, abierto, no discriminatorio y equitativo en la OMC mediante la conclusión de las negociaciones dentro del Programa de Doha para el Desarrollo."/>
    <x v="15"/>
    <s v="SIN ALINEAR"/>
    <s v="Comercio, Industria y Turismo"/>
  </r>
  <r>
    <s v="R-AO-23-6363"/>
    <s v="230189 - Programa Global de Calidad y Estándares Colombia fase II: Fortalecimiento de la calidad y estándares en la cadena de valor fitoterapéutica (GQSP II)"/>
    <s v="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
    <d v="2023-11-30T00:00:00"/>
    <d v="2027-11-30T00:00:00"/>
    <x v="11"/>
    <s v="No Reporta"/>
    <s v="Suiza"/>
    <n v="133684.1"/>
    <x v="23"/>
    <s v="Colombia/Centro Oriente/Bogotá D.C./Bogotá D.C."/>
    <m/>
    <s v="1. Promover la lucha contra el cambio climatico, la justicia ambiental y la transformación productiva"/>
    <s v="17.10.Promover un sistema multilateral de comercio universal, abierto, no discriminatorio y equitativo en la OMC mediante la conclusión de las negociaciones dentro del Programa de Doha para el Desarrollo."/>
    <x v="15"/>
    <s v="SIN ALINEAR"/>
    <s v="Comercio, Industria y Turismo"/>
  </r>
  <r>
    <s v="R-AO-23-6363"/>
    <s v="230189 - Programa Global de Calidad y Estándares Colombia fase II: Fortalecimiento de la calidad y estándares en la cadena de valor fitoterapéutica (GQSP II)"/>
    <s v="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
    <d v="2023-11-30T00:00:00"/>
    <d v="2027-11-30T00:00:00"/>
    <x v="31"/>
    <s v="No Reporta"/>
    <s v="Suiza"/>
    <n v="133684.1"/>
    <x v="23"/>
    <s v="Colombia/Centro Oriente/Bogotá D.C./Bogotá D.C."/>
    <m/>
    <s v="1. Promover la lucha contra el cambio climatico, la justicia ambiental y la transformación productiva"/>
    <s v="17.10.Promover un sistema multilateral de comercio universal, abierto, no discriminatorio y equitativo en la OMC mediante la conclusión de las negociaciones dentro del Programa de Doha para el Desarrollo."/>
    <x v="15"/>
    <s v="SIN ALINEAR"/>
    <s v="Comercio, Industria y Turismo"/>
  </r>
  <r>
    <s v="R-AO-23-6363"/>
    <s v="230189 - Programa Global de Calidad y Estándares Colombia fase II: Fortalecimiento de la calidad y estándares en la cadena de valor fitoterapéutica (GQSP II)"/>
    <s v="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
    <d v="2023-11-30T00:00:00"/>
    <d v="2027-11-30T00:00:00"/>
    <x v="23"/>
    <s v="No Reporta"/>
    <s v="Suiza"/>
    <n v="133684.1"/>
    <x v="23"/>
    <s v="Colombia/Centro Oriente/Bogotá D.C./Bogotá D.C."/>
    <m/>
    <s v="1. Promover la lucha contra el cambio climatico, la justicia ambiental y la transformación productiva"/>
    <s v="17.10.Promover un sistema multilateral de comercio universal, abierto, no discriminatorio y equitativo en la OMC mediante la conclusión de las negociaciones dentro del Programa de Doha para el Desarrollo."/>
    <x v="15"/>
    <s v="SIN ALINEAR"/>
    <s v="Comercio, Industria y Turismo"/>
  </r>
  <r>
    <s v="R-AO-23-6363"/>
    <s v="230189 - Programa Global de Calidad y Estándares Colombia fase II: Fortalecimiento de la calidad y estándares en la cadena de valor fitoterapéutica (GQSP II)"/>
    <s v="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
    <d v="2023-11-30T00:00:00"/>
    <d v="2027-11-30T00:00:00"/>
    <x v="12"/>
    <s v="No Reporta"/>
    <s v="Suiza"/>
    <n v="133684.1"/>
    <x v="23"/>
    <s v="Colombia/Centro Oriente/Bogotá D.C./Bogotá D.C."/>
    <m/>
    <s v="1. Promover la lucha contra el cambio climatico, la justicia ambiental y la transformación productiva"/>
    <s v="17.10.Promover un sistema multilateral de comercio universal, abierto, no discriminatorio y equitativo en la OMC mediante la conclusión de las negociaciones dentro del Programa de Doha para el Desarrollo."/>
    <x v="15"/>
    <s v="SIN ALINEAR"/>
    <s v="Comercio, Industria y Turismo"/>
  </r>
  <r>
    <s v="R-AO-23-6363"/>
    <s v="230189 - Programa Global de Calidad y Estándares Colombia fase II: Fortalecimiento de la calidad y estándares en la cadena de valor fitoterapéutica (GQSP II)"/>
    <s v="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
    <d v="2023-11-30T00:00:00"/>
    <d v="2027-11-30T00:00:00"/>
    <x v="7"/>
    <s v="No Reporta"/>
    <s v="Suiza"/>
    <n v="133684.1"/>
    <x v="23"/>
    <s v="Colombia/Centro Oriente/Bogotá D.C./Bogotá D.C."/>
    <m/>
    <s v="1. Promover la lucha contra el cambio climatico, la justicia ambiental y la transformación productiva"/>
    <s v="17.10.Promover un sistema multilateral de comercio universal, abierto, no discriminatorio y equitativo en la OMC mediante la conclusión de las negociaciones dentro del Programa de Doha para el Desarrollo."/>
    <x v="15"/>
    <s v="SIN ALINEAR"/>
    <s v="Comercio, Industria y Turismo"/>
  </r>
  <r>
    <s v="R-AO-23-6363"/>
    <s v="230189 - Programa Global de Calidad y Estándares Colombia fase II: Fortalecimiento de la calidad y estándares en la cadena de valor fitoterapéutica (GQSP II)"/>
    <s v="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
    <d v="2023-11-30T00:00:00"/>
    <d v="2027-11-30T00:00:00"/>
    <x v="1"/>
    <s v="No Reporta"/>
    <s v="Suiza"/>
    <n v="133684.1"/>
    <x v="23"/>
    <s v="Colombia/Centro Oriente/Bogotá D.C./Bogotá D.C."/>
    <m/>
    <s v="1. Promover la lucha contra el cambio climatico, la justicia ambiental y la transformación productiva"/>
    <s v="17.10.Promover un sistema multilateral de comercio universal, abierto, no discriminatorio y equitativo en la OMC mediante la conclusión de las negociaciones dentro del Programa de Doha para el Desarrollo."/>
    <x v="15"/>
    <s v="SIN ALINEAR"/>
    <s v="Comercio, Industria y Turismo"/>
  </r>
  <r>
    <s v="R-AO-23-6363"/>
    <s v="230189 - Programa Global de Calidad y Estándares Colombia fase II: Fortalecimiento de la calidad y estándares en la cadena de valor fitoterapéutica (GQSP II)"/>
    <s v="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
    <d v="2023-11-30T00:00:00"/>
    <d v="2027-11-30T00:00:00"/>
    <x v="9"/>
    <s v="No Reporta"/>
    <s v="Suiza"/>
    <n v="133684.1"/>
    <x v="23"/>
    <s v="Colombia/Centro Oriente/Bogotá D.C./Bogotá D.C."/>
    <m/>
    <s v="1. Promover la lucha contra el cambio climatico, la justicia ambiental y la transformación productiva"/>
    <s v="17.10.Promover un sistema multilateral de comercio universal, abierto, no discriminatorio y equitativo en la OMC mediante la conclusión de las negociaciones dentro del Programa de Doha para el Desarrollo."/>
    <x v="15"/>
    <s v="SIN ALINEAR"/>
    <s v="Comercio, Industria y Turismo"/>
  </r>
  <r>
    <s v="R-AO-24-6369"/>
    <s v="CO-T1769 Fortalecimiento de la gestión integrada del riesgo de desastres y el cambio climático"/>
    <s v="Apoyar al país en el fortalecimiento institucional de la gestión integral de riesgos climáticos y de desastres."/>
    <d v="2024-07-03T00:00:00"/>
    <d v="2027-11-18T00:00:00"/>
    <x v="8"/>
    <s v="No Reporta"/>
    <s v="Banca Multilateral"/>
    <n v="150000"/>
    <x v="5"/>
    <s v="Estados Unidos"/>
    <m/>
    <s v="1. Promover la lucha contra el cambio climatico, la justicia ambiental y la transformación productiva"/>
    <s v="13.2.Integrar medidas de cambio climático en las políticas, estrategias y planificación nacional."/>
    <x v="0"/>
    <s v="SIN ALINEAR"/>
    <s v="Hacienda y Crédito Público"/>
  </r>
  <r>
    <s v="R-AO-24-6372"/>
    <s v="CO-T1765 Distritos de Ciencia, Tecnología e Innovación como motores de la productividad y el crecimiento de las ciudades colombianas - ATN/OC-21110-CO"/>
    <s v="Brindar acompañamiento técnico especializado a las ciudades de Bogotá y Medellín para orientar la implementación efectiva y sostenible de los instrumentos y servicios de CTI de sus Distritos de Innovación (DI)."/>
    <d v="2024-05-29T00:00:00"/>
    <d v="2026-09-17T00:00:00"/>
    <x v="11"/>
    <s v="No Reporta"/>
    <s v="Banca Multilateral"/>
    <n v="100000"/>
    <x v="5"/>
    <s v="Estados Unidos"/>
    <m/>
    <s v="1. Promover la lucha contra el cambio climatico, la justicia ambiental y la transformación productiva"/>
    <s v="9.b.Ayudar al desarrollo de la tecnología local, la investigación y la innovación en los países en desarrollo garantizando un entorno normativo propicio para, entre otras cosas, la diversificación_x000a_industrial y la adición de valor a los productos básicos."/>
    <x v="8"/>
    <s v="SIN ALINEAR"/>
    <s v="Ciencia, Tecnología e innovación"/>
  </r>
  <r>
    <s v="R-AO-24-6372"/>
    <s v="CO-T1765 Distritos de Ciencia, Tecnología e Innovación como motores de la productividad y el crecimiento de las ciudades colombianas - ATN/OC-21110-CO"/>
    <s v="Brindar acompañamiento técnico especializado a las ciudades de Bogotá y Medellín para orientar la implementación efectiva y sostenible de los instrumentos y servicios de CTI de sus Distritos de Innovación (DI)."/>
    <d v="2024-05-29T00:00:00"/>
    <d v="2026-09-17T00:00:00"/>
    <x v="7"/>
    <s v="No Reporta"/>
    <s v="Banca Multilateral"/>
    <n v="100000"/>
    <x v="5"/>
    <s v="Estados Unidos"/>
    <m/>
    <s v="1. Promover la lucha contra el cambio climatico, la justicia ambiental y la transformación productiva"/>
    <s v="9.b.Ayudar al desarrollo de la tecnología local, la investigación y la innovación en los países en desarrollo garantizando un entorno normativo propicio para, entre otras cosas, la diversificación_x000a_industrial y la adición de valor a los productos básicos."/>
    <x v="8"/>
    <s v="SIN ALINEAR"/>
    <s v="Ciencia, Tecnología e innovación"/>
  </r>
  <r>
    <s v="R-AO-23-6374"/>
    <s v="CO-T1731 Integración de Energía Renovable - apoyo a proyectos de hidrógeno verde"/>
    <s v="Proporcionar asistencia técnica para acelerar la transición energética limpia e inclusiva de Colombia, apoyando el desarrollo de proyectos de hidrógeno verde que contribuirán a la descarbonización de sectores dificiles de electrificar."/>
    <d v="2023-12-20T00:00:00"/>
    <d v="2027-07-17T00:00:00"/>
    <x v="8"/>
    <s v="No Reporta"/>
    <s v="Banca Multilateral"/>
    <n v="2000000"/>
    <x v="5"/>
    <s v="Estados Unidos"/>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4-6375"/>
    <s v="CO-T1746 Impulso de bionegocios de mujeres en la Amazonía colombiana"/>
    <s v="diseñar e implementar un programa de formación y acompañamiento para mujeres emprendedoras en bionegocios en la Amazonía colombiana"/>
    <d v="2024-02-28T00:00:00"/>
    <d v="2027-06-25T00:00:00"/>
    <x v="24"/>
    <s v="No Reporta"/>
    <s v="Banca Multilateral"/>
    <n v="400000"/>
    <x v="5"/>
    <s v="Estados Unidos"/>
    <m/>
    <s v="1. Promover la lucha contra el cambio climatico, la justicia ambiental y la transformación productiv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Ambiente y Desarrollo Sostenible"/>
  </r>
  <r>
    <s v="R-AO-24-6377"/>
    <s v="CO-G1051 Fortalecimiento productivo y comercial del proceso artesanal de tejido en lana de las mujeres tejedoras de Cumbal, Nariño"/>
    <s v="Fortalecer la capacidad productiva y comercial de las mujeres tejedoras de la etnia Pastos, del Resguardo Cumbal, ubicado en el Departamento de Nariño, Colombia, para promover su empoderamiento e inclusión socioeconómica"/>
    <d v="2024-01-12T00:00:00"/>
    <d v="2026-05-07T00:00:00"/>
    <x v="27"/>
    <s v="Cumbal"/>
    <s v="Banca Multilateral"/>
    <n v="270000"/>
    <x v="5"/>
    <s v="Estados Unidos"/>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Igualdad y Equidad"/>
  </r>
  <r>
    <s v="R-AO-24-6384"/>
    <s v="CO-G1038 Implementación de Sistemas Agroforestales Sostenibles para Fincas Cacaoteras"/>
    <s v="Fortalecer los sistemas productivos agropecuarios sostenibles para fincas cacaoteras, que reduzcan la presión sobre la ampliación de la frontera agropecuaria y que a su vez generen ingresos a los pequeños productores"/>
    <d v="2024-04-11T00:00:00"/>
    <d v="2027-05-18T00:00:00"/>
    <x v="8"/>
    <s v="No Reporta"/>
    <s v="Banca Multilateral"/>
    <n v="1250000"/>
    <x v="5"/>
    <s v="Estados Unidos"/>
    <m/>
    <s v="1. Promover la lucha contra el cambio climatico, la justicia ambiental y la transformación productiva"/>
    <s v="12.2.En 2030 alcanzar la gestión sostenible y uso eficiente de los recursos naturales."/>
    <x v="10"/>
    <s v="SIN ALINEAR"/>
    <s v="Agricultura y Desarrollo Rural"/>
  </r>
  <r>
    <s v="R-AO-25-6386"/>
    <s v="Igualmente Justas: Puerta hacia el reconocimiento - Innovaciones desde la justicia feminista interseccional para el fin de la impunidad - NDICI HR INTPA/2024/460-759"/>
    <s v="Contribuir a lograr una justicia más eficaz en casos de violencia contra las mujeres y las personas LGTBIQ+ en el marco de los procesos de paz en Colombia."/>
    <d v="2025-01-01T00:00:00"/>
    <d v="2028-05-01T00:00:00"/>
    <x v="17"/>
    <s v="No Reporta"/>
    <s v="Unión Europea"/>
    <n v="194068"/>
    <x v="26"/>
    <s v="Bélgica"/>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Presidencia de la República"/>
  </r>
  <r>
    <s v="R-AO-25-6386"/>
    <s v="Igualmente Justas: Puerta hacia el reconocimiento - Innovaciones desde la justicia feminista interseccional para el fin de la impunidad - NDICI HR INTPA/2024/460-759"/>
    <s v="Contribuir a lograr una justicia más eficaz en casos de violencia contra las mujeres y las personas LGTBIQ+ en el marco de los procesos de paz en Colombia."/>
    <d v="2025-01-01T00:00:00"/>
    <d v="2028-05-01T00:00:00"/>
    <x v="19"/>
    <s v="No Reporta"/>
    <s v="Unión Europea"/>
    <n v="194068"/>
    <x v="26"/>
    <s v="Bélgica"/>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Presidencia de la República"/>
  </r>
  <r>
    <s v="R-AO-25-6386"/>
    <s v="Igualmente Justas: Puerta hacia el reconocimiento - Innovaciones desde la justicia feminista interseccional para el fin de la impunidad - NDICI HR INTPA/2024/460-759"/>
    <s v="Contribuir a lograr una justicia más eficaz en casos de violencia contra las mujeres y las personas LGTBIQ+ en el marco de los procesos de paz en Colombia."/>
    <d v="2025-01-01T00:00:00"/>
    <d v="2028-05-01T00:00:00"/>
    <x v="29"/>
    <s v="No Reporta"/>
    <s v="Unión Europea"/>
    <n v="194068"/>
    <x v="26"/>
    <s v="Bélgica"/>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Presidencia de la República"/>
  </r>
  <r>
    <s v="R-AO-25-6386"/>
    <s v="Igualmente Justas: Puerta hacia el reconocimiento - Innovaciones desde la justicia feminista interseccional para el fin de la impunidad - NDICI HR INTPA/2024/460-759"/>
    <s v="Contribuir a lograr una justicia más eficaz en casos de violencia contra las mujeres y las personas LGTBIQ+ en el marco de los procesos de paz en Colombia."/>
    <d v="2025-01-01T00:00:00"/>
    <d v="2028-05-01T00:00:00"/>
    <x v="7"/>
    <s v="No Reporta"/>
    <s v="Unión Europea"/>
    <n v="194068"/>
    <x v="26"/>
    <s v="Bélgica"/>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Presidencia de la República"/>
  </r>
  <r>
    <s v="R-AO-25-6386"/>
    <s v="Igualmente Justas: Puerta hacia el reconocimiento - Innovaciones desde la justicia feminista interseccional para el fin de la impunidad - NDICI HR INTPA/2024/460-759"/>
    <s v="Contribuir a lograr una justicia más eficaz en casos de violencia contra las mujeres y las personas LGTBIQ+ en el marco de los procesos de paz en Colombia."/>
    <d v="2025-01-01T00:00:00"/>
    <d v="2028-05-01T00:00:00"/>
    <x v="2"/>
    <s v="No Reporta"/>
    <s v="Unión Europea"/>
    <n v="194068"/>
    <x v="26"/>
    <s v="Bélgica"/>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Presidencia de la República"/>
  </r>
  <r>
    <s v="R-AO-25-6386"/>
    <s v="Igualmente Justas: Puerta hacia el reconocimiento - Innovaciones desde la justicia feminista interseccional para el fin de la impunidad - NDICI HR INTPA/2024/460-759"/>
    <s v="Contribuir a lograr una justicia más eficaz en casos de violencia contra las mujeres y las personas LGTBIQ+ en el marco de los procesos de paz en Colombia."/>
    <d v="2025-01-01T00:00:00"/>
    <d v="2028-05-01T00:00:00"/>
    <x v="28"/>
    <s v="No Reporta"/>
    <s v="Unión Europea"/>
    <n v="194068"/>
    <x v="26"/>
    <s v="Bélgica"/>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Presidencia de la República"/>
  </r>
  <r>
    <s v="R-AO-25-6386"/>
    <s v="Igualmente Justas: Puerta hacia el reconocimiento - Innovaciones desde la justicia feminista interseccional para el fin de la impunidad - NDICI HR INTPA/2024/460-759"/>
    <s v="Contribuir a lograr una justicia más eficaz en casos de violencia contra las mujeres y las personas LGTBIQ+ en el marco de los procesos de paz en Colombia."/>
    <d v="2025-01-01T00:00:00"/>
    <d v="2028-05-01T00:00:00"/>
    <x v="30"/>
    <s v="No Reporta"/>
    <s v="Unión Europea"/>
    <n v="194068"/>
    <x v="26"/>
    <s v="Bélgica"/>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Presidencia de la República"/>
  </r>
  <r>
    <s v="R-AO-25-6386"/>
    <s v="Igualmente Justas: Puerta hacia el reconocimiento - Innovaciones desde la justicia feminista interseccional para el fin de la impunidad - NDICI HR INTPA/2024/460-759"/>
    <s v="Contribuir a lograr una justicia más eficaz en casos de violencia contra las mujeres y las personas LGTBIQ+ en el marco de los procesos de paz en Colombia."/>
    <d v="2025-01-01T00:00:00"/>
    <d v="2028-05-01T00:00:00"/>
    <x v="27"/>
    <s v="No Reporta"/>
    <s v="Unión Europea"/>
    <n v="194068"/>
    <x v="26"/>
    <s v="Bélgica"/>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Presidencia de la República"/>
  </r>
  <r>
    <s v="R-AO-24-6387"/>
    <s v="CO-T1781 Sanar para Crecer: Escalando el Impacto en Colombia"/>
    <s v="Desarrollar y evaluar experimentalmente un modelo de capacitación de educadores infantiles subcontratados de Heal to Grow (Sanar para Crecer). La CT contribuirá a la comprensión de la relación entre los problemas clave de ejecución y la eficacia de los programas educativos."/>
    <d v="2024-09-20T00:00:00"/>
    <d v="2026-12-10T00:00:00"/>
    <x v="8"/>
    <s v="No Reporta"/>
    <s v="Banca Multilateral"/>
    <n v="225000"/>
    <x v="5"/>
    <s v="Estados Unidos"/>
    <m/>
    <s v="3. Promover una cultura de paz, justicia y lucha contra la desigualdad"/>
    <s v="4.2.Para 2030 garantizar que todas las niñas y los niños tengan acceso a un desarrollo de calidad en la primera infancia, al cuidado y la educación infantil para que estén listos para la educación primaria."/>
    <x v="5"/>
    <s v="SIN ALINEAR"/>
    <s v="Protección Social"/>
  </r>
  <r>
    <s v="R-AO-24-6389"/>
    <s v="CO-T1780 Evaluando el rol del trabajo de cuidado no remunerado en la economía rural de Colombia"/>
    <s v="Medir los efectos causales de una iniciativa piloto que incluye inversiones complementarias de trabajo de cuidado rural  en proyectos de agricultura sostenible en Colombia, y que buscan reconocer, reducir, redistribuir, representar y recompensar las actividades de Trabajo de Cuidado Rural. La evaluación analizará el impacto de dichas intervenciones en: (i) los ingresos de los hogares; (ii) la seguridad alimentaria; (iii) el empoderamiento de las mujeres; (iv) la carga de trabajo de las mujeres; y (v) el desempeño de las actividades productivas agrícolas. "/>
    <d v="2024-09-23T00:00:00"/>
    <d v="2026-12-10T00:00:00"/>
    <x v="8"/>
    <s v="No Reporta"/>
    <s v="Banca Multilateral"/>
    <n v="262500"/>
    <x v="5"/>
    <s v="Estados Unidos"/>
    <m/>
    <s v="3. Promover una cultura de paz, justicia y lucha contra la desigualdad"/>
    <s v="5.4.Reconocer y valorar el trabajo doméstico y de cuidado no remunerado a través de la provisión de servicios públicos, infraestructura, políticas de protección social y la promoción de la responsabilidad compartida en el hogar y la familia según corresponda a nivel nacional."/>
    <x v="2"/>
    <s v="SIN ALINEAR"/>
    <s v="Agricultura y Desarrollo Rural"/>
  </r>
  <r>
    <s v="R-AO-24-6394"/>
    <s v="CO-T1762 Diseño y Evaluación de Programas de Certificación de Habilidades para Trabajadores Migrantes en América Latina y el Caribe"/>
    <s v="Esta cooperación técnica tiene como objetivo evaluar la efectividad de la operación CO-L1250 financiada por el BID, diseñada para mejorar la empleabilidad de los migrantes mediante la mitigación de brechas informativas con certificaciones de habilidades."/>
    <d v="2024-03-27T00:00:00"/>
    <d v="2027-07-23T00:00:00"/>
    <x v="8"/>
    <s v="No Reporta"/>
    <s v="Banca Multilateral"/>
    <n v="350000"/>
    <x v="5"/>
    <s v="Estados Unidos"/>
    <m/>
    <s v="2. Contribuir a la lucha contra el hambre y la atención humanitaria a la poblacion"/>
    <s v="8.8.Proteger los derechos laborales y promover entornos de trabajo seguros y protegidos para todos los trabajadores, incluidos los trabajadores migrantes, en particular las mujeres migrantes y_x000a_las personas con empleo precario."/>
    <x v="14"/>
    <s v="SIN ALINEAR"/>
    <s v="Trabajo"/>
  </r>
  <r>
    <s v="R-AO-24-6395"/>
    <s v="Construyendo futuros seguros: Mujeres, niñas, niños y jóvenes afectados por la crisis mejoran el acceso a la asistencia humanitaria - 2024/ACHU/000454"/>
    <s v="Mejorar el acceso a la asistencia humanitaria para mujeres, niñas, niños y jóvenes afectados por la crisis humanitaria en el municipio de Buenaventura, Valle del Cauca, Colombia, con el fin de incrementar sus mecanismos de protección, el acceso a servicios de agua y promoción de las prácticas de higiene."/>
    <d v="2024-08-21T00:00:00"/>
    <d v="2026-08-21T00:00:00"/>
    <x v="9"/>
    <s v="Buenaventura"/>
    <s v="España"/>
    <n v="919022"/>
    <x v="27"/>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4-6395"/>
    <s v="Construyendo futuros seguros: Mujeres, niñas, niños y jóvenes afectados por la crisis mejoran el acceso a la asistencia humanitaria - 2024/ACHU/000454"/>
    <s v="Mejorar el acceso a la asistencia humanitaria para mujeres, niñas, niños y jóvenes afectados por la crisis humanitaria en el municipio de Buenaventura, Valle del Cauca, Colombia, con el fin de incrementar sus mecanismos de protección, el acceso a servicios de agua y promoción de las prácticas de higiene."/>
    <d v="2024-08-21T00:00:00"/>
    <d v="2026-08-21T00:00:00"/>
    <x v="9"/>
    <s v="Buenaventura"/>
    <s v="ESAL"/>
    <n v="3254"/>
    <x v="142"/>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4-6395"/>
    <s v="Construyendo futuros seguros: Mujeres, niñas, niños y jóvenes afectados por la crisis mejoran el acceso a la asistencia humanitaria - 2024/ACHU/000454"/>
    <s v="Mejorar el acceso a la asistencia humanitaria para mujeres, niñas, niños y jóvenes afectados por la crisis humanitaria en el municipio de Buenaventura, Valle del Cauca, Colombia, con el fin de incrementar sus mecanismos de protección, el acceso a servicios de agua y promoción de las prácticas de higiene."/>
    <d v="2024-08-21T00:00:00"/>
    <d v="2026-08-21T00:00:00"/>
    <x v="9"/>
    <s v="Buenaventura"/>
    <s v="ESAL"/>
    <n v="41505"/>
    <x v="143"/>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4-6395"/>
    <s v="Construyendo futuros seguros: Mujeres, niñas, niños y jóvenes afectados por la crisis mejoran el acceso a la asistencia humanitaria - 2024/ACHU/000454"/>
    <s v="Mejorar el acceso a la asistencia humanitaria para mujeres, niñas, niños y jóvenes afectados por la crisis humanitaria en el municipio de Buenaventura, Valle del Cauca, Colombia, con el fin de incrementar sus mecanismos de protección, el acceso a servicios de agua y promoción de las prácticas de higiene."/>
    <d v="2024-08-21T00:00:00"/>
    <d v="2026-08-21T00:00:00"/>
    <x v="9"/>
    <s v="Buenaventura"/>
    <s v="Empresas"/>
    <n v="48235"/>
    <x v="144"/>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4-6395"/>
    <s v="Construyendo futuros seguros: Mujeres, niñas, niños y jóvenes afectados por la crisis mejoran el acceso a la asistencia humanitaria - 2024/ACHU/000454"/>
    <s v="Mejorar el acceso a la asistencia humanitaria para mujeres, niñas, niños y jóvenes afectados por la crisis humanitaria en el municipio de Buenaventura, Valle del Cauca, Colombia, con el fin de incrementar sus mecanismos de protección, el acceso a servicios de agua y promoción de las prácticas de higiene."/>
    <d v="2024-08-21T00:00:00"/>
    <d v="2026-08-21T00:00:00"/>
    <x v="9"/>
    <s v="Buenaventura"/>
    <s v="ESAL"/>
    <n v="10865"/>
    <x v="145"/>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5-6396"/>
    <s v="Proyecto para la asistencia de la acción de desminado humanitario en Dabei-ba en Departamento de Antioquia"/>
    <s v="promover el desarrollo local y actividades económicas del Resguardo Embera Katio de Cañaverales Antadó y mejorar la condición de vida de los habitantes de la zona, mediante la operación del desminado  humanitario en aproximadamente 9,000? de áreas peligrosas ubicadas en el mismo resguardo."/>
    <d v="2025-03-04T00:00:00"/>
    <d v="2026-03-03T00:00:00"/>
    <x v="7"/>
    <s v="Dabeiba"/>
    <s v="Japón"/>
    <n v="278177"/>
    <x v="127"/>
    <s v="Colombia"/>
    <m/>
    <s v="3. Promover una cultura de paz, justicia y lucha contra la desigualdad"/>
    <s v="16.1.Reducir significativamente todas las formas de violencia y las tasas de mortalidad relacionadas en todas partes."/>
    <x v="7"/>
    <s v="SIN ALINEAR"/>
    <s v="Presidencia de la República"/>
  </r>
  <r>
    <s v="R-AO-24-6401"/>
    <s v="RLA/23/05/CAN- Fortalecimiento de la capacidad de los actores públicos y la sociedad civil para mejorar la integración socioeconómica de las mujeres refugiadas y migrantes de Venezuela en Colombia, Ecuador y Perú (Strengthening the capacity of public actors and civil society to improve the socio-economic integration of women refugees and migrants from Venezuela in Colombia, Ecuador, and Peru)"/>
    <s v="El objetivo del proyecto es fortalecer la capacidad del gobierno, las organizaciones de trabajadores y empleadores, y los actores de la sociedad civil para mejorar la integración socioeconómica de las mujeres refugiadas y migrantes de Venezuela en Colombia, Ecuador y Perú. También mejorará el acceso a los Servicios Públicos de Empleo (SPE) para las personas migrantes mediante un enfoque inclusivo y no discriminatorio, junto con servicios de desarrollo empresarial, con el fin de facilitar la integración laboral y productiva de las personas refugiadas y migrantes, especialmente de las mujeres y las personas transgénero."/>
    <d v="2024-03-05T00:00:00"/>
    <d v="2027-03-31T00:00:00"/>
    <x v="8"/>
    <s v="No Reporta"/>
    <s v="Canadá"/>
    <n v="393674"/>
    <x v="146"/>
    <s v="Canadá"/>
    <m/>
    <s v="2. Contribuir a la lucha contra el hambre y la atención humanitaria a la poblacion"/>
    <s v="8.8.Proteger los derechos laborales y promover entornos de trabajo seguros y protegidos para todos los trabajadores, incluidos los trabajadores migrantes, en particular las mujeres migrantes y_x000a_las personas con empleo precario."/>
    <x v="14"/>
    <s v="SIN ALINEAR"/>
    <s v="Trabajo"/>
  </r>
  <r>
    <s v="R-AO-23-6413"/>
    <s v="2000144-Entornos que cuidan: Compartir  responsabilidades de cuidado para avanzar la  igualdad de género (Caring Cities: sharing care responsibilities to advance gender equality)"/>
    <s v="Apoyo a la incorporación del enfoque de género en la acción humanitaria."/>
    <d v="2023-08-03T00:00:00"/>
    <d v="2027-12-31T00:00:00"/>
    <x v="11"/>
    <s v="No Reporta"/>
    <s v="Irlanda"/>
    <n v="1103380.375"/>
    <x v="147"/>
    <s v="Irland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3-6413"/>
    <s v="2000144-Entornos que cuidan: Compartir  responsabilidades de cuidado para avanzar la  igualdad de género (Caring Cities: sharing care responsibilities to advance gender equality)"/>
    <s v="Apoyo a la incorporación del enfoque de género en la acción humanitaria."/>
    <d v="2023-08-03T00:00:00"/>
    <d v="2027-12-31T00:00:00"/>
    <x v="7"/>
    <s v="No Reporta"/>
    <s v="Irlanda"/>
    <n v="1103380.375"/>
    <x v="147"/>
    <s v="Irland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3-6413"/>
    <s v="2000144-Entornos que cuidan: Compartir  responsabilidades de cuidado para avanzar la  igualdad de género (Caring Cities: sharing care responsibilities to advance gender equality)"/>
    <s v="Apoyo a la incorporación del enfoque de género en la acción humanitaria."/>
    <d v="2023-08-03T00:00:00"/>
    <d v="2027-12-31T00:00:00"/>
    <x v="2"/>
    <s v="No Reporta"/>
    <s v="Irlanda"/>
    <n v="1103380.375"/>
    <x v="147"/>
    <s v="Irland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3-6413"/>
    <s v="2000144-Entornos que cuidan: Compartir  responsabilidades de cuidado para avanzar la  igualdad de género (Caring Cities: sharing care responsibilities to advance gender equality)"/>
    <s v="Apoyo a la incorporación del enfoque de género en la acción humanitaria."/>
    <d v="2023-08-03T00:00:00"/>
    <d v="2027-12-31T00:00:00"/>
    <x v="27"/>
    <s v="No Reporta"/>
    <s v="Irlanda"/>
    <n v="1103380.375"/>
    <x v="147"/>
    <s v="Irland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4-6415"/>
    <s v="CO-T1744 Acción climática a nivel subnacional en línea con la NDC y el LTS de Colombia"/>
    <s v="fortalecer capacidades para la acción  climática y la conservación de la biodiversidad a nivel subnacional en Colombia, en _x000a_línea con las metas y prioridades de descarbonización y adaptación al cambio climático establecidas en la Contribución Nacionalmente Determinada (NDC) y la Estrategia Climática de Largo Plazo (E2050) del país"/>
    <d v="2024-03-31T00:00:00"/>
    <d v="2026-07-29T00:00:00"/>
    <x v="11"/>
    <s v="No Reporta"/>
    <s v="Banca Multilateral"/>
    <n v="200000"/>
    <x v="5"/>
    <s v="Estados Unidos"/>
    <m/>
    <s v="1. Promover la lucha contra el cambio climatico, la justicia ambiental y la transformación productiva"/>
    <s v="13.1.Fortalecer la resiliencia y capacidad de adaptación a los peligros relacionados con el clima y los desastres naturales en todos los países"/>
    <x v="0"/>
    <s v="SIN ALINEAR"/>
    <s v="Ambiente y Desarrollo Sostenible"/>
  </r>
  <r>
    <s v="R-AO-24-6415"/>
    <s v="CO-T1744 Acción climática a nivel subnacional en línea con la NDC y el LTS de Colombia"/>
    <s v="fortalecer capacidades para la acción  climática y la conservación de la biodiversidad a nivel subnacional en Colombia, en _x000a_línea con las metas y prioridades de descarbonización y adaptación al cambio climático establecidas en la Contribución Nacionalmente Determinada (NDC) y la Estrategia Climática de Largo Plazo (E2050) del país"/>
    <d v="2024-03-31T00:00:00"/>
    <d v="2026-07-29T00:00:00"/>
    <x v="9"/>
    <s v="No Reporta"/>
    <s v="Banca Multilateral"/>
    <n v="200000"/>
    <x v="5"/>
    <s v="Estados Unidos"/>
    <m/>
    <s v="1. Promover la lucha contra el cambio climatico, la justicia ambiental y la transformación productiva"/>
    <s v="13.1.Fortalecer la resiliencia y capacidad de adaptación a los peligros relacionados con el clima y los desastres naturales en todos los países"/>
    <x v="0"/>
    <s v="SIN ALINEAR"/>
    <s v="Ambiente y Desarrollo Sostenible"/>
  </r>
  <r>
    <s v="R-AO-24-6416"/>
    <s v="CO-T1747 Bioeconomía en la Amazonía: entornos habilitantes, desarrollo de políticas y fortalecimiento institucional"/>
    <s v="apoyar la elaboración de políticas públicas e instrumentos técnicos que permitan potenciar el desarrollo competitivo de la _x000a_bioeconomía en la región amazónica de Colombia, en coordinación con gobiernos subnacionales a nivel departamental"/>
    <d v="2024-08-12T00:00:00"/>
    <d v="2026-11-18T00:00:00"/>
    <x v="19"/>
    <s v="No Reporta"/>
    <s v="Banca Multilateral"/>
    <n v="166666.66666666701"/>
    <x v="5"/>
    <s v="Estados Unidos"/>
    <m/>
    <s v="1. Promover la lucha contra el cambio climatico, la justicia ambiental y la transformación productiva"/>
    <s v="12.2.En 2030 alcanzar la gestión sostenible y uso eficiente de los recursos naturales."/>
    <x v="10"/>
    <s v="SIN ALINEAR"/>
    <s v="Ambiente y Desarrollo Sostenible"/>
  </r>
  <r>
    <s v="R-AO-24-6416"/>
    <s v="CO-T1747 Bioeconomía en la Amazonía: entornos habilitantes, desarrollo de políticas y fortalecimiento institucional"/>
    <s v="apoyar la elaboración de políticas públicas e instrumentos técnicos que permitan potenciar el desarrollo competitivo de la _x000a_bioeconomía en la región amazónica de Colombia, en coordinación con gobiernos subnacionales a nivel departamental"/>
    <d v="2024-08-12T00:00:00"/>
    <d v="2026-11-18T00:00:00"/>
    <x v="25"/>
    <s v="No Reporta"/>
    <s v="Banca Multilateral"/>
    <n v="166666.66666666701"/>
    <x v="5"/>
    <s v="Estados Unidos"/>
    <m/>
    <s v="1. Promover la lucha contra el cambio climatico, la justicia ambiental y la transformación productiva"/>
    <s v="12.2.En 2030 alcanzar la gestión sostenible y uso eficiente de los recursos naturales."/>
    <x v="10"/>
    <s v="SIN ALINEAR"/>
    <s v="Ambiente y Desarrollo Sostenible"/>
  </r>
  <r>
    <s v="R-AO-24-6416"/>
    <s v="CO-T1747 Bioeconomía en la Amazonía: entornos habilitantes, desarrollo de políticas y fortalecimiento institucional"/>
    <s v="apoyar la elaboración de políticas públicas e instrumentos técnicos que permitan potenciar el desarrollo competitivo de la _x000a_bioeconomía en la región amazónica de Colombia, en coordinación con gobiernos subnacionales a nivel departamental"/>
    <d v="2024-08-12T00:00:00"/>
    <d v="2026-11-18T00:00:00"/>
    <x v="18"/>
    <s v="No Reporta"/>
    <s v="Banca Multilateral"/>
    <n v="166666.66666666701"/>
    <x v="5"/>
    <s v="Estados Unidos"/>
    <m/>
    <s v="1. Promover la lucha contra el cambio climatico, la justicia ambiental y la transformación productiva"/>
    <s v="12.2.En 2030 alcanzar la gestión sostenible y uso eficiente de los recursos naturales."/>
    <x v="10"/>
    <s v="SIN ALINEAR"/>
    <s v="Ambiente y Desarrollo Sostenible"/>
  </r>
  <r>
    <s v="R-AO-24-6417"/>
    <s v="CO-T1784 Modelos de Inteligencia Artificial para la predicción de congestión y la gestión óptima del tráfico en Bogotá"/>
    <s v="Mejorar la predicción y optimización del flujo de tráfico en Bogotá, aprovechando la inteligencia artificial (IA) como una herramienta clave, utilizando los recursos de datos existentes para la gestión del tráfico y la planificación del transporte, y estableciendo un camino claro para la integración de la IA en la gestión de la movilidad."/>
    <d v="2024-10-11T00:00:00"/>
    <d v="2027-02-08T00:00:00"/>
    <x v="11"/>
    <s v="No Reporta"/>
    <s v="Banca Multilateral"/>
    <n v="220000"/>
    <x v="5"/>
    <s v="Estados Unidos"/>
    <m/>
    <s v="3. Promover una cultura de paz, justicia y lucha contra la desigualdad"/>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419"/>
    <s v="CO-T1778 Siguen siendo importantes las condiciones para las transferencias en efectivo?"/>
    <s v="Esta CT proporcionará conocimientos para abordar una brecha de conocimientos estratégicos en torno al papel de las condiciones en las transferencias monetarias condicionadas. Si bien las transferencias monetarias condicionadas han sido fundamentales para aliviar la pobreza en la región, eliminar las condiciones que ya no son necesarias podría ahorrarle al gobierno costos de seguimiento. Además, el requisito de cumplir con las corresponsabilidades puede excluir a algunas de las familias más necesitadas. Reevaluar el impacto de las condiciones proporcionará conocimientos estratégicos novedosos al Banco y a sus clientes."/>
    <d v="2024-11-08T00:00:00"/>
    <d v="2027-05-27T00:00:00"/>
    <x v="8"/>
    <s v="No Reporta"/>
    <s v="Banca Multilateral"/>
    <n v="150000"/>
    <x v="5"/>
    <s v="Estados Unidos"/>
    <m/>
    <s v="3. Promover una cultura de paz, justicia y lucha contra la desigualdad"/>
    <s v="1.3.Implementar a nivel nacional sistemas y medidas apropiados de protección social para todos, incluidos niveles mínimos, y, de aquí a 2030, lograr una amplia cobertura de las personas pobres y vulnerables"/>
    <x v="1"/>
    <s v="SIN ALINEAR"/>
    <s v="Planeación"/>
  </r>
  <r>
    <s v="R-AO-25-6420"/>
    <s v="CO-G1046 Fortalecimiento de la sostenibilidad ambiental, social y económica en el núcleo de desarrollo forestal y de biodiversidad Yaguará II"/>
    <s v="contribuir a recuperar la biodiversidad y los sumideros de carbono impactados por la deforestación en el Núcleo de Desarrollo Forestal y Biodiversidad Yaguara II"/>
    <d v="2025-02-19T00:00:00"/>
    <d v="2028-02-20T00:00:00"/>
    <x v="24"/>
    <s v="No Reporta"/>
    <s v="Banca Multilateral"/>
    <n v="3500000"/>
    <x v="5"/>
    <s v="Estados Unidos"/>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AO-23-6422"/>
    <s v="2000557-Nota estratégica sobre contribuciones no asignadas 2024-2027-SUECIA II"/>
    <s v="El proyecto busca fortalecer a organizaciones de la sociedad civil (OSC) de mujeres y personas LGBTQI+ que representan a sobrevivientes de violencia sexual y basada en género en el marco del conflicto armado, dentro de los macro casos de la JEP. Para ello, se implementará un Fondo Concursable que apoyará sus capacidades en tres áreas clave: litigio e incidencia, atención psicosocial, e iniciativas de protección y autocuidado. El objetivo es garantizar la participación efectiva de las sobrevivientes en la JEP, cubriendo un vacío en la atención y financiamiento de estas acciones en el contexto de la justicia transicional."/>
    <d v="2023-12-11T00:00:00"/>
    <d v="2028-12-31T00:00:00"/>
    <x v="8"/>
    <s v="No Reporta"/>
    <s v="Suecia"/>
    <n v="235469.75"/>
    <x v="49"/>
    <s v="Sue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3-6422"/>
    <s v="2000557-Nota estratégica sobre contribuciones no asignadas 2024-2027-SUECIA II"/>
    <s v="El proyecto busca fortalecer a organizaciones de la sociedad civil (OSC) de mujeres y personas LGBTQI+ que representan a sobrevivientes de violencia sexual y basada en género en el marco del conflicto armado, dentro de los macro casos de la JEP. Para ello, se implementará un Fondo Concursable que apoyará sus capacidades en tres áreas clave: litigio e incidencia, atención psicosocial, e iniciativas de protección y autocuidado. El objetivo es garantizar la participación efectiva de las sobrevivientes en la JEP, cubriendo un vacío en la atención y financiamiento de estas acciones en el contexto de la justicia transicional."/>
    <d v="2023-12-11T00:00:00"/>
    <d v="2028-12-31T00:00:00"/>
    <x v="28"/>
    <s v="No Reporta"/>
    <s v="Suecia"/>
    <n v="235469.75"/>
    <x v="49"/>
    <s v="Sue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3-6422"/>
    <s v="2000557-Nota estratégica sobre contribuciones no asignadas 2024-2027-SUECIA II"/>
    <s v="El proyecto busca fortalecer a organizaciones de la sociedad civil (OSC) de mujeres y personas LGBTQI+ que representan a sobrevivientes de violencia sexual y basada en género en el marco del conflicto armado, dentro de los macro casos de la JEP. Para ello, se implementará un Fondo Concursable que apoyará sus capacidades en tres áreas clave: litigio e incidencia, atención psicosocial, e iniciativas de protección y autocuidado. El objetivo es garantizar la participación efectiva de las sobrevivientes en la JEP, cubriendo un vacío en la atención y financiamiento de estas acciones en el contexto de la justicia transicional."/>
    <d v="2023-12-11T00:00:00"/>
    <d v="2028-12-31T00:00:00"/>
    <x v="30"/>
    <s v="No Reporta"/>
    <s v="Suecia"/>
    <n v="235469.75"/>
    <x v="49"/>
    <s v="Sue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3-6422"/>
    <s v="2000557-Nota estratégica sobre contribuciones no asignadas 2024-2027-SUECIA II"/>
    <s v="El proyecto busca fortalecer a organizaciones de la sociedad civil (OSC) de mujeres y personas LGBTQI+ que representan a sobrevivientes de violencia sexual y basada en género en el marco del conflicto armado, dentro de los macro casos de la JEP. Para ello, se implementará un Fondo Concursable que apoyará sus capacidades en tres áreas clave: litigio e incidencia, atención psicosocial, e iniciativas de protección y autocuidado. El objetivo es garantizar la participación efectiva de las sobrevivientes en la JEP, cubriendo un vacío en la atención y financiamiento de estas acciones en el contexto de la justicia transicional."/>
    <d v="2023-12-11T00:00:00"/>
    <d v="2028-12-31T00:00:00"/>
    <x v="27"/>
    <s v="No Reporta"/>
    <s v="Suecia"/>
    <n v="235469.75"/>
    <x v="49"/>
    <s v="Sue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22"/>
    <s v="Agustín Codazzi"/>
    <s v="Alemania"/>
    <n v="20622"/>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22"/>
    <s v="Becerril"/>
    <s v="Alemania"/>
    <n v="20622"/>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22"/>
    <s v="Chiriguaná"/>
    <s v="Alemania"/>
    <n v="20622"/>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22"/>
    <s v="El Paso"/>
    <s v="Alemania"/>
    <n v="20622"/>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22"/>
    <s v="La Jagua de Ibirico"/>
    <s v="Alemania"/>
    <n v="20622"/>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22"/>
    <s v="Valledupar"/>
    <s v="Alemania"/>
    <n v="20622"/>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16"/>
    <s v="Albania"/>
    <s v="Alemania"/>
    <n v="30933"/>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16"/>
    <s v="Barrancas"/>
    <s v="Alemania"/>
    <n v="30933"/>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16"/>
    <s v="Hatonuevo"/>
    <s v="Alemania"/>
    <n v="30933"/>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16"/>
    <s v="Riohacha"/>
    <s v="Alemania"/>
    <n v="30933"/>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4-6423"/>
    <s v="Fortalecimiento de la Competitividad de los Productores de Mango en Colombia y Perú a través del Aprovechamiento Integral del Fruto y Desarrollo de Nuevos Productos - ATN/RF-21037-RG"/>
    <s v="El proyecto tiene como objetivo maximizar el uso del mango, incluyendo su cáscara, pulpa y semilla, para desarrollar nuevos productos y procesos sostenibles en Colombia y Perú."/>
    <d v="2024-09-18T00:00:00"/>
    <d v="2028-03-18T00:00:00"/>
    <x v="29"/>
    <s v="Coello"/>
    <s v="ESAL"/>
    <n v="13750"/>
    <x v="19"/>
    <s v="Colombia/Centro Oriente/Bogotá D.C./Bogotá D.C."/>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423"/>
    <s v="Fortalecimiento de la Competitividad de los Productores de Mango en Colombia y Perú a través del Aprovechamiento Integral del Fruto y Desarrollo de Nuevos Productos - ATN/RF-21037-RG"/>
    <s v="El proyecto tiene como objetivo maximizar el uso del mango, incluyendo su cáscara, pulpa y semilla, para desarrollar nuevos productos y procesos sostenibles en Colombia y Perú."/>
    <d v="2024-09-18T00:00:00"/>
    <d v="2028-03-18T00:00:00"/>
    <x v="29"/>
    <s v="Espinal"/>
    <s v="ESAL"/>
    <n v="13750"/>
    <x v="19"/>
    <s v="Colombia/Centro Oriente/Bogotá D.C./Bogotá D.C."/>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423"/>
    <s v="Fortalecimiento de la Competitividad de los Productores de Mango en Colombia y Perú a través del Aprovechamiento Integral del Fruto y Desarrollo de Nuevos Productos - ATN/RF-21037-RG"/>
    <s v="El proyecto tiene como objetivo maximizar el uso del mango, incluyendo su cáscara, pulpa y semilla, para desarrollar nuevos productos y procesos sostenibles en Colombia y Perú."/>
    <d v="2024-09-18T00:00:00"/>
    <d v="2028-03-18T00:00:00"/>
    <x v="29"/>
    <s v="Guamo"/>
    <s v="ESAL"/>
    <n v="13750"/>
    <x v="19"/>
    <s v="Colombia/Centro Oriente/Bogotá D.C./Bogotá D.C."/>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423"/>
    <s v="Fortalecimiento de la Competitividad de los Productores de Mango en Colombia y Perú a través del Aprovechamiento Integral del Fruto y Desarrollo de Nuevos Productos - ATN/RF-21037-RG"/>
    <s v="El proyecto tiene como objetivo maximizar el uso del mango, incluyendo su cáscara, pulpa y semilla, para desarrollar nuevos productos y procesos sostenibles en Colombia y Perú."/>
    <d v="2024-09-18T00:00:00"/>
    <d v="2028-03-18T00:00:00"/>
    <x v="29"/>
    <s v="San Luis"/>
    <s v="ESAL"/>
    <n v="13750"/>
    <x v="19"/>
    <s v="Colombia/Centro Oriente/Bogotá D.C./Bogotá D.C."/>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423"/>
    <s v="Fortalecimiento de la Competitividad de los Productores de Mango en Colombia y Perú a través del Aprovechamiento Integral del Fruto y Desarrollo de Nuevos Productos - ATN/RF-21037-RG"/>
    <s v="El proyecto tiene como objetivo maximizar el uso del mango, incluyendo su cáscara, pulpa y semilla, para desarrollar nuevos productos y procesos sostenibles en Colombia y Perú."/>
    <d v="2024-09-18T00:00:00"/>
    <d v="2028-03-18T00:00:00"/>
    <x v="23"/>
    <s v="Anapoima"/>
    <s v="ESAL"/>
    <n v="18333.333333333299"/>
    <x v="19"/>
    <s v="Colombia/Centro Oriente/Bogotá D.C./Bogotá D.C."/>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423"/>
    <s v="Fortalecimiento de la Competitividad de los Productores de Mango en Colombia y Perú a través del Aprovechamiento Integral del Fruto y Desarrollo de Nuevos Productos - ATN/RF-21037-RG"/>
    <s v="El proyecto tiene como objetivo maximizar el uso del mango, incluyendo su cáscara, pulpa y semilla, para desarrollar nuevos productos y procesos sostenibles en Colombia y Perú."/>
    <d v="2024-09-18T00:00:00"/>
    <d v="2028-03-18T00:00:00"/>
    <x v="23"/>
    <s v="La Mesa"/>
    <s v="ESAL"/>
    <n v="18333.333333333299"/>
    <x v="19"/>
    <s v="Colombia/Centro Oriente/Bogotá D.C./Bogotá D.C."/>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423"/>
    <s v="Fortalecimiento de la Competitividad de los Productores de Mango en Colombia y Perú a través del Aprovechamiento Integral del Fruto y Desarrollo de Nuevos Productos - ATN/RF-21037-RG"/>
    <s v="El proyecto tiene como objetivo maximizar el uso del mango, incluyendo su cáscara, pulpa y semilla, para desarrollar nuevos productos y procesos sostenibles en Colombia y Perú."/>
    <d v="2024-09-18T00:00:00"/>
    <d v="2028-03-18T00:00:00"/>
    <x v="23"/>
    <s v="Viotá"/>
    <s v="ESAL"/>
    <n v="18333.333333333299"/>
    <x v="19"/>
    <s v="Colombia/Centro Oriente/Bogotá D.C./Bogotá D.C."/>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439"/>
    <s v="CO-T1754 Fortalecimiento del Parque Tecnológico Guatiguará (PTG) para potenciar el sector de Tecnología de la Información en Colombia"/>
    <s v="El objetivo de esta operación de cooperación técnica es potenciar las capacidades de tecnología de la información (TI) del Parque Tecnológico Guatiguará (PTG), que es un actor y activo estratégico para la estructuración y el desarrollo del ecosistema industrial digital en Santander, Colombia. Santander es uno de los departamentos más estratégicos de Colombia para el desarrollo del sector de TI en vista de sus capacidades de investigación, desarrollo y utilización de capital humano especializado en relación con el resto del país"/>
    <d v="2024-07-10T00:00:00"/>
    <d v="2029-01-29T00:00:00"/>
    <x v="12"/>
    <s v="No Reporta"/>
    <s v="Banca Multilateral"/>
    <n v="4851526"/>
    <x v="5"/>
    <s v="Estados Unidos"/>
    <m/>
    <s v="1. Promover la lucha contra el cambio climatico, la justicia ambiental y la transformación productiva"/>
    <s v="9.5.Potenciar la investigación científica, mejorar la capacidad tecnológica de los sectores industriales en todos los países, especialmente los países en desarrollo, incluyendo la promoción de la innovación y el aumento del número de_x000a_trabajadores en I+D por cada millón de personas en un x% y el gasto público y privado en I+D para el año 2030."/>
    <x v="8"/>
    <s v="SIN ALINEAR"/>
    <s v="Ciencia, Tecnología e innovación"/>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8"/>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21"/>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5"/>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10"/>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20"/>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7"/>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28"/>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30"/>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27"/>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9"/>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7"/>
    <s v="Caucasia"/>
    <s v="Curazao"/>
    <n v="27745.7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7"/>
    <s v="Medellín"/>
    <s v="Curazao"/>
    <n v="27745.7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9"/>
    <s v="Buenaventura"/>
    <s v="Curazao"/>
    <n v="27745.7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9"/>
    <s v="Cali"/>
    <s v="Curazao"/>
    <n v="27745.7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33"/>
    <s v="San Andrés"/>
    <s v="Curazao"/>
    <n v="55491.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5"/>
    <s v="Cartagena"/>
    <s v="Curazao"/>
    <n v="55491.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20"/>
    <s v="Cúcuta"/>
    <s v="Curazao"/>
    <n v="55491.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19"/>
    <s v="Puerto Asís"/>
    <s v="Curazao"/>
    <n v="55491.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28"/>
    <s v="Popayán"/>
    <s v="Curazao"/>
    <n v="55491.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27"/>
    <s v="San Andrés de Tumaco"/>
    <s v="Curazao"/>
    <n v="55491.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7"/>
    <s v="Caucasia"/>
    <s v="Naciones Unidas"/>
    <n v="75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7"/>
    <s v="Medellín"/>
    <s v="Naciones Unidas"/>
    <n v="75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9"/>
    <s v="Buenaventura"/>
    <s v="Naciones Unidas"/>
    <n v="75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9"/>
    <s v="Cali"/>
    <s v="Naciones Unidas"/>
    <n v="75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33"/>
    <s v="San Andrés"/>
    <s v="Naciones Unidas"/>
    <n v="150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5"/>
    <s v="Cartagena"/>
    <s v="Naciones Unidas"/>
    <n v="150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20"/>
    <s v="Cúcuta"/>
    <s v="Naciones Unidas"/>
    <n v="150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19"/>
    <s v="Puerto Asís"/>
    <s v="Naciones Unidas"/>
    <n v="150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28"/>
    <s v="Popayán"/>
    <s v="Naciones Unidas"/>
    <n v="150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27"/>
    <s v="San Andrés de Tumaco"/>
    <s v="Naciones Unidas"/>
    <n v="150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6"/>
    <s v="Trayectorias de paz y desarrollo cod. 1003065"/>
    <s v="Trayectorias de paz y desarrollo"/>
    <d v="2024-08-30T00:00:00"/>
    <d v="2027-10-01T00:00:00"/>
    <x v="8"/>
    <s v="No Reporta"/>
    <s v="Noruega"/>
    <n v="11701826.039999999"/>
    <x v="36"/>
    <s v="Noruega"/>
    <m/>
    <s v="3. Promover una cultura de paz, justicia y lucha contra la desigualdad"/>
    <s v="16.6.Desarrollar instituciones eficaces, responsables y transparentes a todos los niveles."/>
    <x v="7"/>
    <s v="SIN ALINEAR"/>
    <s v="Presidencia de la República"/>
  </r>
  <r>
    <s v="R-AO-24-6447"/>
    <s v="Apoyo Complementario al programa de Apoyo Presupuestario Bosques Asistencia Técnica al programa Bosques para la biodiversidad, el clima y la paz en Colombia – OPSYS 700002082"/>
    <s v="contribuir a la mitigación de los efectos del cambio climático en Colombia, impulsando el desarrollo sostenible con un enfoque de biodiversidad, cero deforestación, clima y paz; en este sentido el programa pretende contribuir al fortalecimiento de las capacidades nacionales y regionales, preservando la biodiversidad y promoviendo prácticas sostenibles asociadas a la economía forestal."/>
    <d v="2024-09-30T00:00:00"/>
    <d v="2027-09-30T00:00:00"/>
    <x v="8"/>
    <s v="No Reporta"/>
    <s v="Italia"/>
    <n v="167429"/>
    <x v="17"/>
    <s v="Italia"/>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6447"/>
    <s v="Apoyo Complementario al programa de Apoyo Presupuestario Bosques Asistencia Técnica al programa Bosques para la biodiversidad, el clima y la paz en Colombia – OPSYS 700002082"/>
    <s v="contribuir a la mitigación de los efectos del cambio climático en Colombia, impulsando el desarrollo sostenible con un enfoque de biodiversidad, cero deforestación, clima y paz; en este sentido el programa pretende contribuir al fortalecimiento de las capacidades nacionales y regionales, preservando la biodiversidad y promoviendo prácticas sostenibles asociadas a la economía forestal."/>
    <d v="2024-09-30T00:00:00"/>
    <d v="2027-09-30T00:00:00"/>
    <x v="8"/>
    <s v="No Reporta"/>
    <s v="Unión Europea"/>
    <n v="1674299"/>
    <x v="26"/>
    <s v="Italia"/>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6448"/>
    <s v="Fortalecer la prevención de las violencias basadas en género, protección y atención de las niñas, mujeres y personas LGBTIQ+ en territorios de Colombia FASE I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4-11-05T00:00:00"/>
    <d v="2027-02-22T00:00:00"/>
    <x v="28"/>
    <s v="Buenos Aires"/>
    <s v="Unión Europea"/>
    <n v="209544.375"/>
    <x v="26"/>
    <s v="Bélgica"/>
    <m/>
    <s v="No Aplica"/>
    <s v="5.2.Eliminar todas las formas de violencia contra las mujeres y las niñas en las esferas públicas y privadas, incluyendo el tráfico sexual y otros tipos de explotación."/>
    <x v="2"/>
    <s v="SIN ALINEAR"/>
    <s v="Igualdad y Equidad"/>
  </r>
  <r>
    <s v="R-AO-24-6448"/>
    <s v="Fortalecer la prevención de las violencias basadas en género, protección y atención de las niñas, mujeres y personas LGBTIQ+ en territorios de Colombia FASE I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4-11-05T00:00:00"/>
    <d v="2027-02-22T00:00:00"/>
    <x v="28"/>
    <s v="Corinto"/>
    <s v="Unión Europea"/>
    <n v="209544.375"/>
    <x v="26"/>
    <s v="Bélgica"/>
    <m/>
    <s v="No Aplica"/>
    <s v="5.2.Eliminar todas las formas de violencia contra las mujeres y las niñas en las esferas públicas y privadas, incluyendo el tráfico sexual y otros tipos de explotación."/>
    <x v="2"/>
    <s v="SIN ALINEAR"/>
    <s v="Igualdad y Equidad"/>
  </r>
  <r>
    <s v="R-AO-24-6448"/>
    <s v="Fortalecer la prevención de las violencias basadas en género, protección y atención de las niñas, mujeres y personas LGBTIQ+ en territorios de Colombia FASE I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4-11-05T00:00:00"/>
    <d v="2027-02-22T00:00:00"/>
    <x v="28"/>
    <s v="Puerto Tejada"/>
    <s v="Unión Europea"/>
    <n v="209544.375"/>
    <x v="26"/>
    <s v="Bélgica"/>
    <m/>
    <s v="No Aplica"/>
    <s v="5.2.Eliminar todas las formas de violencia contra las mujeres y las niñas en las esferas públicas y privadas, incluyendo el tráfico sexual y otros tipos de explotación."/>
    <x v="2"/>
    <s v="SIN ALINEAR"/>
    <s v="Igualdad y Equidad"/>
  </r>
  <r>
    <s v="R-AO-24-6448"/>
    <s v="Fortalecer la prevención de las violencias basadas en género, protección y atención de las niñas, mujeres y personas LGBTIQ+ en territorios de Colombia FASE I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4-11-05T00:00:00"/>
    <d v="2027-02-22T00:00:00"/>
    <x v="28"/>
    <s v="Suárez"/>
    <s v="Unión Europea"/>
    <n v="209544.375"/>
    <x v="26"/>
    <s v="Bélgica"/>
    <m/>
    <s v="No Aplica"/>
    <s v="5.2.Eliminar todas las formas de violencia contra las mujeres y las niñas en las esferas públicas y privadas, incluyendo el tráfico sexual y otros tipos de explotación."/>
    <x v="2"/>
    <s v="SIN ALINEAR"/>
    <s v="Igualdad y Equidad"/>
  </r>
  <r>
    <s v="R-AO-24-6448"/>
    <s v="Fortalecer la prevención de las violencias basadas en género, protección y atención de las niñas, mujeres y personas LGBTIQ+ en territorios de Colombia FASE I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4-11-05T00:00:00"/>
    <d v="2027-02-22T00:00:00"/>
    <x v="9"/>
    <s v="Florida"/>
    <s v="Unión Europea"/>
    <n v="279392.5"/>
    <x v="26"/>
    <s v="Bélgica"/>
    <m/>
    <s v="No Aplica"/>
    <s v="5.2.Eliminar todas las formas de violencia contra las mujeres y las niñas en las esferas públicas y privadas, incluyendo el tráfico sexual y otros tipos de explotación."/>
    <x v="2"/>
    <s v="SIN ALINEAR"/>
    <s v="Igualdad y Equidad"/>
  </r>
  <r>
    <s v="R-AO-24-6448"/>
    <s v="Fortalecer la prevención de las violencias basadas en género, protección y atención de las niñas, mujeres y personas LGBTIQ+ en territorios de Colombia FASE I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4-11-05T00:00:00"/>
    <d v="2027-02-22T00:00:00"/>
    <x v="9"/>
    <s v="Jamundí"/>
    <s v="Unión Europea"/>
    <n v="279392.5"/>
    <x v="26"/>
    <s v="Bélgica"/>
    <m/>
    <s v="No Aplica"/>
    <s v="5.2.Eliminar todas las formas de violencia contra las mujeres y las niñas en las esferas públicas y privadas, incluyendo el tráfico sexual y otros tipos de explotación."/>
    <x v="2"/>
    <s v="SIN ALINEAR"/>
    <s v="Igualdad y Equidad"/>
  </r>
  <r>
    <s v="R-AO-24-6448"/>
    <s v="Fortalecer la prevención de las violencias basadas en género, protección y atención de las niñas, mujeres y personas LGBTIQ+ en territorios de Colombia FASE I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4-11-05T00:00:00"/>
    <d v="2027-02-22T00:00:00"/>
    <x v="9"/>
    <s v="Pradera"/>
    <s v="Unión Europea"/>
    <n v="279392.5"/>
    <x v="26"/>
    <s v="Bélgica"/>
    <m/>
    <s v="No Aplica"/>
    <s v="5.2.Eliminar todas las formas de violencia contra las mujeres y las niñas en las esferas públicas y privadas, incluyendo el tráfico sexual y otros tipos de explotación."/>
    <x v="2"/>
    <s v="SIN ALINEAR"/>
    <s v="Igualdad y Equidad"/>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Barbacoas"/>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Cumbal"/>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Francisco Pizarro"/>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Guachucal"/>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La Llanada"/>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La Tola"/>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Los Andes"/>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Magüí"/>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Mallama"/>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Mosquera"/>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Providencia"/>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Ricaurte"/>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Roberto Payán"/>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Samaniego"/>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San Andrés de Tumaco"/>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Santa Bárbara"/>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Santacruz"/>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Anorí"/>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Barbosa"/>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Bello"/>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Briceño"/>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Caldas"/>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Copacabana"/>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El Bagre"/>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Envigado"/>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Girardota"/>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Itagüí"/>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Ituango"/>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La Estrella"/>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Medellín"/>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Sabaneta"/>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Segovia"/>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Valdivia"/>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Granada"/>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La Macarena"/>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Mapiripán"/>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Mesetas"/>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Puerto concordia"/>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Puerto rico"/>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San Juan de Arama"/>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Uribe"/>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Vistahermosa"/>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17"/>
    <s v="Cartagena del Chairá"/>
    <s v="Noruega"/>
    <n v="50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17"/>
    <s v="Florencia"/>
    <s v="Noruega"/>
    <n v="50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17"/>
    <s v="San Vicente del Caguán"/>
    <s v="Noruega"/>
    <n v="50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9"/>
    <s v="Buenaventura"/>
    <s v="Noruega"/>
    <n v="75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9"/>
    <s v="Jamundí"/>
    <s v="Noruega"/>
    <n v="75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5"/>
    <s v="Santa Rosa del Sur"/>
    <s v="Noruega"/>
    <n v="150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16"/>
    <s v="Riohacha"/>
    <s v="Noruega"/>
    <n v="150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12"/>
    <s v="Barrancabermeja"/>
    <s v="Noruega"/>
    <n v="150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18"/>
    <s v="San José del Guaviare"/>
    <s v="Noruega"/>
    <n v="150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30"/>
    <s v="Quibdó"/>
    <s v="Noruega"/>
    <n v="150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25-6452"/>
    <s v="CLT04 Mejorando el conocimiento sobre conservación en Qhapaq Ñan, sistema vial andino"/>
    <s v="Mejorar la aplicación Ayllu en sus funciones y seguridad, además de fortalecer las capacidades de conservación, monitoreo y gestión del Qhapaq Ñan a través de un taller para evaluar la experiencia de las comunidades locales y especialistas en el uso de la aplicación. _x000a__x000a__x000a__x000a_"/>
    <d v="2025-04-01T00:00:00"/>
    <d v="2026-11-30T00:00:00"/>
    <x v="7"/>
    <s v="Nariño"/>
    <s v="Naciones Unidas"/>
    <n v="70000"/>
    <x v="152"/>
    <s v="Estados Unidos"/>
    <m/>
    <s v="No Aplica"/>
    <s v="11.4.Fortalecer los esfuerzos para proteger y salvaguardar el patrimonio cultural y natural del mundo."/>
    <x v="4"/>
    <s v="SIN ALINEAR"/>
    <s v="Cultura"/>
  </r>
  <r>
    <s v="R-AO-25-6453"/>
    <s v="SC06 Desarrollo territorial con énfasis en el recurso hídrico"/>
    <s v="Contribuir al ordenamiento territorial alrededor del agua mediante la implementación de la Estrategia Nacional de Restauración 2023-2026 (ENR), promoviendo soluciones basadas en la naturaleza (SbN) que sean efectivas, eficientes y equitativas frente a los conflictos socioambientales._x000a_"/>
    <d v="2025-03-16T00:00:00"/>
    <d v="2026-12-31T00:00:00"/>
    <x v="33"/>
    <s v="No Reporta"/>
    <s v="Naciones Unidas"/>
    <n v="1250"/>
    <x v="152"/>
    <s v="Estados Unidos"/>
    <m/>
    <s v="1. Promover la lucha contra el cambio climatico, la justicia ambiental y la transformación productiva"/>
    <s v="6.6. En 2020 a proteger y restaurar los ecosistemas relacionados con el agua, incluyendo montañas, bosques, humedales, ríos, acuíferos y lagos."/>
    <x v="3"/>
    <s v="SIN ALINEAR"/>
    <s v="Ambiente y Desarrollo Sostenible"/>
  </r>
  <r>
    <s v="R-AO-25-6453"/>
    <s v="SC06 Desarrollo territorial con énfasis en el recurso hídrico"/>
    <s v="Contribuir al ordenamiento territorial alrededor del agua mediante la implementación de la Estrategia Nacional de Restauración 2023-2026 (ENR), promoviendo soluciones basadas en la naturaleza (SbN) que sean efectivas, eficientes y equitativas frente a los conflictos socioambientales._x000a_"/>
    <d v="2025-03-16T00:00:00"/>
    <d v="2026-12-31T00:00:00"/>
    <x v="21"/>
    <s v="No Reporta"/>
    <s v="Naciones Unidas"/>
    <n v="1250"/>
    <x v="152"/>
    <s v="Estados Unidos"/>
    <m/>
    <s v="1. Promover la lucha contra el cambio climatico, la justicia ambiental y la transformación productiva"/>
    <s v="6.6. En 2020 a proteger y restaurar los ecosistemas relacionados con el agua, incluyendo montañas, bosques, humedales, ríos, acuíferos y lagos."/>
    <x v="3"/>
    <s v="SIN ALINEAR"/>
    <s v="Ambiente y Desarrollo Sostenible"/>
  </r>
  <r>
    <s v="R-AO-25-6453"/>
    <s v="SC06 Desarrollo territorial con énfasis en el recurso hídrico"/>
    <s v="Contribuir al ordenamiento territorial alrededor del agua mediante la implementación de la Estrategia Nacional de Restauración 2023-2026 (ENR), promoviendo soluciones basadas en la naturaleza (SbN) que sean efectivas, eficientes y equitativas frente a los conflictos socioambientales._x000a_"/>
    <d v="2025-03-16T00:00:00"/>
    <d v="2026-12-31T00:00:00"/>
    <x v="22"/>
    <s v="No Reporta"/>
    <s v="Naciones Unidas"/>
    <n v="1250"/>
    <x v="152"/>
    <s v="Estados Unidos"/>
    <m/>
    <s v="1. Promover la lucha contra el cambio climatico, la justicia ambiental y la transformación productiva"/>
    <s v="6.6. En 2020 a proteger y restaurar los ecosistemas relacionados con el agua, incluyendo montañas, bosques, humedales, ríos, acuíferos y lagos."/>
    <x v="3"/>
    <s v="SIN ALINEAR"/>
    <s v="Ambiente y Desarrollo Sostenible"/>
  </r>
  <r>
    <s v="R-AO-25-6453"/>
    <s v="SC06 Desarrollo territorial con énfasis en el recurso hídrico"/>
    <s v="Contribuir al ordenamiento territorial alrededor del agua mediante la implementación de la Estrategia Nacional de Restauración 2023-2026 (ENR), promoviendo soluciones basadas en la naturaleza (SbN) que sean efectivas, eficientes y equitativas frente a los conflictos socioambientales._x000a_"/>
    <d v="2025-03-16T00:00:00"/>
    <d v="2026-12-31T00:00:00"/>
    <x v="16"/>
    <s v="No Reporta"/>
    <s v="Naciones Unidas"/>
    <n v="1250"/>
    <x v="152"/>
    <s v="Estados Unidos"/>
    <m/>
    <s v="1. Promover la lucha contra el cambio climatico, la justicia ambiental y la transformación productiva"/>
    <s v="6.6. En 2020 a proteger y restaurar los ecosistemas relacionados con el agua, incluyendo montañas, bosques, humedales, ríos, acuíferos y lagos."/>
    <x v="3"/>
    <s v="SIN ALINEAR"/>
    <s v="Ambiente y Desarrollo Sostenible"/>
  </r>
  <r>
    <s v="R-AO-25-6453"/>
    <s v="SC06 Desarrollo territorial con énfasis en el recurso hídrico"/>
    <s v="Contribuir al ordenamiento territorial alrededor del agua mediante la implementación de la Estrategia Nacional de Restauración 2023-2026 (ENR), promoviendo soluciones basadas en la naturaleza (SbN) que sean efectivas, eficientes y equitativas frente a los conflictos socioambientales._x000a_"/>
    <d v="2025-03-16T00:00:00"/>
    <d v="2026-12-31T00:00:00"/>
    <x v="10"/>
    <s v="No Reporta"/>
    <s v="Naciones Unidas"/>
    <n v="1250"/>
    <x v="152"/>
    <s v="Estados Unidos"/>
    <m/>
    <s v="1. Promover la lucha contra el cambio climatico, la justicia ambiental y la transformación productiva"/>
    <s v="6.6. En 2020 a proteger y restaurar los ecosistemas relacionados con el agua, incluyendo montañas, bosques, humedales, ríos, acuíferos y lagos."/>
    <x v="3"/>
    <s v="SIN ALINEAR"/>
    <s v="Ambiente y Desarrollo Sostenible"/>
  </r>
  <r>
    <s v="R-AO-25-6453"/>
    <s v="SC06 Desarrollo territorial con énfasis en el recurso hídrico"/>
    <s v="Contribuir al ordenamiento territorial alrededor del agua mediante la implementación de la Estrategia Nacional de Restauración 2023-2026 (ENR), promoviendo soluciones basadas en la naturaleza (SbN) que sean efectivas, eficientes y equitativas frente a los conflictos socioambientales._x000a_"/>
    <d v="2025-03-16T00:00:00"/>
    <d v="2026-12-31T00:00:00"/>
    <x v="14"/>
    <s v="No Reporta"/>
    <s v="Naciones Unidas"/>
    <n v="1250"/>
    <x v="152"/>
    <s v="Estados Unidos"/>
    <m/>
    <s v="1. Promover la lucha contra el cambio climatico, la justicia ambiental y la transformación productiva"/>
    <s v="6.6. En 2020 a proteger y restaurar los ecosistemas relacionados con el agua, incluyendo montañas, bosques, humedales, ríos, acuíferos y lagos."/>
    <x v="3"/>
    <s v="SIN ALINEAR"/>
    <s v="Ambiente y Desarrollo Sostenible"/>
  </r>
  <r>
    <s v="R-AO-25-6453"/>
    <s v="SC06 Desarrollo territorial con énfasis en el recurso hídrico"/>
    <s v="Contribuir al ordenamiento territorial alrededor del agua mediante la implementación de la Estrategia Nacional de Restauración 2023-2026 (ENR), promoviendo soluciones basadas en la naturaleza (SbN) que sean efectivas, eficientes y equitativas frente a los conflictos socioambientales._x000a_"/>
    <d v="2025-03-16T00:00:00"/>
    <d v="2026-12-31T00:00:00"/>
    <x v="3"/>
    <s v="No Reporta"/>
    <s v="Naciones Unidas"/>
    <n v="1250"/>
    <x v="152"/>
    <s v="Estados Unidos"/>
    <m/>
    <s v="1. Promover la lucha contra el cambio climatico, la justicia ambiental y la transformación productiva"/>
    <s v="6.6. En 2020 a proteger y restaurar los ecosistemas relacionados con el agua, incluyendo montañas, bosques, humedales, ríos, acuíferos y lagos."/>
    <x v="3"/>
    <s v="SIN ALINEAR"/>
    <s v="Ambiente y Desarrollo Sostenible"/>
  </r>
  <r>
    <s v="R-AO-25-6453"/>
    <s v="SC06 Desarrollo territorial con énfasis en el recurso hídrico"/>
    <s v="Contribuir al ordenamiento territorial alrededor del agua mediante la implementación de la Estrategia Nacional de Restauración 2023-2026 (ENR), promoviendo soluciones basadas en la naturaleza (SbN) que sean efectivas, eficientes y equitativas frente a los conflictos socioambientales._x000a_"/>
    <d v="2025-03-16T00:00:00"/>
    <d v="2026-12-31T00:00:00"/>
    <x v="9"/>
    <s v="No Reporta"/>
    <s v="Naciones Unidas"/>
    <n v="1250"/>
    <x v="152"/>
    <s v="Estados Unidos"/>
    <m/>
    <s v="1. Promover la lucha contra el cambio climatico, la justicia ambiental y la transformación productiva"/>
    <s v="6.6. En 2020 a proteger y restaurar los ecosistemas relacionados con el agua, incluyendo montañas, bosques, humedales, ríos, acuíferos y lagos."/>
    <x v="3"/>
    <s v="SIN ALINEAR"/>
    <s v="Ambiente y Desarrollo Sostenible"/>
  </r>
  <r>
    <s v="R-AO-25-6455"/>
    <s v="Fortalecer la prevención de las violencias basadas en género, protección y atención de las niñas, mujeres y personas LGBTIQ+ en territorios de Colombia FASE 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5-01-02T00:00:00"/>
    <d v="2027-02-22T00:00:00"/>
    <x v="28"/>
    <s v="Buenos Aires"/>
    <s v="Unión Europea"/>
    <n v="84919.375"/>
    <x v="26"/>
    <s v="Bélgica"/>
    <m/>
    <s v="No Aplica"/>
    <s v="5.2.Eliminar todas las formas de violencia contra las mujeres y las niñas en las esferas públicas y privadas, incluyendo el tráfico sexual y otros tipos de explotación."/>
    <x v="2"/>
    <s v="SIN ALINEAR"/>
    <s v="Igualdad y Equidad"/>
  </r>
  <r>
    <s v="R-AO-25-6455"/>
    <s v="Fortalecer la prevención de las violencias basadas en género, protección y atención de las niñas, mujeres y personas LGBTIQ+ en territorios de Colombia FASE 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5-01-02T00:00:00"/>
    <d v="2027-02-22T00:00:00"/>
    <x v="28"/>
    <s v="Corinto"/>
    <s v="Unión Europea"/>
    <n v="84919.375"/>
    <x v="26"/>
    <s v="Bélgica"/>
    <m/>
    <s v="No Aplica"/>
    <s v="5.2.Eliminar todas las formas de violencia contra las mujeres y las niñas en las esferas públicas y privadas, incluyendo el tráfico sexual y otros tipos de explotación."/>
    <x v="2"/>
    <s v="SIN ALINEAR"/>
    <s v="Igualdad y Equidad"/>
  </r>
  <r>
    <s v="R-AO-25-6455"/>
    <s v="Fortalecer la prevención de las violencias basadas en género, protección y atención de las niñas, mujeres y personas LGBTIQ+ en territorios de Colombia FASE 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5-01-02T00:00:00"/>
    <d v="2027-02-22T00:00:00"/>
    <x v="28"/>
    <s v="Puerto Tejada"/>
    <s v="Unión Europea"/>
    <n v="84919.375"/>
    <x v="26"/>
    <s v="Bélgica"/>
    <m/>
    <s v="No Aplica"/>
    <s v="5.2.Eliminar todas las formas de violencia contra las mujeres y las niñas en las esferas públicas y privadas, incluyendo el tráfico sexual y otros tipos de explotación."/>
    <x v="2"/>
    <s v="SIN ALINEAR"/>
    <s v="Igualdad y Equidad"/>
  </r>
  <r>
    <s v="R-AO-25-6455"/>
    <s v="Fortalecer la prevención de las violencias basadas en género, protección y atención de las niñas, mujeres y personas LGBTIQ+ en territorios de Colombia FASE 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5-01-02T00:00:00"/>
    <d v="2027-02-22T00:00:00"/>
    <x v="28"/>
    <s v="Suárez"/>
    <s v="Unión Europea"/>
    <n v="84919.375"/>
    <x v="26"/>
    <s v="Bélgica"/>
    <m/>
    <s v="No Aplica"/>
    <s v="5.2.Eliminar todas las formas de violencia contra las mujeres y las niñas en las esferas públicas y privadas, incluyendo el tráfico sexual y otros tipos de explotación."/>
    <x v="2"/>
    <s v="SIN ALINEAR"/>
    <s v="Igualdad y Equidad"/>
  </r>
  <r>
    <s v="R-AO-25-6455"/>
    <s v="Fortalecer la prevención de las violencias basadas en género, protección y atención de las niñas, mujeres y personas LGBTIQ+ en territorios de Colombia FASE 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5-01-02T00:00:00"/>
    <d v="2027-02-22T00:00:00"/>
    <x v="9"/>
    <s v="Florida"/>
    <s v="Unión Europea"/>
    <n v="113225.83333333299"/>
    <x v="26"/>
    <s v="Bélgica"/>
    <m/>
    <s v="No Aplica"/>
    <s v="5.2.Eliminar todas las formas de violencia contra las mujeres y las niñas en las esferas públicas y privadas, incluyendo el tráfico sexual y otros tipos de explotación."/>
    <x v="2"/>
    <s v="SIN ALINEAR"/>
    <s v="Igualdad y Equidad"/>
  </r>
  <r>
    <s v="R-AO-25-6455"/>
    <s v="Fortalecer la prevención de las violencias basadas en género, protección y atención de las niñas, mujeres y personas LGBTIQ+ en territorios de Colombia FASE 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5-01-02T00:00:00"/>
    <d v="2027-02-22T00:00:00"/>
    <x v="9"/>
    <s v="Jamundí"/>
    <s v="Unión Europea"/>
    <n v="113225.83333333299"/>
    <x v="26"/>
    <s v="Bélgica"/>
    <m/>
    <s v="No Aplica"/>
    <s v="5.2.Eliminar todas las formas de violencia contra las mujeres y las niñas en las esferas públicas y privadas, incluyendo el tráfico sexual y otros tipos de explotación."/>
    <x v="2"/>
    <s v="SIN ALINEAR"/>
    <s v="Igualdad y Equidad"/>
  </r>
  <r>
    <s v="R-AO-25-6455"/>
    <s v="Fortalecer la prevención de las violencias basadas en género, protección y atención de las niñas, mujeres y personas LGBTIQ+ en territorios de Colombia FASE 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5-01-02T00:00:00"/>
    <d v="2027-02-22T00:00:00"/>
    <x v="9"/>
    <s v="Pradera"/>
    <s v="Unión Europea"/>
    <n v="113225.83333333299"/>
    <x v="26"/>
    <s v="Bélgica"/>
    <m/>
    <s v="No Aplica"/>
    <s v="5.2.Eliminar todas las formas de violencia contra las mujeres y las niñas en las esferas públicas y privadas, incluyendo el tráfico sexual y otros tipos de explotación."/>
    <x v="2"/>
    <s v="SIN ALINEAR"/>
    <s v="Igualdad y Equidad"/>
  </r>
  <r>
    <s v="R-AO-24-6458"/>
    <s v="Iniciativas de Divulgación de Activos Climáticos de América Latina - 1_I_434_Lateinamerika_A_LACADI"/>
    <s v="Facilitar la inclusión de oportunidades y riesgos del cambio climático en las decisiones de inversión, generan-do herramientas y propiciando un ambiente colaborativo para que direccione las inversiones de los mayores dueños de activos en la región a dos tipos de actores: Empresas grandes y Micro, pequeñas y medianas empresas"/>
    <d v="2024-08-28T00:00:00"/>
    <d v="2026-03-31T00:00:00"/>
    <x v="8"/>
    <s v="No Reporta"/>
    <s v="Alemania"/>
    <n v="737285"/>
    <x v="55"/>
    <s v="Alemania"/>
    <m/>
    <s v="1. Promover la lucha contra el cambio climatico, la justicia ambiental y la transformación productiva"/>
    <s v="8.10.Fortalecer la capacidad de las instituciones financieras locales para promover la expansión del acceso a la banca, los seguros y los servicios financieros para todos."/>
    <x v="14"/>
    <s v="SIN ALINEAR"/>
    <s v="Ambiente y Desarrollo Sostenible"/>
  </r>
  <r>
    <s v="R-AO-24-6461"/>
    <s v="Implementación de un modelo agroforestal y de gestión forestal sostenible para el Putumayo GCP /COL/180/KOR"/>
    <s v="Incrementar los ingresos de productores de pimienta, derivados del buen manejo del cultivo y el mejoramiento de la comercialización; como contribución al Plan Departamental de Desarrollo 2024-2027 (Desafío 1: Un campo productivo para la gente - Inclusión productiva de pequeños productores rurales)"/>
    <d v="2024-11-29T00:00:00"/>
    <d v="2027-12-31T00:00:00"/>
    <x v="8"/>
    <s v="No Reporta"/>
    <s v="Corea del Sur"/>
    <n v="3861386"/>
    <x v="13"/>
    <s v="Corea del Sur"/>
    <m/>
    <s v="1. Promover la lucha contra el cambio climatico, la justicia ambiental y la transformación productiva"/>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9"/>
    <s v="Mocoa"/>
    <s v="Corea del Sur"/>
    <n v="1060.60317460316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9"/>
    <s v="Orito"/>
    <s v="Corea del Sur"/>
    <n v="1060.60317460316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9"/>
    <s v="Puerto Asís"/>
    <s v="Corea del Sur"/>
    <n v="1060.60317460316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9"/>
    <s v="Puerto Caicedo"/>
    <s v="Corea del Sur"/>
    <n v="1060.60317460316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9"/>
    <s v="San Miguel"/>
    <s v="Corea del Sur"/>
    <n v="1060.60317460316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9"/>
    <s v="Valle del Guamuez"/>
    <s v="Corea del Sur"/>
    <n v="1060.60317460316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9"/>
    <s v="Villagarzón"/>
    <s v="Corea del Sur"/>
    <n v="1060.60317460316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0"/>
    <s v="Convención"/>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0"/>
    <s v="Hacarí"/>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0"/>
    <s v="La Esperanza"/>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0"/>
    <s v="Ocaña"/>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0"/>
    <s v="Teorama"/>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0"/>
    <s v="Tibú"/>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7"/>
    <s v="Cartagena del Chairá"/>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7"/>
    <s v="El Doncello"/>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7"/>
    <s v="El Paujíl"/>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7"/>
    <s v="Florencia"/>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7"/>
    <s v="La Montañita"/>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7"/>
    <s v="San José del Fragua"/>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5"/>
    <s v="Aranzazu"/>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5"/>
    <s v="La Dorada"/>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5"/>
    <s v="Manizales"/>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5"/>
    <s v="Riosucio"/>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5"/>
    <s v="Salamina"/>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5"/>
    <s v="Samaná"/>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
    <s v="La Macarena"/>
    <s v="Corea del Sur"/>
    <n v="1484.84444444443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
    <s v="Mapiripán"/>
    <s v="Corea del Sur"/>
    <n v="1484.84444444443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
    <s v="Puerto concordia"/>
    <s v="Corea del Sur"/>
    <n v="1484.84444444443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
    <s v="Uribe"/>
    <s v="Corea del Sur"/>
    <n v="1484.84444444443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
    <s v="Vistahermosa"/>
    <s v="Corea del Sur"/>
    <n v="1484.84444444443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5"/>
    <s v="Morales"/>
    <s v="Corea del Sur"/>
    <n v="1856.05555555556"/>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5"/>
    <s v="San Pablo"/>
    <s v="Corea del Sur"/>
    <n v="1856.05555555556"/>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5"/>
    <s v="Santa Rosa del Sur"/>
    <s v="Corea del Sur"/>
    <n v="1856.05555555556"/>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5"/>
    <s v="Simití"/>
    <s v="Corea del Sur"/>
    <n v="1856.05555555556"/>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8"/>
    <s v="Caldono"/>
    <s v="Corea del Sur"/>
    <n v="1856.05555555556"/>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8"/>
    <s v="El Tambo"/>
    <s v="Corea del Sur"/>
    <n v="1856.05555555556"/>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8"/>
    <s v="Guapí"/>
    <s v="Corea del Sur"/>
    <n v="1856.05555555556"/>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8"/>
    <s v="Timbiquí"/>
    <s v="Corea del Sur"/>
    <n v="1856.05555555556"/>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8"/>
    <s v="Calamar"/>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8"/>
    <s v="El Retorno"/>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8"/>
    <s v="San José del Guaviare"/>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7"/>
    <s v="Pasto"/>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7"/>
    <s v="San Andrés de Tumaco"/>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7"/>
    <s v="Tangua"/>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9"/>
    <s v="Bolívar"/>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9"/>
    <s v="Buenaventura"/>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9"/>
    <s v="Dagua"/>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9"/>
    <s v="Chaparral"/>
    <s v="Corea del Sur"/>
    <n v="3712.11111111110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9"/>
    <s v="Coyaima"/>
    <s v="Corea del Sur"/>
    <n v="3712.11111111110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7"/>
    <s v="Cáceres"/>
    <s v="Corea del Sur"/>
    <n v="3712.11111111110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7"/>
    <s v="Yarumal"/>
    <s v="Corea del Sur"/>
    <n v="3712.11111111110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0"/>
    <s v="Saravena"/>
    <s v="Corea del Sur"/>
    <n v="3712.11111111110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0"/>
    <s v="Tame"/>
    <s v="Corea del Sur"/>
    <n v="3712.11111111110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6"/>
    <s v="Montería"/>
    <s v="Corea del Sur"/>
    <n v="7424.22222222221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6"/>
    <s v="Riohacha"/>
    <s v="Corea del Sur"/>
    <n v="7424.22222222221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0"/>
    <s v="Santa Marta"/>
    <s v="Corea del Sur"/>
    <n v="7424.22222222221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1"/>
    <s v="Bogotá D.C."/>
    <s v="Corea del Sur"/>
    <n v="7424.22222222221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4"/>
    <s v="Neiva"/>
    <s v="Corea del Sur"/>
    <n v="7424.22222222221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463"/>
    <s v="Asistencia para el Ministerio de Igualdad y Equidad en la estructuración de proyectos para la superación de las brechas de desigualdad e inequidad"/>
    <s v="Contribuir a la formulación e implementación de las políticas públicas dirigidas a la superación de las brechas de desigualdad e inequidad, a través de la estructuración de programas y proyectos de alto impacto con enfoque territorial para poblaciones marginadas y en municipios excluidos"/>
    <d v="2024-11-19T00:00:00"/>
    <d v="2026-05-18T00:00:00"/>
    <x v="8"/>
    <s v="Ámbito Nacional"/>
    <s v="España"/>
    <n v="137624"/>
    <x v="27"/>
    <s v="España"/>
    <m/>
    <s v="3. Promover una cultura de paz, justicia y lucha contra la desigualdad"/>
    <s v="16.6.Desarrollar instituciones eficaces, responsables y transparentes a todos los niveles."/>
    <x v="7"/>
    <s v="SIN ALINEAR"/>
    <s v="Igualdad y Equidad"/>
  </r>
  <r>
    <s v="R-AO-24-6470"/>
    <s v="Finanzas de Impacto y Transformación de Empleos en Colombia rural (FITEC) - NDICI CSO/2024/459-712"/>
    <s v="Fortalecer las OSC en su rol y accionar como actores que contribuyen al desarrollo territorial sostenible basado en la transformación digital y las transiciones justas, la promoción y protección de los derechos humanos y las libertades fundamentales; y promover los derechos económicos, sociales y culturales de la población beneficiaria, mejorando su acceso al empleo y emprendimiento para generar inclusión social y una vida digna."/>
    <d v="2024-12-01T00:00:00"/>
    <d v="2028-06-01T00:00:00"/>
    <x v="14"/>
    <s v="No Reporta"/>
    <s v="Alemania"/>
    <n v="132082"/>
    <x v="153"/>
    <s v="Alemania"/>
    <m/>
    <s v="2. Contribuir a la lucha contra el hambre y la atención humanitaria a la poblacion"/>
    <s v="8.10.Fortalecer la capacidad de las instituciones financieras locales para promover la expansión del acceso a la banca, los seguros y los servicios financieros para todos."/>
    <x v="14"/>
    <s v="SIN ALINEAR"/>
    <s v="Comercio, Industria y Turismo"/>
  </r>
  <r>
    <s v="R-AO-24-6470"/>
    <s v="Finanzas de Impacto y Transformación de Empleos en Colombia rural (FITEC) - NDICI CSO/2024/459-712"/>
    <s v="Fortalecer las OSC en su rol y accionar como actores que contribuyen al desarrollo territorial sostenible basado en la transformación digital y las transiciones justas, la promoción y protección de los derechos humanos y las libertades fundamentales; y promover los derechos económicos, sociales y culturales de la población beneficiaria, mejorando su acceso al empleo y emprendimiento para generar inclusión social y una vida digna."/>
    <d v="2024-12-01T00:00:00"/>
    <d v="2028-06-01T00:00:00"/>
    <x v="7"/>
    <s v="No Reporta"/>
    <s v="Alemania"/>
    <n v="132082"/>
    <x v="153"/>
    <s v="Alemania"/>
    <m/>
    <s v="2. Contribuir a la lucha contra el hambre y la atención humanitaria a la poblacion"/>
    <s v="8.10.Fortalecer la capacidad de las instituciones financieras locales para promover la expansión del acceso a la banca, los seguros y los servicios financieros para todos."/>
    <x v="14"/>
    <s v="SIN ALINEAR"/>
    <s v="Comercio, Industria y Turismo"/>
  </r>
  <r>
    <s v="R-AO-24-6470"/>
    <s v="Finanzas de Impacto y Transformación de Empleos en Colombia rural (FITEC) - NDICI CSO/2024/459-712"/>
    <s v="Fortalecer las OSC en su rol y accionar como actores que contribuyen al desarrollo territorial sostenible basado en la transformación digital y las transiciones justas, la promoción y protección de los derechos humanos y las libertades fundamentales; y promover los derechos económicos, sociales y culturales de la población beneficiaria, mejorando su acceso al empleo y emprendimiento para generar inclusión social y una vida digna."/>
    <d v="2024-12-01T00:00:00"/>
    <d v="2028-06-01T00:00:00"/>
    <x v="14"/>
    <s v="No Reporta"/>
    <s v="Unión Europea"/>
    <n v="1056199.5"/>
    <x v="26"/>
    <s v="Alemania"/>
    <m/>
    <s v="2. Contribuir a la lucha contra el hambre y la atención humanitaria a la poblacion"/>
    <s v="8.10.Fortalecer la capacidad de las instituciones financieras locales para promover la expansión del acceso a la banca, los seguros y los servicios financieros para todos."/>
    <x v="14"/>
    <s v="SIN ALINEAR"/>
    <s v="Comercio, Industria y Turismo"/>
  </r>
  <r>
    <s v="R-AO-24-6470"/>
    <s v="Finanzas de Impacto y Transformación de Empleos en Colombia rural (FITEC) - NDICI CSO/2024/459-712"/>
    <s v="Fortalecer las OSC en su rol y accionar como actores que contribuyen al desarrollo territorial sostenible basado en la transformación digital y las transiciones justas, la promoción y protección de los derechos humanos y las libertades fundamentales; y promover los derechos económicos, sociales y culturales de la población beneficiaria, mejorando su acceso al empleo y emprendimiento para generar inclusión social y una vida digna."/>
    <d v="2024-12-01T00:00:00"/>
    <d v="2028-06-01T00:00:00"/>
    <x v="7"/>
    <s v="No Reporta"/>
    <s v="Unión Europea"/>
    <n v="1056199.5"/>
    <x v="26"/>
    <s v="Alemania"/>
    <m/>
    <s v="2. Contribuir a la lucha contra el hambre y la atención humanitaria a la poblacion"/>
    <s v="8.10.Fortalecer la capacidad de las instituciones financieras locales para promover la expansión del acceso a la banca, los seguros y los servicios financieros para todos."/>
    <x v="14"/>
    <s v="SIN ALINEAR"/>
    <s v="Comercio, Industria y Turismo"/>
  </r>
  <r>
    <s v="R-AO-24-6473"/>
    <s v="CLT02 Fortalecimiento de las oportunidades profesionales para músicos emergentes en Colombia”."/>
    <s v="Impulsar el desarrollo profesional de músicos emergentes en Colombia, brindándoles herramientas para fortalecer su trayectoria en la industria musical."/>
    <d v="2024-01-12T00:00:00"/>
    <d v="2026-01-06T00:00:00"/>
    <x v="8"/>
    <s v="No Reporta"/>
    <s v="Naciones Unidas"/>
    <n v="100000"/>
    <x v="152"/>
    <s v="Estados Unidos"/>
    <m/>
    <s v="No Aplica"/>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ultura"/>
  </r>
  <r>
    <s v="R-AO-21-6483"/>
    <s v="SC07 Reserva de Biosfera transfronteriza en el ámbito del Corredor Marino del pacífico oriental cmAR (COL, CRI, ECU, PAN)"/>
    <s v="Promover la gestión sostenible del Corredor Marino del Pacífico Oriental Tropical (CMAR) mediante la cooperación regional entre Colombia, Costa Rica, Ecuador y Panamá."/>
    <d v="2021-07-05T00:00:00"/>
    <d v="2026-12-31T00:00:00"/>
    <x v="28"/>
    <s v="No Reporta"/>
    <s v="Naciones Unidas"/>
    <n v="20000"/>
    <x v="152"/>
    <s v="Estados Unidos"/>
    <m/>
    <s v="No Aplica"/>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1-6483"/>
    <s v="SC07 Reserva de Biosfera transfronteriza en el ámbito del Corredor Marino del pacífico oriental cmAR (COL, CRI, ECU, PAN)"/>
    <s v="Promover la gestión sostenible del Corredor Marino del Pacífico Oriental Tropical (CMAR) mediante la cooperación regional entre Colombia, Costa Rica, Ecuador y Panamá."/>
    <d v="2021-07-05T00:00:00"/>
    <d v="2026-12-31T00:00:00"/>
    <x v="30"/>
    <s v="No Reporta"/>
    <s v="Naciones Unidas"/>
    <n v="20000"/>
    <x v="152"/>
    <s v="Estados Unidos"/>
    <m/>
    <s v="No Aplica"/>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1-6483"/>
    <s v="SC07 Reserva de Biosfera transfronteriza en el ámbito del Corredor Marino del pacífico oriental cmAR (COL, CRI, ECU, PAN)"/>
    <s v="Promover la gestión sostenible del Corredor Marino del Pacífico Oriental Tropical (CMAR) mediante la cooperación regional entre Colombia, Costa Rica, Ecuador y Panamá."/>
    <d v="2021-07-05T00:00:00"/>
    <d v="2026-12-31T00:00:00"/>
    <x v="9"/>
    <s v="No Reporta"/>
    <s v="Naciones Unidas"/>
    <n v="20000"/>
    <x v="152"/>
    <s v="Estados Unidos"/>
    <m/>
    <s v="No Aplica"/>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21"/>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5"/>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6"/>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16"/>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10"/>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4"/>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11"/>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31"/>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23"/>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12"/>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14"/>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29"/>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7"/>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15"/>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32"/>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13"/>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1"/>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9"/>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3-6524"/>
    <s v="1002110-Ventana III - ANDES"/>
    <s v="Acompañamiento desde el rol de agente de gestión (AG)a iniciativas aprobadas por el MPTFpara contribuir a la promoción de la reforma rural integral, el desarrollo rural y la seguridad humana conel objetivo de cerrar brechas históricas, reducir la inequidad y fortalecer la seguridad."/>
    <d v="2023-11-30T00:00:00"/>
    <d v="2027-12-31T00:00:00"/>
    <x v="14"/>
    <s v="No Reporta"/>
    <s v="Naciones Unidas"/>
    <n v="117569"/>
    <x v="93"/>
    <s v="Estados Unidos"/>
    <m/>
    <s v="3. Promover una cultura de paz, justicia y lucha contra la desigualdad"/>
    <s v="16.3.Promover el estado de derecho en los planos nacional e internacional, y garantizar la igualdad en el acceso a la justicia para todos."/>
    <x v="7"/>
    <s v="SIN ALINEAR"/>
    <s v="Agricultura y Desarrollo Rural"/>
  </r>
  <r>
    <s v="R-AO-24-6530"/>
    <s v="Apoyo al programa Nacional de Conectividad fija de Colombia con énfasis en soluciones de banda ancha fija para hogares, compañías e instituciones públicas de gobierno"/>
    <s v="Asistir al MINTIC de Colombia para contribuir con información, datos y recomendaciones que establezcan la base de la formulación de los proyectos de inversión para el desarrollo de infraestructura de telecomunicaciones en zonas periurbanas, rurales y remotas de Colombia"/>
    <d v="2024-12-17T00:00:00"/>
    <d v="2026-12-17T00:00:00"/>
    <x v="8"/>
    <s v="No Reporta"/>
    <s v="Unión Europea"/>
    <n v="4788399"/>
    <x v="154"/>
    <s v="Bélgica"/>
    <m/>
    <s v="4. Fortalecimiento institucional para la gestión de la cooperación internacional"/>
    <s v="17.8.Operacionalizar plenamente el Banco de Tecnología e CT&amp;amp;I, mecanismo de creación de capacidad para los PMA para el año 2017, y mejorar el uso de tecnologías de apoyo, en particular las TIC."/>
    <x v="15"/>
    <s v="SIN ALINEAR"/>
    <s v="Ciencia, Tecnología e innovación"/>
  </r>
  <r>
    <s v="R-AO-24-6538"/>
    <s v="Acompañamiento en el diseño de Iniciativas de cobertura de Infraestructura estratégica y fortalecimiento de las capacidades de gestión del territorio de Santa Marta"/>
    <s v="Acompañar el diseño de iniciativas de cobertura de infraestructura estratégica e identitaria y de fortalecimiento de las capacidades de gestión de la Alcaldía de Santa Marta para alcanzar su implementación efectiva."/>
    <d v="2024-07-15T00:00:00"/>
    <d v="2026-07-15T00:00:00"/>
    <x v="10"/>
    <s v="No Reporta"/>
    <s v="Banca Multilateral"/>
    <n v="450000"/>
    <x v="46"/>
    <s v="Venezuela"/>
    <m/>
    <s v="4. Fortalecimiento institucional para la gestión de la cooperación internacional"/>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4-6541"/>
    <s v="1002232 -  PIMS-9725 GEF COL/24 REPORTS 1BTR, 4NC+2BTR"/>
    <s v="Fortalecer las capacidades técnicas e institucionales de Colombia para cumplir con sus obligaciones de reporte ante la CMNUCC y el Acuerdo de París, mediante la preparación y presentación del Primer Informe Bienal de Transparencia (BTR1), así como del informe combinado Cuarta Comunicación Nacional (4NC) y Segundo Informe Bienal de Transparencia (BTR2), promoviendo la integración del cambio climático en las prioridades de desarrollo nacional y sectorial."/>
    <d v="2024-06-13T00:00:00"/>
    <d v="2027-10-13T00:00:00"/>
    <x v="8"/>
    <s v="No Reporta"/>
    <s v="Empresas"/>
    <n v="289138"/>
    <x v="8"/>
    <s v="Estados Unidos"/>
    <m/>
    <s v="1. Promover la lucha contra el cambio climatico, la justicia ambiental y la transformación productiva"/>
    <s v="13.2.Integrar medidas de cambio climático en las políticas, estrategias y planificación nacional."/>
    <x v="0"/>
    <s v="SIN ALINEAR"/>
    <s v="Ambiente y Desarrollo Sostenible"/>
  </r>
  <r>
    <s v="R-AO-23-6546"/>
    <s v="1000266 - Etapa III Eliminación del Consumo HCFC"/>
    <s v="pROMOVER LA  ELIMINACIÓN DEL CONSUMO DE HCFC EN EL SECTOR DE SERVICIOS DE REFRIGERACIÓN Y AIRE ACONDICIONADO"/>
    <d v="2023-01-01T00:00:00"/>
    <d v="2027-05-30T00:00:00"/>
    <x v="8"/>
    <s v="No Reporta"/>
    <s v="Multilateral"/>
    <n v="334630"/>
    <x v="155"/>
    <s v="Canadá"/>
    <m/>
    <s v="1. Promover la lucha contra el cambio climatico, la justicia ambiental y la transformación productiva"/>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4-6564"/>
    <s v="Apoyo a la educación en imagen y animación en los países andinos &quot;OTROS OJOS COLOMBIA&quot;"/>
    <s v="OTROS OJOS tiene varios desafíos en la mira: estimular el regreso de los espectadores a las salas de cine, fomentar la educación al público en diversidad cultural, buscar la sostenibilidad económica de los creadores independientes mediante alianzas entre los sectores público y privado y aumentar la cuota de cine independiente latinoamericano en las salas de cine de la región andina."/>
    <d v="2024-06-01T00:00:00"/>
    <d v="2026-11-30T00:00:00"/>
    <x v="8"/>
    <s v="No Reporta"/>
    <s v="Francia"/>
    <n v="477900"/>
    <x v="156"/>
    <s v="Colombia"/>
    <m/>
    <s v="No Aplica"/>
    <s v="11.4.Fortalecer los esfuerzos para proteger y salvaguardar el patrimonio cultural y natural del mundo."/>
    <x v="4"/>
    <s v="SIN ALINEAR"/>
    <s v="Cultura"/>
  </r>
  <r>
    <s v="R-AO-23-6572"/>
    <s v="1002107-Ventana III - Humanicemos"/>
    <s v="Acompañamiento desde el rol de agente de gestión (AG)a iniciativas aprobadas por el MPTFpara contribuir a la promoción de la reforma rural integral, el desarrollo rural y la seguridad humana conel objetivo de cerrar brechas históricas, reducir la inequidad y fortalecer la seguridad."/>
    <d v="2023-11-30T00:00:00"/>
    <d v="2027-12-31T00:00:00"/>
    <x v="17"/>
    <s v="No Reporta"/>
    <s v="Naciones Unidas"/>
    <n v="699128"/>
    <x v="93"/>
    <s v="Estados Unidos"/>
    <m/>
    <s v="3. Promover una cultura de paz, justicia y lucha contra la desigualdad"/>
    <s v="16.3.Promover el estado de derecho en los planos nacional e internacional, y garantizar la igualdad en el acceso a la justicia para todos."/>
    <x v="7"/>
    <s v="SIN ALINEAR"/>
    <s v="Agricultura y Desarrollo Rural"/>
  </r>
  <r>
    <s v="R-AO-23-6572"/>
    <s v="1002107-Ventana III - Humanicemos"/>
    <s v="Acompañamiento desde el rol de agente de gestión (AG)a iniciativas aprobadas por el MPTFpara contribuir a la promoción de la reforma rural integral, el desarrollo rural y la seguridad humana conel objetivo de cerrar brechas históricas, reducir la inequidad y fortalecer la seguridad."/>
    <d v="2023-11-30T00:00:00"/>
    <d v="2027-12-31T00:00:00"/>
    <x v="7"/>
    <s v="No Reporta"/>
    <s v="Naciones Unidas"/>
    <n v="699128"/>
    <x v="93"/>
    <s v="Estados Unidos"/>
    <m/>
    <s v="3. Promover una cultura de paz, justicia y lucha contra la desigualdad"/>
    <s v="16.3.Promover el estado de derecho en los planos nacional e internacional, y garantizar la igualdad en el acceso a la justicia para todos."/>
    <x v="7"/>
    <s v="SIN ALINEAR"/>
    <s v="Agricultura y Desarrollo Rural"/>
  </r>
  <r>
    <s v="R-AO-24-6576"/>
    <s v="1001514-Fortalecimiento para la respuesta a crisis y recuperación temprana en Colombia"/>
    <s v="Fortalecer las capacidades institucionales y comunitarias en Colombia para la gestión efectiva y coordinada de crisis relacionadas con el desplazamiento interno y los riesgos de desastres, mediante un enfoque de desarrollo sostenible que promueva soluciones resilientes a largo plazo frente a los desafíos actuales y futuros, incluyendo los inducidos por el cambio climático."/>
    <d v="2024-02-26T00:00:00"/>
    <d v="2027-02-25T00:00:00"/>
    <x v="8"/>
    <s v="No Reporta"/>
    <s v="Naciones Unidas"/>
    <n v="179593"/>
    <x v="93"/>
    <s v="Estados Unidos"/>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4-6593"/>
    <s v="1002166-PROYECTOS INTEGRADORES PDET NORTE DEL CAUCA"/>
    <s v="PROYECTOS INTEGRADORES PDET NORTE DEL CAUCA"/>
    <d v="2024-09-01T00:00:00"/>
    <d v="2026-03-31T00:00:00"/>
    <x v="8"/>
    <s v="No Reporta"/>
    <s v="Naciones Unidas"/>
    <n v="74000"/>
    <x v="93"/>
    <s v="Estados Unidos"/>
    <m/>
    <s v="3. Promover una cultura de paz, justicia y lucha contra la desigualdad"/>
    <s v="16.3.Promover el estado de derecho en los planos nacional e internacional, y garantizar la igualdad en el acceso a la justicia para todos."/>
    <x v="7"/>
    <s v="SIN ALINEAR"/>
    <s v="Agricultura y Desarrollo Rural"/>
  </r>
  <r>
    <s v="R-AO-24-6592"/>
    <s v="Ciudades biodiversas, resilientes, inclusivas y sostenibles en Colombia"/>
    <s v="CONTRIBUIR AL DESARROLLO URBANO SOSTENIBLE, RESILIENTE Y ORIENTADO A LA BIODIVERSIDAD DE LAS CIUDADES INTERMEDIAS DE COLOMBIA. "/>
    <d v="2024-08-01T00:00:00"/>
    <d v="2027-08-01T00:00:00"/>
    <x v="33"/>
    <s v="San Andrés"/>
    <s v="Italia"/>
    <n v="1377166"/>
    <x v="17"/>
    <s v="Italia"/>
    <m/>
    <s v="1. Promover la lucha contra el cambio climatico, la justicia ambiental y la transformación productiva"/>
    <s v="11.3.Para 2030 mejorar la urbanización sostenible e inclusiva y las capacidades para la planificación y gestión participativa de los asentamientos humanos integrada y sostenible de todos los países."/>
    <x v="4"/>
    <s v="SIN ALINEAR"/>
    <s v="Ambiente y Desarrollo Sostenible"/>
  </r>
  <r>
    <s v="R-AO-24-6592"/>
    <s v="Ciudades biodiversas, resilientes, inclusivas y sostenibles en Colombia"/>
    <s v="CONTRIBUIR AL DESARROLLO URBANO SOSTENIBLE, RESILIENTE Y ORIENTADO A LA BIODIVERSIDAD DE LAS CIUDADES INTERMEDIAS DE COLOMBIA. "/>
    <d v="2024-08-01T00:00:00"/>
    <d v="2027-08-01T00:00:00"/>
    <x v="24"/>
    <s v="Leticia"/>
    <s v="Italia"/>
    <n v="1377166"/>
    <x v="17"/>
    <s v="Italia"/>
    <m/>
    <s v="1. Promover la lucha contra el cambio climatico, la justicia ambiental y la transformación productiva"/>
    <s v="11.3.Para 2030 mejorar la urbanización sostenible e inclusiva y las capacidades para la planificación y gestión participativa de los asentamientos humanos integrada y sostenible de todos los países."/>
    <x v="4"/>
    <s v="SIN ALINEAR"/>
    <s v="Ambiente y Desarrollo Sostenible"/>
  </r>
  <r>
    <s v="R-AO-24-6598"/>
    <s v="15253 - We Effect - återintegrering Colombia 2022-2026 (Desembolso 2024)"/>
    <s v="facilitar el proceso de reincorporación de mujeres y hombres excombatientes conjuntamente con sus comunidades vecinas"/>
    <d v="2024-01-02T00:00:00"/>
    <d v="2026-04-30T00:00:00"/>
    <x v="5"/>
    <s v="No Reporta"/>
    <s v="Suecia"/>
    <n v="166163"/>
    <x v="49"/>
    <s v="Sueci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nterior"/>
  </r>
  <r>
    <s v="R-AO-24-6598"/>
    <s v="15253 - We Effect - återintegrering Colombia 2022-2026 (Desembolso 2024)"/>
    <s v="facilitar el proceso de reincorporación de mujeres y hombres excombatientes conjuntamente con sus comunidades vecinas"/>
    <d v="2024-01-02T00:00:00"/>
    <d v="2026-04-30T00:00:00"/>
    <x v="6"/>
    <s v="No Reporta"/>
    <s v="Suecia"/>
    <n v="166163"/>
    <x v="49"/>
    <s v="Sueci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nterior"/>
  </r>
  <r>
    <s v="R-AO-24-6598"/>
    <s v="15253 - We Effect - återintegrering Colombia 2022-2026 (Desembolso 2024)"/>
    <s v="facilitar el proceso de reincorporación de mujeres y hombres excombatientes conjuntamente con sus comunidades vecinas"/>
    <d v="2024-01-02T00:00:00"/>
    <d v="2026-04-30T00:00:00"/>
    <x v="4"/>
    <s v="No Reporta"/>
    <s v="Suecia"/>
    <n v="166163"/>
    <x v="49"/>
    <s v="Sueci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nterior"/>
  </r>
  <r>
    <s v="R-AO-24-6599"/>
    <s v="1002303- FORTALECIMIENTO INSTITUCIONAL FASE XIV - UTO"/>
    <s v="Este proyecto tiene como objetivo impulsar estrategias transversales que potencien las capacidades nacionales en la generación de instrumentos normativos y de gestión, así como en actividades de difusión, sensibilización y articulación para la implementación efectiva de los diversos proyectos ejecutados por la Unidad Técnica Ozono. Específicamente, durante este periodo se considera el cumplimiento de objetivos de la Etapa III del Plan de Manejo para la Eliminación del Consumo de hidroclorofluorocarbonos en Colombia (HPMP), con el fin de alcanzar las metas de eliminación del consumo de HCFC, la preparación de la Fase I del Plan de reducción de HFC (KIP) e inicio de ejecución de actividades del proyecto."/>
    <d v="2024-05-01T00:00:00"/>
    <d v="2027-05-01T00:00:00"/>
    <x v="8"/>
    <s v="No Reporta"/>
    <s v="Multilateral"/>
    <n v="194634"/>
    <x v="155"/>
    <s v="Canadá"/>
    <m/>
    <s v="1. Promover la lucha contra el cambio climatico, la justicia ambiental y la transformación productiva"/>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4-6604"/>
    <s v="2000889-Fortalecimiento de las capacidades de la JEP y la PGN para la investigación y esclarecimiento de graves crímenes de lesa humanidad y crímenes de guerra desde un enfoque dialógico, de género y restaurativo para la construcción de paz en Colombia."/>
    <s v="Fortalecer las capacidades de la JEP y de la Procuraduría Delegada ante la JEP para investigar y judicializar crímenes de lesa humanidad y guerra, generar escenarios restaurativos, y brindar garantías de participación para las víctimas y comparecientes desde una perspectiva dialógica y diferencial."/>
    <d v="2024-12-23T00:00:00"/>
    <d v="2026-06-17T00:00:00"/>
    <x v="8"/>
    <s v="No Reporta"/>
    <s v="Naciones Unidas"/>
    <n v="500000"/>
    <x v="148"/>
    <s v="Nueva York"/>
    <m/>
    <s v="3. Promover una cultura de paz, justicia y lucha contra la desigualdad"/>
    <s v="5.1.Acabar todas las formas de discriminación contra todas las mujeres y niñas en todas partes."/>
    <x v="2"/>
    <s v="SIN ALINEAR"/>
    <s v="Igualdad y Equidad"/>
  </r>
  <r>
    <s v="R-AO-24-6605"/>
    <s v="RLA/24/50/EUR - Conducta Empresarial Responsable en América Latina y el Caribe (Fase II)"/>
    <s v="Este proyecto tiene como objetivo fomentar un crecimiento inteligente, sostenible e inclusivo en la UE y América Latina y el Caribe mediante el apoyo a prácticas de conducta empresarial responsable, en consonancia con los principios internacionalmente acordados y establecidos en los instrumentos de las Naciones Unidas, la OIT y la OCDE, y teniendo en cuenta la evolución normativa y política de la UE en materia de Conducta Empresarial Responsable (CER) y diligencia debida. Considerando la experiencia del Proyecto RBCLAC hasta la fecha y la evolución de las prioridades de la UE."/>
    <d v="2024-07-01T00:00:00"/>
    <d v="2028-06-30T00:00:00"/>
    <x v="8"/>
    <s v="No Reporta"/>
    <s v="Unión Europea"/>
    <n v="38172"/>
    <x v="26"/>
    <s v="Bélgica"/>
    <m/>
    <s v="No Aplica"/>
    <s v="10.2.Para 2030 potenciar y promover la inclusión social, económica y política de todos independientemente de la edad, sexo, discapacidad, raza, etnia, origen, religión o condición económica o de otro tipo."/>
    <x v="11"/>
    <s v="SIN ALINEAR"/>
    <s v="Trabajo"/>
  </r>
  <r>
    <s v="R-AO-24-6612"/>
    <s v="Innovación rural y sostenible para el desarrollo regional bajo la variabilidad climática en la región central de RAP-E"/>
    <s v="La acción pretende contribuir a la implementación del «Pacto de Sumapaz», que prevé el fortalecimiento de los procesos de conservación de la biodiversidad y los servicios ecosistémicos de importancia regional y nacional.  Específicamente, planea promover Paisajes Productivos social y económicamente sostenibles que mejoren los medios de vida y la conectividad en la Región Administrativa y de Planificación Central de Colombia - RAP-E Región Central.  "/>
    <d v="2024-11-06T00:00:00"/>
    <d v="2027-11-06T00:00:00"/>
    <x v="31"/>
    <s v="No Reporta"/>
    <s v="Italia"/>
    <n v="1047002.75"/>
    <x v="17"/>
    <s v="Italia"/>
    <m/>
    <s v="1. Promover la lucha contra el cambio climatico, la justicia ambiental y la transformación productiva"/>
    <s v="12.8.Para 2030 asegurar que todas las poblaciones tengan la información y el conocimiento relevante para el desarrollo sostenible y los estilos de vida en armonía con la naturaleza."/>
    <x v="10"/>
    <s v="SIN ALINEAR"/>
    <s v="Ambiente y Desarrollo Sostenible"/>
  </r>
  <r>
    <s v="R-AO-24-6612"/>
    <s v="Innovación rural y sostenible para el desarrollo regional bajo la variabilidad climática en la región central de RAP-E"/>
    <s v="La acción pretende contribuir a la implementación del «Pacto de Sumapaz», que prevé el fortalecimiento de los procesos de conservación de la biodiversidad y los servicios ecosistémicos de importancia regional y nacional.  Específicamente, planea promover Paisajes Productivos social y económicamente sostenibles que mejoren los medios de vida y la conectividad en la Región Administrativa y de Planificación Central de Colombia - RAP-E Región Central.  "/>
    <d v="2024-11-06T00:00:00"/>
    <d v="2027-11-06T00:00:00"/>
    <x v="23"/>
    <s v="No Reporta"/>
    <s v="Italia"/>
    <n v="1047002.75"/>
    <x v="17"/>
    <s v="Italia"/>
    <m/>
    <s v="1. Promover la lucha contra el cambio climatico, la justicia ambiental y la transformación productiva"/>
    <s v="12.8.Para 2030 asegurar que todas las poblaciones tengan la información y el conocimiento relevante para el desarrollo sostenible y los estilos de vida en armonía con la naturaleza."/>
    <x v="10"/>
    <s v="SIN ALINEAR"/>
    <s v="Ambiente y Desarrollo Sostenible"/>
  </r>
  <r>
    <s v="R-AO-24-6612"/>
    <s v="Innovación rural y sostenible para el desarrollo regional bajo la variabilidad climática en la región central de RAP-E"/>
    <s v="La acción pretende contribuir a la implementación del «Pacto de Sumapaz», que prevé el fortalecimiento de los procesos de conservación de la biodiversidad y los servicios ecosistémicos de importancia regional y nacional.  Específicamente, planea promover Paisajes Productivos social y económicamente sostenibles que mejoren los medios de vida y la conectividad en la Región Administrativa y de Planificación Central de Colombia - RAP-E Región Central.  "/>
    <d v="2024-11-06T00:00:00"/>
    <d v="2027-11-06T00:00:00"/>
    <x v="14"/>
    <s v="No Reporta"/>
    <s v="Italia"/>
    <n v="1047002.75"/>
    <x v="17"/>
    <s v="Italia"/>
    <m/>
    <s v="1. Promover la lucha contra el cambio climatico, la justicia ambiental y la transformación productiva"/>
    <s v="12.8.Para 2030 asegurar que todas las poblaciones tengan la información y el conocimiento relevante para el desarrollo sostenible y los estilos de vida en armonía con la naturaleza."/>
    <x v="10"/>
    <s v="SIN ALINEAR"/>
    <s v="Ambiente y Desarrollo Sostenible"/>
  </r>
  <r>
    <s v="R-AO-24-6612"/>
    <s v="Innovación rural y sostenible para el desarrollo regional bajo la variabilidad climática en la región central de RAP-E"/>
    <s v="La acción pretende contribuir a la implementación del «Pacto de Sumapaz», que prevé el fortalecimiento de los procesos de conservación de la biodiversidad y los servicios ecosistémicos de importancia regional y nacional.  Específicamente, planea promover Paisajes Productivos social y económicamente sostenibles que mejoren los medios de vida y la conectividad en la Región Administrativa y de Planificación Central de Colombia - RAP-E Región Central.  "/>
    <d v="2024-11-06T00:00:00"/>
    <d v="2027-11-06T00:00:00"/>
    <x v="29"/>
    <s v="No Reporta"/>
    <s v="Italia"/>
    <n v="1047002.75"/>
    <x v="17"/>
    <s v="Italia"/>
    <m/>
    <s v="1. Promover la lucha contra el cambio climatico, la justicia ambiental y la transformación productiva"/>
    <s v="12.8.Para 2030 asegurar que todas las poblaciones tengan la información y el conocimiento relevante para el desarrollo sostenible y los estilos de vida en armonía con la naturaleza."/>
    <x v="10"/>
    <s v="SIN ALINEAR"/>
    <s v="Ambiente y Desarrollo Sostenible"/>
  </r>
  <r>
    <s v="R-AO-23-6601"/>
    <s v="Prêt à Bogota - Assitance technique-CCO 1085 "/>
    <s v="Cierre de brechas de généro"/>
    <d v="2023-10-01T00:00:00"/>
    <d v="2026-12-31T00:00:00"/>
    <x v="8"/>
    <s v="No Reporta"/>
    <s v="Francia"/>
    <n v="463367"/>
    <x v="111"/>
    <s v="Francia"/>
    <m/>
    <s v="3. Promover una cultura de paz, justicia y lucha contra la desigualdad"/>
    <s v="5.4.Reconocer y valorar el trabajo doméstico y de cuidado no remunerado a través de la provisión de servicios públicos, infraestructura, políticas de protección social y la promoción de la responsabilidad compartida en el hogar y la familia según corresponda a nivel nacional."/>
    <x v="2"/>
    <s v="SIN ALINEAR"/>
    <s v="Igualdad y Equidad"/>
  </r>
  <r>
    <s v="R-AO-24-6633"/>
    <s v="Igualitarias: transformando territorios - FEF-OSC - PROGRAMAS 209"/>
    <s v="Mejorar las condiciones de vida de las niñas y las mujeres en Colombia"/>
    <d v="2024-06-01T00:00:00"/>
    <d v="2026-11-30T00:00:00"/>
    <x v="7"/>
    <s v="Caldas"/>
    <s v="Francia"/>
    <n v="8904.25"/>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3"/>
    <s v="Igualitarias: transformando territorios - FEF-OSC - PROGRAMAS 209"/>
    <s v="Mejorar las condiciones de vida de las niñas y las mujeres en Colombia"/>
    <d v="2024-06-01T00:00:00"/>
    <d v="2026-11-30T00:00:00"/>
    <x v="7"/>
    <s v="Itagüí"/>
    <s v="Francia"/>
    <n v="8904.25"/>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3"/>
    <s v="Igualitarias: transformando territorios - FEF-OSC - PROGRAMAS 209"/>
    <s v="Mejorar las condiciones de vida de las niñas y las mujeres en Colombia"/>
    <d v="2024-06-01T00:00:00"/>
    <d v="2026-11-30T00:00:00"/>
    <x v="7"/>
    <s v="La Estrella"/>
    <s v="Francia"/>
    <n v="8904.25"/>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3"/>
    <s v="Igualitarias: transformando territorios - FEF-OSC - PROGRAMAS 209"/>
    <s v="Mejorar las condiciones de vida de las niñas y las mujeres en Colombia"/>
    <d v="2024-06-01T00:00:00"/>
    <d v="2026-11-30T00:00:00"/>
    <x v="7"/>
    <s v="Sabaneta"/>
    <s v="Francia"/>
    <n v="8904.25"/>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3"/>
    <s v="Igualitarias: transformando territorios - FEF-OSC - PROGRAMAS 209"/>
    <s v="Mejorar las condiciones de vida de las niñas y las mujeres en Colombia"/>
    <d v="2024-06-01T00:00:00"/>
    <d v="2026-11-30T00:00:00"/>
    <x v="2"/>
    <s v="Acacías"/>
    <s v="Francia"/>
    <n v="11872.333333333299"/>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3"/>
    <s v="Igualitarias: transformando territorios - FEF-OSC - PROGRAMAS 209"/>
    <s v="Mejorar las condiciones de vida de las niñas y las mujeres en Colombia"/>
    <d v="2024-06-01T00:00:00"/>
    <d v="2026-11-30T00:00:00"/>
    <x v="2"/>
    <s v="Granada"/>
    <s v="Francia"/>
    <n v="11872.333333333299"/>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3"/>
    <s v="Igualitarias: transformando territorios - FEF-OSC - PROGRAMAS 209"/>
    <s v="Mejorar las condiciones de vida de las niñas y las mujeres en Colombia"/>
    <d v="2024-06-01T00:00:00"/>
    <d v="2026-11-30T00:00:00"/>
    <x v="2"/>
    <s v="Villavicencio"/>
    <s v="Francia"/>
    <n v="11872.333333333299"/>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3"/>
    <s v="Igualitarias: transformando territorios - FEF-OSC - PROGRAMAS 209"/>
    <s v="Mejorar las condiciones de vida de las niñas y las mujeres en Colombia"/>
    <d v="2024-06-01T00:00:00"/>
    <d v="2026-11-30T00:00:00"/>
    <x v="16"/>
    <s v="Fonseca"/>
    <s v="Francia"/>
    <n v="17808.5"/>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3"/>
    <s v="Igualitarias: transformando territorios - FEF-OSC - PROGRAMAS 209"/>
    <s v="Mejorar las condiciones de vida de las niñas y las mujeres en Colombia"/>
    <d v="2024-06-01T00:00:00"/>
    <d v="2026-11-30T00:00:00"/>
    <x v="16"/>
    <s v="Maicao"/>
    <s v="Francia"/>
    <n v="17808.5"/>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9"/>
    <s v="1001218 - Piloto para el uso de alternativas en la disminución impacto HFC y mejora del Consumo Energético"/>
    <s v="Piloto para promover el uso de alternativas de bajo o nulo potencial de calentamiento global (PCG) con el fin disminuir el impacto ambiental directo (reducción de emisiones de HFC) y mejorar el consumo energético de los sistemas de refrigeración centralizados en el subsector supermercados (tiendas)."/>
    <d v="2024-01-01T00:00:00"/>
    <d v="2026-12-31T00:00:00"/>
    <x v="8"/>
    <s v="No Reporta"/>
    <s v="Canadá"/>
    <n v="163711"/>
    <x v="158"/>
    <s v="Canadá"/>
    <m/>
    <s v="1. Promover la lucha contra el cambio climatico, la justicia ambiental y la transformación productiva"/>
    <s v="11.6.En el 2030, reducir el impacto ambiental per cápita adverso de las ciudades, prestando especial atención a la calidad del aire, y la gestión municipal de residuos municipal y otras."/>
    <x v="4"/>
    <s v="SIN ALINEAR"/>
    <s v="Ambiente y Desarrollo Sostenible"/>
  </r>
  <r>
    <s v="R-AO-23-6641"/>
    <s v="Mujeres Echando Raices-CZZ3150"/>
    <s v="El objetivo principal del proyecto Mujeres Echando Raíces (MERA) es contribuir a reforzar la protección y la integración socioeconómica de las mujeres migrantes venezolanas en las comunidades de acogida de Cali y Quito"/>
    <d v="2023-06-01T00:00:00"/>
    <d v="2026-05-31T00:00:00"/>
    <x v="9"/>
    <s v="No Reporta"/>
    <s v="Francia"/>
    <n v="4133546"/>
    <x v="111"/>
    <s v="Franci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Igualdad y Equidad"/>
  </r>
  <r>
    <s v="R-AO-24-6644"/>
    <s v="Apoyo a la reforma rural integral en Colombia - ARRIC "/>
    <s v="Apoyar al gobierno colombiano en la implementación exitosa de la reforma rural integral. "/>
    <d v="2024-06-01T00:00:00"/>
    <d v="2026-08-01T00:00:00"/>
    <x v="6"/>
    <s v="No Reporta"/>
    <s v="Francia"/>
    <n v="271425.5"/>
    <x v="157"/>
    <s v="Francia"/>
    <m/>
    <s v="3. Promover una cultura de paz, justicia y lucha contra la desigualdad"/>
    <s v="2.a.Aumentar, incluso mediante una mayor cooperación internacional, las inversiones en infraestructura rural, investigación y servicios de extensión agrícola, desarrollo tecnológico y bancos de genes de plantas y ganado a fin de mejorar la capacidad de producción agropecuaria en los países en desarrollo, particularmente en los países menos adelantados"/>
    <x v="12"/>
    <s v="SIN ALINEAR"/>
    <s v="Agricultura y Desarrollo Rural"/>
  </r>
  <r>
    <s v="R-AO-24-6644"/>
    <s v="Apoyo a la reforma rural integral en Colombia - ARRIC "/>
    <s v="Apoyar al gobierno colombiano en la implementación exitosa de la reforma rural integral. "/>
    <d v="2024-06-01T00:00:00"/>
    <d v="2026-08-01T00:00:00"/>
    <x v="16"/>
    <s v="No Reporta"/>
    <s v="Francia"/>
    <n v="271425.5"/>
    <x v="157"/>
    <s v="Francia"/>
    <m/>
    <s v="3. Promover una cultura de paz, justicia y lucha contra la desigualdad"/>
    <s v="2.a.Aumentar, incluso mediante una mayor cooperación internacional, las inversiones en infraestructura rural, investigación y servicios de extensión agrícola, desarrollo tecnológico y bancos de genes de plantas y ganado a fin de mejorar la capacidad de producción agropecuaria en los países en desarrollo, particularmente en los países menos adelantados"/>
    <x v="12"/>
    <s v="SIN ALINEAR"/>
    <s v="Agricultura y Desarrollo Rural"/>
  </r>
  <r>
    <s v="R-AO-24-6644"/>
    <s v="Apoyo a la reforma rural integral en Colombia - ARRIC "/>
    <s v="Apoyar al gobierno colombiano en la implementación exitosa de la reforma rural integral. "/>
    <d v="2024-06-01T00:00:00"/>
    <d v="2026-08-01T00:00:00"/>
    <x v="4"/>
    <s v="No Reporta"/>
    <s v="Francia"/>
    <n v="271425.5"/>
    <x v="157"/>
    <s v="Francia"/>
    <m/>
    <s v="3. Promover una cultura de paz, justicia y lucha contra la desigualdad"/>
    <s v="2.a.Aumentar, incluso mediante una mayor cooperación internacional, las inversiones en infraestructura rural, investigación y servicios de extensión agrícola, desarrollo tecnológico y bancos de genes de plantas y ganado a fin de mejorar la capacidad de producción agropecuaria en los países en desarrollo, particularmente en los países menos adelantados"/>
    <x v="12"/>
    <s v="SIN ALINEAR"/>
    <s v="Agricultura y Desarrollo Rural"/>
  </r>
  <r>
    <s v="R-AO-24-6644"/>
    <s v="Apoyo a la reforma rural integral en Colombia - ARRIC "/>
    <s v="Apoyar al gobierno colombiano en la implementación exitosa de la reforma rural integral. "/>
    <d v="2024-06-01T00:00:00"/>
    <d v="2026-08-01T00:00:00"/>
    <x v="15"/>
    <s v="No Reporta"/>
    <s v="Francia"/>
    <n v="271425.5"/>
    <x v="157"/>
    <s v="Francia"/>
    <m/>
    <s v="3. Promover una cultura de paz, justicia y lucha contra la desigualdad"/>
    <s v="2.a.Aumentar, incluso mediante una mayor cooperación internacional, las inversiones en infraestructura rural, investigación y servicios de extensión agrícola, desarrollo tecnológico y bancos de genes de plantas y ganado a fin de mejorar la capacidad de producción agropecuaria en los países en desarrollo, particularmente en los países menos adelantados"/>
    <x v="12"/>
    <s v="SIN ALINEAR"/>
    <s v="Agricultura y Desarrollo Rural"/>
  </r>
  <r>
    <s v="R-AO-24-6645"/>
    <s v="GCP /GLO/1169/GER -  Ampliar las capacidades para la gobernanza responsable de la tenencia del agua en apoyo de la seguridad alimentaria, la resiliencia climática y la inclusión social (ScaleWat)"/>
    <s v="Fortalecer las capacidades de gobernanza para que los Estados miembros, actores no estatales y organizaciones de las Naciones Unidas en dos regiones y dos países piloto avancen hacia un marco coherente de tenencia del agua, mediante la mejora de los datos, la contabilidad del agua y la administración de los derechos hídricos, en línea con las recomendaciones del COAG y del CSA sobre agua, seguridad alimentaria y nutrición"/>
    <d v="2024-06-21T00:00:00"/>
    <d v="2026-10-31T00:00:00"/>
    <x v="10"/>
    <s v="No Reporta"/>
    <s v="Alemania"/>
    <n v="173714.5"/>
    <x v="159"/>
    <s v="Alemania"/>
    <m/>
    <s v="1. Promover la lucha contra el cambio climatico, la justicia ambiental y la transformación productiva"/>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mbiente y Desarrollo Sostenible"/>
  </r>
  <r>
    <s v="R-AO-24-6645"/>
    <s v="GCP /GLO/1169/GER -  Ampliar las capacidades para la gobernanza responsable de la tenencia del agua en apoyo de la seguridad alimentaria, la resiliencia climática y la inclusión social (ScaleWat)"/>
    <s v="Fortalecer las capacidades de gobernanza para que los Estados miembros, actores no estatales y organizaciones de las Naciones Unidas en dos regiones y dos países piloto avancen hacia un marco coherente de tenencia del agua, mediante la mejora de los datos, la contabilidad del agua y la administración de los derechos hídricos, en línea con las recomendaciones del COAG y del CSA sobre agua, seguridad alimentaria y nutrición"/>
    <d v="2024-06-21T00:00:00"/>
    <d v="2026-10-31T00:00:00"/>
    <x v="11"/>
    <s v="No Reporta"/>
    <s v="Alemania"/>
    <n v="173714.5"/>
    <x v="159"/>
    <s v="Alemania"/>
    <m/>
    <s v="1. Promover la lucha contra el cambio climatico, la justicia ambiental y la transformación productiva"/>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mbiente y Desarrollo Sostenible"/>
  </r>
  <r>
    <s v="R-AO-24-6651"/>
    <s v="15400 - ICTJ Colombia 2022-2026, Övergångsrättvisa (desembolso 2024)"/>
    <s v="apoyar al ICTJ (Centro Internacional para la Justicia Transicional) en colombia"/>
    <d v="2024-01-02T00:00:00"/>
    <d v="2026-03-31T00:00:00"/>
    <x v="8"/>
    <s v="No Reporta"/>
    <s v="Suecia"/>
    <n v="235136"/>
    <x v="49"/>
    <s v="Suecia"/>
    <m/>
    <s v="3. Promover una cultura de paz, justicia y lucha contra la desigualdad"/>
    <s v="16.3.Promover el estado de derecho en los planos nacional e internacional, y garantizar la igualdad en el acceso a la justicia para todos."/>
    <x v="7"/>
    <s v="SIN ALINEAR"/>
    <s v="Justicia y del Derecho"/>
  </r>
  <r>
    <s v="R-AO-23-6659"/>
    <s v="sater-cco1127"/>
    <s v="Contribuir a mejorar la consideración de las cuestiones climáticas por parte de los actores locales para fortalecer la resiliencia ambiental y la soberanía alimentaria de los territorios ante los impactos del cambio climático. "/>
    <d v="2023-11-01T00:00:00"/>
    <d v="2026-11-01T00:00:00"/>
    <x v="22"/>
    <s v="No Reporta"/>
    <s v="Francia"/>
    <n v="426376"/>
    <x v="111"/>
    <s v="Francia"/>
    <m/>
    <s v="1. Promover la lucha contra el cambio climatico, la justicia ambiental y la transformación productiva"/>
    <s v="11.3.Para 2030 mejorar la urbanización sostenible e inclusiva y las capacidades para la planificación y gestión participativa de los asentamientos humanos integrada y sostenible de todos los países."/>
    <x v="4"/>
    <s v="SIN ALINEAR"/>
    <s v="Ambiente y Desarrollo Sostenible"/>
  </r>
  <r>
    <s v="R-AO-24-6660"/>
    <s v="16558 - NIR - Responsabilidad y sostenibilidad en la minería latinoamericana / 16558 - NIR - Responsibility and sustainability in Latin American Mining (desembolso 2024)"/>
    <s v="Financiamiento a la ONG sueca NIR (Consejo Internacional de la Industria Sueca) para un trabajo sobre minería sostenible en Colombia, con dos componentes: 1) minería de oro a pequeña escala coordinada con los distritos mineros del gobierno colombiano, y 2) minería de cobre responsable, relevante para la agenda de transición energética del gobierno colombiano y de interés para las empresas suecas."/>
    <d v="2024-01-01T00:00:00"/>
    <d v="2027-06-30T00:00:00"/>
    <x v="8"/>
    <s v="No Reporta"/>
    <s v="Suecia"/>
    <n v="282164"/>
    <x v="49"/>
    <s v="Suecia"/>
    <m/>
    <s v="1. Promover la lucha contra el cambio climatico, la justicia ambiental y la transformación productiva"/>
    <s v="12.2.En 2030 alcanzar la gestión sostenible y uso eficiente de los recursos naturales."/>
    <x v="10"/>
    <s v="SIN ALINEAR"/>
    <s v="Minas y Energía"/>
  </r>
  <r>
    <s v="R-AO-24-6658"/>
    <s v="16063 - Sector privado y construcción de paz Colombia 2023-2026"/>
    <s v="La contribución tiene como objetivo coordinar los esfuerzos de las tres organizaciones para promover un enfoque integral que incluya insumos e información para los responsables de la formulación de políticas, así como para la opinión pública, construya puentes entre los gobiernos nacionales y regionales y las empresas, sensibilice a las empresas privadas sobre buenos ejemplos de conducta empresarial responsable junto con el impacto que podrían desempeñar en la construcción de la paz. y, por último, promueve los vínculos comerciales entre las grandes empresas y los pequeños agricultores de las regiones afectadas por conflictos, estimulando así las oportunidades económicas en determinadas regiones._x000a_"/>
    <d v="2024-01-01T00:00:00"/>
    <d v="2027-03-31T00:00:00"/>
    <x v="8"/>
    <s v="No Reporta"/>
    <s v="Suecia"/>
    <n v="235136"/>
    <x v="49"/>
    <s v="Suecia"/>
    <m/>
    <s v="3. Promover una cultura de paz, justicia y lucha contra la desigualdad"/>
    <s v="17.15.Respetar el espacio político y el liderazgo de cada país para establecer y poner en práctica políticas para la erradicación de la pobreza y el desarrollo sostenible."/>
    <x v="15"/>
    <s v="SIN ALINEAR"/>
    <s v="Presidencia de la República"/>
  </r>
  <r>
    <s v="R-AO-24-6664"/>
    <s v="Turismo sostenible y valorización de la muralla de Cartagena de Indias"/>
    <s v="Incrementar la protección del patrimonio cultural y natural para el bienestar socioeconomico."/>
    <d v="2024-12-16T00:00:00"/>
    <d v="2028-12-31T00:00:00"/>
    <x v="5"/>
    <s v="Cartagena"/>
    <s v="Italia"/>
    <n v="3152096"/>
    <x v="17"/>
    <s v="Italia"/>
    <m/>
    <s v="No Aplica"/>
    <s v="11.4.Fortalecer los esfuerzos para proteger y salvaguardar el patrimonio cultural y natural del mundo."/>
    <x v="4"/>
    <s v="SIN ALINEAR"/>
    <s v="Cultura"/>
  </r>
  <r>
    <s v="R-AO-24-6666"/>
    <s v="16008 - Cooperación policial Colombia 2024-2027 / 16008 - Police cooperation Colombia 2024-2027 (desembolso 2024)"/>
    <s v="apoyo para el desarrollo de capacidades de la Policía Colombiana, a través de la asistencia técnica prestada por la Autoridad Policial de Suecia"/>
    <d v="2024-04-01T00:00:00"/>
    <d v="2027-03-31T00:00:00"/>
    <x v="8"/>
    <s v="Ámbito Nacional"/>
    <s v="Suecia"/>
    <n v="526705"/>
    <x v="49"/>
    <s v="Suecia"/>
    <m/>
    <s v="4. Fortalecimiento institucional para la gestión de la cooperación internacional"/>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Defensa Nacional"/>
  </r>
  <r>
    <s v="R-AO-24-6672"/>
    <s v="2000965-Alianza entre ONU Mujeres y la Embajada de Francia en el marco del FEF-OSC 2024-118"/>
    <s v="Asesorar la implementación de la Convocatoria impulsada por la Embajada de Francia para mejorar las condiciones de vida de las niñas y las mujeres en Colombia bajo los énfasis temáticos propuestos, con enfoque en el fortalecimiento de capacidades de las organizaciones participantes."/>
    <d v="2024-08-21T00:00:00"/>
    <d v="2026-11-30T00:00:00"/>
    <x v="8"/>
    <s v="No Reporta"/>
    <s v="Francia"/>
    <n v="370350.3"/>
    <x v="160"/>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3-6668"/>
    <s v="Vamos por la Paz-CCO1131"/>
    <s v="Contribuir a la construcción de la paz territorial en Colombia, desde una perspectiva de diálogos multiactor y multinivel "/>
    <d v="2023-11-01T00:00:00"/>
    <d v="2026-11-01T00:00:00"/>
    <x v="7"/>
    <s v="No Reporta"/>
    <s v="Francia"/>
    <n v="345711"/>
    <x v="111"/>
    <s v="Francia"/>
    <m/>
    <s v="3. Promover una cultura de paz, justicia y lucha contra la desigualdad"/>
    <s v="16.7.Garantizar la toma de decisiones receptiva, inclusiva, participativa y representativa en todos los niveles."/>
    <x v="7"/>
    <s v="SIN ALINEAR"/>
    <s v="Interior"/>
  </r>
  <r>
    <s v="R-AO-23-6668"/>
    <s v="Vamos por la Paz-CCO1131"/>
    <s v="Contribuir a la construcción de la paz territorial en Colombia, desde una perspectiva de diálogos multiactor y multinivel "/>
    <d v="2023-11-01T00:00:00"/>
    <d v="2026-11-01T00:00:00"/>
    <x v="28"/>
    <s v="No Reporta"/>
    <s v="Francia"/>
    <n v="345711"/>
    <x v="111"/>
    <s v="Francia"/>
    <m/>
    <s v="3. Promover una cultura de paz, justicia y lucha contra la desigualdad"/>
    <s v="16.7.Garantizar la toma de decisiones receptiva, inclusiva, participativa y representativa en todos los niveles."/>
    <x v="7"/>
    <s v="SIN ALINEAR"/>
    <s v="Interior"/>
  </r>
  <r>
    <s v="R-AO-23-6668"/>
    <s v="Vamos por la Paz-CCO1131"/>
    <s v="Contribuir a la construcción de la paz territorial en Colombia, desde una perspectiva de diálogos multiactor y multinivel "/>
    <d v="2023-11-01T00:00:00"/>
    <d v="2026-11-01T00:00:00"/>
    <x v="30"/>
    <s v="No Reporta"/>
    <s v="Francia"/>
    <n v="345711"/>
    <x v="111"/>
    <s v="Francia"/>
    <m/>
    <s v="3. Promover una cultura de paz, justicia y lucha contra la desigualdad"/>
    <s v="16.7.Garantizar la toma de decisiones receptiva, inclusiva, participativa y representativa en todos los niveles."/>
    <x v="7"/>
    <s v="SIN ALINEAR"/>
    <s v="Interior"/>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33"/>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22"/>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16"/>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24"/>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17"/>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19"/>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18"/>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30"/>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27"/>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81"/>
    <s v="COL08DATPATR-proyectos integradores"/>
    <s v="Formular 5 proyectos integradores que activen que activen iniciativas para acelerar la implementación del PATR en 5 municipios del nodo del norte del Cauca de la Subregión Alto Patía y Norte del Cauca mediante la estructuración colaborativa de proyectos integradores y el inicio de su implementación"/>
    <d v="2024-01-11T00:00:00"/>
    <d v="2026-03-23T00:00:00"/>
    <x v="28"/>
    <s v="Caldono"/>
    <s v="Naciones Unidas"/>
    <n v="33616.375"/>
    <x v="93"/>
    <s v="Estados Unidos"/>
    <m/>
    <s v="3. Promover una cultura de paz, justicia y lucha contra la desigualdad"/>
    <s v="16.7.Garantizar la toma de decisiones receptiva, inclusiva, participativa y representativa en todos los niveles."/>
    <x v="7"/>
    <s v="SIN ALINEAR"/>
    <s v="Igualdad y Equidad"/>
  </r>
  <r>
    <s v="R-AO-24-6681"/>
    <s v="COL08DATPATR-proyectos integradores"/>
    <s v="Formular 5 proyectos integradores que activen que activen iniciativas para acelerar la implementación del PATR en 5 municipios del nodo del norte del Cauca de la Subregión Alto Patía y Norte del Cauca mediante la estructuración colaborativa de proyectos integradores y el inicio de su implementación"/>
    <d v="2024-01-11T00:00:00"/>
    <d v="2026-03-23T00:00:00"/>
    <x v="28"/>
    <s v="Caloto"/>
    <s v="Naciones Unidas"/>
    <n v="33616.375"/>
    <x v="93"/>
    <s v="Estados Unidos"/>
    <m/>
    <s v="3. Promover una cultura de paz, justicia y lucha contra la desigualdad"/>
    <s v="16.7.Garantizar la toma de decisiones receptiva, inclusiva, participativa y representativa en todos los niveles."/>
    <x v="7"/>
    <s v="SIN ALINEAR"/>
    <s v="Igualdad y Equidad"/>
  </r>
  <r>
    <s v="R-AO-24-6681"/>
    <s v="COL08DATPATR-proyectos integradores"/>
    <s v="Formular 5 proyectos integradores que activen que activen iniciativas para acelerar la implementación del PATR en 5 municipios del nodo del norte del Cauca de la Subregión Alto Patía y Norte del Cauca mediante la estructuración colaborativa de proyectos integradores y el inicio de su implementación"/>
    <d v="2024-01-11T00:00:00"/>
    <d v="2026-03-23T00:00:00"/>
    <x v="28"/>
    <s v="Jambaló"/>
    <s v="Naciones Unidas"/>
    <n v="33616.375"/>
    <x v="93"/>
    <s v="Estados Unidos"/>
    <m/>
    <s v="3. Promover una cultura de paz, justicia y lucha contra la desigualdad"/>
    <s v="16.7.Garantizar la toma de decisiones receptiva, inclusiva, participativa y representativa en todos los niveles."/>
    <x v="7"/>
    <s v="SIN ALINEAR"/>
    <s v="Igualdad y Equidad"/>
  </r>
  <r>
    <s v="R-AO-24-6681"/>
    <s v="COL08DATPATR-proyectos integradores"/>
    <s v="Formular 5 proyectos integradores que activen que activen iniciativas para acelerar la implementación del PATR en 5 municipios del nodo del norte del Cauca de la Subregión Alto Patía y Norte del Cauca mediante la estructuración colaborativa de proyectos integradores y el inicio de su implementación"/>
    <d v="2024-01-11T00:00:00"/>
    <d v="2026-03-23T00:00:00"/>
    <x v="28"/>
    <s v="Suárez"/>
    <s v="Naciones Unidas"/>
    <n v="33616.375"/>
    <x v="93"/>
    <s v="Estados Unidos"/>
    <m/>
    <s v="3. Promover una cultura de paz, justicia y lucha contra la desigualdad"/>
    <s v="16.7.Garantizar la toma de decisiones receptiva, inclusiva, participativa y representativa en todos los niveles."/>
    <x v="7"/>
    <s v="SIN ALINEAR"/>
    <s v="Igualdad y Equidad"/>
  </r>
  <r>
    <s v="R-AO-24-6681"/>
    <s v="COL08DATPATR-proyectos integradores"/>
    <s v="Formular 5 proyectos integradores que activen que activen iniciativas para acelerar la implementación del PATR en 5 municipios del nodo del norte del Cauca de la Subregión Alto Patía y Norte del Cauca mediante la estructuración colaborativa de proyectos integradores y el inicio de su implementación"/>
    <d v="2024-01-11T00:00:00"/>
    <d v="2026-03-23T00:00:00"/>
    <x v="9"/>
    <s v="Pradera"/>
    <s v="Naciones Unidas"/>
    <n v="134465.5"/>
    <x v="93"/>
    <s v="Estados Unidos"/>
    <m/>
    <s v="3. Promover una cultura de paz, justicia y lucha contra la desigualdad"/>
    <s v="16.7.Garantizar la toma de decisiones receptiva, inclusiva, participativa y representativa en todos los niveles."/>
    <x v="7"/>
    <s v="SIN ALINEAR"/>
    <s v="Igualdad y Equidad"/>
  </r>
  <r>
    <s v="R-AO-24-6689"/>
    <s v="Cacao Bioandino Fase II-CZZ3483"/>
    <s v="Subvención destinada a contribuir a la sostenibilidad, trazabilidad y comercialización del cacao ecológico de aroma fino producido por pequeños agricultores familiares en sistemas agroforestales y comercializado a través del comercio justo en Colombia, Ecuador y Perú. Apoyará a 26 organizaciones de productores de estos 3 países y a más de 6.000 familias"/>
    <d v="2024-12-01T00:00:00"/>
    <d v="2028-01-31T00:00:00"/>
    <x v="8"/>
    <s v="No Reporta"/>
    <s v="Francia"/>
    <n v="1087885"/>
    <x v="111"/>
    <s v="Franci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10"/>
    <s v="Programa global para fortalecer la intervención de la red FIDH para aumentar el poder de acción de defensores y organizaciones locales de derechos humanos-CZZ3716 01 E"/>
    <s v="Incrementar el poder de acción de los defensores y de las organizaciones locales de derechos humanos fortaleciendo la red de la FIDH"/>
    <d v="2024-04-01T00:00:00"/>
    <d v="2027-04-30T00:00:00"/>
    <x v="8"/>
    <s v="No Reporta"/>
    <s v="Francia"/>
    <n v="280727"/>
    <x v="111"/>
    <s v="Francia"/>
    <m/>
    <s v="3. Promover una cultura de paz, justicia y lucha contra la desigualdad"/>
    <s v="16.10.Garantizar el acceso público a la información y proteger las libertades fundamentales, de conformidad con la legislación nacional y los acuerdos internacionales."/>
    <x v="7"/>
    <s v="SIN ALINEAR"/>
    <s v="Interior"/>
  </r>
  <r>
    <s v="R-AO-24-6714"/>
    <s v="Women Lead In Emergencies - CZZ3620"/>
    <s v="El objetivo general del proyecto es aumentar la participación y el liderazgo de las organizaciones, colectivos y redes de mujeres (formales e informales) en el diseño e implementación de respuestas a las crisis, incluida la prevención y respuesta a conflictos y la adaptación al cambio climático"/>
    <d v="2024-07-01T00:00:00"/>
    <d v="2026-07-31T00:00:00"/>
    <x v="20"/>
    <s v="No Reporta"/>
    <s v="Francia"/>
    <n v="1030000"/>
    <x v="111"/>
    <s v="Francia"/>
    <m/>
    <s v="3. Promover una cultura de paz, justicia y lucha contra la desigualdad"/>
    <s v="5.1.Acabar todas las formas de discriminación contra todas las mujeres y niñas en todas partes."/>
    <x v="2"/>
    <s v="SIN ALINEAR"/>
    <s v="Igualdad y Equidad"/>
  </r>
  <r>
    <s v="R-AO-24-6714"/>
    <s v="Women Lead In Emergencies - CZZ3620"/>
    <s v="El objetivo general del proyecto es aumentar la participación y el liderazgo de las organizaciones, colectivos y redes de mujeres (formales e informales) en el diseño e implementación de respuestas a las crisis, incluida la prevención y respuesta a conflictos y la adaptación al cambio climático"/>
    <d v="2024-07-01T00:00:00"/>
    <d v="2026-07-31T00:00:00"/>
    <x v="28"/>
    <s v="No Reporta"/>
    <s v="Francia"/>
    <n v="1030000"/>
    <x v="111"/>
    <s v="Francia"/>
    <m/>
    <s v="3. Promover una cultura de paz, justicia y lucha contra la desigualdad"/>
    <s v="5.1.Acabar todas las formas de discriminación contra todas las mujeres y niñas en todas partes."/>
    <x v="2"/>
    <s v="SIN ALINEAR"/>
    <s v="Igualdad y Equidad"/>
  </r>
  <r>
    <s v="R-AO-24-6722"/>
    <s v="02000904 - Unpaid care, disability and gender transformative approach -Cuidados no remunerados, discapacidad y enfoque transformador de género"/>
    <s v="Influir en los sistemas nacionales de cuidados y apoyo, prestando especial atención a los cuidados no remunerados, para crear un entorno político más inclusivo y transformador en materia de género."/>
    <d v="2024-07-01T00:00:00"/>
    <d v="2026-07-01T00:00:00"/>
    <x v="8"/>
    <s v="No Reporta"/>
    <s v="Naciones Unidas"/>
    <n v="16044.3"/>
    <x v="93"/>
    <s v="Estados Unidos"/>
    <m/>
    <s v="4. Fortalecimiento institucional para la gestión de la cooperación internacional"/>
    <s v="5.2.Eliminar todas las formas de violencia contra las mujeres y las niñas en las esferas públicas y privadas, incluyendo el tráfico sexual y otros tipos de explotación."/>
    <x v="2"/>
    <s v="SIN ALINEAR"/>
    <s v="Igualdad y Equidad"/>
  </r>
  <r>
    <s v="R-AO-24-6723"/>
    <s v="Proyecto para la reducción de brechas de género a través de estrategias de cuidado - Cuídate: la vida es Colectiva-CCO1138 01 N"/>
    <s v="Contribuir a la reducción de las desigualdades de género a través del reconocimiento, reducción y redistribución del tiempo dedicado al trabajo doméstico/de cuidados no remunerado y la promoción del empoderamiento económico de las mujeres en 9 municipios del Departamento de Antioquia"/>
    <d v="2024-06-01T00:00:00"/>
    <d v="2027-06-30T00:00:00"/>
    <x v="7"/>
    <s v="No Reporta"/>
    <s v="Francia"/>
    <n v="492040"/>
    <x v="111"/>
    <s v="Francia"/>
    <m/>
    <s v="3. Promover una cultura de paz, justicia y lucha contra la desigualdad"/>
    <s v="5.4.Reconocer y valorar el trabajo doméstico y de cuidado no remunerado a través de la provisión de servicios públicos, infraestructura, políticas de protección social y la promoción de la responsabilidad compartida en el hogar y la familia según corresponda a nivel nacional."/>
    <x v="2"/>
    <s v="SIN ALINEAR"/>
    <s v="Igualdad y Equidad"/>
  </r>
  <r>
    <s v="R-AO-24-6729"/>
    <s v="Hacia la sostenibilidad del Cañón del Chicamocha como destino integrado y responsable - CCO1147 01 N"/>
    <s v="Garantizar la apropiación local y la gestión autónoma y sostenible del Destino Chicamocha"/>
    <d v="2024-10-01T00:00:00"/>
    <d v="2027-10-31T00:00:00"/>
    <x v="12"/>
    <s v="No Reporta"/>
    <s v="Francia"/>
    <n v="612850"/>
    <x v="111"/>
    <s v="Colombia"/>
    <m/>
    <s v="1. Promover la lucha contra el cambio climatico, la justicia ambiental y la transformación productiva"/>
    <s v="15.4.En 2030 asegurar la preservación de los ecosistemas de montaña, incluyendo su biodiversidad, para mejorar su capacidad para proporcionar beneficios que son esenciales para el desarrollo sostenible."/>
    <x v="6"/>
    <s v="SIN ALINEAR"/>
    <s v="Ambiente y Desarrollo Sostenible"/>
  </r>
  <r>
    <s v="R-AO-24-6730"/>
    <s v="1002893 - Iniciativa de Financiamiento de la Biodiversidad - Fase II (BIOFIN Colombia) -  The Biodiversity Finance Initiative - Phase II (BIOFIN Colombia)"/>
    <s v="Iniciativa de Financiamiento de la Biodiversidad - Fase II (BIOFIN Colombia)"/>
    <d v="2024-06-11T00:00:00"/>
    <d v="2030-12-31T00:00:00"/>
    <x v="8"/>
    <s v="No Reporta"/>
    <s v="Noruega"/>
    <n v="468666"/>
    <x v="22"/>
    <s v="Noruega"/>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AO-24-6740"/>
    <s v="1002605 -  PIMS-10040 Programa Marco para Apoyar la Actualización de la ENB y el Séptimo Informe Nacional - Colombia -PIMS-10040 Umbrella Programme to Support NBSAP Update and the 7th National Reports-Colombia"/>
    <s v="PIMS-10040 Programa Marco para Apoyar la Actualización de la ENB y el Séptimo Informe Nacional - Colombia"/>
    <d v="2024-05-24T00:00:00"/>
    <d v="2027-11-24T00:00:00"/>
    <x v="8"/>
    <s v="No Reporta"/>
    <s v="Empresas"/>
    <n v="205000"/>
    <x v="8"/>
    <s v="Estados Unidos"/>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6748"/>
    <s v="SC240940 COLOMBIA:Activar el acceso efectivo a los servicios de protección social y empleo (COLOMBIA:Triggering effective access to social protection and jobs services)"/>
    <s v="COLOMBIA:Activar el acceso efectivo a los servicios de protección social y empleo"/>
    <d v="2024-12-16T00:00:00"/>
    <d v="2026-12-26T00:00:00"/>
    <x v="8"/>
    <s v="No Reporta"/>
    <s v="Naciones Unidas"/>
    <n v="125000"/>
    <x v="93"/>
    <s v="Estados Unidos"/>
    <m/>
    <s v="3. Promover una cultura de paz, justicia y lucha contra la desigualdad"/>
    <s v="8.5.Para 2030 lograr el empleo pleno y productivo y el trabajo decente para todas las mujeres y hombres, incluidos los jóvenes y las personas con discapacidad, y la igualdad de remuneración para el trabajo de igual valor."/>
    <x v="14"/>
    <s v="SIN ALINEAR"/>
    <s v="Protección Social"/>
  </r>
  <r>
    <s v="R-AO-24-6752"/>
    <s v="16559 - NESsT - Fortalecimiento de empresas sociales verdes y equitativas / 16559 - NESsT - Strengthening green and equitable social enterprises (desembolso 2024)"/>
    <s v="Promover componente sobre negocios verdes en regiones conflictivas de Colombia"/>
    <d v="2024-08-01T00:00:00"/>
    <d v="2027-05-31T00:00:00"/>
    <x v="8"/>
    <s v="No Reporta"/>
    <s v="Suecia"/>
    <n v="422305"/>
    <x v="49"/>
    <s v="Sueci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Comercio, Industria y Turismo"/>
  </r>
  <r>
    <s v="R-AO-24-6753"/>
    <s v="Academia de emprendimiento juvenil en Colombia. Youth Start-up Academy in Colombia"/>
    <s v="Desarrollar jovenes emprendedores y crear un ecosistema de emprendimientos aplicando el modelo de academia de emprendimientos online"/>
    <d v="2024-01-01T00:00:00"/>
    <d v="2026-12-31T00:00:00"/>
    <x v="8"/>
    <s v="Ámbito Nacional"/>
    <s v="Corea del Sur"/>
    <n v="4976988"/>
    <x v="161"/>
    <s v="Corea del Sur"/>
    <m/>
    <s v="2. Contribuir a la lucha contra el hambre y la atención humanitaria a la poblacion"/>
    <s v="4.4.Para 2030, aumentar en un x% el número de jóvenes y adultos con habilidades relevantes incluidas las aptitudes técnicas y vocacionales, para el empleo, trabajo decente y el emprendimiento."/>
    <x v="5"/>
    <s v="SIN ALINEAR"/>
    <s v="Igualdad y Equidad"/>
  </r>
  <r>
    <s v="R-AO-24-6766"/>
    <s v="Establecimiento del Tecnoparque Colombia y Apoyo a la Formación Profesional para el Fortalecimiento de Capacidades Digitales.  Establishing Colombia Technopark and Support of Nurturing Professional for Strengthening Digital Capability"/>
    <s v="Fomentar la industria digital de Colombia y fomentar las empresas y profesionales digitales mediante el apoyo al establecimiento del Tecnoparque Colombia y la promocion de las capacidades digitales y la transformacion digital de Colombia."/>
    <d v="2024-01-01T00:00:00"/>
    <d v="2027-12-31T00:00:00"/>
    <x v="8"/>
    <s v="Ámbito Nacional"/>
    <s v="ESAL"/>
    <n v="6725203"/>
    <x v="139"/>
    <s v="Corea del Sur"/>
    <m/>
    <s v="2. Contribuir a la lucha contra el hambre y la atención humanitaria a la poblacion"/>
    <s v="9.5.Potenciar la investigación científica, mejorar la capacidad tecnológica de los sectores industriales en todos los países, especialmente los países en desarrollo, incluyendo la promoción de la innovación y el aumento del número de_x000a_trabajadores en I+D por cada millón de personas en un x% y el gasto público y privado en I+D para el año 2030."/>
    <x v="8"/>
    <s v="SIN ALINEAR"/>
    <s v="Ciencia, Tecnología e innovación"/>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12"/>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24"/>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19"/>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7"/>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1"/>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25"/>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2"/>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3"/>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28"/>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30"/>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27"/>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9"/>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5-6778"/>
    <s v="Proyecto para la Construcción del Centro del Banco de Alimentos en Buenaventura"/>
    <s v="Ampliar la capacidad de almacenamiento del Banco de Alimentos de Buenaventura, a través de la construcción de una bodega contigua de 200 m^2, la cual contenga espacios de almacenamiento y espacios de selección y clasificación de alimentos y no alimentos, que contribuyan al mejoramiento del impacto nutricional y dignificar las condiciones de vida de cerca de 43.300 personas en condición de vulnerabilidad en Buenaventura y sus municipios aledaños"/>
    <d v="2025-03-04T00:00:00"/>
    <d v="2026-03-03T00:00:00"/>
    <x v="9"/>
    <s v="Buenaventura"/>
    <s v="Japón"/>
    <n v="84948"/>
    <x v="127"/>
    <s v="Colombia"/>
    <m/>
    <s v="2. Contribuir a la lucha contra el hambre y la atención humanitaria a la poblacion"/>
    <s v="2.a.Aumentar, incluso mediante una mayor cooperación internacional, las inversiones en infraestructura rural, investigación y servicios de extensión agrícola, desarrollo tecnológico y bancos de genes de plantas y ganado a fin de mejorar la capacidad de producción agropecuaria en los países en desarrollo, particularmente en los países menos adelantados"/>
    <x v="12"/>
    <s v="SIN ALINEAR"/>
    <s v="Agricultura y Desarrollo Rural"/>
  </r>
  <r>
    <s v="R-AO-25-6783"/>
    <s v="Proyecto para la construcción de una biblioteca para la niñez en el municipio de rovira"/>
    <s v="Incrementar los niveles de lectura de la población del municipio de Rovira Tolima."/>
    <d v="2025-02-04T00:00:00"/>
    <d v="2026-02-03T00:00:00"/>
    <x v="29"/>
    <s v="Rovira"/>
    <s v="Japón"/>
    <n v="70952"/>
    <x v="127"/>
    <s v="Colombia"/>
    <m/>
    <s v="3. Promover una cultura de paz, justicia y lucha contra la desigualdad"/>
    <s v="4.a.Construir y mejorar las instalaciones educativas para hacerlas sensibles a los niños, las personas con discapacidad y el género y proporcionar entornos de aprendizaje seguros, no violentos, inclusivos y eficaces para todos."/>
    <x v="5"/>
    <s v="SIN ALINEAR"/>
    <s v="Educación Nacion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16"/>
    <s v="La Jagua del Pilar"/>
    <s v="España"/>
    <n v="268009.33333333302"/>
    <x v="27"/>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7"/>
    <s v="Ituango"/>
    <s v="España"/>
    <n v="268009.33333333302"/>
    <x v="27"/>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30"/>
    <s v="Tadó"/>
    <s v="España"/>
    <n v="268009.33333333302"/>
    <x v="27"/>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16"/>
    <s v="La Jagua del Pilar"/>
    <s v="ESAL"/>
    <n v="1762.3333333333301"/>
    <x v="162"/>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7"/>
    <s v="Ituango"/>
    <s v="ESAL"/>
    <n v="1762.3333333333301"/>
    <x v="162"/>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30"/>
    <s v="Tadó"/>
    <s v="ESAL"/>
    <n v="1762.3333333333301"/>
    <x v="162"/>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16"/>
    <s v="La Jagua del Pilar"/>
    <s v="ESAL"/>
    <n v="47944.333333333299"/>
    <x v="163"/>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7"/>
    <s v="Ituango"/>
    <s v="ESAL"/>
    <n v="47944.333333333299"/>
    <x v="163"/>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30"/>
    <s v="Tadó"/>
    <s v="ESAL"/>
    <n v="47944.333333333299"/>
    <x v="163"/>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Ábrego"/>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Bucarasica"/>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Convención"/>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Cúcuta"/>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El Carmen"/>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El tarra"/>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El Zulia"/>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Hacarí"/>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La Playa"/>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Ocaña"/>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Puerto Santander"/>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San Calixto"/>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Sardinata"/>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Teorama"/>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Tibú"/>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Villa del Rosario"/>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0"/>
    <s v="Arauca"/>
    <s v="Unión Europea"/>
    <n v="139514.619047618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0"/>
    <s v="Arauquita"/>
    <s v="Unión Europea"/>
    <n v="139514.619047618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0"/>
    <s v="Cravo Norte"/>
    <s v="Unión Europea"/>
    <n v="139514.619047618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0"/>
    <s v="Fortul"/>
    <s v="Unión Europea"/>
    <n v="139514.619047618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0"/>
    <s v="Puerto Rondón"/>
    <s v="Unión Europea"/>
    <n v="139514.619047618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0"/>
    <s v="Saravena"/>
    <s v="Unión Europea"/>
    <n v="139514.619047618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0"/>
    <s v="Tame"/>
    <s v="Unión Europea"/>
    <n v="139514.619047618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7"/>
    <s v="Barbacoas"/>
    <s v="Unión Europea"/>
    <n v="195320.466666666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7"/>
    <s v="Cumbal"/>
    <s v="Unión Europea"/>
    <n v="195320.466666666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7"/>
    <s v="Los Andes"/>
    <s v="Unión Europea"/>
    <n v="195320.466666666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7"/>
    <s v="Ricaurte"/>
    <s v="Unión Europea"/>
    <n v="195320.466666666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7"/>
    <s v="Samaniego"/>
    <s v="Unión Europea"/>
    <n v="195320.466666666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4-6788"/>
    <s v="Apoyo y coordinación preliminar de Colombia Evidencia Potencial en Educación - IMG-23-008"/>
    <s v="Colombia Evidencia Potencial en Educación promoverá activamente la creación de alianzas multifacéticas dentro de las comunidades locales para desarrollar iniciativas basadas en evidencia mediante un enfoque centrado en la comunidad."/>
    <d v="2024-08-08T00:00:00"/>
    <d v="2027-08-08T00:00:00"/>
    <x v="8"/>
    <s v="Ámbito Nacional"/>
    <s v="ESAL"/>
    <n v="1162470"/>
    <x v="164"/>
    <s v="Suiza"/>
    <m/>
    <s v="No Aplica"/>
    <s v="4.4.Para 2030, aumentar en un x% el número de jóvenes y adultos con habilidades relevantes incluidas las aptitudes técnicas y vocacionales, para el empleo, trabajo decente y el emprendimiento."/>
    <x v="5"/>
    <s v="SIN ALINEAR"/>
    <s v="Educación Nacion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Chachagüí"/>
    <s v="ESAL"/>
    <n v="360.5"/>
    <x v="165"/>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La Unión"/>
    <s v="ESAL"/>
    <n v="360.5"/>
    <x v="165"/>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San Lorenzo"/>
    <s v="ESAL"/>
    <n v="360.5"/>
    <x v="165"/>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Taminango"/>
    <s v="ESAL"/>
    <n v="360.5"/>
    <x v="165"/>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Chachagüí"/>
    <s v="ESAL"/>
    <n v="1045.25"/>
    <x v="166"/>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La Unión"/>
    <s v="ESAL"/>
    <n v="1045.25"/>
    <x v="166"/>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San Lorenzo"/>
    <s v="ESAL"/>
    <n v="1045.25"/>
    <x v="166"/>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Taminango"/>
    <s v="ESAL"/>
    <n v="1045.25"/>
    <x v="166"/>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Chachagüí"/>
    <s v="España"/>
    <n v="54855"/>
    <x v="167"/>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La Unión"/>
    <s v="España"/>
    <n v="54855"/>
    <x v="167"/>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San Lorenzo"/>
    <s v="España"/>
    <n v="54855"/>
    <x v="167"/>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Taminango"/>
    <s v="España"/>
    <n v="54855"/>
    <x v="167"/>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790"/>
    <s v="Economía para la vida: Una apuesta solidaria y sostenible de organizaciones campesinas e indígenas del suroccidente de Colombia FASE II - DESEMBOLSO 2025"/>
    <s v="Contribuir a la construcción de alternativas de Desarrollo Territorial Sostenible y Equitativo en el departamento de Nariño como aporte a la Paz, la construcción de la igualdad de género, la garantía de la soberanía alimentaria y la reducción de la pobreza rural."/>
    <d v="2025-10-04T00:00:00"/>
    <d v="2028-12-03T00:00:00"/>
    <x v="27"/>
    <s v="Chachagüí"/>
    <s v="ESAL"/>
    <n v="2129.75"/>
    <x v="166"/>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790"/>
    <s v="Economía para la vida: Una apuesta solidaria y sostenible de organizaciones campesinas e indígenas del suroccidente de Colombia FASE II - DESEMBOLSO 2025"/>
    <s v="Contribuir a la construcción de alternativas de Desarrollo Territorial Sostenible y Equitativo en el departamento de Nariño como aporte a la Paz, la construcción de la igualdad de género, la garantía de la soberanía alimentaria y la reducción de la pobreza rural."/>
    <d v="2025-10-04T00:00:00"/>
    <d v="2028-12-03T00:00:00"/>
    <x v="27"/>
    <s v="La Unión"/>
    <s v="ESAL"/>
    <n v="2129.75"/>
    <x v="166"/>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790"/>
    <s v="Economía para la vida: Una apuesta solidaria y sostenible de organizaciones campesinas e indígenas del suroccidente de Colombia FASE II - DESEMBOLSO 2025"/>
    <s v="Contribuir a la construcción de alternativas de Desarrollo Territorial Sostenible y Equitativo en el departamento de Nariño como aporte a la Paz, la construcción de la igualdad de género, la garantía de la soberanía alimentaria y la reducción de la pobreza rural."/>
    <d v="2025-10-04T00:00:00"/>
    <d v="2028-12-03T00:00:00"/>
    <x v="27"/>
    <s v="San Lorenzo"/>
    <s v="ESAL"/>
    <n v="2129.75"/>
    <x v="166"/>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790"/>
    <s v="Economía para la vida: Una apuesta solidaria y sostenible de organizaciones campesinas e indígenas del suroccidente de Colombia FASE II - DESEMBOLSO 2025"/>
    <s v="Contribuir a la construcción de alternativas de Desarrollo Territorial Sostenible y Equitativo en el departamento de Nariño como aporte a la Paz, la construcción de la igualdad de género, la garantía de la soberanía alimentaria y la reducción de la pobreza rural."/>
    <d v="2025-10-04T00:00:00"/>
    <d v="2028-12-03T00:00:00"/>
    <x v="27"/>
    <s v="Taminango"/>
    <s v="ESAL"/>
    <n v="2129.75"/>
    <x v="166"/>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790"/>
    <s v="Economía para la vida: Una apuesta solidaria y sostenible de organizaciones campesinas e indígenas del suroccidente de Colombia FASE II - DESEMBOLSO 2025"/>
    <s v="Contribuir a la construcción de alternativas de Desarrollo Territorial Sostenible y Equitativo en el departamento de Nariño como aporte a la Paz, la construcción de la igualdad de género, la garantía de la soberanía alimentaria y la reducción de la pobreza rural."/>
    <d v="2025-10-04T00:00:00"/>
    <d v="2028-12-03T00:00:00"/>
    <x v="27"/>
    <s v="Chachagüí"/>
    <s v="España"/>
    <n v="55812.25"/>
    <x v="167"/>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790"/>
    <s v="Economía para la vida: Una apuesta solidaria y sostenible de organizaciones campesinas e indígenas del suroccidente de Colombia FASE II - DESEMBOLSO 2025"/>
    <s v="Contribuir a la construcción de alternativas de Desarrollo Territorial Sostenible y Equitativo en el departamento de Nariño como aporte a la Paz, la construcción de la igualdad de género, la garantía de la soberanía alimentaria y la reducción de la pobreza rural."/>
    <d v="2025-10-04T00:00:00"/>
    <d v="2028-12-03T00:00:00"/>
    <x v="27"/>
    <s v="La Unión"/>
    <s v="España"/>
    <n v="55812.25"/>
    <x v="167"/>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790"/>
    <s v="Economía para la vida: Una apuesta solidaria y sostenible de organizaciones campesinas e indígenas del suroccidente de Colombia FASE II - DESEMBOLSO 2025"/>
    <s v="Contribuir a la construcción de alternativas de Desarrollo Territorial Sostenible y Equitativo en el departamento de Nariño como aporte a la Paz, la construcción de la igualdad de género, la garantía de la soberanía alimentaria y la reducción de la pobreza rural."/>
    <d v="2025-10-04T00:00:00"/>
    <d v="2028-12-03T00:00:00"/>
    <x v="27"/>
    <s v="San Lorenzo"/>
    <s v="España"/>
    <n v="55812.25"/>
    <x v="167"/>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790"/>
    <s v="Economía para la vida: Una apuesta solidaria y sostenible de organizaciones campesinas e indígenas del suroccidente de Colombia FASE II - DESEMBOLSO 2025"/>
    <s v="Contribuir a la construcción de alternativas de Desarrollo Territorial Sostenible y Equitativo en el departamento de Nariño como aporte a la Paz, la construcción de la igualdad de género, la garantía de la soberanía alimentaria y la reducción de la pobreza rural."/>
    <d v="2025-10-04T00:00:00"/>
    <d v="2028-12-03T00:00:00"/>
    <x v="27"/>
    <s v="Taminango"/>
    <s v="España"/>
    <n v="55812.25"/>
    <x v="167"/>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6-6791"/>
    <s v="Economía para la vida: Una apuesta solidaria y sostenible de organizaciones campesinas e indígenas del suroccidente de Colombia FASE II - DESEMBOLSO 2026"/>
    <s v="Contribuir a la construcción de alternativas de Desarrollo Territorial Sostenible y Equitativo en el departamento de Nariño como aporte a la Paz, la construcción de la igualdad de género, la garantía de la soberanía alimentaria y la reducción de la pobreza rural."/>
    <d v="2026-10-04T00:00:00"/>
    <d v="2028-12-03T00:00:00"/>
    <x v="27"/>
    <s v="Chachagüí"/>
    <s v="ESAL"/>
    <n v="3360"/>
    <x v="166"/>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6-6791"/>
    <s v="Economía para la vida: Una apuesta solidaria y sostenible de organizaciones campesinas e indígenas del suroccidente de Colombia FASE II - DESEMBOLSO 2026"/>
    <s v="Contribuir a la construcción de alternativas de Desarrollo Territorial Sostenible y Equitativo en el departamento de Nariño como aporte a la Paz, la construcción de la igualdad de género, la garantía de la soberanía alimentaria y la reducción de la pobreza rural."/>
    <d v="2026-10-04T00:00:00"/>
    <d v="2028-12-03T00:00:00"/>
    <x v="27"/>
    <s v="La Unión"/>
    <s v="ESAL"/>
    <n v="3360"/>
    <x v="166"/>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6-6791"/>
    <s v="Economía para la vida: Una apuesta solidaria y sostenible de organizaciones campesinas e indígenas del suroccidente de Colombia FASE II - DESEMBOLSO 2026"/>
    <s v="Contribuir a la construcción de alternativas de Desarrollo Territorial Sostenible y Equitativo en el departamento de Nariño como aporte a la Paz, la construcción de la igualdad de género, la garantía de la soberanía alimentaria y la reducción de la pobreza rural."/>
    <d v="2026-10-04T00:00:00"/>
    <d v="2028-12-03T00:00:00"/>
    <x v="27"/>
    <s v="San Lorenzo"/>
    <s v="ESAL"/>
    <n v="3360"/>
    <x v="166"/>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6-6791"/>
    <s v="Economía para la vida: Una apuesta solidaria y sostenible de organizaciones campesinas e indígenas del suroccidente de Colombia FASE II - DESEMBOLSO 2026"/>
    <s v="Contribuir a la construcción de alternativas de Desarrollo Territorial Sostenible y Equitativo en el departamento de Nariño como aporte a la Paz, la construcción de la igualdad de género, la garantía de la soberanía alimentaria y la reducción de la pobreza rural."/>
    <d v="2026-10-04T00:00:00"/>
    <d v="2028-12-03T00:00:00"/>
    <x v="27"/>
    <s v="Taminango"/>
    <s v="ESAL"/>
    <n v="3360"/>
    <x v="166"/>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6-6791"/>
    <s v="Economía para la vida: Una apuesta solidaria y sostenible de organizaciones campesinas e indígenas del suroccidente de Colombia FASE II - DESEMBOLSO 2026"/>
    <s v="Contribuir a la construcción de alternativas de Desarrollo Territorial Sostenible y Equitativo en el departamento de Nariño como aporte a la Paz, la construcción de la igualdad de género, la garantía de la soberanía alimentaria y la reducción de la pobreza rural."/>
    <d v="2026-10-04T00:00:00"/>
    <d v="2028-12-03T00:00:00"/>
    <x v="27"/>
    <s v="Chachagüí"/>
    <s v="España"/>
    <n v="55812.25"/>
    <x v="167"/>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6-6791"/>
    <s v="Economía para la vida: Una apuesta solidaria y sostenible de organizaciones campesinas e indígenas del suroccidente de Colombia FASE II - DESEMBOLSO 2026"/>
    <s v="Contribuir a la construcción de alternativas de Desarrollo Territorial Sostenible y Equitativo en el departamento de Nariño como aporte a la Paz, la construcción de la igualdad de género, la garantía de la soberanía alimentaria y la reducción de la pobreza rural."/>
    <d v="2026-10-04T00:00:00"/>
    <d v="2028-12-03T00:00:00"/>
    <x v="27"/>
    <s v="La Unión"/>
    <s v="España"/>
    <n v="55812.25"/>
    <x v="167"/>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6-6791"/>
    <s v="Economía para la vida: Una apuesta solidaria y sostenible de organizaciones campesinas e indígenas del suroccidente de Colombia FASE II - DESEMBOLSO 2026"/>
    <s v="Contribuir a la construcción de alternativas de Desarrollo Territorial Sostenible y Equitativo en el departamento de Nariño como aporte a la Paz, la construcción de la igualdad de género, la garantía de la soberanía alimentaria y la reducción de la pobreza rural."/>
    <d v="2026-10-04T00:00:00"/>
    <d v="2028-12-03T00:00:00"/>
    <x v="27"/>
    <s v="San Lorenzo"/>
    <s v="España"/>
    <n v="55812.25"/>
    <x v="167"/>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6-6791"/>
    <s v="Economía para la vida: Una apuesta solidaria y sostenible de organizaciones campesinas e indígenas del suroccidente de Colombia FASE II - DESEMBOLSO 2026"/>
    <s v="Contribuir a la construcción de alternativas de Desarrollo Territorial Sostenible y Equitativo en el departamento de Nariño como aporte a la Paz, la construcción de la igualdad de género, la garantía de la soberanía alimentaria y la reducción de la pobreza rural."/>
    <d v="2026-10-04T00:00:00"/>
    <d v="2028-12-03T00:00:00"/>
    <x v="27"/>
    <s v="Taminango"/>
    <s v="España"/>
    <n v="55812.25"/>
    <x v="167"/>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94"/>
    <s v="Colombia Evidencia Potencial en Educación – IMG-3-008"/>
    <s v="Colombia Evidencia Potencial en Educación promoverá  activamente la creación de alianzas multifacéticas dentro de las comunidades locales para desarrollar"/>
    <d v="2024-08-12T00:00:00"/>
    <d v="2027-08-11T00:00:00"/>
    <x v="8"/>
    <s v="Ámbito Nacional"/>
    <s v="ESAL"/>
    <n v="1155680"/>
    <x v="164"/>
    <s v="Suiza"/>
    <m/>
    <s v="3. Promover una cultura de paz, justicia y lucha contra la desigualdad"/>
    <s v="4.1. Para 2030, asegurar que todos los niños y niñas completen la educación primaria y secundaria gratuita, equitativa y de calidad que lleve a resultados relevantes y eficaces del aprendizaje."/>
    <x v="5"/>
    <s v="SIN ALINEAR"/>
    <s v="Educación Nacion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Florida"/>
    <s v="España"/>
    <n v="339139"/>
    <x v="27"/>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Pradera"/>
    <s v="España"/>
    <n v="339139"/>
    <x v="27"/>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Tuluá"/>
    <s v="España"/>
    <n v="339139"/>
    <x v="27"/>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Florida"/>
    <s v="ESAL"/>
    <n v="46395.666666666701"/>
    <x v="165"/>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Pradera"/>
    <s v="ESAL"/>
    <n v="46395.666666666701"/>
    <x v="165"/>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Tuluá"/>
    <s v="ESAL"/>
    <n v="46395.666666666701"/>
    <x v="165"/>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Florida"/>
    <s v="ESAL"/>
    <n v="9131.6666666666697"/>
    <x v="168"/>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Pradera"/>
    <s v="ESAL"/>
    <n v="9131.6666666666697"/>
    <x v="168"/>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Tuluá"/>
    <s v="ESAL"/>
    <n v="9131.6666666666697"/>
    <x v="168"/>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11"/>
    <s v="Bogotá D.C."/>
    <s v="España"/>
    <n v="3198.6"/>
    <x v="169"/>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9"/>
    <s v="Ibagué"/>
    <s v="España"/>
    <n v="3198.6"/>
    <x v="169"/>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8"/>
    <s v="Popayán"/>
    <s v="España"/>
    <n v="3198.6"/>
    <x v="169"/>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7"/>
    <s v="Pasto"/>
    <s v="España"/>
    <n v="3198.6"/>
    <x v="169"/>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9"/>
    <s v="Cali"/>
    <s v="España"/>
    <n v="3198.6"/>
    <x v="169"/>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11"/>
    <s v="Bogotá D.C."/>
    <s v="España"/>
    <n v="24776.400000000001"/>
    <x v="170"/>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9"/>
    <s v="Ibagué"/>
    <s v="España"/>
    <n v="24776.400000000001"/>
    <x v="170"/>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8"/>
    <s v="Popayán"/>
    <s v="España"/>
    <n v="24776.400000000001"/>
    <x v="170"/>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7"/>
    <s v="Pasto"/>
    <s v="España"/>
    <n v="24776.400000000001"/>
    <x v="170"/>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9"/>
    <s v="Cali"/>
    <s v="España"/>
    <n v="24776.400000000001"/>
    <x v="170"/>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11"/>
    <s v="Bogotá D.C."/>
    <s v="ESAL"/>
    <n v="3415.4"/>
    <x v="171"/>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9"/>
    <s v="Ibagué"/>
    <s v="ESAL"/>
    <n v="3415.4"/>
    <x v="171"/>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8"/>
    <s v="Popayán"/>
    <s v="ESAL"/>
    <n v="3415.4"/>
    <x v="171"/>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7"/>
    <s v="Pasto"/>
    <s v="ESAL"/>
    <n v="3415.4"/>
    <x v="171"/>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9"/>
    <s v="Cali"/>
    <s v="ESAL"/>
    <n v="3415.4"/>
    <x v="171"/>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Buenos Aires"/>
    <s v="ESAL"/>
    <n v="844.6"/>
    <x v="172"/>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Caloto"/>
    <s v="ESAL"/>
    <n v="844.6"/>
    <x v="172"/>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Corinto"/>
    <s v="ESAL"/>
    <n v="844.6"/>
    <x v="172"/>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Santander de Quilichao"/>
    <s v="ESAL"/>
    <n v="844.6"/>
    <x v="172"/>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Suárez"/>
    <s v="ESAL"/>
    <n v="844.6"/>
    <x v="172"/>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Buenos Aires"/>
    <s v="España"/>
    <n v="16811"/>
    <x v="173"/>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Caloto"/>
    <s v="España"/>
    <n v="16811"/>
    <x v="173"/>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Corinto"/>
    <s v="España"/>
    <n v="16811"/>
    <x v="173"/>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Santander de Quilichao"/>
    <s v="España"/>
    <n v="16811"/>
    <x v="173"/>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Suárez"/>
    <s v="España"/>
    <n v="16811"/>
    <x v="173"/>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Buenos Aires"/>
    <s v="Unión Europea"/>
    <n v="4763"/>
    <x v="26"/>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Caloto"/>
    <s v="Unión Europea"/>
    <n v="4763"/>
    <x v="26"/>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Corinto"/>
    <s v="Unión Europea"/>
    <n v="4763"/>
    <x v="26"/>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Santander de Quilichao"/>
    <s v="Unión Europea"/>
    <n v="4763"/>
    <x v="26"/>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Suárez"/>
    <s v="Unión Europea"/>
    <n v="4763"/>
    <x v="26"/>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803"/>
    <s v="PROTEGER A LAS MUJERES, EMPODERAR A LAS COMUNIDADES: Apoyar el acceso a la salud y la protección de las comunidades afectadas por el conflicto y la migración en Colombia. Acuerdo 14966. desembolso 2025"/>
    <s v="Las comunidades marginadas afectadas por el conflicto y la migración han mejorado el acceso a los servicios de salud y protección en Norte de Santander y Arauca, Colombia."/>
    <d v="2025-04-01T00:00:00"/>
    <d v="2026-03-31T00:00:00"/>
    <x v="0"/>
    <s v="Arauquita"/>
    <s v="Suecia"/>
    <n v="74811.416666666701"/>
    <x v="49"/>
    <s v="Sueci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5-6803"/>
    <s v="PROTEGER A LAS MUJERES, EMPODERAR A LAS COMUNIDADES: Apoyar el acceso a la salud y la protección de las comunidades afectadas por el conflicto y la migración en Colombia. Acuerdo 14966. desembolso 2025"/>
    <s v="Las comunidades marginadas afectadas por el conflicto y la migración han mejorado el acceso a los servicios de salud y protección en Norte de Santander y Arauca, Colombia."/>
    <d v="2025-04-01T00:00:00"/>
    <d v="2026-03-31T00:00:00"/>
    <x v="0"/>
    <s v="Cravo Norte"/>
    <s v="Suecia"/>
    <n v="74811.416666666701"/>
    <x v="49"/>
    <s v="Sueci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5-6803"/>
    <s v="PROTEGER A LAS MUJERES, EMPODERAR A LAS COMUNIDADES: Apoyar el acceso a la salud y la protección de las comunidades afectadas por el conflicto y la migración en Colombia. Acuerdo 14966. desembolso 2025"/>
    <s v="Las comunidades marginadas afectadas por el conflicto y la migración han mejorado el acceso a los servicios de salud y protección en Norte de Santander y Arauca, Colombia."/>
    <d v="2025-04-01T00:00:00"/>
    <d v="2026-03-31T00:00:00"/>
    <x v="0"/>
    <s v="Fortul"/>
    <s v="Suecia"/>
    <n v="74811.416666666701"/>
    <x v="49"/>
    <s v="Sueci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5-6803"/>
    <s v="PROTEGER A LAS MUJERES, EMPODERAR A LAS COMUNIDADES: Apoyar el acceso a la salud y la protección de las comunidades afectadas por el conflicto y la migración en Colombia. Acuerdo 14966. desembolso 2025"/>
    <s v="Las comunidades marginadas afectadas por el conflicto y la migración han mejorado el acceso a los servicios de salud y protección en Norte de Santander y Arauca, Colombia."/>
    <d v="2025-04-01T00:00:00"/>
    <d v="2026-03-31T00:00:00"/>
    <x v="0"/>
    <s v="Puerto Rondón"/>
    <s v="Suecia"/>
    <n v="74811.416666666701"/>
    <x v="49"/>
    <s v="Sueci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5-6803"/>
    <s v="PROTEGER A LAS MUJERES, EMPODERAR A LAS COMUNIDADES: Apoyar el acceso a la salud y la protección de las comunidades afectadas por el conflicto y la migración en Colombia. Acuerdo 14966. desembolso 2025"/>
    <s v="Las comunidades marginadas afectadas por el conflicto y la migración han mejorado el acceso a los servicios de salud y protección en Norte de Santander y Arauca, Colombia."/>
    <d v="2025-04-01T00:00:00"/>
    <d v="2026-03-31T00:00:00"/>
    <x v="0"/>
    <s v="Saravena"/>
    <s v="Suecia"/>
    <n v="74811.416666666701"/>
    <x v="49"/>
    <s v="Sueci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5-6803"/>
    <s v="PROTEGER A LAS MUJERES, EMPODERAR A LAS COMUNIDADES: Apoyar el acceso a la salud y la protección de las comunidades afectadas por el conflicto y la migración en Colombia. Acuerdo 14966. desembolso 2025"/>
    <s v="Las comunidades marginadas afectadas por el conflicto y la migración han mejorado el acceso a los servicios de salud y protección en Norte de Santander y Arauca, Colombia."/>
    <d v="2025-04-01T00:00:00"/>
    <d v="2026-03-31T00:00:00"/>
    <x v="0"/>
    <s v="Tame"/>
    <s v="Suecia"/>
    <n v="74811.416666666701"/>
    <x v="49"/>
    <s v="Sueci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5-6803"/>
    <s v="PROTEGER A LAS MUJERES, EMPODERAR A LAS COMUNIDADES: Apoyar el acceso a la salud y la protección de las comunidades afectadas por el conflicto y la migración en Colombia. Acuerdo 14966. desembolso 2025"/>
    <s v="Las comunidades marginadas afectadas por el conflicto y la migración han mejorado el acceso a los servicios de salud y protección en Norte de Santander y Arauca, Colombia."/>
    <d v="2025-04-01T00:00:00"/>
    <d v="2026-03-31T00:00:00"/>
    <x v="20"/>
    <s v="El tarra"/>
    <s v="Suecia"/>
    <n v="224434.25"/>
    <x v="49"/>
    <s v="Sueci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5-6803"/>
    <s v="PROTEGER A LAS MUJERES, EMPODERAR A LAS COMUNIDADES: Apoyar el acceso a la salud y la protección de las comunidades afectadas por el conflicto y la migración en Colombia. Acuerdo 14966. desembolso 2025"/>
    <s v="Las comunidades marginadas afectadas por el conflicto y la migración han mejorado el acceso a los servicios de salud y protección en Norte de Santander y Arauca, Colombia."/>
    <d v="2025-04-01T00:00:00"/>
    <d v="2026-03-31T00:00:00"/>
    <x v="20"/>
    <s v="Tibú"/>
    <s v="Suecia"/>
    <n v="224434.25"/>
    <x v="49"/>
    <s v="Sueci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5-6805"/>
    <s v=" Resiliencia juvenil en Buenaventura / Youth Resilience in Buenaventura"/>
    <s v="Prevenir que los jóvenes de Buenaventura se involucren en mecanismos de afrontamiento destructivos, incluida la asociación con grupos armados, grupos criminales organizados y grupos armados no estatales (GANE)_x000a__x000a_Prevent young people in Buenaventura from becoming involved in destructive coping mechanisms, including association with armed groups, organized criminal groups, and non-state armed groups."/>
    <d v="2025-01-01T00:00:00"/>
    <d v="2027-12-31T00:00:00"/>
    <x v="9"/>
    <s v="Buenaventura"/>
    <s v="Países Bajos"/>
    <n v="155254"/>
    <x v="174"/>
    <s v="Colombia"/>
    <m/>
    <s v="3. Promover una cultura de paz, justicia y lucha contra la desigualdad"/>
    <s v="16.2.Terminar con el abuso, la explotación, la trata y todas las formas de violencia y tortura contra los niños."/>
    <x v="7"/>
    <s v="SIN ALINEAR"/>
    <s v="Presidencia de la República"/>
  </r>
  <r>
    <s v="R-AO-25-6808"/>
    <s v="Protección de la selva tropical a través de la gobernanza indígena (Fase 3) - COL 25-0005"/>
    <s v="Proteger la integridad territorial de 8,3 millones de hectáreas de la Amazonía Oriental Colombiana y los sistemas de conocimiento que la han sostenido, mediante el fortalecimiento de la autonomía de los gobiernos indígenas y la consolidación de formas asociativas de gobernanza territorial y ambiental."/>
    <d v="2025-04-01T00:00:00"/>
    <d v="2027-12-31T00:00:00"/>
    <x v="24"/>
    <s v="No Reporta"/>
    <s v="Noruega"/>
    <n v="3707631.5"/>
    <x v="175"/>
    <s v="Norueg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nterior"/>
  </r>
  <r>
    <s v="R-AO-25-6808"/>
    <s v="Protección de la selva tropical a través de la gobernanza indígena (Fase 3) - COL 25-0005"/>
    <s v="Proteger la integridad territorial de 8,3 millones de hectáreas de la Amazonía Oriental Colombiana y los sistemas de conocimiento que la han sostenido, mediante el fortalecimiento de la autonomía de los gobiernos indígenas y la consolidación de formas asociativas de gobernanza territorial y ambiental."/>
    <d v="2025-04-01T00:00:00"/>
    <d v="2027-12-31T00:00:00"/>
    <x v="26"/>
    <s v="No Reporta"/>
    <s v="Noruega"/>
    <n v="3707631.5"/>
    <x v="175"/>
    <s v="Norueg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nterior"/>
  </r>
  <r>
    <s v="R-AO-24-6810"/>
    <s v="Marea / Apoyar a las organizaciones locales en temas de salud de las mujeres subrepresentadas (en todas las diversidades) mediante el fortalecimiento de las capacidades de incidencia y cabildeo."/>
    <s v="Apoyar a las organizaciones locales en temas de salud de las mujeres subrepresentadas (en todas las diversidades) mediante el fortalecimiento de las capacidades de incidencia y cabildeo."/>
    <d v="2024-10-31T00:00:00"/>
    <d v="2026-03-31T00:00:00"/>
    <x v="8"/>
    <s v="Ámbito Nacional"/>
    <s v="Países Bajos"/>
    <n v="108579"/>
    <x v="174"/>
    <s v="Colombi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Salud y Protección Social"/>
  </r>
  <r>
    <s v="R-AO-23-6811"/>
    <s v="Apoyo a Ministerio del Interior y Ministerio de Defensa en Derechos Humanos"/>
    <s v="_Fortalecer programas de protección a líderes y defensor@s del Ministerio del Interior. _x000a__Crear un sistema de información del Ministerio de Defensa sobre denuncias de violaciones a DDHH por parte de miembros de Fuerza Pública."/>
    <d v="2023-08-01T00:00:00"/>
    <d v="2026-12-31T00:00:00"/>
    <x v="8"/>
    <s v="Ámbito Nacional"/>
    <s v="Países Bajos"/>
    <n v="1961919"/>
    <x v="174"/>
    <s v="Colombia"/>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Justicia y del Derecho"/>
  </r>
  <r>
    <s v="R-AO-24-6818"/>
    <s v="Cumare: Voces de los Pueblos de la Amazonía y Orinoquia"/>
    <s v="Fortalecer las emisoras comunitarias y locales en los procesos sociales y en el ejercicio y compromiso a través de sus reporteros/as capacitados en Periodismo Ambiental y en sus respectivas comunidades para mitigar los efectos del Cambio Climático y su incidencia en la construcción de Paz local y en la preservación de la vida y del Gran Bioma Amazónico."/>
    <d v="2024-11-15T00:00:00"/>
    <d v="2026-04-15T00:00:00"/>
    <x v="24"/>
    <s v="No Reporta"/>
    <s v="Países Bajos"/>
    <n v="17181.333333333299"/>
    <x v="174"/>
    <s v="Colomb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818"/>
    <s v="Cumare: Voces de los Pueblos de la Amazonía y Orinoquia"/>
    <s v="Fortalecer las emisoras comunitarias y locales en los procesos sociales y en el ejercicio y compromiso a través de sus reporteros/as capacitados en Periodismo Ambiental y en sus respectivas comunidades para mitigar los efectos del Cambio Climático y su incidencia en la construcción de Paz local y en la preservación de la vida y del Gran Bioma Amazónico."/>
    <d v="2024-11-15T00:00:00"/>
    <d v="2026-04-15T00:00:00"/>
    <x v="0"/>
    <s v="No Reporta"/>
    <s v="Países Bajos"/>
    <n v="17181.333333333299"/>
    <x v="174"/>
    <s v="Colomb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818"/>
    <s v="Cumare: Voces de los Pueblos de la Amazonía y Orinoquia"/>
    <s v="Fortalecer las emisoras comunitarias y locales en los procesos sociales y en el ejercicio y compromiso a través de sus reporteros/as capacitados en Periodismo Ambiental y en sus respectivas comunidades para mitigar los efectos del Cambio Climático y su incidencia en la construcción de Paz local y en la preservación de la vida y del Gran Bioma Amazónico."/>
    <d v="2024-11-15T00:00:00"/>
    <d v="2026-04-15T00:00:00"/>
    <x v="1"/>
    <s v="No Reporta"/>
    <s v="Países Bajos"/>
    <n v="17181.333333333299"/>
    <x v="174"/>
    <s v="Colomb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818"/>
    <s v="Cumare: Voces de los Pueblos de la Amazonía y Orinoquia"/>
    <s v="Fortalecer las emisoras comunitarias y locales en los procesos sociales y en el ejercicio y compromiso a través de sus reporteros/as capacitados en Periodismo Ambiental y en sus respectivas comunidades para mitigar los efectos del Cambio Climático y su incidencia en la construcción de Paz local y en la preservación de la vida y del Gran Bioma Amazónico."/>
    <d v="2024-11-15T00:00:00"/>
    <d v="2026-04-15T00:00:00"/>
    <x v="18"/>
    <s v="No Reporta"/>
    <s v="Países Bajos"/>
    <n v="17181.333333333299"/>
    <x v="174"/>
    <s v="Colomb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818"/>
    <s v="Cumare: Voces de los Pueblos de la Amazonía y Orinoquia"/>
    <s v="Fortalecer las emisoras comunitarias y locales en los procesos sociales y en el ejercicio y compromiso a través de sus reporteros/as capacitados en Periodismo Ambiental y en sus respectivas comunidades para mitigar los efectos del Cambio Climático y su incidencia en la construcción de Paz local y en la preservación de la vida y del Gran Bioma Amazónico."/>
    <d v="2024-11-15T00:00:00"/>
    <d v="2026-04-15T00:00:00"/>
    <x v="2"/>
    <s v="No Reporta"/>
    <s v="Países Bajos"/>
    <n v="17181.333333333299"/>
    <x v="174"/>
    <s v="Colomb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818"/>
    <s v="Cumare: Voces de los Pueblos de la Amazonía y Orinoquia"/>
    <s v="Fortalecer las emisoras comunitarias y locales en los procesos sociales y en el ejercicio y compromiso a través de sus reporteros/as capacitados en Periodismo Ambiental y en sus respectivas comunidades para mitigar los efectos del Cambio Climático y su incidencia en la construcción de Paz local y en la preservación de la vida y del Gran Bioma Amazónico."/>
    <d v="2024-11-15T00:00:00"/>
    <d v="2026-04-15T00:00:00"/>
    <x v="3"/>
    <s v="No Reporta"/>
    <s v="Países Bajos"/>
    <n v="17181.333333333299"/>
    <x v="174"/>
    <s v="Colomb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822"/>
    <s v=" Juventud y seguridad alimentaria en Magdalena / Youth &amp; Food Security in Magdalena"/>
    <s v="Este proyecto tiene como objetivo incidir significativamente en la seguridad alimentaria y los derechos humanos al empoderar a los jóvenes rurales para que lideren y defiendan prácticas sostenibles de producción de alimentos y un desarrollo comunitario equitativo._x000a__x000a_This project aims to significantly impact food security and human rights by empowering rural youth to lead and advocate for sustainable food production practices and equitable community development. "/>
    <d v="2024-11-15T00:00:00"/>
    <d v="2026-01-15T00:00:00"/>
    <x v="10"/>
    <s v="Santa Marta"/>
    <s v="Países Bajos"/>
    <n v="98186"/>
    <x v="174"/>
    <s v="Colombia"/>
    <m/>
    <s v="2. Contribuir a la lucha contra el hambre y la atención humanitaria a la poblacion"/>
    <s v="2.a.Aumentar, incluso mediante una mayor cooperación internacional, las inversiones en infraestructura rural, investigación y servicios de extensión agrícola, desarrollo tecnológico y bancos de genes de plantas y ganado a fin de mejorar la capacidad de producción agropecuaria en los países en desarrollo, particularmente en los países menos adelantados"/>
    <x v="12"/>
    <s v="SIN ALINEAR"/>
    <s v="Agricultura y Desarrollo Rural"/>
  </r>
  <r>
    <s v="R-AO-25-6824"/>
    <s v="Asistencia vital con intervenciones específicas de protección y salud para la población migrante, desplazados internos colombianos, retornados y las comunidades de acogida en las zonas fronterizas entre Colombia y Venezuela - ECHO/-AM/BUD/2022/91031"/>
    <s v="CONTRIBUIR A SALVAR VIDAS POR MEDIO DE ASISTENCIA HUMANITARIA Y PROTECCIÓN DE LA POBLACIÓN MIGRANTE, COLOMBIANOS DESPLAZADOS INTERNOS, VÍCTIMAS DEL CONFLICTO, COLOMBIANOS RETORNADOS Y COMUNIDADES DE ACOGIDA EN ZONAS FRONTERIZAS ENTRE COLOMBIA Y VENEZUELA. "/>
    <d v="2025-04-29T00:00:00"/>
    <d v="2026-09-30T00:00:00"/>
    <x v="0"/>
    <s v="Arauquita"/>
    <s v="Unión Europea"/>
    <n v="284586.88888888899"/>
    <x v="26"/>
    <s v="Bélgica"/>
    <m/>
    <s v="2. Contribuir a la lucha contra el hambre y la atención humanitaria a la poblacion"/>
    <s v="1.3.Implementar a nivel nacional sistemas y medidas apropiados de protección social para todos, incluidos niveles mínimos, y, de aquí a 2030, lograr una amplia cobertura de las personas pobres y vulnerables"/>
    <x v="1"/>
    <s v="SIN ALINEAR"/>
    <s v="Presidencia de la República"/>
  </r>
  <r>
    <s v="R-AO-25-6824"/>
    <s v="Asistencia vital con intervenciones específicas de protección y salud para la población migrante, desplazados internos colombianos, retornados y las comunidades de acogida en las zonas fronterizas entre Colombia y Venezuela - ECHO/-AM/BUD/2022/91031"/>
    <s v="CONTRIBUIR A SALVAR VIDAS POR MEDIO DE ASISTENCIA HUMANITARIA Y PROTECCIÓN DE LA POBLACIÓN MIGRANTE, COLOMBIANOS DESPLAZADOS INTERNOS, VÍCTIMAS DEL CONFLICTO, COLOMBIANOS RETORNADOS Y COMUNIDADES DE ACOGIDA EN ZONAS FRONTERIZAS ENTRE COLOMBIA Y VENEZUELA. "/>
    <d v="2025-04-29T00:00:00"/>
    <d v="2026-09-30T00:00:00"/>
    <x v="0"/>
    <s v="Saravena"/>
    <s v="Unión Europea"/>
    <n v="284586.88888888899"/>
    <x v="26"/>
    <s v="Bélgica"/>
    <m/>
    <s v="2. Contribuir a la lucha contra el hambre y la atención humanitaria a la poblacion"/>
    <s v="1.3.Implementar a nivel nacional sistemas y medidas apropiados de protección social para todos, incluidos niveles mínimos, y, de aquí a 2030, lograr una amplia cobertura de las personas pobres y vulnerables"/>
    <x v="1"/>
    <s v="SIN ALINEAR"/>
    <s v="Presidencia de la República"/>
  </r>
  <r>
    <s v="R-AO-25-6824"/>
    <s v="Asistencia vital con intervenciones específicas de protección y salud para la población migrante, desplazados internos colombianos, retornados y las comunidades de acogida en las zonas fronterizas entre Colombia y Venezuela - ECHO/-AM/BUD/2022/91031"/>
    <s v="CONTRIBUIR A SALVAR VIDAS POR MEDIO DE ASISTENCIA HUMANITARIA Y PROTECCIÓN DE LA POBLACIÓN MIGRANTE, COLOMBIANOS DESPLAZADOS INTERNOS, VÍCTIMAS DEL CONFLICTO, COLOMBIANOS RETORNADOS Y COMUNIDADES DE ACOGIDA EN ZONAS FRONTERIZAS ENTRE COLOMBIA Y VENEZUELA. "/>
    <d v="2025-04-29T00:00:00"/>
    <d v="2026-09-30T00:00:00"/>
    <x v="0"/>
    <s v="Tame"/>
    <s v="Unión Europea"/>
    <n v="284586.88888888899"/>
    <x v="26"/>
    <s v="Bélgica"/>
    <m/>
    <s v="2. Contribuir a la lucha contra el hambre y la atención humanitaria a la poblacion"/>
    <s v="1.3.Implementar a nivel nacional sistemas y medidas apropiados de protección social para todos, incluidos niveles mínimos, y, de aquí a 2030, lograr una amplia cobertura de las personas pobres y vulnerables"/>
    <x v="1"/>
    <s v="SIN ALINEAR"/>
    <s v="Presidencia de la República"/>
  </r>
  <r>
    <s v="R-AO-25-6824"/>
    <s v="Asistencia vital con intervenciones específicas de protección y salud para la población migrante, desplazados internos colombianos, retornados y las comunidades de acogida en las zonas fronterizas entre Colombia y Venezuela - ECHO/-AM/BUD/2022/91031"/>
    <s v="CONTRIBUIR A SALVAR VIDAS POR MEDIO DE ASISTENCIA HUMANITARIA Y PROTECCIÓN DE LA POBLACIÓN MIGRANTE, COLOMBIANOS DESPLAZADOS INTERNOS, VÍCTIMAS DEL CONFLICTO, COLOMBIANOS RETORNADOS Y COMUNIDADES DE ACOGIDA EN ZONAS FRONTERIZAS ENTRE COLOMBIA Y VENEZUELA. "/>
    <d v="2025-04-29T00:00:00"/>
    <d v="2026-09-30T00:00:00"/>
    <x v="20"/>
    <s v="El tarra"/>
    <s v="Unión Europea"/>
    <n v="426880.33333333302"/>
    <x v="26"/>
    <s v="Bélgica"/>
    <m/>
    <s v="2. Contribuir a la lucha contra el hambre y la atención humanitaria a la poblacion"/>
    <s v="1.3.Implementar a nivel nacional sistemas y medidas apropiados de protección social para todos, incluidos niveles mínimos, y, de aquí a 2030, lograr una amplia cobertura de las personas pobres y vulnerables"/>
    <x v="1"/>
    <s v="SIN ALINEAR"/>
    <s v="Presidencia de la República"/>
  </r>
  <r>
    <s v="R-AO-25-6824"/>
    <s v="Asistencia vital con intervenciones específicas de protección y salud para la población migrante, desplazados internos colombianos, retornados y las comunidades de acogida en las zonas fronterizas entre Colombia y Venezuela - ECHO/-AM/BUD/2022/91031"/>
    <s v="CONTRIBUIR A SALVAR VIDAS POR MEDIO DE ASISTENCIA HUMANITARIA Y PROTECCIÓN DE LA POBLACIÓN MIGRANTE, COLOMBIANOS DESPLAZADOS INTERNOS, VÍCTIMAS DEL CONFLICTO, COLOMBIANOS RETORNADOS Y COMUNIDADES DE ACOGIDA EN ZONAS FRONTERIZAS ENTRE COLOMBIA Y VENEZUELA. "/>
    <d v="2025-04-29T00:00:00"/>
    <d v="2026-09-30T00:00:00"/>
    <x v="20"/>
    <s v="Ocaña"/>
    <s v="Unión Europea"/>
    <n v="426880.33333333302"/>
    <x v="26"/>
    <s v="Bélgica"/>
    <m/>
    <s v="2. Contribuir a la lucha contra el hambre y la atención humanitaria a la poblacion"/>
    <s v="1.3.Implementar a nivel nacional sistemas y medidas apropiados de protección social para todos, incluidos niveles mínimos, y, de aquí a 2030, lograr una amplia cobertura de las personas pobres y vulnerables"/>
    <x v="1"/>
    <s v="SIN ALINEAR"/>
    <s v="Presidencia de la República"/>
  </r>
  <r>
    <s v="R-AO-25-6824"/>
    <s v="Asistencia vital con intervenciones específicas de protección y salud para la población migrante, desplazados internos colombianos, retornados y las comunidades de acogida en las zonas fronterizas entre Colombia y Venezuela - ECHO/-AM/BUD/2022/91031"/>
    <s v="CONTRIBUIR A SALVAR VIDAS POR MEDIO DE ASISTENCIA HUMANITARIA Y PROTECCIÓN DE LA POBLACIÓN MIGRANTE, COLOMBIANOS DESPLAZADOS INTERNOS, VÍCTIMAS DEL CONFLICTO, COLOMBIANOS RETORNADOS Y COMUNIDADES DE ACOGIDA EN ZONAS FRONTERIZAS ENTRE COLOMBIA Y VENEZUELA. "/>
    <d v="2025-04-29T00:00:00"/>
    <d v="2026-09-30T00:00:00"/>
    <x v="12"/>
    <s v="No Reporta"/>
    <s v="Unión Europea"/>
    <n v="853760.66666666698"/>
    <x v="26"/>
    <s v="Bélgica"/>
    <m/>
    <s v="2. Contribuir a la lucha contra el hambre y la atención humanitaria a la poblacion"/>
    <s v="1.3.Implementar a nivel nacional sistemas y medidas apropiados de protección social para todos, incluidos niveles mínimos, y, de aquí a 2030, lograr una amplia cobertura de las personas pobres y vulnerables"/>
    <x v="1"/>
    <s v="SIN ALINEAR"/>
    <s v="Presidencia de la República"/>
  </r>
  <r>
    <s v="R-AO-25-6827"/>
    <s v="Consorcio MIRE+: Mecanismo de Respuesta Rápida, ayuda humanitaria a las comunidades afectadas por el conflicto en Colombia – ECHO/-AM/BUD/2025/91008"/>
    <s v="Comunidades en Colombia, superan sus necesidades básicas, fortaleciendo sus capacidades de autogestión y resiliencia para reducir el impacto por el conflicto armado, desastres y doble afectación"/>
    <d v="2025-04-01T00:00:00"/>
    <d v="2026-03-31T00:00:00"/>
    <x v="8"/>
    <s v="Ámbito Nacional"/>
    <s v="Unión Europea"/>
    <n v="3675566"/>
    <x v="26"/>
    <s v="Bélgic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828"/>
    <s v="Naturaleza Positiva - GoNaturePositive - HORIZON-CL6-2023-BIODIV-01-10"/>
    <m/>
    <d v="2024-01-01T00:00:00"/>
    <d v="2028-01-01T00:00:00"/>
    <x v="7"/>
    <s v="No Reporta"/>
    <s v="Unión Europea"/>
    <n v="85622"/>
    <x v="26"/>
    <s v="Bélgica"/>
    <m/>
    <s v="1. Promover la lucha contra el cambio climatico, la justicia ambiental y la transformación productiva"/>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mbiente y Desarrollo Sostenible"/>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7"/>
    <s v="Apartadó"/>
    <s v="Unión Europea"/>
    <n v="47431.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7"/>
    <s v="Cáceres"/>
    <s v="Unión Europea"/>
    <n v="47431.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7"/>
    <s v="Caucasia"/>
    <s v="Unión Europea"/>
    <n v="47431.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7"/>
    <s v="El Bagre"/>
    <s v="Unión Europea"/>
    <n v="47431.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7"/>
    <s v="Necoclí"/>
    <s v="Unión Europea"/>
    <n v="47431.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7"/>
    <s v="Turbo"/>
    <s v="Unión Europea"/>
    <n v="47431.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16"/>
    <s v="Maicao"/>
    <s v="Unión Europea"/>
    <n v="142293.37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16"/>
    <s v="Uribía"/>
    <s v="Unión Europea"/>
    <n v="142293.37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30"/>
    <s v="Acandí"/>
    <s v="Unión Europea"/>
    <n v="142293.37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30"/>
    <s v="Riosucio"/>
    <s v="Unión Europea"/>
    <n v="142293.37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27"/>
    <s v="Ipiales"/>
    <s v="Unión Europea"/>
    <n v="142293.37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27"/>
    <s v="Samaniego"/>
    <s v="Unión Europea"/>
    <n v="142293.37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4-6833"/>
    <s v="ALIANZA PARA ACELARAR LA TRANSICIÓN CLIMATICA (UK PACT) "/>
    <s v="aliviar la pobreza, trabajando principalmente a través de la reducción de las emisiones de gases de efecto invernadero. "/>
    <d v="2024-02-09T00:00:00"/>
    <d v="2027-03-31T00:00:00"/>
    <x v="2"/>
    <s v="Cubarral"/>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Cumaral"/>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El Castillo"/>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El Dorado"/>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Fuente de Oro"/>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Granada"/>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Guamal"/>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La Macarena"/>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Lejanías"/>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Mesetas"/>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San Juan de Arama"/>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Villavicencio"/>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Vistahermosa"/>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7"/>
    <s v="Belén de los Andaquíes"/>
    <s v="Reino Unido"/>
    <n v="172831.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7"/>
    <s v="Cartagena del Chairá"/>
    <s v="Reino Unido"/>
    <n v="172831.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7"/>
    <s v="El Doncello"/>
    <s v="Reino Unido"/>
    <n v="172831.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7"/>
    <s v="El Paujíl"/>
    <s v="Reino Unido"/>
    <n v="172831.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7"/>
    <s v="Florencia"/>
    <s v="Reino Unido"/>
    <n v="172831.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7"/>
    <s v="La Montañita"/>
    <s v="Reino Unido"/>
    <n v="172831.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7"/>
    <s v="San José del Fragua"/>
    <s v="Reino Unido"/>
    <n v="172831.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7"/>
    <s v="San Vicente del Caguán"/>
    <s v="Reino Unido"/>
    <n v="172831.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9"/>
    <s v="Orito"/>
    <s v="Reino Unido"/>
    <n v="27653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9"/>
    <s v="Puerto Asís"/>
    <s v="Reino Unido"/>
    <n v="27653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9"/>
    <s v="Puerto Guzmán"/>
    <s v="Reino Unido"/>
    <n v="27653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9"/>
    <s v="Puerto Leguízamo"/>
    <s v="Reino Unido"/>
    <n v="27653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9"/>
    <s v="Valle del Guamuez"/>
    <s v="Reino Unido"/>
    <n v="27653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6"/>
    <s v="Buenavista"/>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6"/>
    <s v="Montería"/>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6"/>
    <s v="Planeta Rica"/>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4"/>
    <s v="La Pedrera"/>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4"/>
    <s v="La Victoria"/>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4"/>
    <s v="Mirití-Paraná"/>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30"/>
    <s v="Acandí"/>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30"/>
    <s v="Nuquí"/>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30"/>
    <s v="Tadó"/>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
    <s v="Tauramena"/>
    <s v="Reino Unido"/>
    <n v="6913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
    <s v="Yopal"/>
    <s v="Reino Unido"/>
    <n v="6913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8"/>
    <s v="Miraflores"/>
    <s v="Reino Unido"/>
    <n v="6913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8"/>
    <s v="San José del Guaviare"/>
    <s v="Reino Unido"/>
    <n v="6913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1"/>
    <s v="Barranquilla"/>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2"/>
    <s v="Valledupar"/>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6"/>
    <s v="Riohacha"/>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1"/>
    <s v="Bogotá D.C."/>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31"/>
    <s v="Tunja"/>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2"/>
    <s v="Bucaramanga"/>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7"/>
    <s v="Medellín"/>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5"/>
    <s v="Inírida"/>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6"/>
    <s v="Taraira"/>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3"/>
    <s v="Cumaribo"/>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7"/>
    <s v="Pasto"/>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9"/>
    <s v="Cali"/>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5-6840"/>
    <s v="Articulaciones/coaliciones para apoyar procesos políticos hacia una transición agroecológica en América Latina"/>
    <s v="Analizar colectivamente el estado de la transición agroecológica e identificar las oportunidades y desafíos para generar articulaciones entre distintos actores y sectores relevantes para avanzar en la_x000a_incidencia en políticas públicas a favor de la transición hacia sistemas agroalimentarios saludables e inclusivos."/>
    <d v="2025-01-21T00:00:00"/>
    <d v="2028-03-31T00:00:00"/>
    <x v="8"/>
    <s v="No Reporta"/>
    <s v="ESAL"/>
    <n v="282374.25"/>
    <x v="176"/>
    <s v="Canadá"/>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842"/>
    <s v="Resiliencia Comunitaria en San José del Guaviare para la seguridad alimentaria y WASH - 24-R-NGO-34551 "/>
    <s v="Promover la resiliencia comunitaria en las veredas El Morro y Dunas mediante la mejora de la seguridad alimentaria, el acceso al agua potable y saneamiento básico, y seguridad alimentaria."/>
    <d v="2025-04-22T00:00:00"/>
    <d v="2026-04-29T00:00:00"/>
    <x v="18"/>
    <s v="San José del Guaviare"/>
    <s v="Naciones Unidas"/>
    <n v="208580.3"/>
    <x v="138"/>
    <s v="Estados Unidos"/>
    <m/>
    <s v="1. Promover la lucha contra el cambio climatico, la justicia ambiental y la transformación productiva"/>
    <s v="6.1.En 2030, lograr el acceso universal y equitativo al agua potable segura y asequible para todos"/>
    <x v="3"/>
    <s v="SIN ALINEAR"/>
    <s v="Vivienda Ciudad y Territorio"/>
  </r>
  <r>
    <s v="R-AO-24-6846"/>
    <s v="SI AGER - Cacao para la Conservación: Fortalecimiento de las cadenas de suministro libres de deforestación y positivas para la naturaleza - 243 /P00000861"/>
    <s v="El objetivo del proyecto es facilitar el cumplimiento de los requisitos de la cadena de suministro de la UE para las cooperativas de cacao, crear accesodirecto al mercado para el cacao libre de deforestación y conversión, y pilotear soluciones de cadena de suministropositivas para la naturaleza, libres de deforestación yconversión, con actores del mercado europeo. Además,busca establecer un marco para monitorear lascontribuciones a la conservación de la biodiversidad anivel de finca y paisaje, contribuyendo así a laimplementación del Marco Global de Biodiversidad (GBF)y las Estrategias y Planes de Acción Nacionales deBiodiversidad (NBSAP) de Colombia."/>
    <d v="2024-12-01T00:00:00"/>
    <d v="2026-06-30T00:00:00"/>
    <x v="8"/>
    <s v="Ámbito Nacional"/>
    <s v="Alemania"/>
    <n v="630242"/>
    <x v="63"/>
    <s v="Alemania"/>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847"/>
    <s v="Arte y Protección para la Vida: Fortalecimiento de capacidades de niñas, niños y adolescentes en situación de riesgo a través del arte y la mejora de condiciones de bienestar en Benposta Bogotá"/>
    <s v="Garantizar el desarrollo psicoafectivo y social de 90 niños, niñas y adolescentes ubicados en la sede de Benposta – Bogotá, a través del buen funcionamiento de una Escuela de artes."/>
    <d v="2025-06-10T00:00:00"/>
    <d v="2026-04-10T00:00:00"/>
    <x v="8"/>
    <s v="No Reporta"/>
    <s v="Portugal"/>
    <n v="16479.5"/>
    <x v="177"/>
    <s v="Colombia"/>
    <m/>
    <s v="3. Promover una cultura de paz, justicia y lucha contra la desigualdad"/>
    <s v="4.a.Construir y mejorar las instalaciones educativas para hacerlas sensibles a los niños, las personas con discapacidad y el género y proporcionar entornos de aprendizaje seguros, no violentos, inclusivos y eficaces para todos."/>
    <x v="5"/>
    <s v="SIN ALINEAR"/>
    <s v="Educación Nacional"/>
  </r>
  <r>
    <s v="R-AO-25-6848"/>
    <s v="Renovación del Recinto Policial de Tibú"/>
    <s v="Fortalecer las condiciones de seguridad y convivencia ciudadana en algunos municipios de Colombia, beneficiando comunidades vulnerables y generando desarrollo."/>
    <d v="2025-05-28T00:00:00"/>
    <d v="2027-01-30T00:00:00"/>
    <x v="20"/>
    <s v="Tibú"/>
    <s v="ESAL"/>
    <n v="7391526"/>
    <x v="37"/>
    <s v="Estados Unidos"/>
    <m/>
    <s v="No Aplica"/>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Defensa Nacional"/>
  </r>
  <r>
    <s v="R-AO-25-6849"/>
    <s v="Compromiso Mujer: Una apuesta por la integración y autonomía económica - 25-SB3365"/>
    <s v="Mejorar los indicadores de integración y autonomía económica de las mujeres migrantes venezolanas y de población acogida residentes en la comuna 15 de la ciudad de Cali a través de acceso a bienes y servicios enfocados en la generación de ingresos_x000a_desde la legalidad."/>
    <d v="2025-04-29T00:00:00"/>
    <d v="2026-07-29T00:00:00"/>
    <x v="9"/>
    <s v="Cali"/>
    <s v="Francia"/>
    <n v="455289"/>
    <x v="178"/>
    <s v="Francia"/>
    <m/>
    <s v="2. Contribuir a la lucha contra el hambre y la atención humanitaria a la poblacion"/>
    <s v="8.8.Proteger los derechos laborales y promover entornos de trabajo seguros y protegidos para todos los trabajadores, incluidos los trabajadores migrantes, en particular las mujeres migrantes y_x000a_las personas con empleo precario."/>
    <x v="14"/>
    <s v="SIN ALINEAR"/>
    <s v="Igualdad y Equidad"/>
  </r>
  <r>
    <s v="R-AO-24-6851"/>
    <s v="Fondo de Transición Energética: Acoger y fomentar una transición energética justa en Colombia: diálogo social y transición de la mano de obra – Energy Transition Fund: Embracing and fostering Just energy transition in Colombia: social dialogue, and workforce transition - G-24-2143486"/>
    <s v="Fomentar una transición energética justa en Colombia a través del diálogo social, la transición laboral y el seguimiento a la transición en términos de justicia."/>
    <d v="2024-08-19T00:00:00"/>
    <d v="2026-08-18T00:00:00"/>
    <x v="8"/>
    <s v="No Reporta"/>
    <s v="ESAL"/>
    <n v="500000"/>
    <x v="179"/>
    <s v="Estados Unidos"/>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16"/>
    <s v="No Reporta"/>
    <s v="ESAL"/>
    <n v="30781.5"/>
    <x v="180"/>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17"/>
    <s v="No Reporta"/>
    <s v="ESAL"/>
    <n v="30781.5"/>
    <x v="180"/>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19"/>
    <s v="No Reporta"/>
    <s v="ESAL"/>
    <n v="30781.5"/>
    <x v="180"/>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18"/>
    <s v="No Reporta"/>
    <s v="ESAL"/>
    <n v="30781.5"/>
    <x v="180"/>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2"/>
    <s v="No Reporta"/>
    <s v="ESAL"/>
    <n v="30781.5"/>
    <x v="180"/>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3"/>
    <s v="No Reporta"/>
    <s v="ESAL"/>
    <n v="30781.5"/>
    <x v="180"/>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28"/>
    <s v="No Reporta"/>
    <s v="ESAL"/>
    <n v="30781.5"/>
    <x v="180"/>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9"/>
    <s v="No Reporta"/>
    <s v="ESAL"/>
    <n v="30781.5"/>
    <x v="180"/>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16"/>
    <s v="No Reporta"/>
    <s v="Unión Europea"/>
    <n v="408954.25"/>
    <x v="26"/>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17"/>
    <s v="No Reporta"/>
    <s v="Unión Europea"/>
    <n v="408954.25"/>
    <x v="26"/>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19"/>
    <s v="No Reporta"/>
    <s v="Unión Europea"/>
    <n v="408954.25"/>
    <x v="26"/>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18"/>
    <s v="No Reporta"/>
    <s v="Unión Europea"/>
    <n v="408954.25"/>
    <x v="26"/>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2"/>
    <s v="No Reporta"/>
    <s v="Unión Europea"/>
    <n v="408954.25"/>
    <x v="26"/>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3"/>
    <s v="No Reporta"/>
    <s v="Unión Europea"/>
    <n v="408954.25"/>
    <x v="26"/>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28"/>
    <s v="No Reporta"/>
    <s v="Unión Europea"/>
    <n v="408954.25"/>
    <x v="26"/>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9"/>
    <s v="No Reporta"/>
    <s v="Unión Europea"/>
    <n v="408954.25"/>
    <x v="26"/>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Convención"/>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Cúcuta"/>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El Carmen"/>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El tarra"/>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El Zulia"/>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Hacarí"/>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San Calixto"/>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Sardinata"/>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Teorama"/>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Tibú"/>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Colón"/>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Mocoa"/>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Orito"/>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Puerto Asís"/>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Puerto Guzmán"/>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San Francisco"/>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Santiago"/>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Sibundoy"/>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Valle del Guamuez"/>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Villagarzón"/>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2"/>
    <s v="Charta"/>
    <s v="Naciones Unidas"/>
    <n v="1458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2"/>
    <s v="Matanza"/>
    <s v="Naciones Unidas"/>
    <n v="1458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2"/>
    <s v="Suratá"/>
    <s v="Naciones Unidas"/>
    <n v="1458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2"/>
    <s v="Tona"/>
    <s v="Naciones Unidas"/>
    <n v="1458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5-6854"/>
    <s v="Visibles: Generaciones sin violencia - Standing Out: Generations Beyond Violence"/>
    <s v="Reducción de la Violencia Basada en Género (VBG) contra niñas, adolescentes y jóvenes en los territorios de Uribia, Dibulla (La Guajira), Medellín y Cali."/>
    <d v="2025-02-20T00:00:00"/>
    <d v="2030-03-31T00:00:00"/>
    <x v="16"/>
    <s v="Dibulla"/>
    <s v="Canadá"/>
    <n v="822143.52500000002"/>
    <x v="2"/>
    <s v="Canadá"/>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854"/>
    <s v="Visibles: Generaciones sin violencia - Standing Out: Generations Beyond Violence"/>
    <s v="Reducción de la Violencia Basada en Género (VBG) contra niñas, adolescentes y jóvenes en los territorios de Uribia, Dibulla (La Guajira), Medellín y Cali."/>
    <d v="2025-02-20T00:00:00"/>
    <d v="2030-03-31T00:00:00"/>
    <x v="16"/>
    <s v="Uribía"/>
    <s v="Canadá"/>
    <n v="822143.52500000002"/>
    <x v="2"/>
    <s v="Canadá"/>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854"/>
    <s v="Visibles: Generaciones sin violencia - Standing Out: Generations Beyond Violence"/>
    <s v="Reducción de la Violencia Basada en Género (VBG) contra niñas, adolescentes y jóvenes en los territorios de Uribia, Dibulla (La Guajira), Medellín y Cali."/>
    <d v="2025-02-20T00:00:00"/>
    <d v="2030-03-31T00:00:00"/>
    <x v="7"/>
    <s v="Medellín"/>
    <s v="Canadá"/>
    <n v="1644287.05"/>
    <x v="2"/>
    <s v="Canadá"/>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854"/>
    <s v="Visibles: Generaciones sin violencia - Standing Out: Generations Beyond Violence"/>
    <s v="Reducción de la Violencia Basada en Género (VBG) contra niñas, adolescentes y jóvenes en los territorios de Uribia, Dibulla (La Guajira), Medellín y Cali."/>
    <d v="2025-02-20T00:00:00"/>
    <d v="2030-03-31T00:00:00"/>
    <x v="9"/>
    <s v="Cali"/>
    <s v="Canadá"/>
    <n v="1644287.05"/>
    <x v="2"/>
    <s v="Canadá"/>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854"/>
    <s v="Visibles: Generaciones sin violencia - Standing Out: Generations Beyond Violence"/>
    <s v="Reducción de la Violencia Basada en Género (VBG) contra niñas, adolescentes y jóvenes en los territorios de Uribia, Dibulla (La Guajira), Medellín y Cali."/>
    <d v="2025-02-20T00:00:00"/>
    <d v="2030-03-31T00:00:00"/>
    <x v="16"/>
    <s v="Dibulla"/>
    <s v="ESAL"/>
    <n v="92162.288333333301"/>
    <x v="118"/>
    <s v="Canadá"/>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854"/>
    <s v="Visibles: Generaciones sin violencia - Standing Out: Generations Beyond Violence"/>
    <s v="Reducción de la Violencia Basada en Género (VBG) contra niñas, adolescentes y jóvenes en los territorios de Uribia, Dibulla (La Guajira), Medellín y Cali."/>
    <d v="2025-02-20T00:00:00"/>
    <d v="2030-03-31T00:00:00"/>
    <x v="16"/>
    <s v="Uribía"/>
    <s v="ESAL"/>
    <n v="92162.288333333301"/>
    <x v="118"/>
    <s v="Canadá"/>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854"/>
    <s v="Visibles: Generaciones sin violencia - Standing Out: Generations Beyond Violence"/>
    <s v="Reducción de la Violencia Basada en Género (VBG) contra niñas, adolescentes y jóvenes en los territorios de Uribia, Dibulla (La Guajira), Medellín y Cali."/>
    <d v="2025-02-20T00:00:00"/>
    <d v="2030-03-31T00:00:00"/>
    <x v="7"/>
    <s v="Medellín"/>
    <s v="ESAL"/>
    <n v="184324.57666666701"/>
    <x v="118"/>
    <s v="Canadá"/>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854"/>
    <s v="Visibles: Generaciones sin violencia - Standing Out: Generations Beyond Violence"/>
    <s v="Reducción de la Violencia Basada en Género (VBG) contra niñas, adolescentes y jóvenes en los territorios de Uribia, Dibulla (La Guajira), Medellín y Cali."/>
    <d v="2025-02-20T00:00:00"/>
    <d v="2030-03-31T00:00:00"/>
    <x v="9"/>
    <s v="Cali"/>
    <s v="ESAL"/>
    <n v="184324.57666666701"/>
    <x v="118"/>
    <s v="Canadá"/>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856"/>
    <s v="Apoyo a la Implementación del Programa de Apoyo a la Transición Energética - convenio de financiamiento no reembolsable para inversión N° GRT/SX-21261-CO"/>
    <s v="apoyar la descarbonización de la economía colombiana, acelerando el financiamiento de proyectos de transición energética justa y fortaleciendo las capacidades e instrumentos de la FDN que contribuyan a su eventual acceso a los mercados temáticos de capital verde en la escala necesaria."/>
    <d v="2025-02-11T00:00:00"/>
    <d v="2030-02-11T00:00:00"/>
    <x v="8"/>
    <s v="Ámbito Nacional"/>
    <s v="Banca Multilateral"/>
    <n v="1400000"/>
    <x v="5"/>
    <s v="Estados Unidos"/>
    <m/>
    <s v="1. Promover la lucha contra el cambio climatico, la justicia ambiental y la transformación productiva"/>
    <s v="13.2.Integrar medidas de cambio climático en las políticas, estrategias y planificación nacional."/>
    <x v="0"/>
    <s v="SIN ALINEAR"/>
    <s v="Hacienda y Crédito Público"/>
  </r>
  <r>
    <s v="R-AO-25-6858"/>
    <s v="Estudio de viabilidad para la preparación de la producción de biometano a partir de residuos orgánicos en Bogotá"/>
    <s v="El principal objetivo del proyecto es mejorar el manejo y gestión de los residuos orgánicos y apoyar y acelerar el desarrollo e introducción del biometano en sector transporte en Colombia. "/>
    <d v="2025-05-27T00:00:00"/>
    <d v="2026-01-27T00:00:00"/>
    <x v="11"/>
    <s v="No Reporta"/>
    <s v="Suecia"/>
    <n v="377007.5"/>
    <x v="181"/>
    <s v="Suec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Ambiente y Desarrollo Sostenible"/>
  </r>
  <r>
    <s v="R-AO-25-6858"/>
    <s v="Estudio de viabilidad para la preparación de la producción de biometano a partir de residuos orgánicos en Bogotá"/>
    <s v="El principal objetivo del proyecto es mejorar el manejo y gestión de los residuos orgánicos y apoyar y acelerar el desarrollo e introducción del biometano en sector transporte en Colombia. "/>
    <d v="2025-05-27T00:00:00"/>
    <d v="2026-01-27T00:00:00"/>
    <x v="23"/>
    <s v="No Reporta"/>
    <s v="Suecia"/>
    <n v="377007.5"/>
    <x v="181"/>
    <s v="Suec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Ambiente y Desarrollo Sostenible"/>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16"/>
    <s v="Maicao"/>
    <s v="Estados Unidos"/>
    <n v="278016.66666666698"/>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16"/>
    <s v="Riohacha"/>
    <s v="Estados Unidos"/>
    <n v="278016.66666666698"/>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16"/>
    <s v="Uribía"/>
    <s v="Estados Unidos"/>
    <n v="278016.66666666698"/>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20"/>
    <s v="Cúcuta"/>
    <s v="Estados Unidos"/>
    <n v="417025"/>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20"/>
    <s v="Villa del Rosario"/>
    <s v="Estados Unidos"/>
    <n v="417025"/>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24"/>
    <s v="Leticia"/>
    <s v="Estados Unidos"/>
    <n v="417025"/>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24"/>
    <s v="Puerto Nariño"/>
    <s v="Estados Unidos"/>
    <n v="417025"/>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5"/>
    <s v="Cartagena"/>
    <s v="Estados Unidos"/>
    <n v="834050"/>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7"/>
    <s v="Medellín"/>
    <s v="Estados Unidos"/>
    <n v="834050"/>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30"/>
    <s v="Quibdó"/>
    <s v="Estados Unidos"/>
    <n v="834050"/>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16"/>
    <s v="Maicao"/>
    <s v="ESAL"/>
    <n v="17421.055555555598"/>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16"/>
    <s v="Riohacha"/>
    <s v="ESAL"/>
    <n v="17421.055555555598"/>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16"/>
    <s v="Uribía"/>
    <s v="ESAL"/>
    <n v="17421.055555555598"/>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20"/>
    <s v="Cúcuta"/>
    <s v="ESAL"/>
    <n v="26131.583333333299"/>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20"/>
    <s v="Villa del Rosario"/>
    <s v="ESAL"/>
    <n v="26131.583333333299"/>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24"/>
    <s v="Leticia"/>
    <s v="ESAL"/>
    <n v="26131.583333333299"/>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24"/>
    <s v="Puerto Nariño"/>
    <s v="ESAL"/>
    <n v="26131.583333333299"/>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5"/>
    <s v="Cartagena"/>
    <s v="ESAL"/>
    <n v="52263.166666666701"/>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7"/>
    <s v="Medellín"/>
    <s v="ESAL"/>
    <n v="52263.166666666701"/>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30"/>
    <s v="Quibdó"/>
    <s v="ESAL"/>
    <n v="52263.166666666701"/>
    <x v="182"/>
    <s v="Estados Unidos"/>
    <m/>
    <s v="1. FOCALIZAR Y DINAMIZAR"/>
    <s v="16.2.Terminar con el abuso, la explotación, la trata y todas las formas de violencia y tortura contra los niños."/>
    <x v="7"/>
    <s v="SIN ALINEAR"/>
    <s v="Protección Social"/>
  </r>
  <r>
    <s v="R-AO-25-6866"/>
    <s v="Transformando comunidades, una historia a la vez. Programa de facilitación de procesos participativos comunitarios en comunidades vulnerables en La Guajira - CBPF-COL-24-S-NGO-33962"/>
    <s v="Fortalecer y promover la organización y resiliencia comunitaria en comunidades del municipio de Riohacha con énfasis en víctimas del conflicto armado y la violencia facilitando procesos participativos para el fortalecimiento de capacidades y el diseño e implementación de hasta 3 proyectos (soluciones) concretas que contribuyan al desarrollo local desde un enfoque centrado en las personas."/>
    <d v="2025-02-01T00:00:00"/>
    <d v="2026-01-31T00:00:00"/>
    <x v="16"/>
    <s v="Dibulla"/>
    <s v="Naciones Unidas"/>
    <n v="45893.591999999997"/>
    <x v="138"/>
    <s v="Estados Unidos"/>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nterior"/>
  </r>
  <r>
    <s v="R-AO-25-6866"/>
    <s v="Transformando comunidades, una historia a la vez. Programa de facilitación de procesos participativos comunitarios en comunidades vulnerables en La Guajira - CBPF-COL-24-S-NGO-33962"/>
    <s v="Fortalecer y promover la organización y resiliencia comunitaria en comunidades del municipio de Riohacha con énfasis en víctimas del conflicto armado y la violencia facilitando procesos participativos para el fortalecimiento de capacidades y el diseño e implementación de hasta 3 proyectos (soluciones) concretas que contribuyan al desarrollo local desde un enfoque centrado en las personas."/>
    <d v="2025-02-01T00:00:00"/>
    <d v="2026-01-31T00:00:00"/>
    <x v="16"/>
    <s v="Maicao"/>
    <s v="Naciones Unidas"/>
    <n v="45893.591999999997"/>
    <x v="138"/>
    <s v="Estados Unidos"/>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nterior"/>
  </r>
  <r>
    <s v="R-AO-25-6866"/>
    <s v="Transformando comunidades, una historia a la vez. Programa de facilitación de procesos participativos comunitarios en comunidades vulnerables en La Guajira - CBPF-COL-24-S-NGO-33962"/>
    <s v="Fortalecer y promover la organización y resiliencia comunitaria en comunidades del municipio de Riohacha con énfasis en víctimas del conflicto armado y la violencia facilitando procesos participativos para el fortalecimiento de capacidades y el diseño e implementación de hasta 3 proyectos (soluciones) concretas que contribuyan al desarrollo local desde un enfoque centrado en las personas."/>
    <d v="2025-02-01T00:00:00"/>
    <d v="2026-01-31T00:00:00"/>
    <x v="16"/>
    <s v="Manaure"/>
    <s v="Naciones Unidas"/>
    <n v="45893.591999999997"/>
    <x v="138"/>
    <s v="Estados Unidos"/>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nterior"/>
  </r>
  <r>
    <s v="R-AO-25-6866"/>
    <s v="Transformando comunidades, una historia a la vez. Programa de facilitación de procesos participativos comunitarios en comunidades vulnerables en La Guajira - CBPF-COL-24-S-NGO-33962"/>
    <s v="Fortalecer y promover la organización y resiliencia comunitaria en comunidades del municipio de Riohacha con énfasis en víctimas del conflicto armado y la violencia facilitando procesos participativos para el fortalecimiento de capacidades y el diseño e implementación de hasta 3 proyectos (soluciones) concretas que contribuyan al desarrollo local desde un enfoque centrado en las personas."/>
    <d v="2025-02-01T00:00:00"/>
    <d v="2026-01-31T00:00:00"/>
    <x v="16"/>
    <s v="Riohacha"/>
    <s v="Naciones Unidas"/>
    <n v="45893.591999999997"/>
    <x v="138"/>
    <s v="Estados Unidos"/>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nterior"/>
  </r>
  <r>
    <s v="R-AO-25-6866"/>
    <s v="Transformando comunidades, una historia a la vez. Programa de facilitación de procesos participativos comunitarios en comunidades vulnerables en La Guajira - CBPF-COL-24-S-NGO-33962"/>
    <s v="Fortalecer y promover la organización y resiliencia comunitaria en comunidades del municipio de Riohacha con énfasis en víctimas del conflicto armado y la violencia facilitando procesos participativos para el fortalecimiento de capacidades y el diseño e implementación de hasta 3 proyectos (soluciones) concretas que contribuyan al desarrollo local desde un enfoque centrado en las personas."/>
    <d v="2025-02-01T00:00:00"/>
    <d v="2026-01-31T00:00:00"/>
    <x v="16"/>
    <s v="Uribía"/>
    <s v="Naciones Unidas"/>
    <n v="45893.591999999997"/>
    <x v="138"/>
    <s v="Estados Unidos"/>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nterior"/>
  </r>
  <r>
    <s v="R-AO-25-6868"/>
    <s v="Diálogo en acción: reforzar el diálogo con el sector privado para mejorar la gobernanza medioambiental - 81317027"/>
    <s v="mejorar la gobernanza ambiental mediante procesos de diálogo entre los actores relevantes y el sector privado. Al identificar y abordar las barreras que impiden un diálogo efectivo, este proyecto de investigación busca fortalecer las prácticas democráticas en los marcos de gobernanza ambiental, garantizando que se escuchen_x000a_y se tengan en cuenta voces diversas en la construcción de soluciones sostenibles."/>
    <d v="2025-06-15T00:00:00"/>
    <d v="2026-07-14T00:00:00"/>
    <x v="11"/>
    <s v="Bogotá D.C."/>
    <s v="Alemania"/>
    <n v="34630.333333333299"/>
    <x v="63"/>
    <s v="Alemania"/>
    <m/>
    <s v="1. Promover la lucha contra el cambio climatico, la justicia ambiental y la transformación productiva"/>
    <s v="13.b.Promover mecanismos para aumentar las capacidades de planificación y gestión eficaz relacionadas con el cambio climático, en los PMA, incluyendo atención a las mujeres, los jóvenes, las comunidades locales y marginadas."/>
    <x v="0"/>
    <s v="SIN ALINEAR"/>
    <s v="Ambiente y Desarrollo Sostenible"/>
  </r>
  <r>
    <s v="R-AO-25-6868"/>
    <s v="Diálogo en acción: reforzar el diálogo con el sector privado para mejorar la gobernanza medioambiental - 81317027"/>
    <s v="mejorar la gobernanza ambiental mediante procesos de diálogo entre los actores relevantes y el sector privado. Al identificar y abordar las barreras que impiden un diálogo efectivo, este proyecto de investigación busca fortalecer las prácticas democráticas en los marcos de gobernanza ambiental, garantizando que se escuchen_x000a_y se tengan en cuenta voces diversas en la construcción de soluciones sostenibles."/>
    <d v="2025-06-15T00:00:00"/>
    <d v="2026-07-14T00:00:00"/>
    <x v="7"/>
    <s v="Medellín"/>
    <s v="Alemania"/>
    <n v="34630.333333333299"/>
    <x v="63"/>
    <s v="Alemania"/>
    <m/>
    <s v="1. Promover la lucha contra el cambio climatico, la justicia ambiental y la transformación productiva"/>
    <s v="13.b.Promover mecanismos para aumentar las capacidades de planificación y gestión eficaz relacionadas con el cambio climático, en los PMA, incluyendo atención a las mujeres, los jóvenes, las comunidades locales y marginadas."/>
    <x v="0"/>
    <s v="SIN ALINEAR"/>
    <s v="Ambiente y Desarrollo Sostenible"/>
  </r>
  <r>
    <s v="R-AO-25-6868"/>
    <s v="Diálogo en acción: reforzar el diálogo con el sector privado para mejorar la gobernanza medioambiental - 81317027"/>
    <s v="mejorar la gobernanza ambiental mediante procesos de diálogo entre los actores relevantes y el sector privado. Al identificar y abordar las barreras que impiden un diálogo efectivo, este proyecto de investigación busca fortalecer las prácticas democráticas en los marcos de gobernanza ambiental, garantizando que se escuchen_x000a_y se tengan en cuenta voces diversas en la construcción de soluciones sostenibles."/>
    <d v="2025-06-15T00:00:00"/>
    <d v="2026-07-14T00:00:00"/>
    <x v="9"/>
    <s v="Cali"/>
    <s v="Alemania"/>
    <n v="34630.333333333299"/>
    <x v="63"/>
    <s v="Alemania"/>
    <m/>
    <s v="1. Promover la lucha contra el cambio climatico, la justicia ambiental y la transformación productiva"/>
    <s v="13.b.Promover mecanismos para aumentar las capacidades de planificación y gestión eficaz relacionadas con el cambio climático, en los PMA, incluyendo atención a las mujeres, los jóvenes, las comunidades locales y marginadas."/>
    <x v="0"/>
    <s v="SIN ALINEAR"/>
    <s v="Ambiente y Desarrollo Sostenible"/>
  </r>
  <r>
    <s v="R-FP-25-6871"/>
    <s v="Territorio y Justicia Socioambiental de las comunidades campesinas de ASOQUIMBO-NHRFCOLOMBIA -6878O"/>
    <s v="Fortalecer el ejercicio efectivo e integral de los derechos de las comunidades campesinas de Asoquimbo, promoviendo su acceso a la tierra, su permanencia en el territorio, la defensa del ambiente y su derecho a la participación como sujetos de especial protección"/>
    <d v="2025-01-05T00:00:00"/>
    <d v="2027-12-31T00:00:00"/>
    <x v="14"/>
    <s v="Agrado"/>
    <s v="ESAL"/>
    <n v="21607.142857142899"/>
    <x v="183"/>
    <s v="Norueg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Agricultura y Desarrollo Rural"/>
  </r>
  <r>
    <s v="R-FP-25-6871"/>
    <s v="Territorio y Justicia Socioambiental de las comunidades campesinas de ASOQUIMBO-NHRFCOLOMBIA -6878O"/>
    <s v="Fortalecer el ejercicio efectivo e integral de los derechos de las comunidades campesinas de Asoquimbo, promoviendo su acceso a la tierra, su permanencia en el territorio, la defensa del ambiente y su derecho a la participación como sujetos de especial protección"/>
    <d v="2025-01-05T00:00:00"/>
    <d v="2027-12-31T00:00:00"/>
    <x v="14"/>
    <s v="Altamira"/>
    <s v="ESAL"/>
    <n v="21607.142857142899"/>
    <x v="183"/>
    <s v="Norueg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Agricultura y Desarrollo Rural"/>
  </r>
  <r>
    <s v="R-FP-25-6871"/>
    <s v="Territorio y Justicia Socioambiental de las comunidades campesinas de ASOQUIMBO-NHRFCOLOMBIA -6878O"/>
    <s v="Fortalecer el ejercicio efectivo e integral de los derechos de las comunidades campesinas de Asoquimbo, promoviendo su acceso a la tierra, su permanencia en el territorio, la defensa del ambiente y su derecho a la participación como sujetos de especial protección"/>
    <d v="2025-01-05T00:00:00"/>
    <d v="2027-12-31T00:00:00"/>
    <x v="14"/>
    <s v="Campoalegre"/>
    <s v="ESAL"/>
    <n v="21607.142857142899"/>
    <x v="183"/>
    <s v="Norueg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Agricultura y Desarrollo Rural"/>
  </r>
  <r>
    <s v="R-FP-25-6871"/>
    <s v="Territorio y Justicia Socioambiental de las comunidades campesinas de ASOQUIMBO-NHRFCOLOMBIA -6878O"/>
    <s v="Fortalecer el ejercicio efectivo e integral de los derechos de las comunidades campesinas de Asoquimbo, promoviendo su acceso a la tierra, su permanencia en el territorio, la defensa del ambiente y su derecho a la participación como sujetos de especial protección"/>
    <d v="2025-01-05T00:00:00"/>
    <d v="2027-12-31T00:00:00"/>
    <x v="14"/>
    <s v="Garzón"/>
    <s v="ESAL"/>
    <n v="21607.142857142899"/>
    <x v="183"/>
    <s v="Norueg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Agricultura y Desarrollo Rural"/>
  </r>
  <r>
    <s v="R-FP-25-6871"/>
    <s v="Territorio y Justicia Socioambiental de las comunidades campesinas de ASOQUIMBO-NHRFCOLOMBIA -6878O"/>
    <s v="Fortalecer el ejercicio efectivo e integral de los derechos de las comunidades campesinas de Asoquimbo, promoviendo su acceso a la tierra, su permanencia en el territorio, la defensa del ambiente y su derecho a la participación como sujetos de especial protección"/>
    <d v="2025-01-05T00:00:00"/>
    <d v="2027-12-31T00:00:00"/>
    <x v="14"/>
    <s v="Gigante"/>
    <s v="ESAL"/>
    <n v="21607.142857142899"/>
    <x v="183"/>
    <s v="Norueg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Agricultura y Desarrollo Rural"/>
  </r>
  <r>
    <s v="R-FP-25-6871"/>
    <s v="Territorio y Justicia Socioambiental de las comunidades campesinas de ASOQUIMBO-NHRFCOLOMBIA -6878O"/>
    <s v="Fortalecer el ejercicio efectivo e integral de los derechos de las comunidades campesinas de Asoquimbo, promoviendo su acceso a la tierra, su permanencia en el territorio, la defensa del ambiente y su derecho a la participación como sujetos de especial protección"/>
    <d v="2025-01-05T00:00:00"/>
    <d v="2027-12-31T00:00:00"/>
    <x v="14"/>
    <s v="Hobo"/>
    <s v="ESAL"/>
    <n v="21607.142857142899"/>
    <x v="183"/>
    <s v="Norueg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Agricultura y Desarrollo Rural"/>
  </r>
  <r>
    <s v="R-FP-25-6871"/>
    <s v="Territorio y Justicia Socioambiental de las comunidades campesinas de ASOQUIMBO-NHRFCOLOMBIA -6878O"/>
    <s v="Fortalecer el ejercicio efectivo e integral de los derechos de las comunidades campesinas de Asoquimbo, promoviendo su acceso a la tierra, su permanencia en el territorio, la defensa del ambiente y su derecho a la participación como sujetos de especial protección"/>
    <d v="2025-01-05T00:00:00"/>
    <d v="2027-12-31T00:00:00"/>
    <x v="14"/>
    <s v="Tarqui"/>
    <s v="ESAL"/>
    <n v="21607.142857142899"/>
    <x v="183"/>
    <s v="Norueg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Agricultura y Desarrollo Rural"/>
  </r>
  <r>
    <s v="R-AO-25-6872"/>
    <s v="Empoderar a jóvenes líderes y sus iniciativas de conservación del bosque tropical de Turbaco"/>
    <s v="Establecer alianzas sostenibles entre el Jardín Botánico “Guillermo Piñeres” (JBGP) y seis instituciones educativas del municipio de Turbaco, mediante un proceso inicial de identificación, contacto y selección basado en criterios de disposición e interés institucional, que permita consolidar relaciones de colaboración a largo plazo en torno a la conservación del bosque seco tropical (BST)."/>
    <d v="2025-05-01T00:00:00"/>
    <d v="2026-10-31T00:00:00"/>
    <x v="5"/>
    <s v="Turbaco"/>
    <s v="Alemania"/>
    <n v="140938"/>
    <x v="74"/>
    <s v="Aleman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5-6878"/>
    <s v="Cooperación Técnica No Reembolsable  No ATN/PS-21561-CO Consolidación de las  Mejores Prácticas de Desarrollo Corporativo en el  Sector de Agua y Saneamiento en Colombia"/>
    <s v="El objetivo general del Proyecto es contribuir al mejoramiento de la calidad y sostenibilidad de los servicios de agua y saneamiento urbanos mediante la consolidación _x000a_de los resultados de desarrollo corporativo en el sector de agua y saneamiento de Colombia."/>
    <d v="2025-07-09T00:00:00"/>
    <d v="2027-12-09T00:00:00"/>
    <x v="8"/>
    <s v="No Reporta"/>
    <s v="Suiza"/>
    <n v="2508000"/>
    <x v="184"/>
    <s v="Suiza"/>
    <m/>
    <s v="1. Promover la lucha contra el cambio climatico, la justicia ambiental y la transformación productiva"/>
    <s v="6.b.Apoyar y fortalecer la participación de las comunidades locales para mejorar la gestión del agua y el saneamiento."/>
    <x v="3"/>
    <s v="SIN ALINEAR"/>
    <s v="Vivienda Ciudad y Territorio"/>
  </r>
  <r>
    <s v="R-AO-25-6880"/>
    <s v="Nuevas Estrategías de Adaptación Ambíental para las ComuNidades y los Ecosístemas - NAANE - AID 013244/05/5"/>
    <s v="romover la resiliencia climática y la conservación de la biodiversidad a través d e la gestión sostenible e inclusiva de la tierra en las comunidades indígenas y otras comunidades en el Departamento de Amazonas, en línea con los Objetivos de Desarrollo Sostenible 13.1 y 15.9."/>
    <d v="2025-05-15T00:00:00"/>
    <d v="2028-09-12T00:00:00"/>
    <x v="24"/>
    <s v="Leticia"/>
    <s v="Italia"/>
    <n v="1118697.5"/>
    <x v="17"/>
    <s v="Italia"/>
    <m/>
    <s v="1. Promover la lucha contra el cambio climatico, la justicia ambiental y la transformación productiva"/>
    <s v="13.1.Fortalecer la resiliencia y capacidad de adaptación a los peligros relacionados con el clima y los desastres naturales en todos los países"/>
    <x v="0"/>
    <s v="SIN ALINEAR"/>
    <s v="Interior"/>
  </r>
  <r>
    <s v="R-AO-25-6880"/>
    <s v="Nuevas Estrategías de Adaptación Ambíental para las ComuNidades y los Ecosístemas - NAANE - AID 013244/05/5"/>
    <s v="romover la resiliencia climática y la conservación de la biodiversidad a través d e la gestión sostenible e inclusiva de la tierra en las comunidades indígenas y otras comunidades en el Departamento de Amazonas, en línea con los Objetivos de Desarrollo Sostenible 13.1 y 15.9."/>
    <d v="2025-05-15T00:00:00"/>
    <d v="2028-09-12T00:00:00"/>
    <x v="24"/>
    <s v="Puerto Nariño"/>
    <s v="Italia"/>
    <n v="1118697.5"/>
    <x v="17"/>
    <s v="Italia"/>
    <m/>
    <s v="1. Promover la lucha contra el cambio climatico, la justicia ambiental y la transformación productiva"/>
    <s v="13.1.Fortalecer la resiliencia y capacidad de adaptación a los peligros relacionados con el clima y los desastres naturales en todos los países"/>
    <x v="0"/>
    <s v="SIN ALINEAR"/>
    <s v="Interior"/>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Barbacoas"/>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Cumbal"/>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Guachucal"/>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La Llanada"/>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Los Andes"/>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Mallama"/>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Providencia"/>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Ricaurte"/>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Samaniego"/>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Santacruz"/>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8"/>
    <s v="Apoyo humanitario al retorno seguro y digno de Amba Patato con garantías para su reintegración en el resguardo del que fue expulsada por la violencia"/>
    <s v="proporcionar asistencia y protección humanitaria al retorno seguro y digno de la comunidad indígena embera Ambá Patato del municipio de Juradó."/>
    <d v="2025-05-20T00:00:00"/>
    <d v="2026-11-20T00:00:00"/>
    <x v="30"/>
    <s v="Juradó"/>
    <s v="España"/>
    <n v="225369"/>
    <x v="169"/>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5-6889"/>
    <s v="Respuesta Humanitaria inmediata y de Protección a Víctimas del Conflicto  Armado y desplazamiento interno en los departamentos de Putumayo y Caquetá-CBPF-COL-24-S-NGO-33984"/>
    <s v="Contribuir a la atención humanitaria inmediata coordinada con los ELCs, promoviendo la reducción de impactos negativos generados por el Conflicto armado interno y otras situaciones de violencia en las comunidades de los departamentos de Putumayo y Caquetá._x000a_"/>
    <d v="2025-02-13T00:00:00"/>
    <d v="2026-02-12T00:00:00"/>
    <x v="17"/>
    <s v="No Reporta"/>
    <s v="Naciones Unidas"/>
    <n v="137372.935"/>
    <x v="138"/>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889"/>
    <s v="Respuesta Humanitaria inmediata y de Protección a Víctimas del Conflicto  Armado y desplazamiento interno en los departamentos de Putumayo y Caquetá-CBPF-COL-24-S-NGO-33984"/>
    <s v="Contribuir a la atención humanitaria inmediata coordinada con los ELCs, promoviendo la reducción de impactos negativos generados por el Conflicto armado interno y otras situaciones de violencia en las comunidades de los departamentos de Putumayo y Caquetá._x000a_"/>
    <d v="2025-02-13T00:00:00"/>
    <d v="2026-02-12T00:00:00"/>
    <x v="19"/>
    <s v="No Reporta"/>
    <s v="Naciones Unidas"/>
    <n v="137372.935"/>
    <x v="138"/>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890"/>
    <s v="42° Congreso de la Federación Internacional por los Derechos Humanos: contribuir a una transición hacia un mundo sostenible, derechos universales y sociedades justas"/>
    <s v="Reforzar el trabajo del movimiento mundial de derechos humanos a favor de un mundo sostenible, derechos universales y sociedades justas."/>
    <d v="2025-06-01T00:00:00"/>
    <d v="2026-12-01T00:00:00"/>
    <x v="11"/>
    <s v="Bogotá D.C."/>
    <s v="España"/>
    <n v="113524"/>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Interior"/>
  </r>
  <r>
    <s v="R-AO-25-6893"/>
    <s v="Reducir riesgos de protección de jóvenes de Buenaventura en contextos de vulnerabilidad, fortaleciendo habilidades y promoviendo acceso a oportunidades laborales -  CBPF-COL-24-R-NGO-34477"/>
    <s v="Reducir riesgos de protección de jóvenes de Buenaventura en contextos de vulnerabilidad, fortaleciendo habilidades y promoviendo acceso a oportunidades laborales."/>
    <d v="2025-05-26T00:00:00"/>
    <d v="2026-05-25T00:00:00"/>
    <x v="9"/>
    <s v="Buenaventura"/>
    <s v="Naciones Unidas"/>
    <n v="229999.76"/>
    <x v="138"/>
    <s v="Estados Unidos"/>
    <m/>
    <s v="3. Promover una cultura de paz, justicia y lucha contra la desigualdad"/>
    <s v="8.b.En 2020 desarrollar y poner en práctica una estrategia global para el empleo de los jóvenes y poner en práctica el Pacto Mundial para el Empleo de la OIT."/>
    <x v="14"/>
    <s v="SIN ALINEAR"/>
    <s v="Igualdad y Equidad"/>
  </r>
  <r>
    <s v="R-AO-25-6898"/>
    <s v="Fortalecimiento de los Procesos Productivos Agricolas en el Departamento del Putumayo - GRT/IE-21547-CO / GRT/IE-21548-CO "/>
    <s v="incrementar los ingresos de las comunidades productoras a través de mejores prácticas de producción y comercialización de caña, miel y pimienta en los municipios de Puerto Asís, Puerto Leguízamo y Valle del Guamuez en el departamento de Putumayo."/>
    <d v="2025-05-27T00:00:00"/>
    <d v="2027-05-27T00:00:00"/>
    <x v="19"/>
    <s v="Puerto Asís"/>
    <s v="Banca Multilateral"/>
    <n v="344522.33333333302"/>
    <x v="5"/>
    <s v="Estados Unidos"/>
    <m/>
    <s v="4. Fortalecimiento institucional para la gestión de la cooperación internacion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898"/>
    <s v="Fortalecimiento de los Procesos Productivos Agricolas en el Departamento del Putumayo - GRT/IE-21547-CO / GRT/IE-21548-CO "/>
    <s v="incrementar los ingresos de las comunidades productoras a través de mejores prácticas de producción y comercialización de caña, miel y pimienta en los municipios de Puerto Asís, Puerto Leguízamo y Valle del Guamuez en el departamento de Putumayo."/>
    <d v="2025-05-27T00:00:00"/>
    <d v="2027-05-27T00:00:00"/>
    <x v="19"/>
    <s v="Puerto Leguízamo"/>
    <s v="Banca Multilateral"/>
    <n v="344522.33333333302"/>
    <x v="5"/>
    <s v="Estados Unidos"/>
    <m/>
    <s v="4. Fortalecimiento institucional para la gestión de la cooperación internacion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898"/>
    <s v="Fortalecimiento de los Procesos Productivos Agricolas en el Departamento del Putumayo - GRT/IE-21547-CO / GRT/IE-21548-CO "/>
    <s v="incrementar los ingresos de las comunidades productoras a través de mejores prácticas de producción y comercialización de caña, miel y pimienta en los municipios de Puerto Asís, Puerto Leguízamo y Valle del Guamuez en el departamento de Putumayo."/>
    <d v="2025-05-27T00:00:00"/>
    <d v="2027-05-27T00:00:00"/>
    <x v="19"/>
    <s v="Valle del Guamuez"/>
    <s v="Banca Multilateral"/>
    <n v="344522.33333333302"/>
    <x v="5"/>
    <s v="Estados Unidos"/>
    <m/>
    <s v="4. Fortalecimiento institucional para la gestión de la cooperación internacion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898"/>
    <s v="Fortalecimiento de los Procesos Productivos Agricolas en el Departamento del Putumayo - GRT/IE-21547-CO / GRT/IE-21548-CO "/>
    <s v="incrementar los ingresos de las comunidades productoras a través de mejores prácticas de producción y comercialización de caña, miel y pimienta en los municipios de Puerto Asís, Puerto Leguízamo y Valle del Guamuez en el departamento de Putumayo."/>
    <d v="2025-05-27T00:00:00"/>
    <d v="2027-05-27T00:00:00"/>
    <x v="19"/>
    <s v="Puerto Asís"/>
    <s v="ESAL"/>
    <n v="11954"/>
    <x v="186"/>
    <s v="Estados Unidos"/>
    <m/>
    <s v="4. Fortalecimiento institucional para la gestión de la cooperación internacion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898"/>
    <s v="Fortalecimiento de los Procesos Productivos Agricolas en el Departamento del Putumayo - GRT/IE-21547-CO / GRT/IE-21548-CO "/>
    <s v="incrementar los ingresos de las comunidades productoras a través de mejores prácticas de producción y comercialización de caña, miel y pimienta en los municipios de Puerto Asís, Puerto Leguízamo y Valle del Guamuez en el departamento de Putumayo."/>
    <d v="2025-05-27T00:00:00"/>
    <d v="2027-05-27T00:00:00"/>
    <x v="19"/>
    <s v="Puerto Leguízamo"/>
    <s v="ESAL"/>
    <n v="11954"/>
    <x v="186"/>
    <s v="Estados Unidos"/>
    <m/>
    <s v="4. Fortalecimiento institucional para la gestión de la cooperación internacion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898"/>
    <s v="Fortalecimiento de los Procesos Productivos Agricolas en el Departamento del Putumayo - GRT/IE-21547-CO / GRT/IE-21548-CO "/>
    <s v="incrementar los ingresos de las comunidades productoras a través de mejores prácticas de producción y comercialización de caña, miel y pimienta en los municipios de Puerto Asís, Puerto Leguízamo y Valle del Guamuez en el departamento de Putumayo."/>
    <d v="2025-05-27T00:00:00"/>
    <d v="2027-05-27T00:00:00"/>
    <x v="19"/>
    <s v="Valle del Guamuez"/>
    <s v="ESAL"/>
    <n v="11954"/>
    <x v="186"/>
    <s v="Estados Unidos"/>
    <m/>
    <s v="4. Fortalecimiento institucional para la gestión de la cooperación internacion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902"/>
    <s v="Las mujeres afrodescendientes y defensoras de DDHH del Cauca lideran la cons-trucción de paz en de una sociedad más justa – Fase 2025"/>
    <s v="Construir la paz y defender el derecho a una vida libre de discriminaciones y violencias "/>
    <d v="2024-10-17T00:00:00"/>
    <d v="2026-10-17T00:00:00"/>
    <x v="27"/>
    <s v="San Andrés de Tumaco"/>
    <s v="España"/>
    <n v="184252"/>
    <x v="187"/>
    <s v="Españ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4-6902"/>
    <s v="Las mujeres afrodescendientes y defensoras de DDHH del Cauca lideran la cons-trucción de paz en de una sociedad más justa – Fase 2025"/>
    <s v="Construir la paz y defender el derecho a una vida libre de discriminaciones y violencias "/>
    <d v="2024-10-17T00:00:00"/>
    <d v="2026-10-17T00:00:00"/>
    <x v="9"/>
    <s v="Buenaventura"/>
    <s v="España"/>
    <n v="184252"/>
    <x v="187"/>
    <s v="Españ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0"/>
    <s v="Ábrego"/>
    <s v="Francia"/>
    <n v="18787.916666666701"/>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0"/>
    <s v="Convención"/>
    <s v="Francia"/>
    <n v="18787.916666666701"/>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0"/>
    <s v="Hacarí"/>
    <s v="Francia"/>
    <n v="18787.916666666701"/>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0"/>
    <s v="La Playa"/>
    <s v="Francia"/>
    <n v="18787.916666666701"/>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0"/>
    <s v="Ocaña"/>
    <s v="Francia"/>
    <n v="18787.916666666701"/>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0"/>
    <s v="Teorama"/>
    <s v="Francia"/>
    <n v="18787.916666666701"/>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8"/>
    <s v="Buenos Aires"/>
    <s v="Francia"/>
    <n v="28181.875"/>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8"/>
    <s v="Morales"/>
    <s v="Francia"/>
    <n v="28181.875"/>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8"/>
    <s v="Santander de Quilichao"/>
    <s v="Francia"/>
    <n v="28181.875"/>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8"/>
    <s v="Suárez"/>
    <s v="Francia"/>
    <n v="28181.875"/>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4"/>
    <s v="PROYECTO DE FORTALECIMIENTO DE LA  TRANSPARENCIA A TRAVÉS DEL AVANCE DEL  PORTAL ANTICORRUPCIÓN EN COLOMBIA"/>
    <s v="A. Mejora de la calidad de los servicios administrativos mediante la vinculación de los sistemas de denuncia anticorrupción entre instituciones públicas para el fortalecimiento del ejercicio del control social y la veeduría ciudadana. B. Fortalecimiento de la capacidad de la Secretaría de Transparencia del  DAPRE en la gestión de denuncias, para contribuir a la lucha contra la corrupción."/>
    <d v="2025-07-22T00:00:00"/>
    <d v="2029-07-22T00:00:00"/>
    <x v="8"/>
    <s v="No Reporta"/>
    <s v="Corea del Sur"/>
    <n v="5400000"/>
    <x v="13"/>
    <s v="Corea del Sur"/>
    <m/>
    <s v="4. Fortalecimiento institucional para la gestión de la cooperación internacional"/>
    <s v="16.5.Reducir sustancialmente la corrupción y el soborno en todas sus formas."/>
    <x v="7"/>
    <s v="SIN ALINEAR"/>
    <s v="Presidencia de la República"/>
  </r>
  <r>
    <s v="R-AO-25-6905"/>
    <s v="Reducción del riesgo de artefactos explosivos y aumento de resiliencia comunitaria a través de la Acción Integral contra Minas Antipersonal (AICMA) – Convenio 01001365 – 01004468"/>
    <s v="Comunidades afectadas en Sardinata, Norte de Santander, cuentan con las condiciones habilitantes para su_x000a_desarrollo y mejoran su capacidad de respuesta ante la presencia de artefactos explosivos y la violencia de género, particularmente dirigida a mujeres y población LGBTIQ+, después de la intervención de Acción Integral Contra Minas Antipersonal."/>
    <d v="2025-07-30T00:00:00"/>
    <d v="2027-01-29T00:00:00"/>
    <x v="20"/>
    <s v="Sardinata"/>
    <s v="Naciones Unidas"/>
    <n v="673920.94"/>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07"/>
    <s v="Prevención de Riesgos por Artefactos Explosivos y Acceso Seguro a la Tierra con Enfoque Diferencial en Tumaco, Nariño -  01001365 - 01004468"/>
    <s v="Disminuir la amenaza y el riesgo de accidentes por Artefactos Explosivos (AE) bajo un enfoque diferencial de edad, género y diversidad (incluyendo etnia, discapacidad, orientación sexual etc.) que contribuya a la transformación del territorio y garantice el acceso seguro a la tierra en el municipio de Tumaco, Nariño."/>
    <d v="2025-08-01T00:00:00"/>
    <d v="2026-07-29T00:00:00"/>
    <x v="27"/>
    <s v="San Andrés de Tumaco"/>
    <s v="Naciones Unidas"/>
    <n v="668782.89"/>
    <x v="93"/>
    <s v="Estados Unidos"/>
    <m/>
    <s v="3. Promover una cultura de paz, justicia y lucha contra la desigualdad"/>
    <s v="16.1.Reducir significativamente todas las formas de violencia y las tasas de mortalidad relacionadas en todas partes."/>
    <x v="7"/>
    <s v="SIN ALINEAR"/>
    <s v="Presidencia de la República"/>
  </r>
  <r>
    <s v="R-AO-22-6910"/>
    <s v="Hacia la transición ecológica justa en los sectores minero energético y agrícola de los países andinos con énfasis en el trabajo decente - 2022/PCONV/000412"/>
    <s v="Contribuir a que los sindicatos de la zona andina impulsen una transición ecológica en los sectores minero energético y agrícola, que integre estrategias  de mitigación y adaptación al cambio climático y que se realice de una forma justa para las trabajadoras/es y poblaciones"/>
    <d v="2022-11-15T00:00:00"/>
    <d v="2027-05-15T00:00:00"/>
    <x v="16"/>
    <s v="No Reporta"/>
    <s v="España"/>
    <n v="307807"/>
    <x v="27"/>
    <s v="España"/>
    <m/>
    <s v="C. Conservación Y Sostenibilidad Ambiental"/>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Trabajo"/>
  </r>
  <r>
    <s v="R-AO-22-6910"/>
    <s v="Hacia la transición ecológica justa en los sectores minero energético y agrícola de los países andinos con énfasis en el trabajo decente - 2022/PCONV/000412"/>
    <s v="Contribuir a que los sindicatos de la zona andina impulsen una transición ecológica en los sectores minero energético y agrícola, que integre estrategias  de mitigación y adaptación al cambio climático y que se realice de una forma justa para las trabajadoras/es y poblaciones"/>
    <d v="2022-11-15T00:00:00"/>
    <d v="2027-05-15T00:00:00"/>
    <x v="9"/>
    <s v="No Reporta"/>
    <s v="España"/>
    <n v="307807"/>
    <x v="27"/>
    <s v="España"/>
    <m/>
    <s v="C. Conservación Y Sostenibilidad Ambiental"/>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Trabajo"/>
  </r>
  <r>
    <s v="R-AO-22-6910"/>
    <s v="Hacia la transición ecológica justa en los sectores minero energético y agrícola de los países andinos con énfasis en el trabajo decente - 2022/PCONV/000412"/>
    <s v="Contribuir a que los sindicatos de la zona andina impulsen una transición ecológica en los sectores minero energético y agrícola, que integre estrategias  de mitigación y adaptación al cambio climático y que se realice de una forma justa para las trabajadoras/es y poblaciones"/>
    <d v="2022-11-15T00:00:00"/>
    <d v="2027-05-15T00:00:00"/>
    <x v="16"/>
    <s v="No Reporta"/>
    <s v="ESAL"/>
    <n v="7485.5"/>
    <x v="188"/>
    <s v="España"/>
    <m/>
    <s v="C. Conservación Y Sostenibilidad Ambiental"/>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Trabajo"/>
  </r>
  <r>
    <s v="R-AO-22-6910"/>
    <s v="Hacia la transición ecológica justa en los sectores minero energético y agrícola de los países andinos con énfasis en el trabajo decente - 2022/PCONV/000412"/>
    <s v="Contribuir a que los sindicatos de la zona andina impulsen una transición ecológica en los sectores minero energético y agrícola, que integre estrategias  de mitigación y adaptación al cambio climático y que se realice de una forma justa para las trabajadoras/es y poblaciones"/>
    <d v="2022-11-15T00:00:00"/>
    <d v="2027-05-15T00:00:00"/>
    <x v="9"/>
    <s v="No Reporta"/>
    <s v="ESAL"/>
    <n v="7485.5"/>
    <x v="188"/>
    <s v="España"/>
    <m/>
    <s v="C. Conservación Y Sostenibilidad Ambiental"/>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Trabajo"/>
  </r>
  <r>
    <s v="R-AO-22-6910"/>
    <s v="Hacia la transición ecológica justa en los sectores minero energético y agrícola de los países andinos con énfasis en el trabajo decente - 2022/PCONV/000412"/>
    <s v="Contribuir a que los sindicatos de la zona andina impulsen una transición ecológica en los sectores minero energético y agrícola, que integre estrategias  de mitigación y adaptación al cambio climático y que se realice de una forma justa para las trabajadoras/es y poblaciones"/>
    <d v="2022-11-15T00:00:00"/>
    <d v="2027-05-15T00:00:00"/>
    <x v="16"/>
    <s v="No Reporta"/>
    <s v="ESAL"/>
    <n v="6183"/>
    <x v="189"/>
    <s v="España"/>
    <m/>
    <s v="C. Conservación Y Sostenibilidad Ambiental"/>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Trabajo"/>
  </r>
  <r>
    <s v="R-AO-22-6910"/>
    <s v="Hacia la transición ecológica justa en los sectores minero energético y agrícola de los países andinos con énfasis en el trabajo decente - 2022/PCONV/000412"/>
    <s v="Contribuir a que los sindicatos de la zona andina impulsen una transición ecológica en los sectores minero energético y agrícola, que integre estrategias  de mitigación y adaptación al cambio climático y que se realice de una forma justa para las trabajadoras/es y poblaciones"/>
    <d v="2022-11-15T00:00:00"/>
    <d v="2027-05-15T00:00:00"/>
    <x v="9"/>
    <s v="No Reporta"/>
    <s v="ESAL"/>
    <n v="6183"/>
    <x v="189"/>
    <s v="España"/>
    <m/>
    <s v="C. Conservación Y Sostenibilidad Ambiental"/>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Trabajo"/>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7"/>
    <s v="Anorí"/>
    <s v="Naciones Unidas"/>
    <n v="53262.208333333299"/>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7"/>
    <s v="Mutatá"/>
    <s v="Naciones Unidas"/>
    <n v="53262.208333333299"/>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22"/>
    <s v="Manaure Balcón del Cesar"/>
    <s v="Naciones Unidas"/>
    <n v="106524.41666666701"/>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11"/>
    <s v="Bogotá D.C."/>
    <s v="Naciones Unidas"/>
    <n v="106524.41666666701"/>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23"/>
    <s v="Venecia"/>
    <s v="Naciones Unidas"/>
    <n v="106524.41666666701"/>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17"/>
    <s v="La Montañita"/>
    <s v="Naciones Unidas"/>
    <n v="106524.41666666701"/>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19"/>
    <s v="Puerto Guzmán"/>
    <s v="Naciones Unidas"/>
    <n v="106524.41666666701"/>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29"/>
    <s v="Icononzo"/>
    <s v="Naciones Unidas"/>
    <n v="106524.41666666701"/>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28"/>
    <s v="Caldono"/>
    <s v="Naciones Unidas"/>
    <n v="106524.41666666701"/>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27"/>
    <s v="Pasto"/>
    <s v="Naciones Unidas"/>
    <n v="106524.41666666701"/>
    <x v="93"/>
    <s v="Estados Unidos"/>
    <m/>
    <s v="3. Promover una cultura de paz, justicia y lucha contra la desigualdad"/>
    <s v="16.b.Promover y hacer cumplir leyes y políticas no discriminatorias para el desarrollo sostenible."/>
    <x v="7"/>
    <s v="SIN ALINEAR"/>
    <s v="Presidencia de la República"/>
  </r>
  <r>
    <s v="R-AO-25-6912"/>
    <s v="Apoyo a la Construcción de Paz a través de actividades AICMA en Nariño, Zona 4 Barbacoas y San Andrés de Tumaco, resguardos de Kuejuambí, Feliciana, Santa Rosita y Hojal la Turbia - CONVENIO 01001365 – 01004468"/>
    <s v="Disminuir el riesgo de accidentes por artefactos explosivos en los resguardos de Kuejuambí_x000a_Feliciana, Santa Rosita y Hojal la Turbia en la Zona 4 de Barbacoas y San Andrés de Tumaco, como acción humanitaria que contribuye al aumento de oportunidades de acceso a bienes y servicios de las comunidades."/>
    <d v="2025-07-30T00:00:00"/>
    <d v="2026-07-29T00:00:00"/>
    <x v="27"/>
    <s v="Barbacoas"/>
    <s v="Naciones Unidas"/>
    <n v="318793.55"/>
    <x v="93"/>
    <s v="Estados Unidos"/>
    <m/>
    <s v="3. Promover una cultura de paz, justicia y lucha contra la desigualdad"/>
    <s v="16.1.Reducir significativamente todas las formas de violencia y las tasas de mortalidad relacionadas en todas partes."/>
    <x v="7"/>
    <s v="SIN ALINEAR"/>
    <s v="Presidencia de la República"/>
  </r>
  <r>
    <s v="R-AO-25-6912"/>
    <s v="Apoyo a la Construcción de Paz a través de actividades AICMA en Nariño, Zona 4 Barbacoas y San Andrés de Tumaco, resguardos de Kuejuambí, Feliciana, Santa Rosita y Hojal la Turbia - CONVENIO 01001365 – 01004468"/>
    <s v="Disminuir el riesgo de accidentes por artefactos explosivos en los resguardos de Kuejuambí_x000a_Feliciana, Santa Rosita y Hojal la Turbia en la Zona 4 de Barbacoas y San Andrés de Tumaco, como acción humanitaria que contribuye al aumento de oportunidades de acceso a bienes y servicios de las comunidades."/>
    <d v="2025-07-30T00:00:00"/>
    <d v="2026-07-29T00:00:00"/>
    <x v="27"/>
    <s v="San Andrés de Tumaco"/>
    <s v="Naciones Unidas"/>
    <n v="318793.55"/>
    <x v="93"/>
    <s v="Estados Unidos"/>
    <m/>
    <s v="3. Promover una cultura de paz, justicia y lucha contra la desigualdad"/>
    <s v="16.1.Reducir significativamente todas las formas de violencia y las tasas de mortalidad relacionadas en todas partes."/>
    <x v="7"/>
    <s v="SIN ALINEAR"/>
    <s v="Presidencia de la República"/>
  </r>
  <r>
    <s v="R-AO-24-6916"/>
    <s v="Cacao Bio-Andino Fase 2 - CZZ 3483"/>
    <s v="contribuir a la sostenibilidad, trazabilidad y comercialización del cacao ecológico de sabor fino producido por pequeños agricultores familiares en sistemas agroforestales de Colombia, Ecuador y Perú comercializado a través del comercio justo."/>
    <d v="2024-11-01T00:00:00"/>
    <d v="2027-11-01T00:00:00"/>
    <x v="8"/>
    <s v="No Reporta"/>
    <s v="Francia"/>
    <n v="874287"/>
    <x v="111"/>
    <s v="Franci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Comercio, Industria y Turismo"/>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Belen de Bajira"/>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Acandí"/>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Alto Baud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Atrato"/>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Bagad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Bahía Solano"/>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Bajo Baud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Bojayá"/>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Carmen del Darién"/>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Cértegui"/>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Condoto"/>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El Cantón del San Pablo"/>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El Carmen de Atrato"/>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El Litoral del San Juan"/>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Istmina"/>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Jurad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llor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Medio Atrato"/>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Medio Baud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Medio san juan"/>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Nóvita"/>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Nuquí"/>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Quibd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Río Ir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Rio Quito"/>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Riosucio"/>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San José del Palmar"/>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Sipí"/>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Tad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Unguía"/>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Unión Panamericana"/>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7"/>
    <s v="Murindó"/>
    <s v="España"/>
    <n v="117784.75"/>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7"/>
    <s v="Vigía del Fuerte"/>
    <s v="España"/>
    <n v="117784.75"/>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919"/>
    <s v="RUTA PROSPERA: Promoviendo el desarrollo economico local y el empoderamiento de emprendimientos en poblaciones vulnerables de Medellin y municipios aledaños (Colombia)"/>
    <s v="romover un modelo de desarrollo económico equitativo y sostenible. Apoyar el desarrollo económico local sostenible, acompañando los procesos productivos, los emprendimientos económicos y promoviendo la economía social y el comercio justo."/>
    <d v="2024-10-17T00:00:00"/>
    <d v="2027-04-17T00:00:00"/>
    <x v="7"/>
    <s v="Caldas"/>
    <s v="España"/>
    <n v="90828.75"/>
    <x v="187"/>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6919"/>
    <s v="RUTA PROSPERA: Promoviendo el desarrollo economico local y el empoderamiento de emprendimientos en poblaciones vulnerables de Medellin y municipios aledaños (Colombia)"/>
    <s v="romover un modelo de desarrollo económico equitativo y sostenible. Apoyar el desarrollo económico local sostenible, acompañando los procesos productivos, los emprendimientos económicos y promoviendo la economía social y el comercio justo."/>
    <d v="2024-10-17T00:00:00"/>
    <d v="2027-04-17T00:00:00"/>
    <x v="7"/>
    <s v="Itagüí"/>
    <s v="España"/>
    <n v="90828.75"/>
    <x v="187"/>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6919"/>
    <s v="RUTA PROSPERA: Promoviendo el desarrollo economico local y el empoderamiento de emprendimientos en poblaciones vulnerables de Medellin y municipios aledaños (Colombia)"/>
    <s v="romover un modelo de desarrollo económico equitativo y sostenible. Apoyar el desarrollo económico local sostenible, acompañando los procesos productivos, los emprendimientos económicos y promoviendo la economía social y el comercio justo."/>
    <d v="2024-10-17T00:00:00"/>
    <d v="2027-04-17T00:00:00"/>
    <x v="7"/>
    <s v="La Estrella"/>
    <s v="España"/>
    <n v="90828.75"/>
    <x v="187"/>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6919"/>
    <s v="RUTA PROSPERA: Promoviendo el desarrollo economico local y el empoderamiento de emprendimientos en poblaciones vulnerables de Medellin y municipios aledaños (Colombia)"/>
    <s v="romover un modelo de desarrollo económico equitativo y sostenible. Apoyar el desarrollo económico local sostenible, acompañando los procesos productivos, los emprendimientos económicos y promoviendo la economía social y el comercio justo."/>
    <d v="2024-10-17T00:00:00"/>
    <d v="2027-04-17T00:00:00"/>
    <x v="7"/>
    <s v="Medellín"/>
    <s v="España"/>
    <n v="90828.75"/>
    <x v="187"/>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6919"/>
    <s v="RUTA PROSPERA: Promoviendo el desarrollo economico local y el empoderamiento de emprendimientos en poblaciones vulnerables de Medellin y municipios aledaños (Colombia)"/>
    <s v="romover un modelo de desarrollo económico equitativo y sostenible. Apoyar el desarrollo económico local sostenible, acompañando los procesos productivos, los emprendimientos económicos y promoviendo la economía social y el comercio justo."/>
    <d v="2024-10-17T00:00:00"/>
    <d v="2027-04-17T00:00:00"/>
    <x v="7"/>
    <s v="Caldas"/>
    <s v="ESAL"/>
    <n v="4646.5"/>
    <x v="94"/>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6919"/>
    <s v="RUTA PROSPERA: Promoviendo el desarrollo economico local y el empoderamiento de emprendimientos en poblaciones vulnerables de Medellin y municipios aledaños (Colombia)"/>
    <s v="romover un modelo de desarrollo económico equitativo y sostenible. Apoyar el desarrollo económico local sostenible, acompañando los procesos productivos, los emprendimientos económicos y promoviendo la economía social y el comercio justo."/>
    <d v="2024-10-17T00:00:00"/>
    <d v="2027-04-17T00:00:00"/>
    <x v="7"/>
    <s v="Itagüí"/>
    <s v="ESAL"/>
    <n v="4646.5"/>
    <x v="94"/>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6919"/>
    <s v="RUTA PROSPERA: Promoviendo el desarrollo economico local y el empoderamiento de emprendimientos en poblaciones vulnerables de Medellin y municipios aledaños (Colombia)"/>
    <s v="romover un modelo de desarrollo económico equitativo y sostenible. Apoyar el desarrollo económico local sostenible, acompañando los procesos productivos, los emprendimientos económicos y promoviendo la economía social y el comercio justo."/>
    <d v="2024-10-17T00:00:00"/>
    <d v="2027-04-17T00:00:00"/>
    <x v="7"/>
    <s v="La Estrella"/>
    <s v="ESAL"/>
    <n v="4646.5"/>
    <x v="94"/>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6919"/>
    <s v="RUTA PROSPERA: Promoviendo el desarrollo economico local y el empoderamiento de emprendimientos en poblaciones vulnerables de Medellin y municipios aledaños (Colombia)"/>
    <s v="romover un modelo de desarrollo económico equitativo y sostenible. Apoyar el desarrollo económico local sostenible, acompañando los procesos productivos, los emprendimientos económicos y promoviendo la economía social y el comercio justo."/>
    <d v="2024-10-17T00:00:00"/>
    <d v="2027-04-17T00:00:00"/>
    <x v="7"/>
    <s v="Medellín"/>
    <s v="ESAL"/>
    <n v="4646.5"/>
    <x v="94"/>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5-6920"/>
    <s v="AICMA ACCION INTEGRAL PARA LA REDUCCION DE LA VIOLENCIA ARMADA EN LOS DEPARTAMENTOS DE ANTIOQUIA, CAUCA, CORDOBA Y NARIÑO -  FL-0001.526.038-3"/>
    <s v="Mejorar la calidad de vida de las personas afectadas por la violencia armada, facilitando entornos más seguros, el acceso a los servicios básicos y el desarrollo socioeconómico en las comunidades más vulnerables de los departamentos de Antioquia, Cauca, Cordoba y Nariño, bajo un enfoque inclusivo."/>
    <d v="2025-01-01T00:00:00"/>
    <d v="2027-12-31T00:00:00"/>
    <x v="6"/>
    <s v="No Reporta"/>
    <s v="ESAL"/>
    <n v="82866"/>
    <x v="190"/>
    <s v="Liechtenstein"/>
    <m/>
    <s v="No Aplica"/>
    <s v="1.3.Implementar a nivel nacional sistemas y medidas apropiados de protección social para todos, incluidos niveles mínimos, y, de aquí a 2030, lograr una amplia cobertura de las personas pobres y vulnerables"/>
    <x v="1"/>
    <s v="SIN ALINEAR"/>
    <s v="Presidencia de la República"/>
  </r>
  <r>
    <s v="R-AO-25-6920"/>
    <s v="AICMA ACCION INTEGRAL PARA LA REDUCCION DE LA VIOLENCIA ARMADA EN LOS DEPARTAMENTOS DE ANTIOQUIA, CAUCA, CORDOBA Y NARIÑO -  FL-0001.526.038-3"/>
    <s v="Mejorar la calidad de vida de las personas afectadas por la violencia armada, facilitando entornos más seguros, el acceso a los servicios básicos y el desarrollo socioeconómico en las comunidades más vulnerables de los departamentos de Antioquia, Cauca, Cordoba y Nariño, bajo un enfoque inclusivo."/>
    <d v="2025-01-01T00:00:00"/>
    <d v="2027-12-31T00:00:00"/>
    <x v="7"/>
    <s v="No Reporta"/>
    <s v="ESAL"/>
    <n v="82866"/>
    <x v="190"/>
    <s v="Liechtenstein"/>
    <m/>
    <s v="No Aplica"/>
    <s v="1.3.Implementar a nivel nacional sistemas y medidas apropiados de protección social para todos, incluidos niveles mínimos, y, de aquí a 2030, lograr una amplia cobertura de las personas pobres y vulnerables"/>
    <x v="1"/>
    <s v="SIN ALINEAR"/>
    <s v="Presidencia de la República"/>
  </r>
  <r>
    <s v="R-AO-25-6920"/>
    <s v="AICMA ACCION INTEGRAL PARA LA REDUCCION DE LA VIOLENCIA ARMADA EN LOS DEPARTAMENTOS DE ANTIOQUIA, CAUCA, CORDOBA Y NARIÑO -  FL-0001.526.038-3"/>
    <s v="Mejorar la calidad de vida de las personas afectadas por la violencia armada, facilitando entornos más seguros, el acceso a los servicios básicos y el desarrollo socioeconómico en las comunidades más vulnerables de los departamentos de Antioquia, Cauca, Cordoba y Nariño, bajo un enfoque inclusivo."/>
    <d v="2025-01-01T00:00:00"/>
    <d v="2027-12-31T00:00:00"/>
    <x v="28"/>
    <s v="No Reporta"/>
    <s v="ESAL"/>
    <n v="82866"/>
    <x v="190"/>
    <s v="Liechtenstein"/>
    <m/>
    <s v="No Aplica"/>
    <s v="1.3.Implementar a nivel nacional sistemas y medidas apropiados de protección social para todos, incluidos niveles mínimos, y, de aquí a 2030, lograr una amplia cobertura de las personas pobres y vulnerables"/>
    <x v="1"/>
    <s v="SIN ALINEAR"/>
    <s v="Presidencia de la República"/>
  </r>
  <r>
    <s v="R-AO-25-6920"/>
    <s v="AICMA ACCION INTEGRAL PARA LA REDUCCION DE LA VIOLENCIA ARMADA EN LOS DEPARTAMENTOS DE ANTIOQUIA, CAUCA, CORDOBA Y NARIÑO -  FL-0001.526.038-3"/>
    <s v="Mejorar la calidad de vida de las personas afectadas por la violencia armada, facilitando entornos más seguros, el acceso a los servicios básicos y el desarrollo socioeconómico en las comunidades más vulnerables de los departamentos de Antioquia, Cauca, Cordoba y Nariño, bajo un enfoque inclusivo."/>
    <d v="2025-01-01T00:00:00"/>
    <d v="2027-12-31T00:00:00"/>
    <x v="27"/>
    <s v="No Reporta"/>
    <s v="ESAL"/>
    <n v="82866"/>
    <x v="190"/>
    <s v="Liechtenstein"/>
    <m/>
    <s v="No Aplica"/>
    <s v="1.3.Implementar a nivel nacional sistemas y medidas apropiados de protección social para todos, incluidos niveles mínimos, y, de aquí a 2030, lograr una amplia cobertura de las personas pobres y vulnerables"/>
    <x v="1"/>
    <s v="SIN ALINEAR"/>
    <s v="Presidencia de la República"/>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Alto Baudó"/>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Atrato"/>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Bahía Solano"/>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Bajo Baudó"/>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Carmen del Darién"/>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Cértegui"/>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Condoto"/>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El Cantón del San Pablo"/>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Istmina"/>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Medio Atrato"/>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Medio Baudó"/>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Quibdó"/>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4-6928"/>
    <s v="WCS contra el tráfico de vida silvestre en América Latina - SINLEC24GR5309"/>
    <s v="La Sociedad para la Conservación de la Vida Silvestre mejorará la legislación y la normativa para prevenir el tráfico de especies silvestres, mejorará la capacidad de las fuerzas del orden para disuadir, detectar, investigar, enjuiciar y juzgar los casos de tráfico de especies silvestres"/>
    <d v="2024-10-01T00:00:00"/>
    <d v="2026-09-30T00:00:00"/>
    <x v="8"/>
    <s v="No Reporta"/>
    <s v="Estados Unidos"/>
    <n v="303279.77"/>
    <x v="192"/>
    <s v="Estados Unidos"/>
    <m/>
    <s v="1. Promover la lucha contra el cambio climatico, la justicia ambiental y la transformación productiva"/>
    <s v="15.7.Tomar medidas urgentes para poner fin a la caza furtiva y el tráfico de especies protegidas de flora y fauna, y afrontar tanto la demanda como la oferta de productos ilegales silvestres."/>
    <x v="6"/>
    <s v="SIN ALINEAR"/>
    <s v="Ambiente y Desarrollo Sostenible"/>
  </r>
  <r>
    <s v="R-AO-25-6929"/>
    <s v="Aporte a la reconciliación, la paz y el desarrollo de territorios seguros y sostenibles a través de la AICMA y sus enfoques transversales en el Municipio de Frontino, Antioquia - 01001365 – 01004468"/>
    <s v="Promover la reconciliación y la paz en el municipio de Frontino, Antioquia, una de las zonas más afectadas por el conflicto social y  Armado y la contaminación por artefactos explosivos, mediante la AICMA y la implementación de TOAR bajo el principio de Acción_x000a_Sin Daño. "/>
    <d v="2025-07-29T00:00:00"/>
    <d v="2026-04-29T00:00:00"/>
    <x v="7"/>
    <s v="Frontino"/>
    <s v="Naciones Unidas"/>
    <n v="671367.84"/>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1"/>
    <s v="Conectadas y seguras: fortalecimiento de capacidades frente a las violencias de genero digitales en Bogota"/>
    <s v="FORTALECER LAS CAPACIDADES INSTITUCIONALES Y COMUNITARIAS PARA_x000a_IDENTIFICAR, PREVENIR Y VISIBILIZAR LAS VIOLENCIAS DIGITALES DE GÉNERO_x000a_MEDIANTE PROCESOS DE FORMACIÓN, PRODUCCIÓN DE MATERIALES PEDAGÓGICOS."/>
    <d v="2025-09-01T00:00:00"/>
    <d v="2026-02-01T00:00:00"/>
    <x v="11"/>
    <s v="Bogotá D.C."/>
    <s v="Portugal"/>
    <n v="11898.98"/>
    <x v="177"/>
    <s v="Colombia"/>
    <m/>
    <s v="No Aplica"/>
    <s v="5.2.Eliminar todas las formas de violencia contra las mujeres y las niñas en las esferas públicas y privadas, incluyendo el tráfico sexual y otros tipos de explotación."/>
    <x v="2"/>
    <s v="SIN ALINEAR"/>
    <s v="Tecnologías de la Información y las Comunicaciones"/>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0"/>
    <s v="Ábrego"/>
    <s v="Naciones Unidas"/>
    <n v="28469.028750000001"/>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0"/>
    <s v="Convención"/>
    <s v="Naciones Unidas"/>
    <n v="28469.028750000001"/>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0"/>
    <s v="El tarra"/>
    <s v="Naciones Unidas"/>
    <n v="28469.028750000001"/>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0"/>
    <s v="La Playa"/>
    <s v="Naciones Unidas"/>
    <n v="28469.028750000001"/>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0"/>
    <s v="Ocaña"/>
    <s v="Naciones Unidas"/>
    <n v="28469.028750000001"/>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0"/>
    <s v="San Calixto"/>
    <s v="Naciones Unidas"/>
    <n v="28469.028750000001"/>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0"/>
    <s v="Sardinata"/>
    <s v="Naciones Unidas"/>
    <n v="28469.028750000001"/>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0"/>
    <s v="Teorama"/>
    <s v="Naciones Unidas"/>
    <n v="28469.028750000001"/>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7"/>
    <s v="No Reporta"/>
    <s v="Naciones Unidas"/>
    <n v="227752.23"/>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FP-25-6934"/>
    <s v=" Conservacion; fortalecimiento de capacidades NCI"/>
    <s v="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
    <d v="2025-07-18T00:00:00"/>
    <d v="2026-07-18T00:00:00"/>
    <x v="22"/>
    <s v="No Reporta"/>
    <s v="ESAL"/>
    <n v="9555.2857142857101"/>
    <x v="193"/>
    <s v="Colombia/Centro Oriente/Bogotá D.C./Bogotá D.C."/>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FP-25-6934"/>
    <s v=" Conservacion; fortalecimiento de capacidades NCI"/>
    <s v="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
    <d v="2025-07-18T00:00:00"/>
    <d v="2026-07-18T00:00:00"/>
    <x v="29"/>
    <s v="No Reporta"/>
    <s v="ESAL"/>
    <n v="9555.2857142857101"/>
    <x v="193"/>
    <s v="Colombia/Centro Oriente/Bogotá D.C./Bogotá D.C."/>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FP-25-6934"/>
    <s v=" Conservacion; fortalecimiento de capacidades NCI"/>
    <s v="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
    <d v="2025-07-18T00:00:00"/>
    <d v="2026-07-18T00:00:00"/>
    <x v="7"/>
    <s v="No Reporta"/>
    <s v="ESAL"/>
    <n v="9555.2857142857101"/>
    <x v="193"/>
    <s v="Colombia/Centro Oriente/Bogotá D.C./Bogotá D.C."/>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FP-25-6934"/>
    <s v=" Conservacion; fortalecimiento de capacidades NCI"/>
    <s v="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
    <d v="2025-07-18T00:00:00"/>
    <d v="2026-07-18T00:00:00"/>
    <x v="15"/>
    <s v="No Reporta"/>
    <s v="ESAL"/>
    <n v="9555.2857142857101"/>
    <x v="193"/>
    <s v="Colombia/Centro Oriente/Bogotá D.C./Bogotá D.C."/>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FP-25-6934"/>
    <s v=" Conservacion; fortalecimiento de capacidades NCI"/>
    <s v="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
    <d v="2025-07-18T00:00:00"/>
    <d v="2026-07-18T00:00:00"/>
    <x v="13"/>
    <s v="No Reporta"/>
    <s v="ESAL"/>
    <n v="9555.2857142857101"/>
    <x v="193"/>
    <s v="Colombia/Centro Oriente/Bogotá D.C./Bogotá D.C."/>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FP-25-6934"/>
    <s v=" Conservacion; fortalecimiento de capacidades NCI"/>
    <s v="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
    <d v="2025-07-18T00:00:00"/>
    <d v="2026-07-18T00:00:00"/>
    <x v="30"/>
    <s v="No Reporta"/>
    <s v="ESAL"/>
    <n v="9555.2857142857101"/>
    <x v="193"/>
    <s v="Colombia/Centro Oriente/Bogotá D.C./Bogotá D.C."/>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FP-25-6934"/>
    <s v=" Conservacion; fortalecimiento de capacidades NCI"/>
    <s v="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
    <d v="2025-07-18T00:00:00"/>
    <d v="2026-07-18T00:00:00"/>
    <x v="27"/>
    <s v="No Reporta"/>
    <s v="ESAL"/>
    <n v="9555.2857142857101"/>
    <x v="193"/>
    <s v="Colombia/Centro Oriente/Bogotá D.C./Bogotá D.C."/>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AO-24-6935"/>
    <s v="Horizontes Seguros: Alianza Andina para la Educación Resiliente ante Desastres - ECHO/-AM/BUD/2024/91009"/>
    <s v="Contribuir a mejorar el acceso seguro e inclusivo a la educación para todos los niños y adolescentes en regiones propensas a desastres en Bolivia, Colombia y Perú, así como_x000a_la continuidad educativa durante y después de las emergencias._x000a_"/>
    <d v="2024-04-01T00:00:00"/>
    <d v="2026-03-31T00:00:00"/>
    <x v="28"/>
    <s v="Santander de Quilichao"/>
    <s v="Unión Europea"/>
    <n v="298737.5"/>
    <x v="26"/>
    <s v="Bélgica"/>
    <m/>
    <s v="3. Promover una cultura de paz, justicia y lucha contra la desigualdad"/>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Educación Nacional"/>
  </r>
  <r>
    <s v="R-AO-24-6935"/>
    <s v="Horizontes Seguros: Alianza Andina para la Educación Resiliente ante Desastres - ECHO/-AM/BUD/2024/91009"/>
    <s v="Contribuir a mejorar el acceso seguro e inclusivo a la educación para todos los niños y adolescentes en regiones propensas a desastres en Bolivia, Colombia y Perú, así como_x000a_la continuidad educativa durante y después de las emergencias._x000a_"/>
    <d v="2024-04-01T00:00:00"/>
    <d v="2026-03-31T00:00:00"/>
    <x v="30"/>
    <s v="Quibdó"/>
    <s v="Unión Europea"/>
    <n v="298737.5"/>
    <x v="26"/>
    <s v="Bélgica"/>
    <m/>
    <s v="3. Promover una cultura de paz, justicia y lucha contra la desigualdad"/>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Educación Nacional"/>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5"/>
    <s v="Córdoba"/>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5"/>
    <s v="El Carmen de Bolívar"/>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5"/>
    <s v="El Guamo"/>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5"/>
    <s v="María La Baja"/>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5"/>
    <s v="San Jacinto"/>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5"/>
    <s v="San Juan Nepomuceno"/>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30"/>
    <s v="Bojayá"/>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30"/>
    <s v="Istmina"/>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30"/>
    <s v="Medio Atrato"/>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30"/>
    <s v="Medio san juan"/>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30"/>
    <s v="Quibdó"/>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30"/>
    <s v="Rio Quito"/>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20"/>
    <s v="Ocaña"/>
    <s v="ESAL"/>
    <n v="60818.938571428604"/>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20"/>
    <s v="Tibú"/>
    <s v="ESAL"/>
    <n v="60818.938571428604"/>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7"/>
    <s v="Apartadó"/>
    <s v="ESAL"/>
    <n v="60818.938571428604"/>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7"/>
    <s v="Necoclí"/>
    <s v="ESAL"/>
    <n v="60818.938571428604"/>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30"/>
    <s v="Acandí"/>
    <s v="ESAL"/>
    <n v="60818.938571428604"/>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30"/>
    <s v="Istmina"/>
    <s v="ESAL"/>
    <n v="60818.938571428604"/>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16"/>
    <s v="Fonseca"/>
    <s v="ESAL"/>
    <n v="121637.877142857"/>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10"/>
    <s v="Santa Marta"/>
    <s v="ESAL"/>
    <n v="121637.877142857"/>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4"/>
    <s v="San Onofre"/>
    <s v="ESAL"/>
    <n v="121637.877142857"/>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28"/>
    <s v="Guapí"/>
    <s v="ESAL"/>
    <n v="121637.877142857"/>
    <x v="37"/>
    <s v="Estados Unidos"/>
    <m/>
    <s v="3. Promover una cultura de paz, justicia y lucha contra la desigualdad"/>
    <s v="16.7.Garantizar la toma de decisiones receptiva, inclusiva, participativa y representativa en todos los niveles."/>
    <x v="7"/>
    <s v="SIN ALINEAR"/>
    <s v="Interior"/>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Apartadó"/>
    <s v="España"/>
    <n v="23541.944444444402"/>
    <x v="27"/>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Medellín"/>
    <s v="España"/>
    <n v="23541.944444444402"/>
    <x v="27"/>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Turbo"/>
    <s v="España"/>
    <n v="23541.944444444402"/>
    <x v="27"/>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6"/>
    <s v="Montería"/>
    <s v="España"/>
    <n v="70625.833333333299"/>
    <x v="27"/>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11"/>
    <s v="Bogotá D.C."/>
    <s v="España"/>
    <n v="70625.833333333299"/>
    <x v="27"/>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30"/>
    <s v="Acandí"/>
    <s v="España"/>
    <n v="70625.833333333299"/>
    <x v="27"/>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27"/>
    <s v="Ipiales"/>
    <s v="España"/>
    <n v="70625.833333333299"/>
    <x v="27"/>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9"/>
    <s v="Cali"/>
    <s v="España"/>
    <n v="70625.833333333299"/>
    <x v="27"/>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Apartadó"/>
    <s v="ESAL"/>
    <n v="1296.8333333333301"/>
    <x v="114"/>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Medellín"/>
    <s v="ESAL"/>
    <n v="1296.8333333333301"/>
    <x v="114"/>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Turbo"/>
    <s v="ESAL"/>
    <n v="1296.8333333333301"/>
    <x v="114"/>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6"/>
    <s v="Montería"/>
    <s v="ESAL"/>
    <n v="3890.5"/>
    <x v="114"/>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11"/>
    <s v="Bogotá D.C."/>
    <s v="ESAL"/>
    <n v="3890.5"/>
    <x v="114"/>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30"/>
    <s v="Acandí"/>
    <s v="ESAL"/>
    <n v="3890.5"/>
    <x v="114"/>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27"/>
    <s v="Ipiales"/>
    <s v="ESAL"/>
    <n v="3890.5"/>
    <x v="114"/>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9"/>
    <s v="Cali"/>
    <s v="ESAL"/>
    <n v="3890.5"/>
    <x v="114"/>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Apartadó"/>
    <s v="España"/>
    <n v="3865.8888888888901"/>
    <x v="9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Medellín"/>
    <s v="España"/>
    <n v="3865.8888888888901"/>
    <x v="9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Turbo"/>
    <s v="España"/>
    <n v="3865.8888888888901"/>
    <x v="9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6"/>
    <s v="Montería"/>
    <s v="España"/>
    <n v="11597.666666666701"/>
    <x v="9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11"/>
    <s v="Bogotá D.C."/>
    <s v="España"/>
    <n v="11597.666666666701"/>
    <x v="9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30"/>
    <s v="Acandí"/>
    <s v="España"/>
    <n v="11597.666666666701"/>
    <x v="9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27"/>
    <s v="Ipiales"/>
    <s v="España"/>
    <n v="11597.666666666701"/>
    <x v="9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9"/>
    <s v="Cali"/>
    <s v="España"/>
    <n v="11597.666666666701"/>
    <x v="9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7"/>
    <s v="Barbacoas"/>
    <s v="Unión Europea"/>
    <n v="112937.035714286"/>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7"/>
    <s v="El Charco"/>
    <s v="Unión Europea"/>
    <n v="112937.035714286"/>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7"/>
    <s v="La Tola"/>
    <s v="Unión Europea"/>
    <n v="112937.035714286"/>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7"/>
    <s v="Magüí"/>
    <s v="Unión Europea"/>
    <n v="112937.035714286"/>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7"/>
    <s v="Olaya Herrera"/>
    <s v="Unión Europea"/>
    <n v="112937.035714286"/>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7"/>
    <s v="Roberto Payán"/>
    <s v="Unión Europea"/>
    <n v="112937.035714286"/>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7"/>
    <s v="San Andrés de Tumaco"/>
    <s v="Unión Europea"/>
    <n v="112937.035714286"/>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0"/>
    <s v="Cúcuta"/>
    <s v="Unión Europea"/>
    <n v="158111.8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0"/>
    <s v="El tarra"/>
    <s v="Unión Europea"/>
    <n v="158111.8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0"/>
    <s v="Sardinata"/>
    <s v="Unión Europea"/>
    <n v="158111.8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0"/>
    <s v="Teorama"/>
    <s v="Unión Europea"/>
    <n v="158111.8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0"/>
    <s v="Tibú"/>
    <s v="Unión Europea"/>
    <n v="158111.8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5"/>
    <s v="Arenal"/>
    <s v="Unión Europea"/>
    <n v="197639.8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5"/>
    <s v="Montecristo"/>
    <s v="Unión Europea"/>
    <n v="197639.8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5"/>
    <s v="San Jacinto del Cauca"/>
    <s v="Unión Europea"/>
    <n v="197639.8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5"/>
    <s v="Tiquisio"/>
    <s v="Unión Europea"/>
    <n v="197639.8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16"/>
    <s v="Maicao"/>
    <s v="Unión Europea"/>
    <n v="395279.6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16"/>
    <s v="Riohacha"/>
    <s v="Unión Europea"/>
    <n v="395279.6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6"/>
    <s v="Promoción de la restitución de derechos territoriales para fortalecer la gobernanza y la sostenibilidad ambiental en comunidades étnicas – Convenio 01001365 – 01002881"/>
    <s v="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
    <d v="2025-09-08T00:00:00"/>
    <d v="2027-03-04T00:00:00"/>
    <x v="25"/>
    <s v="Barrancominas"/>
    <s v="Naciones Unidas"/>
    <n v="40394.451999999997"/>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46"/>
    <s v="Promoción de la restitución de derechos territoriales para fortalecer la gobernanza y la sostenibilidad ambiental en comunidades étnicas – Convenio 01001365 – 01002881"/>
    <s v="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
    <d v="2025-09-08T00:00:00"/>
    <d v="2027-03-04T00:00:00"/>
    <x v="25"/>
    <s v="La Guadalupe"/>
    <s v="Naciones Unidas"/>
    <n v="40394.451999999997"/>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46"/>
    <s v="Promoción de la restitución de derechos territoriales para fortalecer la gobernanza y la sostenibilidad ambiental en comunidades étnicas – Convenio 01001365 – 01002881"/>
    <s v="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
    <d v="2025-09-08T00:00:00"/>
    <d v="2027-03-04T00:00:00"/>
    <x v="25"/>
    <s v="Pana Pana"/>
    <s v="Naciones Unidas"/>
    <n v="40394.451999999997"/>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46"/>
    <s v="Promoción de la restitución de derechos territoriales para fortalecer la gobernanza y la sostenibilidad ambiental en comunidades étnicas – Convenio 01001365 – 01002881"/>
    <s v="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
    <d v="2025-09-08T00:00:00"/>
    <d v="2027-03-04T00:00:00"/>
    <x v="25"/>
    <s v="Puerto Colombia"/>
    <s v="Naciones Unidas"/>
    <n v="40394.451999999997"/>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46"/>
    <s v="Promoción de la restitución de derechos territoriales para fortalecer la gobernanza y la sostenibilidad ambiental en comunidades étnicas – Convenio 01001365 – 01002881"/>
    <s v="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
    <d v="2025-09-08T00:00:00"/>
    <d v="2027-03-04T00:00:00"/>
    <x v="25"/>
    <s v="San Felipe"/>
    <s v="Naciones Unidas"/>
    <n v="40394.451999999997"/>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46"/>
    <s v="Promoción de la restitución de derechos territoriales para fortalecer la gobernanza y la sostenibilidad ambiental en comunidades étnicas – Convenio 01001365 – 01002881"/>
    <s v="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
    <d v="2025-09-08T00:00:00"/>
    <d v="2027-03-04T00:00:00"/>
    <x v="19"/>
    <s v="Puerto Asís"/>
    <s v="Naciones Unidas"/>
    <n v="100986.13"/>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46"/>
    <s v="Promoción de la restitución de derechos territoriales para fortalecer la gobernanza y la sostenibilidad ambiental en comunidades étnicas – Convenio 01001365 – 01002881"/>
    <s v="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
    <d v="2025-09-08T00:00:00"/>
    <d v="2027-03-04T00:00:00"/>
    <x v="19"/>
    <s v="Puerto Leguízamo"/>
    <s v="Naciones Unidas"/>
    <n v="100986.13"/>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49"/>
    <s v="INSO Haiti + Colombia -  ECHO/-AM/BUD/2025/91031"/>
    <s v="Mejorar la seguridad del personal humanitario y fortalecer el acceso humanitario en contextos de riesgo."/>
    <d v="2025-03-01T00:00:00"/>
    <d v="2026-02-28T00:00:00"/>
    <x v="8"/>
    <s v="No Reporta"/>
    <s v="Unión Europea"/>
    <n v="416000"/>
    <x v="26"/>
    <s v="Bélgic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51"/>
    <s v="REDD EARLY MOVERS COLOMBIA  VISION AMAZONIA II - Adenda"/>
    <s v="Contribuir a la reducción significativa de emisiones de gases efecto invernadero provenientes de la deforestación y degradación de los bosques en Colombia."/>
    <d v="2025-07-23T00:00:00"/>
    <d v="2027-12-31T00:00:00"/>
    <x v="24"/>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1"/>
    <s v="REDD EARLY MOVERS COLOMBIA  VISION AMAZONIA II - Adenda"/>
    <s v="Contribuir a la reducción significativa de emisiones de gases efecto invernadero provenientes de la deforestación y degradación de los bosques en Colombia."/>
    <d v="2025-07-23T00:00:00"/>
    <d v="2027-12-31T00:00:00"/>
    <x v="17"/>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1"/>
    <s v="REDD EARLY MOVERS COLOMBIA  VISION AMAZONIA II - Adenda"/>
    <s v="Contribuir a la reducción significativa de emisiones de gases efecto invernadero provenientes de la deforestación y degradación de los bosques en Colombia."/>
    <d v="2025-07-23T00:00:00"/>
    <d v="2027-12-31T00:00:00"/>
    <x v="19"/>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1"/>
    <s v="REDD EARLY MOVERS COLOMBIA  VISION AMAZONIA II - Adenda"/>
    <s v="Contribuir a la reducción significativa de emisiones de gases efecto invernadero provenientes de la deforestación y degradación de los bosques en Colombia."/>
    <d v="2025-07-23T00:00:00"/>
    <d v="2027-12-31T00:00:00"/>
    <x v="25"/>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1"/>
    <s v="REDD EARLY MOVERS COLOMBIA  VISION AMAZONIA II - Adenda"/>
    <s v="Contribuir a la reducción significativa de emisiones de gases efecto invernadero provenientes de la deforestación y degradación de los bosques en Colombia."/>
    <d v="2025-07-23T00:00:00"/>
    <d v="2027-12-31T00:00:00"/>
    <x v="18"/>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1"/>
    <s v="REDD EARLY MOVERS COLOMBIA  VISION AMAZONIA II - Adenda"/>
    <s v="Contribuir a la reducción significativa de emisiones de gases efecto invernadero provenientes de la deforestación y degradación de los bosques en Colombia."/>
    <d v="2025-07-23T00:00:00"/>
    <d v="2027-12-31T00:00:00"/>
    <x v="2"/>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1"/>
    <s v="REDD EARLY MOVERS COLOMBIA  VISION AMAZONIA II - Adenda"/>
    <s v="Contribuir a la reducción significativa de emisiones de gases efecto invernadero provenientes de la deforestación y degradación de los bosques en Colombia."/>
    <d v="2025-07-23T00:00:00"/>
    <d v="2027-12-31T00:00:00"/>
    <x v="26"/>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1"/>
    <s v="REDD EARLY MOVERS COLOMBIA  VISION AMAZONIA II - Adenda"/>
    <s v="Contribuir a la reducción significativa de emisiones de gases efecto invernadero provenientes de la deforestación y degradación de los bosques en Colombia."/>
    <d v="2025-07-23T00:00:00"/>
    <d v="2027-12-31T00:00:00"/>
    <x v="3"/>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1"/>
    <s v="REDD EARLY MOVERS COLOMBIA  VISION AMAZONIA II - Adenda"/>
    <s v="Contribuir a la reducción significativa de emisiones de gases efecto invernadero provenientes de la deforestación y degradación de los bosques en Colombia."/>
    <d v="2025-07-23T00:00:00"/>
    <d v="2027-12-31T00:00:00"/>
    <x v="28"/>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2"/>
    <s v="FAO - Construyendo las capacidades subregionales para la implementación de la Hoja de Ruta de la Meta 2 para la planificación, el monitoreo y la presentación de informes sobre la restauración efectiva de los ecosistemas /  Building sub-regional capacity to deliver the Target 2 Roadmap for planning, monitoring and reporting on effective ecosystem restoration - Accelerating Innovative Monitoring for Nature Restoration (AIM4NatuRe) uNJP/GLO/795/UNJ-Baby09"/>
    <s v="Desarrollar la capacidad subregional para cumplir la Hoja de ruta de la Meta 2 para la planificación, el seguimiento y la presentación de informes sobre la restauración eficaz de los ecosistemas, en consonancia con el Marco Mundial de Kunming-Montreal para la Diversidad Biológica (KMGBF) y el Decenio de las Naciones Unidas para la Restauración de los Ecosistemas."/>
    <d v="2025-09-24T00:00:00"/>
    <d v="2027-03-31T00:00:00"/>
    <x v="11"/>
    <s v="Bogotá D.C."/>
    <s v="Reino Unido"/>
    <n v="146100.84"/>
    <x v="194"/>
    <s v="Reino Unido"/>
    <m/>
    <s v="1. Promover la lucha contra el cambio climatico, la justicia ambiental y la transformación productiva"/>
    <s v="15.9.En 2020, integrar los valores de los ecosistemas y la biodiversidad en la planificación nacional y local, los procesos de desarrollo, estrategias de reducción de la pobreza, y la contabilidad."/>
    <x v="6"/>
    <s v="SIN ALINEAR"/>
    <s v="Ambiente y Desarrollo Sostenible"/>
  </r>
  <r>
    <s v="R-AO-25-6954"/>
    <s v="FAO - Restauración participativa para mejorar la prestación de servicios ecosistémicos y la conectividad a escala paisajística en Colombia (COLOMBIA RESTORATION) / Participatory restoration to improve ecosystem service provision and connectivity at the landscape scale in Colombia (COLOMBIA RESTORATION) - UNUN/COL/184/UEP-F"/>
    <s v="Desarrollar una propuesta de proyecto integral para guiar la implementación del Proyecto a Gran Escala (FSP) financiado por el FMAM «Restauración participativa para mejorar la prestación de servicios ecosistémicos y la conectividad a escala paisajística en Colombia»."/>
    <d v="2025-04-23T00:00:00"/>
    <d v="2026-06-30T00:00:00"/>
    <x v="8"/>
    <s v="Ámbito Nacional"/>
    <s v="Naciones Unidas"/>
    <n v="300000"/>
    <x v="195"/>
    <s v="Estados Unidos"/>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AO-25-6955"/>
    <s v="oit - Fondo Visión Cero (VZF) sobre Seguridad y Salud en el Trabajo (SST) en las cadenas de suministro mundiales / Vision Zero Fund (VZF) on Occupational Safety and Health (OSH) in Global Supply Chains - GLO/25/08/EUR"/>
    <s v="A través de esta Acción de Fase III «Mejora de la seguridad y la salud en las cadenas de suministro agrícolas mundiales», cofinanciada por la Unión Europea, el Fondo combina actividades interregionales y nacionales en Brasil y Colombia para consolidar y ampliar los resultados obtenidos hasta la fecha a través de su labor en las cadenas de suministro del café y la caña de azúcar, centrándose en la transferencia de conocimientos sobre buenas prácticas y lecciones aprendidas, así como de metodologías y herramientas existentes en materia de SST a los mandantes de la OIT y otras partes interesadas del sector, según proceda. El Fondo Visión Cero forma parte del programa emblemático «Seguridad y salud para todos» de la OIT."/>
    <d v="2025-06-01T00:00:00"/>
    <d v="2026-08-31T00:00:00"/>
    <x v="9"/>
    <s v="Cali"/>
    <s v="Unión Europea"/>
    <n v="9066.6666666666697"/>
    <x v="26"/>
    <s v="Bélgica"/>
    <m/>
    <s v="1. Promover la lucha contra el cambio climatico, la justicia ambiental y la transformación productiva"/>
    <s v="8.8.Proteger los derechos laborales y promover entornos de trabajo seguros y protegidos para todos los trabajadores, incluidos los trabajadores migrantes, en particular las mujeres migrantes y_x000a_las personas con empleo precario."/>
    <x v="14"/>
    <s v="SIN ALINEAR"/>
    <s v="Trabajo"/>
  </r>
  <r>
    <s v="R-AO-25-6955"/>
    <s v="oit - Fondo Visión Cero (VZF) sobre Seguridad y Salud en el Trabajo (SST) en las cadenas de suministro mundiales / Vision Zero Fund (VZF) on Occupational Safety and Health (OSH) in Global Supply Chains - GLO/25/08/EUR"/>
    <s v="A través de esta Acción de Fase III «Mejora de la seguridad y la salud en las cadenas de suministro agrícolas mundiales», cofinanciada por la Unión Europea, el Fondo combina actividades interregionales y nacionales en Brasil y Colombia para consolidar y ampliar los resultados obtenidos hasta la fecha a través de su labor en las cadenas de suministro del café y la caña de azúcar, centrándose en la transferencia de conocimientos sobre buenas prácticas y lecciones aprendidas, así como de metodologías y herramientas existentes en materia de SST a los mandantes de la OIT y otras partes interesadas del sector, según proceda. El Fondo Visión Cero forma parte del programa emblemático «Seguridad y salud para todos» de la OIT."/>
    <d v="2025-06-01T00:00:00"/>
    <d v="2026-08-31T00:00:00"/>
    <x v="9"/>
    <s v="Palmira"/>
    <s v="Unión Europea"/>
    <n v="9066.6666666666697"/>
    <x v="26"/>
    <s v="Bélgica"/>
    <m/>
    <s v="1. Promover la lucha contra el cambio climatico, la justicia ambiental y la transformación productiva"/>
    <s v="8.8.Proteger los derechos laborales y promover entornos de trabajo seguros y protegidos para todos los trabajadores, incluidos los trabajadores migrantes, en particular las mujeres migrantes y_x000a_las personas con empleo precario."/>
    <x v="14"/>
    <s v="SIN ALINEAR"/>
    <s v="Trabajo"/>
  </r>
  <r>
    <s v="R-AO-25-6955"/>
    <s v="oit - Fondo Visión Cero (VZF) sobre Seguridad y Salud en el Trabajo (SST) en las cadenas de suministro mundiales / Vision Zero Fund (VZF) on Occupational Safety and Health (OSH) in Global Supply Chains - GLO/25/08/EUR"/>
    <s v="A través de esta Acción de Fase III «Mejora de la seguridad y la salud en las cadenas de suministro agrícolas mundiales», cofinanciada por la Unión Europea, el Fondo combina actividades interregionales y nacionales en Brasil y Colombia para consolidar y ampliar los resultados obtenidos hasta la fecha a través de su labor en las cadenas de suministro del café y la caña de azúcar, centrándose en la transferencia de conocimientos sobre buenas prácticas y lecciones aprendidas, así como de metodologías y herramientas existentes en materia de SST a los mandantes de la OIT y otras partes interesadas del sector, según proceda. El Fondo Visión Cero forma parte del programa emblemático «Seguridad y salud para todos» de la OIT."/>
    <d v="2025-06-01T00:00:00"/>
    <d v="2026-08-31T00:00:00"/>
    <x v="9"/>
    <s v="Tuluá"/>
    <s v="Unión Europea"/>
    <n v="9066.6666666666697"/>
    <x v="26"/>
    <s v="Bélgica"/>
    <m/>
    <s v="1. Promover la lucha contra el cambio climatico, la justicia ambiental y la transformación productiva"/>
    <s v="8.8.Proteger los derechos laborales y promover entornos de trabajo seguros y protegidos para todos los trabajadores, incluidos los trabajadores migrantes, en particular las mujeres migrantes y_x000a_las personas con empleo precario."/>
    <x v="14"/>
    <s v="SIN ALINEAR"/>
    <s v="Trabajo"/>
  </r>
  <r>
    <s v="R-AO-25-6955"/>
    <s v="oit - Fondo Visión Cero (VZF) sobre Seguridad y Salud en el Trabajo (SST) en las cadenas de suministro mundiales / Vision Zero Fund (VZF) on Occupational Safety and Health (OSH) in Global Supply Chains - GLO/25/08/EUR"/>
    <s v="A través de esta Acción de Fase III «Mejora de la seguridad y la salud en las cadenas de suministro agrícolas mundiales», cofinanciada por la Unión Europea, el Fondo combina actividades interregionales y nacionales en Brasil y Colombia para consolidar y ampliar los resultados obtenidos hasta la fecha a través de su labor en las cadenas de suministro del café y la caña de azúcar, centrándose en la transferencia de conocimientos sobre buenas prácticas y lecciones aprendidas, así como de metodologías y herramientas existentes en materia de SST a los mandantes de la OIT y otras partes interesadas del sector, según proceda. El Fondo Visión Cero forma parte del programa emblemático «Seguridad y salud para todos» de la OIT."/>
    <d v="2025-06-01T00:00:00"/>
    <d v="2026-08-31T00:00:00"/>
    <x v="13"/>
    <s v="La Virginia"/>
    <s v="Unión Europea"/>
    <n v="13600"/>
    <x v="26"/>
    <s v="Bélgica"/>
    <m/>
    <s v="1. Promover la lucha contra el cambio climatico, la justicia ambiental y la transformación productiva"/>
    <s v="8.8.Proteger los derechos laborales y promover entornos de trabajo seguros y protegidos para todos los trabajadores, incluidos los trabajadores migrantes, en particular las mujeres migrantes y_x000a_las personas con empleo precario."/>
    <x v="14"/>
    <s v="SIN ALINEAR"/>
    <s v="Trabajo"/>
  </r>
  <r>
    <s v="R-AO-25-6955"/>
    <s v="oit - Fondo Visión Cero (VZF) sobre Seguridad y Salud en el Trabajo (SST) en las cadenas de suministro mundiales / Vision Zero Fund (VZF) on Occupational Safety and Health (OSH) in Global Supply Chains - GLO/25/08/EUR"/>
    <s v="A través de esta Acción de Fase III «Mejora de la seguridad y la salud en las cadenas de suministro agrícolas mundiales», cofinanciada por la Unión Europea, el Fondo combina actividades interregionales y nacionales en Brasil y Colombia para consolidar y ampliar los resultados obtenidos hasta la fecha a través de su labor en las cadenas de suministro del café y la caña de azúcar, centrándose en la transferencia de conocimientos sobre buenas prácticas y lecciones aprendidas, así como de metodologías y herramientas existentes en materia de SST a los mandantes de la OIT y otras partes interesadas del sector, según proceda. El Fondo Visión Cero forma parte del programa emblemático «Seguridad y salud para todos» de la OIT."/>
    <d v="2025-06-01T00:00:00"/>
    <d v="2026-08-31T00:00:00"/>
    <x v="13"/>
    <s v="Pereira"/>
    <s v="Unión Europea"/>
    <n v="13600"/>
    <x v="26"/>
    <s v="Bélgica"/>
    <m/>
    <s v="1. Promover la lucha contra el cambio climatico, la justicia ambiental y la transformación productiva"/>
    <s v="8.8.Proteger los derechos laborales y promover entornos de trabajo seguros y protegidos para todos los trabajadores, incluidos los trabajadores migrantes, en particular las mujeres migrantes y_x000a_las personas con empleo precario."/>
    <x v="14"/>
    <s v="SIN ALINEAR"/>
    <s v="Trabajo"/>
  </r>
  <r>
    <s v="R-AO-25-6955"/>
    <s v="oit - Fondo Visión Cero (VZF) sobre Seguridad y Salud en el Trabajo (SST) en las cadenas de suministro mundiales / Vision Zero Fund (VZF) on Occupational Safety and Health (OSH) in Global Supply Chains - GLO/25/08/EUR"/>
    <s v="A través de esta Acción de Fase III «Mejora de la seguridad y la salud en las cadenas de suministro agrícolas mundiales», cofinanciada por la Unión Europea, el Fondo combina actividades interregionales y nacionales en Brasil y Colombia para consolidar y ampliar los resultados obtenidos hasta la fecha a través de su labor en las cadenas de suministro del café y la caña de azúcar, centrándose en la transferencia de conocimientos sobre buenas prácticas y lecciones aprendidas, así como de metodologías y herramientas existentes en materia de SST a los mandantes de la OIT y otras partes interesadas del sector, según proceda. El Fondo Visión Cero forma parte del programa emblemático «Seguridad y salud para todos» de la OIT."/>
    <d v="2025-06-01T00:00:00"/>
    <d v="2026-08-31T00:00:00"/>
    <x v="23"/>
    <s v="Villeta"/>
    <s v="Unión Europea"/>
    <n v="27200"/>
    <x v="26"/>
    <s v="Bélgica"/>
    <m/>
    <s v="1. Promover la lucha contra el cambio climatico, la justicia ambiental y la transformación productiva"/>
    <s v="8.8.Proteger los derechos laborales y promover entornos de trabajo seguros y protegidos para todos los trabajadores, incluidos los trabajadores migrantes, en particular las mujeres migrantes y_x000a_las personas con empleo precario."/>
    <x v="14"/>
    <s v="SIN ALINEAR"/>
    <s v="Trabajo"/>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Granada"/>
    <s v="ESAL"/>
    <n v="2057"/>
    <x v="196"/>
    <s v="Colombia/Centro Oriente/Bogotá D.C./Bogotá D.C."/>
    <m/>
    <s v="1. FOCALIZAR Y DINAMIZAR"/>
    <s v="16.1.Reducir significativamente todas las formas de violencia y las tasas de mortalidad relacionadas en todas partes."/>
    <x v="7"/>
    <s v="SIN ALINEAR"/>
    <s v="Presidencia de la República"/>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Villavicencio"/>
    <s v="ESAL"/>
    <n v="2057"/>
    <x v="196"/>
    <s v="Colombia/Centro Oriente/Bogotá D.C./Bogotá D.C."/>
    <m/>
    <s v="1. FOCALIZAR Y DINAMIZAR"/>
    <s v="16.1.Reducir significativamente todas las formas de violencia y las tasas de mortalidad relacionadas en todas partes."/>
    <x v="7"/>
    <s v="SIN ALINEAR"/>
    <s v="Presidencia de la República"/>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Vistahermosa"/>
    <s v="ESAL"/>
    <n v="2057"/>
    <x v="196"/>
    <s v="Colombia/Centro Oriente/Bogotá D.C./Bogotá D.C."/>
    <m/>
    <s v="1. FOCALIZAR Y DINAMIZAR"/>
    <s v="16.1.Reducir significativamente todas las formas de violencia y las tasas de mortalidad relacionadas en todas partes."/>
    <x v="7"/>
    <s v="SIN ALINEAR"/>
    <s v="Presidencia de la República"/>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Granada"/>
    <s v="ESAL"/>
    <n v="100577.33333333299"/>
    <x v="197"/>
    <s v="Colombia/Centro Oriente/Bogotá D.C./Bogotá D.C."/>
    <m/>
    <s v="1. FOCALIZAR Y DINAMIZAR"/>
    <s v="16.1.Reducir significativamente todas las formas de violencia y las tasas de mortalidad relacionadas en todas partes."/>
    <x v="7"/>
    <s v="SIN ALINEAR"/>
    <s v="Presidencia de la República"/>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Villavicencio"/>
    <s v="ESAL"/>
    <n v="100577.33333333299"/>
    <x v="197"/>
    <s v="Colombia/Centro Oriente/Bogotá D.C./Bogotá D.C."/>
    <m/>
    <s v="1. FOCALIZAR Y DINAMIZAR"/>
    <s v="16.1.Reducir significativamente todas las formas de violencia y las tasas de mortalidad relacionadas en todas partes."/>
    <x v="7"/>
    <s v="SIN ALINEAR"/>
    <s v="Presidencia de la República"/>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Vistahermosa"/>
    <s v="ESAL"/>
    <n v="100577.33333333299"/>
    <x v="197"/>
    <s v="Colombia/Centro Oriente/Bogotá D.C./Bogotá D.C."/>
    <m/>
    <s v="1. FOCALIZAR Y DINAMIZAR"/>
    <s v="16.1.Reducir significativamente todas las formas de violencia y las tasas de mortalidad relacionadas en todas partes."/>
    <x v="7"/>
    <s v="SIN ALINEAR"/>
    <s v="Presidencia de la República"/>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Granada"/>
    <s v="Naciones Unidas"/>
    <n v="12310.666666666701"/>
    <x v="198"/>
    <s v="Colombia/Centro Oriente/Bogotá D.C./Bogotá D.C."/>
    <m/>
    <s v="1. FOCALIZAR Y DINAMIZAR"/>
    <s v="16.1.Reducir significativamente todas las formas de violencia y las tasas de mortalidad relacionadas en todas partes."/>
    <x v="7"/>
    <s v="SIN ALINEAR"/>
    <s v="Presidencia de la República"/>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Villavicencio"/>
    <s v="Naciones Unidas"/>
    <n v="12310.666666666701"/>
    <x v="198"/>
    <s v="Colombia/Centro Oriente/Bogotá D.C./Bogotá D.C."/>
    <m/>
    <s v="1. FOCALIZAR Y DINAMIZAR"/>
    <s v="16.1.Reducir significativamente todas las formas de violencia y las tasas de mortalidad relacionadas en todas partes."/>
    <x v="7"/>
    <s v="SIN ALINEAR"/>
    <s v="Presidencia de la República"/>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Vistahermosa"/>
    <s v="Naciones Unidas"/>
    <n v="12310.666666666701"/>
    <x v="198"/>
    <s v="Colombia/Centro Oriente/Bogotá D.C./Bogotá D.C."/>
    <m/>
    <s v="1. FOCALIZAR Y DINAMIZAR"/>
    <s v="16.1.Reducir significativamente todas las formas de violencia y las tasas de mortalidad relacionadas en todas partes."/>
    <x v="7"/>
    <s v="SIN ALINEAR"/>
    <s v="Presidencia de la República"/>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Florida"/>
    <s v="ESAL"/>
    <n v="262.66666666666703"/>
    <x v="168"/>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Pradera"/>
    <s v="ESAL"/>
    <n v="262.66666666666703"/>
    <x v="168"/>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Tuluá"/>
    <s v="ESAL"/>
    <n v="262.66666666666703"/>
    <x v="168"/>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Florida"/>
    <s v="España"/>
    <n v="31377"/>
    <x v="167"/>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Pradera"/>
    <s v="España"/>
    <n v="31377"/>
    <x v="167"/>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Tuluá"/>
    <s v="España"/>
    <n v="31377"/>
    <x v="167"/>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Florida"/>
    <s v="ESAL"/>
    <n v="12702.333333333299"/>
    <x v="199"/>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Pradera"/>
    <s v="ESAL"/>
    <n v="12702.333333333299"/>
    <x v="199"/>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Tuluá"/>
    <s v="ESAL"/>
    <n v="12702.333333333299"/>
    <x v="199"/>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73"/>
    <s v="Crisis colombiana - Servicios de salud y protecciOn - MEdicos del Mundo 2024 - P015019"/>
    <s v="Proporcionar ayuda humanitaria vital a las personas afectadas por las crisis en Colombia mediante la prestación de servicios de salud y protección."/>
    <d v="2025-01-17T00:00:00"/>
    <d v="2026-12-31T00:00:00"/>
    <x v="7"/>
    <s v="No Reporta"/>
    <s v="Canadá"/>
    <n v="1145713.8400000001"/>
    <x v="200"/>
    <s v="Canadá"/>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973"/>
    <s v="Crisis colombiana - Servicios de salud y protecciOn - MEdicos del Mundo 2024 - P015019"/>
    <s v="Proporcionar ayuda humanitaria vital a las personas afectadas por las crisis en Colombia mediante la prestación de servicios de salud y protección."/>
    <d v="2025-01-17T00:00:00"/>
    <d v="2026-12-31T00:00:00"/>
    <x v="30"/>
    <s v="Acandí"/>
    <s v="Canadá"/>
    <n v="1145713.8400000001"/>
    <x v="200"/>
    <s v="Canadá"/>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21"/>
    <s v="Barranquilla"/>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5"/>
    <s v="Cartagena"/>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6"/>
    <s v="Montería"/>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11"/>
    <s v="Bogotá D.C."/>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20"/>
    <s v="Cúcuta"/>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12"/>
    <s v="Bucaramanga"/>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14"/>
    <s v="Neiva"/>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7"/>
    <s v="Medellín"/>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2"/>
    <s v="Villavicencio"/>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9"/>
    <s v="Cali"/>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94"/>
    <s v="Aporte a la reconciliación, la paz y el desarrollo de territorios seguros y sostenibles a través de la AICMA y sus enfoques transversales en los municipios de Frontino y Apartadó, Antioquia – Contrato No. 81085914"/>
    <s v="Promover la reconciliación, la paz y el desarrollo sostenible en territorios gravemente afectados por el conflicto social y armado y la contaminación por Artefactos Explosivos, fortaleciendo la seguridad, la cohesión social, la inclusión y elevando la calidad de vida de sus comunidades."/>
    <d v="2025-09-05T00:00:00"/>
    <d v="2028-09-04T00:00:00"/>
    <x v="7"/>
    <s v="Apartadó"/>
    <s v="Suiza"/>
    <n v="191676.96"/>
    <x v="201"/>
    <s v="Suiza"/>
    <m/>
    <s v="3. Promover una cultura de paz, justicia y lucha contra la desigualdad"/>
    <s v="16.1.Reducir significativamente todas las formas de violencia y las tasas de mortalidad relacionadas en todas partes."/>
    <x v="7"/>
    <s v="SIN ALINEAR"/>
    <s v="Presidencia de la República"/>
  </r>
  <r>
    <s v="R-AO-25-6994"/>
    <s v="Aporte a la reconciliación, la paz y el desarrollo de territorios seguros y sostenibles a través de la AICMA y sus enfoques transversales en los municipios de Frontino y Apartadó, Antioquia – Contrato No. 81085914"/>
    <s v="Promover la reconciliación, la paz y el desarrollo sostenible en territorios gravemente afectados por el conflicto social y armado y la contaminación por Artefactos Explosivos, fortaleciendo la seguridad, la cohesión social, la inclusión y elevando la calidad de vida de sus comunidades."/>
    <d v="2025-09-05T00:00:00"/>
    <d v="2028-09-04T00:00:00"/>
    <x v="7"/>
    <s v="Frontino"/>
    <s v="Suiza"/>
    <n v="191676.96"/>
    <x v="201"/>
    <s v="Suiza"/>
    <m/>
    <s v="3. Promover una cultura de paz, justicia y lucha contra la desigualdad"/>
    <s v="16.1.Reducir significativamente todas las formas de violencia y las tasas de mortalidad relacionadas en todas partes."/>
    <x v="7"/>
    <s v="SIN ALINEAR"/>
    <s v="Presidencia de la República"/>
  </r>
  <r>
    <s v="R-AO-25-6994"/>
    <s v="Aporte a la reconciliación, la paz y el desarrollo de territorios seguros y sostenibles a través de la AICMA y sus enfoques transversales en los municipios de Frontino y Apartadó, Antioquia – Contrato No. 81085914"/>
    <s v="Promover la reconciliación, la paz y el desarrollo sostenible en territorios gravemente afectados por el conflicto social y armado y la contaminación por Artefactos Explosivos, fortaleciendo la seguridad, la cohesión social, la inclusión y elevando la calidad de vida de sus comunidades."/>
    <d v="2025-09-05T00:00:00"/>
    <d v="2028-09-04T00:00:00"/>
    <x v="17"/>
    <s v="No Reporta"/>
    <s v="Suiza"/>
    <n v="383353.92"/>
    <x v="201"/>
    <s v="Suiza"/>
    <m/>
    <s v="3. Promover una cultura de paz, justicia y lucha contra la desigualdad"/>
    <s v="16.1.Reducir significativamente todas las formas de violencia y las tasas de mortalidad relacionadas en todas partes."/>
    <x v="7"/>
    <s v="SIN ALINEAR"/>
    <s v="Presidencia de la República"/>
  </r>
  <r>
    <s v="R-AO-25-6994"/>
    <s v="Aporte a la reconciliación, la paz y el desarrollo de territorios seguros y sostenibles a través de la AICMA y sus enfoques transversales en los municipios de Frontino y Apartadó, Antioquia – Contrato No. 81085914"/>
    <s v="Promover la reconciliación, la paz y el desarrollo sostenible en territorios gravemente afectados por el conflicto social y armado y la contaminación por Artefactos Explosivos, fortaleciendo la seguridad, la cohesión social, la inclusión y elevando la calidad de vida de sus comunidades."/>
    <d v="2025-09-05T00:00:00"/>
    <d v="2028-09-04T00:00:00"/>
    <x v="30"/>
    <s v="No Reporta"/>
    <s v="Suiza"/>
    <n v="383353.92"/>
    <x v="201"/>
    <s v="Suiza"/>
    <m/>
    <s v="3. Promover una cultura de paz, justicia y lucha contra la desigualdad"/>
    <s v="16.1.Reducir significativamente todas las formas de violencia y las tasas de mortalidad relacionadas en todas partes."/>
    <x v="7"/>
    <s v="SIN ALINEAR"/>
    <s v="Presidencia de la República"/>
  </r>
  <r>
    <s v="R-AO-25-6995"/>
    <s v="10026-SB-005075.10/AECID - España AECID: Seguimiento a la situación de DDHH y a la protección de las personas defensoras de DDHH en Colombia"/>
    <s v=" Apoyar la implementación y desarrollo de acciones que garanticen las medidas de prevención, protección, restitución, verdad, justicia, reparación y garantías de no repetición a las víctimas y la estrategia de soluciones duraderas, así como en el fortalecimiento del Sistema Integral de Paz."/>
    <d v="2025-01-01T00:00:00"/>
    <d v="2026-06-30T00:00:00"/>
    <x v="8"/>
    <s v="No Reporta"/>
    <s v="Unión Europea"/>
    <n v="260417"/>
    <x v="26"/>
    <s v="Bélgic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5-6996"/>
    <s v="10026-SB-005075.09 - Canadá: To Support the project entitled &quot;Strengthening Rights and Building Peace un Vulnerable Communities of Colombia (Canadá: Apoyo al proyecto titulado «Fortalecimiento de los derechos y construcción de la paz en comunidades vulnerables de Colombia)"/>
    <s v="Apoyar la implementación y desarrollo de acciones que garanticen las medidas de prevención, protección, restitución, verdad, justicia, reparación y garantías de no repetición a las víctimas y la estrategia de soluciones duraderas, así como en el fortalecimiento del Sistema Integral de Paz"/>
    <d v="2025-01-01T00:00:00"/>
    <d v="2026-12-31T00:00:00"/>
    <x v="8"/>
    <s v="No Reporta"/>
    <s v="Canadá"/>
    <n v="1040222"/>
    <x v="158"/>
    <s v="Canadá"/>
    <m/>
    <s v="3. Promover una cultura de paz, justicia y lucha contra la desigualdad"/>
    <s v="16.1.Reducir significativamente todas las formas de violencia y las tasas de mortalidad relacionadas en todas partes."/>
    <x v="7"/>
    <s v="SIN ALINEAR"/>
    <s v="Inclusión Social y Reconciliación"/>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28"/>
    <s v="Guapí"/>
    <s v="España"/>
    <n v="36460.875"/>
    <x v="27"/>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28"/>
    <s v="Timbiquí"/>
    <s v="España"/>
    <n v="36460.875"/>
    <x v="27"/>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9"/>
    <s v="Buenaventura"/>
    <s v="España"/>
    <n v="36460.875"/>
    <x v="27"/>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9"/>
    <s v="Cali"/>
    <s v="España"/>
    <n v="36460.875"/>
    <x v="27"/>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30"/>
    <s v="Quibdó"/>
    <s v="España"/>
    <n v="72921.75"/>
    <x v="27"/>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27"/>
    <s v="San Andrés de Tumaco"/>
    <s v="España"/>
    <n v="72921.75"/>
    <x v="27"/>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28"/>
    <s v="Guapí"/>
    <s v="ESAL"/>
    <n v="16042.75"/>
    <x v="202"/>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28"/>
    <s v="Timbiquí"/>
    <s v="ESAL"/>
    <n v="16042.75"/>
    <x v="202"/>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9"/>
    <s v="Buenaventura"/>
    <s v="ESAL"/>
    <n v="16042.75"/>
    <x v="202"/>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9"/>
    <s v="Cali"/>
    <s v="ESAL"/>
    <n v="16042.75"/>
    <x v="202"/>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30"/>
    <s v="Quibdó"/>
    <s v="ESAL"/>
    <n v="32085.5"/>
    <x v="202"/>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27"/>
    <s v="San Andrés de Tumaco"/>
    <s v="ESAL"/>
    <n v="32085.5"/>
    <x v="202"/>
    <s v="España"/>
    <m/>
    <s v="3. Promover una cultura de paz, justicia y lucha contra la desigualdad"/>
    <s v="16.3.Promover el estado de derecho en los planos nacional e internacional, y garantizar la igualdad en el acceso a la justicia para todos."/>
    <x v="7"/>
    <s v="SIN ALINEAR"/>
    <s v="Igualdad y Equidad"/>
  </r>
  <r>
    <s v="R-AO-25-7001"/>
    <s v="Accion contra Minas en Colombia/ HUMANITARIAN MINE ACTION IN COLOMBIA- SPMWRA23GR0044 - ADENDA"/>
    <s v="Llevar a cabo actividades de acción humanitaria contra las minas en todos los municipios asignados a HALO en Colombia."/>
    <d v="2025-08-11T00:00:00"/>
    <d v="2026-09-30T00:00:00"/>
    <x v="2"/>
    <s v="El Castillo"/>
    <s v="Estados Unidos"/>
    <n v="16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2"/>
    <s v="Puerto lleras"/>
    <s v="Estados Unidos"/>
    <n v="16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2"/>
    <s v="Puerto rico"/>
    <s v="Estados Unidos"/>
    <n v="16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2"/>
    <s v="San Juan de Arama"/>
    <s v="Estados Unidos"/>
    <n v="16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2"/>
    <s v="Vistahermosa"/>
    <s v="Estados Unidos"/>
    <n v="16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7"/>
    <s v="Amalfi"/>
    <s v="Estados Unidos"/>
    <n v="20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7"/>
    <s v="Angostura"/>
    <s v="Estados Unidos"/>
    <n v="20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7"/>
    <s v="Anorí"/>
    <s v="Estados Unidos"/>
    <n v="20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7"/>
    <s v="Argelia"/>
    <s v="Estados Unidos"/>
    <n v="20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20"/>
    <s v="El Zulia"/>
    <s v="Estados Unidos"/>
    <n v="80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28"/>
    <s v="Miranda"/>
    <s v="Estados Unidos"/>
    <n v="80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9"/>
    <s v="Florida"/>
    <s v="Estados Unidos"/>
    <n v="80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8"/>
    <s v="Apoyo a familias y comunidades afectadas por el conflicto armado en algunos municipios de Meta y Guaviare en protección, medios de vida y organización comunitaria-CBPF-COL-24-S-NGO-33952"/>
    <s v="Apoyar las familias y comunidades afectadas por el conflicto armado interno a través de acciones de protección, medios de vida y organización comunitaria en los departamentos de Meta, municipio de Mapiripán y Guaviare, en los municipios de Miraflores y San José del Guaviare._x000a_"/>
    <d v="2025-01-16T00:00:00"/>
    <d v="2026-01-15T00:00:00"/>
    <x v="18"/>
    <s v="Miraflores"/>
    <s v="Naciones Unidas"/>
    <n v="71751.240000000005"/>
    <x v="138"/>
    <s v="Estados Unidos"/>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7008"/>
    <s v="Apoyo a familias y comunidades afectadas por el conflicto armado en algunos municipios de Meta y Guaviare en protección, medios de vida y organización comunitaria-CBPF-COL-24-S-NGO-33952"/>
    <s v="Apoyar las familias y comunidades afectadas por el conflicto armado interno a través de acciones de protección, medios de vida y organización comunitaria en los departamentos de Meta, municipio de Mapiripán y Guaviare, en los municipios de Miraflores y San José del Guaviare._x000a_"/>
    <d v="2025-01-16T00:00:00"/>
    <d v="2026-01-15T00:00:00"/>
    <x v="18"/>
    <s v="San José del Guaviare"/>
    <s v="Naciones Unidas"/>
    <n v="71751.240000000005"/>
    <x v="138"/>
    <s v="Estados Unidos"/>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7008"/>
    <s v="Apoyo a familias y comunidades afectadas por el conflicto armado en algunos municipios de Meta y Guaviare en protección, medios de vida y organización comunitaria-CBPF-COL-24-S-NGO-33952"/>
    <s v="Apoyar las familias y comunidades afectadas por el conflicto armado interno a través de acciones de protección, medios de vida y organización comunitaria en los departamentos de Meta, municipio de Mapiripán y Guaviare, en los municipios de Miraflores y San José del Guaviare._x000a_"/>
    <d v="2025-01-16T00:00:00"/>
    <d v="2026-01-15T00:00:00"/>
    <x v="2"/>
    <s v="Mapiripán"/>
    <s v="Naciones Unidas"/>
    <n v="143502.48000000001"/>
    <x v="138"/>
    <s v="Estados Unidos"/>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7011"/>
    <s v="Mecanismo intersectorial de Ayuda Humanitaria y Recuperación temprana MIRE+ Fase 3 2025-2027."/>
    <s v="Brindar asistencia humanitaria a las poblaciones más vulnerables y potenciar las capacidades de resiliencia de las comunidades a través del acceso a servicios, el fortalecimiento comunitario y la incidencia institucional para iniciar un proceso de desarrollo."/>
    <d v="2025-10-06T00:00:00"/>
    <d v="2027-09-30T00:00:00"/>
    <x v="30"/>
    <s v="El Litoral del San Juan"/>
    <s v="Suiza"/>
    <n v="1579689.12"/>
    <x v="201"/>
    <s v="Suiz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5-7011"/>
    <s v="Mecanismo intersectorial de Ayuda Humanitaria y Recuperación temprana MIRE+ Fase 3 2025-2027."/>
    <s v="Brindar asistencia humanitaria a las poblaciones más vulnerables y potenciar las capacidades de resiliencia de las comunidades a través del acceso a servicios, el fortalecimiento comunitario y la incidencia institucional para iniciar un proceso de desarrollo."/>
    <d v="2025-10-06T00:00:00"/>
    <d v="2027-09-30T00:00:00"/>
    <x v="30"/>
    <s v="Nóvita"/>
    <s v="Suiza"/>
    <n v="1579689.12"/>
    <x v="201"/>
    <s v="Suiz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5-7011"/>
    <s v="Mecanismo intersectorial de Ayuda Humanitaria y Recuperación temprana MIRE+ Fase 3 2025-2027."/>
    <s v="Brindar asistencia humanitaria a las poblaciones más vulnerables y potenciar las capacidades de resiliencia de las comunidades a través del acceso a servicios, el fortalecimiento comunitario y la incidencia institucional para iniciar un proceso de desarrollo."/>
    <d v="2025-10-06T00:00:00"/>
    <d v="2027-09-30T00:00:00"/>
    <x v="30"/>
    <s v="Tadó"/>
    <s v="Suiza"/>
    <n v="1579689.12"/>
    <x v="201"/>
    <s v="Suiz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5-7012"/>
    <s v="Ayuda humanitaria, servicios e inclusión para migrantes, refugiados y víctimas del conflicto armado en Colombia, especialmente mujeres, jóvenes y niños - AID 012907/01/0"/>
    <s v="Contribuir a la mejora de las condiciones de vida de la población en tránsito y de las comunidades locales afectadas por el conflicto armado interno en colombia, mediante la provisión de asistencia humanitaria, el fortalecimiento del acceso a servicios básicos y la promoción de la integración socioeconómica de persoanas refugiadas, migrantes, víctimas del conflicto armado interno y comunidades de acogida, con especial atención a niños, niña, adolescentes, mujeres y personas con discapacidad en situación de vulnerabilidad, en las zonas fronterizas con Venezuela y PAnamá"/>
    <d v="2025-05-16T00:00:00"/>
    <d v="2027-07-15T00:00:00"/>
    <x v="20"/>
    <s v="Cúcuta"/>
    <s v="Italia"/>
    <n v="743699.33333333302"/>
    <x v="204"/>
    <s v="Ital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7012"/>
    <s v="Ayuda humanitaria, servicios e inclusión para migrantes, refugiados y víctimas del conflicto armado en Colombia, especialmente mujeres, jóvenes y niños - AID 012907/01/0"/>
    <s v="Contribuir a la mejora de las condiciones de vida de la población en tránsito y de las comunidades locales afectadas por el conflicto armado interno en colombia, mediante la provisión de asistencia humanitaria, el fortalecimiento del acceso a servicios básicos y la promoción de la integración socioeconómica de persoanas refugiadas, migrantes, víctimas del conflicto armado interno y comunidades de acogida, con especial atención a niños, niña, adolescentes, mujeres y personas con discapacidad en situación de vulnerabilidad, en las zonas fronterizas con Venezuela y PAnamá"/>
    <d v="2025-05-16T00:00:00"/>
    <d v="2027-07-15T00:00:00"/>
    <x v="20"/>
    <s v="El Zulia"/>
    <s v="Italia"/>
    <n v="743699.33333333302"/>
    <x v="204"/>
    <s v="Ital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7012"/>
    <s v="Ayuda humanitaria, servicios e inclusión para migrantes, refugiados y víctimas del conflicto armado en Colombia, especialmente mujeres, jóvenes y niños - AID 012907/01/0"/>
    <s v="Contribuir a la mejora de las condiciones de vida de la población en tránsito y de las comunidades locales afectadas por el conflicto armado interno en colombia, mediante la provisión de asistencia humanitaria, el fortalecimiento del acceso a servicios básicos y la promoción de la integración socioeconómica de persoanas refugiadas, migrantes, víctimas del conflicto armado interno y comunidades de acogida, con especial atención a niños, niña, adolescentes, mujeres y personas con discapacidad en situación de vulnerabilidad, en las zonas fronterizas con Venezuela y PAnamá"/>
    <d v="2025-05-16T00:00:00"/>
    <d v="2027-07-15T00:00:00"/>
    <x v="20"/>
    <s v="Los Patios"/>
    <s v="Italia"/>
    <n v="743699.33333333302"/>
    <x v="204"/>
    <s v="Ital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7012"/>
    <s v="Ayuda humanitaria, servicios e inclusión para migrantes, refugiados y víctimas del conflicto armado en Colombia, especialmente mujeres, jóvenes y niños - AID 012907/01/0"/>
    <s v="Contribuir a la mejora de las condiciones de vida de la población en tránsito y de las comunidades locales afectadas por el conflicto armado interno en colombia, mediante la provisión de asistencia humanitaria, el fortalecimiento del acceso a servicios básicos y la promoción de la integración socioeconómica de persoanas refugiadas, migrantes, víctimas del conflicto armado interno y comunidades de acogida, con especial atención a niños, niña, adolescentes, mujeres y personas con discapacidad en situación de vulnerabilidad, en las zonas fronterizas con Venezuela y PAnamá"/>
    <d v="2025-05-16T00:00:00"/>
    <d v="2027-07-15T00:00:00"/>
    <x v="20"/>
    <s v="Puerto Santander"/>
    <s v="Italia"/>
    <n v="743699.33333333302"/>
    <x v="204"/>
    <s v="Ital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7012"/>
    <s v="Ayuda humanitaria, servicios e inclusión para migrantes, refugiados y víctimas del conflicto armado en Colombia, especialmente mujeres, jóvenes y niños - AID 012907/01/0"/>
    <s v="Contribuir a la mejora de las condiciones de vida de la población en tránsito y de las comunidades locales afectadas por el conflicto armado interno en colombia, mediante la provisión de asistencia humanitaria, el fortalecimiento del acceso a servicios básicos y la promoción de la integración socioeconómica de persoanas refugiadas, migrantes, víctimas del conflicto armado interno y comunidades de acogida, con especial atención a niños, niña, adolescentes, mujeres y personas con discapacidad en situación de vulnerabilidad, en las zonas fronterizas con Venezuela y PAnamá"/>
    <d v="2025-05-16T00:00:00"/>
    <d v="2027-07-15T00:00:00"/>
    <x v="20"/>
    <s v="San Cayetano"/>
    <s v="Italia"/>
    <n v="743699.33333333302"/>
    <x v="204"/>
    <s v="Ital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7012"/>
    <s v="Ayuda humanitaria, servicios e inclusión para migrantes, refugiados y víctimas del conflicto armado en Colombia, especialmente mujeres, jóvenes y niños - AID 012907/01/0"/>
    <s v="Contribuir a la mejora de las condiciones de vida de la población en tránsito y de las comunidades locales afectadas por el conflicto armado interno en colombia, mediante la provisión de asistencia humanitaria, el fortalecimiento del acceso a servicios básicos y la promoción de la integración socioeconómica de persoanas refugiadas, migrantes, víctimas del conflicto armado interno y comunidades de acogida, con especial atención a niños, niña, adolescentes, mujeres y personas con discapacidad en situación de vulnerabilidad, en las zonas fronterizas con Venezuela y PAnamá"/>
    <d v="2025-05-16T00:00:00"/>
    <d v="2027-07-15T00:00:00"/>
    <x v="20"/>
    <s v="Villa del Rosario"/>
    <s v="Italia"/>
    <n v="743699.33333333302"/>
    <x v="204"/>
    <s v="Ital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7013"/>
    <s v="Fortaleciendo la confianza ciudadana en la democracia: Control social, participación diversa, pedagogía y diálogo con tomadores de decisión, en el marco de las Elecciones Nacionales 2026 en Colombia.  Expediente nº 2025QdV00260"/>
    <s v="Fomentar un entorno democrático participativo e incluyente en el marco de las elecciones nacionales de 2026 en Colombia, mediante diversas estrategias de diálogo, acción, comunicación y pedagogía que fortalezcan la confianza en los procesos electorales y promuevan la transparencia y el diálogo multiactor, contribuyendo así a la estabilidad democrática en el país."/>
    <d v="2025-11-03T00:00:00"/>
    <d v="2027-09-03T00:00:00"/>
    <x v="8"/>
    <s v="Ámbito Nacional"/>
    <s v="España"/>
    <n v="583374"/>
    <x v="27"/>
    <s v="España"/>
    <m/>
    <s v="4. Fortalecimiento institucional para la gestión de la cooperación internacional"/>
    <s v="16.7.Garantizar la toma de decisiones receptiva, inclusiva, participativa y representativa en todos los niveles."/>
    <x v="7"/>
    <s v="SIN ALINEAR"/>
    <s v="Organización Electoral"/>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27"/>
    <s v="El Charco"/>
    <s v="Unión Europea"/>
    <n v="102307.45"/>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27"/>
    <s v="La Tola"/>
    <s v="Unión Europea"/>
    <n v="102307.45"/>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27"/>
    <s v="Samaniego"/>
    <s v="Unión Europea"/>
    <n v="102307.45"/>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27"/>
    <s v="San Andrés de Tumaco"/>
    <s v="Unión Europea"/>
    <n v="102307.45"/>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27"/>
    <s v="Santa Bárbara"/>
    <s v="Unión Europea"/>
    <n v="102307.45"/>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30"/>
    <s v="Bojayá"/>
    <s v="Unión Europea"/>
    <n v="170512.41666666701"/>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30"/>
    <s v="El Litoral del San Juan"/>
    <s v="Unión Europea"/>
    <n v="170512.41666666701"/>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30"/>
    <s v="Medio Atrato"/>
    <s v="Unión Europea"/>
    <n v="170512.41666666701"/>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28"/>
    <s v="Buenos Aires"/>
    <s v="Unión Europea"/>
    <n v="255768.625"/>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28"/>
    <s v="Suárez"/>
    <s v="Unión Europea"/>
    <n v="255768.625"/>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9"/>
    <s v="Buenaventura"/>
    <s v="Unión Europea"/>
    <n v="511537.25"/>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7"/>
    <s v="Fortalecimiento del programa RedSerPaz -2025QdV00212"/>
    <s v="Apoyo a la conservación de los  ecosistemas estratégicos, la estabilización y cierre de fronteras agrícolas, y fortalecidas las reservas naturales de la sociedad civil."/>
    <d v="2025-10-22T00:00:00"/>
    <d v="2028-01-22T00:00:00"/>
    <x v="27"/>
    <s v="Consacá"/>
    <s v="España"/>
    <n v="66351.142857142899"/>
    <x v="27"/>
    <s v="España"/>
    <m/>
    <s v="No Aplic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5-7017"/>
    <s v="Fortalecimiento del programa RedSerPaz -2025QdV00212"/>
    <s v="Apoyo a la conservación de los  ecosistemas estratégicos, la estabilización y cierre de fronteras agrícolas, y fortalecidas las reservas naturales de la sociedad civil."/>
    <d v="2025-10-22T00:00:00"/>
    <d v="2028-01-22T00:00:00"/>
    <x v="27"/>
    <s v="La Florida"/>
    <s v="España"/>
    <n v="66351.142857142899"/>
    <x v="27"/>
    <s v="España"/>
    <m/>
    <s v="No Aplic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5-7017"/>
    <s v="Fortalecimiento del programa RedSerPaz -2025QdV00212"/>
    <s v="Apoyo a la conservación de los  ecosistemas estratégicos, la estabilización y cierre de fronteras agrícolas, y fortalecidas las reservas naturales de la sociedad civil."/>
    <d v="2025-10-22T00:00:00"/>
    <d v="2028-01-22T00:00:00"/>
    <x v="27"/>
    <s v="Nariño"/>
    <s v="España"/>
    <n v="66351.142857142899"/>
    <x v="27"/>
    <s v="España"/>
    <m/>
    <s v="No Aplic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5-7017"/>
    <s v="Fortalecimiento del programa RedSerPaz -2025QdV00212"/>
    <s v="Apoyo a la conservación de los  ecosistemas estratégicos, la estabilización y cierre de fronteras agrícolas, y fortalecidas las reservas naturales de la sociedad civil."/>
    <d v="2025-10-22T00:00:00"/>
    <d v="2028-01-22T00:00:00"/>
    <x v="27"/>
    <s v="Pasto"/>
    <s v="España"/>
    <n v="66351.142857142899"/>
    <x v="27"/>
    <s v="España"/>
    <m/>
    <s v="No Aplic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5-7017"/>
    <s v="Fortalecimiento del programa RedSerPaz -2025QdV00212"/>
    <s v="Apoyo a la conservación de los  ecosistemas estratégicos, la estabilización y cierre de fronteras agrícolas, y fortalecidas las reservas naturales de la sociedad civil."/>
    <d v="2025-10-22T00:00:00"/>
    <d v="2028-01-22T00:00:00"/>
    <x v="27"/>
    <s v="Sandoná"/>
    <s v="España"/>
    <n v="66351.142857142899"/>
    <x v="27"/>
    <s v="España"/>
    <m/>
    <s v="No Aplic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5-7017"/>
    <s v="Fortalecimiento del programa RedSerPaz -2025QdV00212"/>
    <s v="Apoyo a la conservación de los  ecosistemas estratégicos, la estabilización y cierre de fronteras agrícolas, y fortalecidas las reservas naturales de la sociedad civil."/>
    <d v="2025-10-22T00:00:00"/>
    <d v="2028-01-22T00:00:00"/>
    <x v="27"/>
    <s v="Tangua"/>
    <s v="España"/>
    <n v="66351.142857142899"/>
    <x v="27"/>
    <s v="España"/>
    <m/>
    <s v="No Aplic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5-7017"/>
    <s v="Fortalecimiento del programa RedSerPaz -2025QdV00212"/>
    <s v="Apoyo a la conservación de los  ecosistemas estratégicos, la estabilización y cierre de fronteras agrícolas, y fortalecidas las reservas naturales de la sociedad civil."/>
    <d v="2025-10-22T00:00:00"/>
    <d v="2028-01-22T00:00:00"/>
    <x v="27"/>
    <s v="Yacuanquer"/>
    <s v="España"/>
    <n v="66351.142857142899"/>
    <x v="27"/>
    <s v="España"/>
    <m/>
    <s v="No Aplic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Acandí"/>
    <s v="ESAL"/>
    <n v="7884.3090909090897"/>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Alto Baudó"/>
    <s v="ESAL"/>
    <n v="7884.3090909090897"/>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Istmina"/>
    <s v="ESAL"/>
    <n v="7884.3090909090897"/>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Medio Baudó"/>
    <s v="ESAL"/>
    <n v="7884.3090909090897"/>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Quibdó"/>
    <s v="ESAL"/>
    <n v="7884.3090909090897"/>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7"/>
    <s v="Necoclí"/>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7"/>
    <s v="Turbo"/>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0"/>
    <s v="Arauca"/>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0"/>
    <s v="Arauquita"/>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
    <s v="Cumaribo"/>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
    <s v="Puerto Carreño"/>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8"/>
    <s v="Argelia"/>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8"/>
    <s v="Balboa"/>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7"/>
    <s v="Ipiales"/>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7"/>
    <s v="Pasto"/>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3"/>
    <s v="San Andrés"/>
    <s v="ESAL"/>
    <n v="39421.5454545455"/>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5"/>
    <s v="No Reporta"/>
    <s v="ESAL"/>
    <n v="39421.5454545455"/>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0"/>
    <s v="No Reporta"/>
    <s v="ESAL"/>
    <n v="39421.5454545455"/>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12"/>
    <s v="No Reporta"/>
    <s v="ESAL"/>
    <n v="39421.5454545455"/>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5"/>
    <s v="Inírida"/>
    <s v="ESAL"/>
    <n v="39421.5454545455"/>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Acandí"/>
    <s v="Unión Europea"/>
    <n v="92086.4363636364"/>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Alto Baudó"/>
    <s v="Unión Europea"/>
    <n v="92086.4363636364"/>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Istmina"/>
    <s v="Unión Europea"/>
    <n v="92086.4363636364"/>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Medio Baudó"/>
    <s v="Unión Europea"/>
    <n v="92086.4363636364"/>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Quibdó"/>
    <s v="Unión Europea"/>
    <n v="92086.4363636364"/>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7"/>
    <s v="Necoclí"/>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7"/>
    <s v="Turbo"/>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0"/>
    <s v="Arauca"/>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0"/>
    <s v="Arauquita"/>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
    <s v="Cumaribo"/>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
    <s v="Puerto Carreño"/>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8"/>
    <s v="Argelia"/>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8"/>
    <s v="Balboa"/>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7"/>
    <s v="Ipiales"/>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7"/>
    <s v="Pasto"/>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3"/>
    <s v="San Andrés"/>
    <s v="Unión Europea"/>
    <n v="460432.181818182"/>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5"/>
    <s v="No Reporta"/>
    <s v="Unión Europea"/>
    <n v="460432.181818182"/>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0"/>
    <s v="No Reporta"/>
    <s v="Unión Europea"/>
    <n v="460432.181818182"/>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12"/>
    <s v="No Reporta"/>
    <s v="Unión Europea"/>
    <n v="460432.181818182"/>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5"/>
    <s v="Inírida"/>
    <s v="Unión Europea"/>
    <n v="460432.181818182"/>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9"/>
    <s v="Promoción de Entornos Escolares y Fortalecimiento de la Seguridad Alimentaria: Construcción del comedor escolar en la Vereda La Cabaña, Guachené – Cauca"/>
    <s v="Contribuir a fortalecer la seguridad alimentaria y nutricional de 572 estudiantes de la Institución Educativa La Cabaña, en Guachené (Cauca), mediante la implementación de un comedor escolar que garantice el acceso a alimentos saludables, promueva la educación nutricional y favorezca un entorno escolar inclusivo y de bienestar, en coherencia con los ODS 2, 3, 4 y 10."/>
    <d v="2025-11-18T00:00:00"/>
    <d v="2026-10-18T00:00:00"/>
    <x v="28"/>
    <s v="Caloto"/>
    <s v="Portugal"/>
    <n v="29218.25"/>
    <x v="177"/>
    <s v="Colombi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Protección Social"/>
  </r>
  <r>
    <s v="R-AO-25-7019"/>
    <s v="Promoción de Entornos Escolares y Fortalecimiento de la Seguridad Alimentaria: Construcción del comedor escolar en la Vereda La Cabaña, Guachené – Cauca"/>
    <s v="Contribuir a fortalecer la seguridad alimentaria y nutricional de 572 estudiantes de la Institución Educativa La Cabaña, en Guachené (Cauca), mediante la implementación de un comedor escolar que garantice el acceso a alimentos saludables, promueva la educación nutricional y favorezca un entorno escolar inclusivo y de bienestar, en coherencia con los ODS 2, 3, 4 y 10."/>
    <d v="2025-11-18T00:00:00"/>
    <d v="2026-10-18T00:00:00"/>
    <x v="28"/>
    <s v="Guachené"/>
    <s v="Portugal"/>
    <n v="29218.25"/>
    <x v="177"/>
    <s v="Colombi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Protección Social"/>
  </r>
  <r>
    <s v="R-AO-25-7020"/>
    <s v="SOLNATURA: Fomento de soluciones basadas en la naturaleza para un desarrollo territorial  resiliente, bajo en carbono y biodiverso -81319882"/>
    <s v="Implementar con éxito Soluciones Basadas en la Naturaleza (SbN) que transformen los territorios para que sean más resilientes, biodiversos y bajos en carbono, y apoyan la implementación de las Contribuciones Determinadas a Nivel Nacional (NDC)."/>
    <d v="2025-10-15T00:00:00"/>
    <d v="2028-06-30T00:00:00"/>
    <x v="6"/>
    <s v="No Reporta"/>
    <s v="Alemania"/>
    <n v="1799907.66666667"/>
    <x v="74"/>
    <s v="Aleman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5-7020"/>
    <s v="SOLNATURA: Fomento de soluciones basadas en la naturaleza para un desarrollo territorial  resiliente, bajo en carbono y biodiverso -81319882"/>
    <s v="Implementar con éxito Soluciones Basadas en la Naturaleza (SbN) que transformen los territorios para que sean más resilientes, biodiversos y bajos en carbono, y apoyan la implementación de las Contribuciones Determinadas a Nivel Nacional (NDC)."/>
    <d v="2025-10-15T00:00:00"/>
    <d v="2028-06-30T00:00:00"/>
    <x v="12"/>
    <s v="No Reporta"/>
    <s v="Alemania"/>
    <n v="1799907.66666667"/>
    <x v="74"/>
    <s v="Aleman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5-7020"/>
    <s v="SOLNATURA: Fomento de soluciones basadas en la naturaleza para un desarrollo territorial  resiliente, bajo en carbono y biodiverso -81319882"/>
    <s v="Implementar con éxito Soluciones Basadas en la Naturaleza (SbN) que transformen los territorios para que sean más resilientes, biodiversos y bajos en carbono, y apoyan la implementación de las Contribuciones Determinadas a Nivel Nacional (NDC)."/>
    <d v="2025-10-15T00:00:00"/>
    <d v="2028-06-30T00:00:00"/>
    <x v="14"/>
    <s v="No Reporta"/>
    <s v="Alemania"/>
    <n v="1799907.66666667"/>
    <x v="74"/>
    <s v="Aleman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5-7021"/>
    <s v="Seguridad, conflictividad y medio ambiente en la Amazonia -NDICI CRISIS FPI/2024/458-984 "/>
    <s v="_x000a_Al 2026 la información generada sobre el avance e incidencia de actividades criminales de la Amazonía Noroccidental y su impacto en la conservación y la población civil (PICL) del Bioma habrá sido puesta a disposición de tomadores de decisión, y utilizada para sensibilizar y mejorar las capacidades de actores clave en materia de protección medioambiental y de derechos humanos."/>
    <d v="2025-01-15T00:00:00"/>
    <d v="2027-01-14T00:00:00"/>
    <x v="24"/>
    <s v="No Reporta"/>
    <s v="Unión Europea"/>
    <n v="1030549"/>
    <x v="26"/>
    <s v="Bélgica"/>
    <m/>
    <s v="1. Promover la lucha contra el cambio climatico, la justicia ambiental y la transformación productiva"/>
    <s v="15.9.En 2020, integrar los valores de los ecosistemas y la biodiversidad en la planificación nacional y local, los procesos de desarrollo, estrategias de reducción de la pobreza, y la contabilidad."/>
    <x v="6"/>
    <s v="SIN ALINEAR"/>
    <s v="Ambiente y Desarrollo Sostenible"/>
  </r>
  <r>
    <s v="R-AO-25-7022"/>
    <s v="Proyecto de Desarrollo Territorial en la “Ruta Universo Wayuu” -2025QdV00261"/>
    <s v="Contribuir al cierre de brechas sociales y territoriales en el departamento de  la Guajira en base a las fortalezas culturales de la población local."/>
    <d v="2025-11-06T00:00:00"/>
    <d v="2028-05-06T00:00:00"/>
    <x v="16"/>
    <s v="Manaure"/>
    <s v="España"/>
    <n v="230789.5"/>
    <x v="27"/>
    <s v="España"/>
    <m/>
    <s v="3. Promover una cultura de paz, justicia y lucha contra la desigualdad"/>
    <s v="11.4.Fortalecer los esfuerzos para proteger y salvaguardar el patrimonio cultural y natural del mundo."/>
    <x v="4"/>
    <s v="SIN ALINEAR"/>
    <s v="Cultura"/>
  </r>
  <r>
    <s v="R-AO-25-7022"/>
    <s v="Proyecto de Desarrollo Territorial en la “Ruta Universo Wayuu” -2025QdV00261"/>
    <s v="Contribuir al cierre de brechas sociales y territoriales en el departamento de  la Guajira en base a las fortalezas culturales de la población local."/>
    <d v="2025-11-06T00:00:00"/>
    <d v="2028-05-06T00:00:00"/>
    <x v="16"/>
    <s v="Uribía"/>
    <s v="España"/>
    <n v="230789.5"/>
    <x v="27"/>
    <s v="España"/>
    <m/>
    <s v="3. Promover una cultura de paz, justicia y lucha contra la desigualdad"/>
    <s v="11.4.Fortalecer los esfuerzos para proteger y salvaguardar el patrimonio cultural y natural del mundo."/>
    <x v="4"/>
    <s v="SIN ALINEAR"/>
    <s v="Cultura"/>
  </r>
  <r>
    <s v="R-FP-25-7023"/>
    <s v="Programa de salud integrado en zonas rurales y semirurales de alto y bajo catatumbo asi como posibles respuestas a emergencias en el departamento de norte de santander"/>
    <s v="CONTRIBUIR A LA REDUCCIÓN DEL IMPACTO DE LA VIOLENCIA EN LAS VÍCTIMAS DEL CONFLICTO, MEJORANDO EL ACCESO INTEGRAL Y OPORTUNO A SERVICIOS DE SALUD EN LA REGIÓN DEL CATATUMBO"/>
    <d v="2025-07-30T00:00:00"/>
    <d v="2026-12-31T00:00:00"/>
    <x v="20"/>
    <s v="Ocaña"/>
    <s v="ESAL"/>
    <n v="406487.5"/>
    <x v="205"/>
    <s v="España"/>
    <m/>
    <s v="3. Promover una cultura de paz, justicia y lucha contra la desigualdad"/>
    <s v="3.8.Lograr la cobertura sanitaria universal, incluida la protección contra los riesgos financieros, el acceso a servicios de salud esenciales de calidad y el acceso a medicamentos y vacunas inocuos, eficaces, asequibles y de calidad para todos"/>
    <x v="13"/>
    <s v="SIN ALINEAR"/>
    <s v="Salud y Protección Social"/>
  </r>
  <r>
    <s v="R-FP-25-7023"/>
    <s v="Programa de salud integrado en zonas rurales y semirurales de alto y bajo catatumbo asi como posibles respuestas a emergencias en el departamento de norte de santander"/>
    <s v="CONTRIBUIR A LA REDUCCIÓN DEL IMPACTO DE LA VIOLENCIA EN LAS VÍCTIMAS DEL CONFLICTO, MEJORANDO EL ACCESO INTEGRAL Y OPORTUNO A SERVICIOS DE SALUD EN LA REGIÓN DEL CATATUMBO"/>
    <d v="2025-07-30T00:00:00"/>
    <d v="2026-12-31T00:00:00"/>
    <x v="20"/>
    <s v="Tibú"/>
    <s v="ESAL"/>
    <n v="406487.5"/>
    <x v="205"/>
    <s v="España"/>
    <m/>
    <s v="3. Promover una cultura de paz, justicia y lucha contra la desigualdad"/>
    <s v="3.8.Lograr la cobertura sanitaria universal, incluida la protección contra los riesgos financieros, el acceso a servicios de salud esenciales de calidad y el acceso a medicamentos y vacunas inocuos, eficaces, asequibles y de calidad para todos"/>
    <x v="13"/>
    <s v="SIN ALINEAR"/>
    <s v="Salud y Protección Social"/>
  </r>
  <r>
    <s v="R-AO-23-7024"/>
    <s v="Fertilizar bien Colombia"/>
    <s v="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
    <d v="2023-08-30T00:00:00"/>
    <d v="2027-03-30T00:00:00"/>
    <x v="10"/>
    <s v="Ciénaga"/>
    <s v="Estados Unidos"/>
    <n v="330366.125"/>
    <x v="206"/>
    <s v="Estados Unidos"/>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3-7024"/>
    <s v="Fertilizar bien Colombia"/>
    <s v="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
    <d v="2023-08-30T00:00:00"/>
    <d v="2027-03-30T00:00:00"/>
    <x v="10"/>
    <s v="Zona Bananera"/>
    <s v="Estados Unidos"/>
    <n v="330366.125"/>
    <x v="206"/>
    <s v="Estados Unidos"/>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3-7024"/>
    <s v="Fertilizar bien Colombia"/>
    <s v="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
    <d v="2023-08-30T00:00:00"/>
    <d v="2027-03-30T00:00:00"/>
    <x v="29"/>
    <s v="Espinal"/>
    <s v="Estados Unidos"/>
    <n v="330366.125"/>
    <x v="206"/>
    <s v="Estados Unidos"/>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3-7024"/>
    <s v="Fertilizar bien Colombia"/>
    <s v="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
    <d v="2023-08-30T00:00:00"/>
    <d v="2027-03-30T00:00:00"/>
    <x v="29"/>
    <s v="Saldaña"/>
    <s v="Estados Unidos"/>
    <n v="330366.125"/>
    <x v="206"/>
    <s v="Estados Unidos"/>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3-7024"/>
    <s v="Fertilizar bien Colombia"/>
    <s v="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
    <d v="2023-08-30T00:00:00"/>
    <d v="2027-03-30T00:00:00"/>
    <x v="7"/>
    <s v="Apartadó"/>
    <s v="Estados Unidos"/>
    <n v="330366.125"/>
    <x v="206"/>
    <s v="Estados Unidos"/>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3-7024"/>
    <s v="Fertilizar bien Colombia"/>
    <s v="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
    <d v="2023-08-30T00:00:00"/>
    <d v="2027-03-30T00:00:00"/>
    <x v="7"/>
    <s v="Carepa"/>
    <s v="Estados Unidos"/>
    <n v="330366.125"/>
    <x v="206"/>
    <s v="Estados Unidos"/>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3-7024"/>
    <s v="Fertilizar bien Colombia"/>
    <s v="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
    <d v="2023-08-30T00:00:00"/>
    <d v="2027-03-30T00:00:00"/>
    <x v="9"/>
    <s v="Palmira"/>
    <s v="Estados Unidos"/>
    <n v="660732.25"/>
    <x v="206"/>
    <s v="Estados Unidos"/>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V-AO-25-7025"/>
    <s v="Programa de Inversiones Prioritarias en Municipios (PDET), Fase II y fase iii"/>
    <s v="Mejorar las condiciones de bienestar de Ia poblaciOn en municipios PDET mediante el mejoramiento de infraestructura vial terciaria, infraestructura comunitaria, participaci6n comunitaria y fortalecimiento institucional."/>
    <d v="2025-10-31T00:00:00"/>
    <d v="2030-12-31T00:00:00"/>
    <x v="17"/>
    <s v="Albania"/>
    <s v="Alemania"/>
    <n v="7213735.75"/>
    <x v="35"/>
    <s v="Alemania"/>
    <m/>
    <s v="3. Promover una cultura de paz, justicia y lucha contra la desigualdad"/>
    <s v="09. Industria, innovación e infraestructura"/>
    <x v="8"/>
    <s v="SIN ALINEAR"/>
    <s v="Agricultura y Desarrollo Rural"/>
  </r>
  <r>
    <s v="V-AO-25-7025"/>
    <s v="Programa de Inversiones Prioritarias en Municipios (PDET), Fase II y fase iii"/>
    <s v="Mejorar las condiciones de bienestar de Ia poblaciOn en municipios PDET mediante el mejoramiento de infraestructura vial terciaria, infraestructura comunitaria, participaci6n comunitaria y fortalecimiento institucional."/>
    <d v="2025-10-31T00:00:00"/>
    <d v="2030-12-31T00:00:00"/>
    <x v="17"/>
    <s v="Belén de los Andaquíes"/>
    <s v="Alemania"/>
    <n v="7213735.75"/>
    <x v="35"/>
    <s v="Alemania"/>
    <m/>
    <s v="3. Promover una cultura de paz, justicia y lucha contra la desigualdad"/>
    <s v="09. Industria, innovación e infraestructura"/>
    <x v="8"/>
    <s v="SIN ALINEAR"/>
    <s v="Agricultura y Desarrollo Rural"/>
  </r>
  <r>
    <s v="V-AO-25-7025"/>
    <s v="Programa de Inversiones Prioritarias en Municipios (PDET), Fase II y fase iii"/>
    <s v="Mejorar las condiciones de bienestar de Ia poblaciOn en municipios PDET mediante el mejoramiento de infraestructura vial terciaria, infraestructura comunitaria, participaci6n comunitaria y fortalecimiento institucional."/>
    <d v="2025-10-31T00:00:00"/>
    <d v="2030-12-31T00:00:00"/>
    <x v="17"/>
    <s v="Curillo"/>
    <s v="Alemania"/>
    <n v="7213735.75"/>
    <x v="35"/>
    <s v="Alemania"/>
    <m/>
    <s v="3. Promover una cultura de paz, justicia y lucha contra la desigualdad"/>
    <s v="09. Industria, innovación e infraestructura"/>
    <x v="8"/>
    <s v="SIN ALINEAR"/>
    <s v="Agricultura y Desarrollo Rural"/>
  </r>
  <r>
    <s v="V-AO-25-7025"/>
    <s v="Programa de Inversiones Prioritarias en Municipios (PDET), Fase II y fase iii"/>
    <s v="Mejorar las condiciones de bienestar de Ia poblaciOn en municipios PDET mediante el mejoramiento de infraestructura vial terciaria, infraestructura comunitaria, participaci6n comunitaria y fortalecimiento institucional."/>
    <d v="2025-10-31T00:00:00"/>
    <d v="2030-12-31T00:00:00"/>
    <x v="17"/>
    <s v="Solita"/>
    <s v="Alemania"/>
    <n v="7213735.75"/>
    <x v="35"/>
    <s v="Alemania"/>
    <m/>
    <s v="3. Promover una cultura de paz, justicia y lucha contra la desigualdad"/>
    <s v="09. Industria, innovación e infraestructura"/>
    <x v="8"/>
    <s v="SIN ALINEAR"/>
    <s v="Agricultura y Desarrollo Rural"/>
  </r>
  <r>
    <s v="R-FP-25-7030"/>
    <s v="Desminado humanitario en Catatumbo, Colombia - COL-001 P0274"/>
    <s v=" Mejorar la seguridad y estabilidad regional para comunidades afectadas por el conflicto en Catatumbo a través del despeje de minas antipersonal y otros artefactos explosivos,_x000a_incrementando su resiliencia y creando las condiciones necesarias para su desarrollo socio-económico."/>
    <d v="2025-11-01T00:00:00"/>
    <d v="2028-12-31T00:00:00"/>
    <x v="20"/>
    <s v="Ábrego"/>
    <s v="ESAL"/>
    <n v="3179243.8571428601"/>
    <x v="37"/>
    <s v="Estados Unidos"/>
    <m/>
    <s v="3. Promover una cultura de paz, justicia y lucha contra la desigualdad"/>
    <s v="16.1.Reducir significativamente todas las formas de violencia y las tasas de mortalidad relacionadas en todas partes."/>
    <x v="7"/>
    <s v="SIN ALINEAR"/>
    <s v="Presidencia de la República"/>
  </r>
  <r>
    <s v="R-FP-25-7030"/>
    <s v="Desminado humanitario en Catatumbo, Colombia - COL-001 P0274"/>
    <s v=" Mejorar la seguridad y estabilidad regional para comunidades afectadas por el conflicto en Catatumbo a través del despeje de minas antipersonal y otros artefactos explosivos,_x000a_incrementando su resiliencia y creando las condiciones necesarias para su desarrollo socio-económico."/>
    <d v="2025-11-01T00:00:00"/>
    <d v="2028-12-31T00:00:00"/>
    <x v="20"/>
    <s v="Bucarasica"/>
    <s v="ESAL"/>
    <n v="3179243.8571428601"/>
    <x v="37"/>
    <s v="Estados Unidos"/>
    <m/>
    <s v="3. Promover una cultura de paz, justicia y lucha contra la desigualdad"/>
    <s v="16.1.Reducir significativamente todas las formas de violencia y las tasas de mortalidad relacionadas en todas partes."/>
    <x v="7"/>
    <s v="SIN ALINEAR"/>
    <s v="Presidencia de la República"/>
  </r>
  <r>
    <s v="R-FP-25-7030"/>
    <s v="Desminado humanitario en Catatumbo, Colombia - COL-001 P0274"/>
    <s v=" Mejorar la seguridad y estabilidad regional para comunidades afectadas por el conflicto en Catatumbo a través del despeje de minas antipersonal y otros artefactos explosivos,_x000a_incrementando su resiliencia y creando las condiciones necesarias para su desarrollo socio-económico."/>
    <d v="2025-11-01T00:00:00"/>
    <d v="2028-12-31T00:00:00"/>
    <x v="20"/>
    <s v="El tarra"/>
    <s v="ESAL"/>
    <n v="3179243.8571428601"/>
    <x v="37"/>
    <s v="Estados Unidos"/>
    <m/>
    <s v="3. Promover una cultura de paz, justicia y lucha contra la desigualdad"/>
    <s v="16.1.Reducir significativamente todas las formas de violencia y las tasas de mortalidad relacionadas en todas partes."/>
    <x v="7"/>
    <s v="SIN ALINEAR"/>
    <s v="Presidencia de la República"/>
  </r>
  <r>
    <s v="R-FP-25-7030"/>
    <s v="Desminado humanitario en Catatumbo, Colombia - COL-001 P0274"/>
    <s v=" Mejorar la seguridad y estabilidad regional para comunidades afectadas por el conflicto en Catatumbo a través del despeje de minas antipersonal y otros artefactos explosivos,_x000a_incrementando su resiliencia y creando las condiciones necesarias para su desarrollo socio-económico."/>
    <d v="2025-11-01T00:00:00"/>
    <d v="2028-12-31T00:00:00"/>
    <x v="20"/>
    <s v="Hacarí"/>
    <s v="ESAL"/>
    <n v="3179243.8571428601"/>
    <x v="37"/>
    <s v="Estados Unidos"/>
    <m/>
    <s v="3. Promover una cultura de paz, justicia y lucha contra la desigualdad"/>
    <s v="16.1.Reducir significativamente todas las formas de violencia y las tasas de mortalidad relacionadas en todas partes."/>
    <x v="7"/>
    <s v="SIN ALINEAR"/>
    <s v="Presidencia de la República"/>
  </r>
  <r>
    <s v="R-FP-25-7030"/>
    <s v="Desminado humanitario en Catatumbo, Colombia - COL-001 P0274"/>
    <s v=" Mejorar la seguridad y estabilidad regional para comunidades afectadas por el conflicto en Catatumbo a través del despeje de minas antipersonal y otros artefactos explosivos,_x000a_incrementando su resiliencia y creando las condiciones necesarias para su desarrollo socio-económico."/>
    <d v="2025-11-01T00:00:00"/>
    <d v="2028-12-31T00:00:00"/>
    <x v="20"/>
    <s v="La Playa"/>
    <s v="ESAL"/>
    <n v="3179243.8571428601"/>
    <x v="37"/>
    <s v="Estados Unidos"/>
    <m/>
    <s v="3. Promover una cultura de paz, justicia y lucha contra la desigualdad"/>
    <s v="16.1.Reducir significativamente todas las formas de violencia y las tasas de mortalidad relacionadas en todas partes."/>
    <x v="7"/>
    <s v="SIN ALINEAR"/>
    <s v="Presidencia de la República"/>
  </r>
  <r>
    <s v="R-FP-25-7030"/>
    <s v="Desminado humanitario en Catatumbo, Colombia - COL-001 P0274"/>
    <s v=" Mejorar la seguridad y estabilidad regional para comunidades afectadas por el conflicto en Catatumbo a través del despeje de minas antipersonal y otros artefactos explosivos,_x000a_incrementando su resiliencia y creando las condiciones necesarias para su desarrollo socio-económico."/>
    <d v="2025-11-01T00:00:00"/>
    <d v="2028-12-31T00:00:00"/>
    <x v="20"/>
    <s v="Sardinata"/>
    <s v="ESAL"/>
    <n v="3179243.8571428601"/>
    <x v="37"/>
    <s v="Estados Unidos"/>
    <m/>
    <s v="3. Promover una cultura de paz, justicia y lucha contra la desigualdad"/>
    <s v="16.1.Reducir significativamente todas las formas de violencia y las tasas de mortalidad relacionadas en todas partes."/>
    <x v="7"/>
    <s v="SIN ALINEAR"/>
    <s v="Presidencia de la República"/>
  </r>
  <r>
    <s v="R-FP-25-7030"/>
    <s v="Desminado humanitario en Catatumbo, Colombia - COL-001 P0274"/>
    <s v=" Mejorar la seguridad y estabilidad regional para comunidades afectadas por el conflicto en Catatumbo a través del despeje de minas antipersonal y otros artefactos explosivos,_x000a_incrementando su resiliencia y creando las condiciones necesarias para su desarrollo socio-económico."/>
    <d v="2025-11-01T00:00:00"/>
    <d v="2028-12-31T00:00:00"/>
    <x v="20"/>
    <s v="Tibú"/>
    <s v="ESAL"/>
    <n v="3179243.8571428601"/>
    <x v="37"/>
    <s v="Estados Unidos"/>
    <m/>
    <s v="3. Promover una cultura de paz, justicia y lucha contra la desigualdad"/>
    <s v="16.1.Reducir significativamente todas las formas de violencia y las tasas de mortalidad relacionadas en todas partes."/>
    <x v="7"/>
    <s v="SIN ALINEAR"/>
    <s v="Presidencia de la República"/>
  </r>
  <r>
    <s v="R-AO-25-7031"/>
    <s v="Empoderamiento de mujeres campesinas e indigenas a traves de fincas agroecologicas en el suroccidente de Colombia / Empoderamiento de mujeres campesinas e indigenas a traves de fincas agroecologicas en el suroccidente de Colombia-2025-018680"/>
    <s v="Contribuir a la transformación social de las comunidades rurales del suroccidente de Colombia mediante el fortalecimiento de las capacidades productivas y organizativas de mujeres campesinas e indígenas para la producción y comercialización de alimentos agroecológicos."/>
    <d v="2025-07-17T00:00:00"/>
    <d v="2026-07-31T00:00:00"/>
    <x v="9"/>
    <s v="Florida"/>
    <s v="España"/>
    <n v="27037.333333333299"/>
    <x v="20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Agricultura y Desarrollo Rural"/>
  </r>
  <r>
    <s v="R-AO-25-7031"/>
    <s v="Empoderamiento de mujeres campesinas e indigenas a traves de fincas agroecologicas en el suroccidente de Colombia / Empoderamiento de mujeres campesinas e indigenas a traves de fincas agroecologicas en el suroccidente de Colombia-2025-018680"/>
    <s v="Contribuir a la transformación social de las comunidades rurales del suroccidente de Colombia mediante el fortalecimiento de las capacidades productivas y organizativas de mujeres campesinas e indígenas para la producción y comercialización de alimentos agroecológicos."/>
    <d v="2025-07-17T00:00:00"/>
    <d v="2026-07-31T00:00:00"/>
    <x v="9"/>
    <s v="Pradera"/>
    <s v="España"/>
    <n v="27037.333333333299"/>
    <x v="20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Agricultura y Desarrollo Rural"/>
  </r>
  <r>
    <s v="R-AO-25-7031"/>
    <s v="Empoderamiento de mujeres campesinas e indigenas a traves de fincas agroecologicas en el suroccidente de Colombia / Empoderamiento de mujeres campesinas e indigenas a traves de fincas agroecologicas en el suroccidente de Colombia-2025-018680"/>
    <s v="Contribuir a la transformación social de las comunidades rurales del suroccidente de Colombia mediante el fortalecimiento de las capacidades productivas y organizativas de mujeres campesinas e indígenas para la producción y comercialización de alimentos agroecológicos."/>
    <d v="2025-07-17T00:00:00"/>
    <d v="2026-07-31T00:00:00"/>
    <x v="9"/>
    <s v="Tuluá"/>
    <s v="España"/>
    <n v="27037.333333333299"/>
    <x v="20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Agricultura y Desarrollo Rural"/>
  </r>
  <r>
    <s v="R-AO-25-7032"/>
    <s v="Aceleración del Ecosistema de Capital Emprendedor e Inversión de  Impacto en Colombia-CO-T1771  ATN/ME-21346-CO-CO-G1058 GRC/ME-21345-CO "/>
    <s v="Este proyecto tiene como objetivo fortalecer el ecosistema de inversión de impacto en Colombia, conectando a actores clave y mejorando el acceso de emprendimientos e iniciativas con impacto social y ambiental a recursos financieros y técnicos. A través de cuatro componentes, se busca incrementar las capacidades de las empresas y Entidades de Soporte al Emprendimiento (ESOs), promoviendo la creación de vehículos financieros que mitiguen riesgos y la implementación de métricas robustas de impacto. Este enfoque permitirá superar barreras de acceso al financiamiento y generar un entorno cohesivo y eficiente para el desarrollo sostenible y el crecimiento inclusivo."/>
    <d v="2025-02-15T00:00:00"/>
    <d v="2028-08-15T00:00:00"/>
    <x v="8"/>
    <s v="No Reporta"/>
    <s v="Banca Multilateral"/>
    <n v="700000"/>
    <x v="5"/>
    <s v="Estados Unidos"/>
    <m/>
    <s v="No Aplica"/>
    <s v="9.3.Aumentar el acceso de las pequeñas empresas industriales y de otro tipo, en particular en los países en desarrollo, a los servicios financieros, incluyendo crédito asequible y su integración en las cadenas de valor y los mercados"/>
    <x v="8"/>
    <s v="SIN ALINEAR"/>
    <s v="Comercio, Industria y Turismo"/>
  </r>
  <r>
    <s v="R-AO-25-7032"/>
    <s v="Aceleración del Ecosistema de Capital Emprendedor e Inversión de  Impacto en Colombia-CO-T1771  ATN/ME-21346-CO-CO-G1058 GRC/ME-21345-CO "/>
    <s v="Este proyecto tiene como objetivo fortalecer el ecosistema de inversión de impacto en Colombia, conectando a actores clave y mejorando el acceso de emprendimientos e iniciativas con impacto social y ambiental a recursos financieros y técnicos. A través de cuatro componentes, se busca incrementar las capacidades de las empresas y Entidades de Soporte al Emprendimiento (ESOs), promoviendo la creación de vehículos financieros que mitiguen riesgos y la implementación de métricas robustas de impacto. Este enfoque permitirá superar barreras de acceso al financiamiento y generar un entorno cohesivo y eficiente para el desarrollo sostenible y el crecimiento inclusivo."/>
    <d v="2025-02-15T00:00:00"/>
    <d v="2028-08-15T00:00:00"/>
    <x v="8"/>
    <s v="No Reporta"/>
    <s v="Banca Multilateral"/>
    <n v="800000"/>
    <x v="76"/>
    <s v="Estados Unidos"/>
    <m/>
    <s v="No Aplica"/>
    <s v="9.3.Aumentar el acceso de las pequeñas empresas industriales y de otro tipo, en particular en los países en desarrollo, a los servicios financieros, incluyendo crédito asequible y su integración en las cadenas de valor y los mercados"/>
    <x v="8"/>
    <s v="SIN ALINEAR"/>
    <s v="Comercio, Industria y Turismo"/>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Dabeiba"/>
    <s v="Suiza"/>
    <n v="183690.44750000001"/>
    <x v="20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Frontino"/>
    <s v="Suiza"/>
    <n v="183690.44750000001"/>
    <x v="20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Murindó"/>
    <s v="Suiza"/>
    <n v="183690.44750000001"/>
    <x v="20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Mutatá"/>
    <s v="Suiza"/>
    <n v="183690.44750000001"/>
    <x v="20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Asís"/>
    <s v="Suiza"/>
    <n v="244920.596666667"/>
    <x v="20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Guzmán"/>
    <s v="Suiza"/>
    <n v="244920.596666667"/>
    <x v="20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Leguízamo"/>
    <s v="Suiza"/>
    <n v="244920.596666667"/>
    <x v="20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Dabeiba"/>
    <s v="Estados Unidos"/>
    <n v="164771.54874999999"/>
    <x v="1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Frontino"/>
    <s v="Estados Unidos"/>
    <n v="164771.54874999999"/>
    <x v="1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Murindó"/>
    <s v="Estados Unidos"/>
    <n v="164771.54874999999"/>
    <x v="1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Mutatá"/>
    <s v="Estados Unidos"/>
    <n v="164771.54874999999"/>
    <x v="1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Asís"/>
    <s v="Estados Unidos"/>
    <n v="219695.398333333"/>
    <x v="1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Guzmán"/>
    <s v="Estados Unidos"/>
    <n v="219695.398333333"/>
    <x v="1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Leguízamo"/>
    <s v="Estados Unidos"/>
    <n v="219695.398333333"/>
    <x v="1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Dabeiba"/>
    <s v="Alemania"/>
    <n v="16910.307499999999"/>
    <x v="106"/>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Frontino"/>
    <s v="Alemania"/>
    <n v="16910.307499999999"/>
    <x v="106"/>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Murindó"/>
    <s v="Alemania"/>
    <n v="16910.307499999999"/>
    <x v="106"/>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Mutatá"/>
    <s v="Alemania"/>
    <n v="16910.307499999999"/>
    <x v="106"/>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Asís"/>
    <s v="Alemania"/>
    <n v="22547.0766666667"/>
    <x v="106"/>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Guzmán"/>
    <s v="Alemania"/>
    <n v="22547.0766666667"/>
    <x v="106"/>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Leguízamo"/>
    <s v="Alemania"/>
    <n v="22547.0766666667"/>
    <x v="106"/>
    <s v="Suiza"/>
    <m/>
    <s v="3. Promover una cultura de paz, justicia y lucha contra la desigualdad"/>
    <s v="16.1.Reducir significativamente todas las formas de violencia y las tasas de mortalidad relacionadas en todas partes."/>
    <x v="7"/>
    <s v="SIN ALINEAR"/>
    <s v="Presidencia de la República"/>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711B4C8-77A3-4DC8-A18F-B509105BBAC1}" name="actores"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15">
  <location ref="A3:B9" firstHeaderRow="1" firstDataRow="1" firstDataCol="1" rowPageCount="1" colPageCount="1"/>
  <pivotFields count="17">
    <pivotField showAll="0"/>
    <pivotField showAll="0"/>
    <pivotField showAll="0"/>
    <pivotField numFmtId="14" showAll="0"/>
    <pivotField numFmtId="14" showAll="0"/>
    <pivotField axis="axisPage" showAll="0">
      <items count="35">
        <item x="24"/>
        <item x="8"/>
        <item x="7"/>
        <item x="0"/>
        <item x="33"/>
        <item x="21"/>
        <item x="5"/>
        <item x="31"/>
        <item x="15"/>
        <item x="17"/>
        <item x="1"/>
        <item x="28"/>
        <item x="22"/>
        <item x="30"/>
        <item x="6"/>
        <item x="23"/>
        <item x="25"/>
        <item x="18"/>
        <item x="14"/>
        <item x="16"/>
        <item x="10"/>
        <item x="2"/>
        <item x="27"/>
        <item x="20"/>
        <item x="19"/>
        <item x="32"/>
        <item x="13"/>
        <item x="12"/>
        <item x="4"/>
        <item x="29"/>
        <item x="9"/>
        <item x="26"/>
        <item x="3"/>
        <item x="11"/>
        <item t="default"/>
      </items>
    </pivotField>
    <pivotField showAll="0"/>
    <pivotField showAll="0"/>
    <pivotField dataField="1" numFmtId="165" showAll="0"/>
    <pivotField axis="axisRow" showAll="0" measureFilter="1" sortType="ascending">
      <items count="371">
        <item m="1" x="360"/>
        <item x="136"/>
        <item m="1" x="337"/>
        <item m="1" x="303"/>
        <item x="63"/>
        <item x="67"/>
        <item x="13"/>
        <item x="9"/>
        <item x="27"/>
        <item x="122"/>
        <item x="111"/>
        <item x="17"/>
        <item x="22"/>
        <item x="49"/>
        <item x="4"/>
        <item x="169"/>
        <item x="65"/>
        <item m="1" x="366"/>
        <item x="83"/>
        <item x="159"/>
        <item x="172"/>
        <item x="16"/>
        <item x="87"/>
        <item x="139"/>
        <item m="1" x="357"/>
        <item m="1" x="343"/>
        <item m="1" x="335"/>
        <item x="28"/>
        <item x="201"/>
        <item x="187"/>
        <item x="35"/>
        <item x="0"/>
        <item m="1" x="317"/>
        <item x="48"/>
        <item m="1" x="309"/>
        <item m="1" x="268"/>
        <item x="76"/>
        <item m="1" x="278"/>
        <item x="107"/>
        <item x="59"/>
        <item x="192"/>
        <item m="1" x="295"/>
        <item x="132"/>
        <item m="1" x="300"/>
        <item x="115"/>
        <item x="158"/>
        <item m="1" x="324"/>
        <item x="82"/>
        <item m="1" x="282"/>
        <item m="1" x="344"/>
        <item x="130"/>
        <item m="1" x="336"/>
        <item m="1" x="341"/>
        <item m="1" x="353"/>
        <item m="1" x="321"/>
        <item m="1" x="287"/>
        <item m="1" x="333"/>
        <item x="173"/>
        <item m="1" x="310"/>
        <item x="18"/>
        <item m="1" x="358"/>
        <item m="1" x="316"/>
        <item x="44"/>
        <item x="128"/>
        <item x="68"/>
        <item x="113"/>
        <item x="114"/>
        <item x="141"/>
        <item m="1" x="308"/>
        <item x="206"/>
        <item x="100"/>
        <item x="64"/>
        <item x="11"/>
        <item x="146"/>
        <item x="147"/>
        <item m="1" x="269"/>
        <item x="184"/>
        <item m="1" x="279"/>
        <item m="1" x="283"/>
        <item x="180"/>
        <item m="1" x="301"/>
        <item m="1" x="330"/>
        <item x="170"/>
        <item m="1" x="318"/>
        <item m="1" x="284"/>
        <item m="1" x="348"/>
        <item m="1" x="290"/>
        <item m="1" x="355"/>
        <item m="1" x="351"/>
        <item x="156"/>
        <item m="1" x="334"/>
        <item m="1" x="329"/>
        <item m="1" x="368"/>
        <item m="1" x="267"/>
        <item m="1" x="323"/>
        <item x="174"/>
        <item x="177"/>
        <item m="1" x="276"/>
        <item m="1" x="288"/>
        <item x="127"/>
        <item x="97"/>
        <item m="1" x="319"/>
        <item x="178"/>
        <item m="1" x="272"/>
        <item x="43"/>
        <item x="14"/>
        <item x="45"/>
        <item m="1" x="365"/>
        <item m="1" x="362"/>
        <item m="1" x="270"/>
        <item x="20"/>
        <item x="75"/>
        <item x="183"/>
        <item m="1" x="297"/>
        <item m="1" x="326"/>
        <item m="1" x="273"/>
        <item m="1" x="361"/>
        <item x="165"/>
        <item m="1" x="367"/>
        <item x="103"/>
        <item x="77"/>
        <item m="1" x="320"/>
        <item x="70"/>
        <item x="164"/>
        <item m="1" x="281"/>
        <item x="71"/>
        <item x="12"/>
        <item m="1" x="304"/>
        <item x="66"/>
        <item x="162"/>
        <item x="117"/>
        <item x="125"/>
        <item x="24"/>
        <item x="99"/>
        <item x="143"/>
        <item m="1" x="292"/>
        <item x="101"/>
        <item x="104"/>
        <item x="166"/>
        <item m="1" x="298"/>
        <item x="92"/>
        <item m="1" x="340"/>
        <item x="2"/>
        <item x="7"/>
        <item x="8"/>
        <item m="1" x="363"/>
        <item x="160"/>
        <item x="167"/>
        <item m="1" x="275"/>
        <item m="1" x="314"/>
        <item x="78"/>
        <item m="1" x="306"/>
        <item x="37"/>
        <item m="1" x="315"/>
        <item m="1" x="347"/>
        <item x="151"/>
        <item m="1" x="291"/>
        <item m="1" x="286"/>
        <item m="1" x="280"/>
        <item m="1" x="313"/>
        <item x="144"/>
        <item x="40"/>
        <item x="176"/>
        <item x="197"/>
        <item x="110"/>
        <item x="25"/>
        <item x="53"/>
        <item x="161"/>
        <item x="47"/>
        <item x="154"/>
        <item m="1" x="305"/>
        <item m="1" x="293"/>
        <item x="205"/>
        <item m="1" x="339"/>
        <item x="36"/>
        <item m="1" x="346"/>
        <item m="1" x="338"/>
        <item x="120"/>
        <item m="1" x="274"/>
        <item m="1" x="299"/>
        <item x="175"/>
        <item x="185"/>
        <item m="1" x="356"/>
        <item x="74"/>
        <item x="55"/>
        <item x="39"/>
        <item m="1" x="266"/>
        <item x="157"/>
        <item x="106"/>
        <item m="1" x="327"/>
        <item x="85"/>
        <item x="93"/>
        <item x="171"/>
        <item x="38"/>
        <item x="193"/>
        <item x="15"/>
        <item m="1" x="277"/>
        <item x="56"/>
        <item x="138"/>
        <item x="91"/>
        <item x="203"/>
        <item m="1" x="328"/>
        <item m="1" x="354"/>
        <item m="1" x="352"/>
        <item x="119"/>
        <item m="1" x="345"/>
        <item x="3"/>
        <item m="1" x="296"/>
        <item x="148"/>
        <item x="62"/>
        <item x="21"/>
        <item x="23"/>
        <item x="155"/>
        <item x="105"/>
        <item x="112"/>
        <item x="80"/>
        <item x="6"/>
        <item x="179"/>
        <item m="1" x="350"/>
        <item m="1" x="359"/>
        <item m="1" x="302"/>
        <item m="1" x="322"/>
        <item m="1" x="331"/>
        <item m="1" x="312"/>
        <item x="79"/>
        <item m="1" x="289"/>
        <item x="181"/>
        <item x="137"/>
        <item x="1"/>
        <item x="51"/>
        <item x="10"/>
        <item m="1" x="325"/>
        <item x="126"/>
        <item x="152"/>
        <item m="1" x="332"/>
        <item x="26"/>
        <item m="1" x="285"/>
        <item m="1" x="294"/>
        <item x="163"/>
        <item x="89"/>
        <item x="102"/>
        <item m="1" x="307"/>
        <item m="1" x="364"/>
        <item x="150"/>
        <item m="1" x="349"/>
        <item m="1" x="369"/>
        <item x="145"/>
        <item m="1" x="311"/>
        <item m="1" x="342"/>
        <item x="50"/>
        <item x="109"/>
        <item m="1" x="271"/>
        <item x="5"/>
        <item x="19"/>
        <item m="1" x="208"/>
        <item m="1" x="209"/>
        <item m="1" x="210"/>
        <item m="1" x="211"/>
        <item x="29"/>
        <item x="30"/>
        <item m="1" x="212"/>
        <item m="1" x="213"/>
        <item m="1" x="214"/>
        <item x="31"/>
        <item x="32"/>
        <item m="1" x="215"/>
        <item x="33"/>
        <item x="34"/>
        <item m="1" x="216"/>
        <item m="1" x="217"/>
        <item m="1" x="218"/>
        <item m="1" x="219"/>
        <item m="1" x="220"/>
        <item m="1" x="221"/>
        <item m="1" x="222"/>
        <item x="41"/>
        <item x="42"/>
        <item x="46"/>
        <item m="1" x="223"/>
        <item x="52"/>
        <item x="54"/>
        <item m="1" x="224"/>
        <item m="1" x="225"/>
        <item m="1" x="226"/>
        <item m="1" x="227"/>
        <item x="57"/>
        <item x="58"/>
        <item x="60"/>
        <item x="61"/>
        <item m="1" x="228"/>
        <item m="1" x="229"/>
        <item m="1" x="230"/>
        <item x="69"/>
        <item x="72"/>
        <item x="73"/>
        <item x="81"/>
        <item x="84"/>
        <item x="86"/>
        <item x="88"/>
        <item m="1" x="231"/>
        <item x="90"/>
        <item x="94"/>
        <item x="95"/>
        <item x="96"/>
        <item x="98"/>
        <item m="1" x="232"/>
        <item x="108"/>
        <item m="1" x="233"/>
        <item m="1" x="234"/>
        <item m="1" x="235"/>
        <item m="1" x="236"/>
        <item m="1" x="237"/>
        <item m="1" x="238"/>
        <item m="1" x="239"/>
        <item m="1" x="240"/>
        <item m="1" x="241"/>
        <item m="1" x="242"/>
        <item m="1" x="243"/>
        <item m="1" x="244"/>
        <item m="1" x="245"/>
        <item x="116"/>
        <item m="1" x="246"/>
        <item m="1" x="247"/>
        <item m="1" x="248"/>
        <item m="1" x="249"/>
        <item x="118"/>
        <item m="1" x="250"/>
        <item x="121"/>
        <item x="123"/>
        <item x="124"/>
        <item m="1" x="251"/>
        <item x="129"/>
        <item x="131"/>
        <item m="1" x="252"/>
        <item m="1" x="253"/>
        <item m="1" x="254"/>
        <item x="133"/>
        <item x="134"/>
        <item x="135"/>
        <item m="1" x="255"/>
        <item m="1" x="256"/>
        <item x="140"/>
        <item m="1" x="257"/>
        <item x="142"/>
        <item m="1" x="258"/>
        <item m="1" x="259"/>
        <item m="1" x="260"/>
        <item x="149"/>
        <item m="1" x="261"/>
        <item m="1" x="262"/>
        <item m="1" x="263"/>
        <item m="1" x="264"/>
        <item x="153"/>
        <item x="168"/>
        <item m="1" x="265"/>
        <item x="182"/>
        <item x="186"/>
        <item x="188"/>
        <item x="189"/>
        <item x="190"/>
        <item x="191"/>
        <item x="194"/>
        <item x="195"/>
        <item x="196"/>
        <item x="198"/>
        <item x="199"/>
        <item x="200"/>
        <item x="202"/>
        <item x="204"/>
        <item x="207"/>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s>
  <rowFields count="1">
    <field x="9"/>
  </rowFields>
  <rowItems count="6">
    <i>
      <x v="191"/>
    </i>
    <i>
      <x v="277"/>
    </i>
    <i>
      <x v="6"/>
    </i>
    <i>
      <x v="235"/>
    </i>
    <i>
      <x v="8"/>
    </i>
    <i t="grand">
      <x/>
    </i>
  </rowItems>
  <colItems count="1">
    <i/>
  </colItems>
  <pageFields count="1">
    <pageField fld="5" item="22" hier="-1"/>
  </pageFields>
  <dataFields count="1">
    <dataField name="Suma de VALOR APORTE (USD)" fld="8" baseField="0" baseItem="0" numFmtId="165"/>
  </dataFields>
  <chartFormats count="5">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9" count="1" selected="0">
            <x v="10"/>
          </reference>
        </references>
      </pivotArea>
    </chartFormat>
  </chartFormats>
  <pivotTableStyleInfo name="PivotStyleLight16" showRowHeaders="1" showColHeaders="1" showRowStripes="0" showColStripes="0" showLastColumn="1"/>
  <filters count="1">
    <filter fld="9"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D5AA8A0-774A-4C44-A897-6DB79D269943}" name="ods"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14">
  <location ref="A33:B39" firstHeaderRow="1" firstDataRow="1" firstDataCol="1" rowPageCount="1" colPageCount="1"/>
  <pivotFields count="17">
    <pivotField showAll="0"/>
    <pivotField showAll="0"/>
    <pivotField showAll="0"/>
    <pivotField numFmtId="14" showAll="0"/>
    <pivotField numFmtId="14" showAll="0"/>
    <pivotField axis="axisPage" showAll="0">
      <items count="35">
        <item x="24"/>
        <item x="8"/>
        <item x="7"/>
        <item x="0"/>
        <item x="33"/>
        <item x="21"/>
        <item x="5"/>
        <item x="31"/>
        <item x="15"/>
        <item x="17"/>
        <item x="1"/>
        <item x="28"/>
        <item x="22"/>
        <item x="30"/>
        <item x="6"/>
        <item x="23"/>
        <item x="25"/>
        <item x="18"/>
        <item x="14"/>
        <item x="16"/>
        <item x="10"/>
        <item x="2"/>
        <item x="27"/>
        <item x="20"/>
        <item x="19"/>
        <item x="32"/>
        <item x="13"/>
        <item x="12"/>
        <item x="4"/>
        <item x="29"/>
        <item x="9"/>
        <item x="26"/>
        <item x="3"/>
        <item x="11"/>
        <item t="default"/>
      </items>
    </pivotField>
    <pivotField showAll="0"/>
    <pivotField showAll="0"/>
    <pivotField dataField="1" numFmtId="165" showAll="0"/>
    <pivotField showAll="0" measureFilter="1" sortType="ascending">
      <autoSortScope>
        <pivotArea dataOnly="0" outline="0" fieldPosition="0">
          <references count="1">
            <reference field="4294967294" count="1" selected="0">
              <x v="0"/>
            </reference>
          </references>
        </pivotArea>
      </autoSortScope>
    </pivotField>
    <pivotField showAll="0"/>
    <pivotField showAll="0"/>
    <pivotField showAll="0"/>
    <pivotField showAll="0" sortType="ascending">
      <autoSortScope>
        <pivotArea dataOnly="0" outline="0" fieldPosition="0">
          <references count="1">
            <reference field="4294967294" count="1" selected="0">
              <x v="0"/>
            </reference>
          </references>
        </pivotArea>
      </autoSortScope>
    </pivotField>
    <pivotField axis="axisRow" showAll="0" measureFilter="1" sortType="ascending">
      <items count="35">
        <item x="1"/>
        <item x="11"/>
        <item x="4"/>
        <item x="10"/>
        <item x="0"/>
        <item x="9"/>
        <item x="6"/>
        <item x="7"/>
        <item x="15"/>
        <item x="12"/>
        <item x="13"/>
        <item x="5"/>
        <item x="2"/>
        <item x="3"/>
        <item x="16"/>
        <item x="14"/>
        <item x="8"/>
        <item m="1" x="17"/>
        <item m="1" x="18"/>
        <item m="1" x="19"/>
        <item m="1" x="20"/>
        <item m="1" x="21"/>
        <item m="1" x="22"/>
        <item m="1" x="23"/>
        <item m="1" x="24"/>
        <item m="1" x="25"/>
        <item m="1" x="26"/>
        <item m="1" x="27"/>
        <item m="1" x="28"/>
        <item m="1" x="29"/>
        <item m="1" x="30"/>
        <item m="1" x="31"/>
        <item m="1" x="32"/>
        <item m="1" x="33"/>
        <item t="default"/>
      </items>
      <autoSortScope>
        <pivotArea dataOnly="0" outline="0" fieldPosition="0">
          <references count="1">
            <reference field="4294967294" count="1" selected="0">
              <x v="0"/>
            </reference>
          </references>
        </pivotArea>
      </autoSortScope>
    </pivotField>
    <pivotField showAll="0"/>
    <pivotField showAll="0"/>
  </pivotFields>
  <rowFields count="1">
    <field x="14"/>
  </rowFields>
  <rowItems count="6">
    <i>
      <x v="14"/>
    </i>
    <i>
      <x/>
    </i>
    <i>
      <x v="1"/>
    </i>
    <i>
      <x v="7"/>
    </i>
    <i>
      <x v="12"/>
    </i>
    <i t="grand">
      <x/>
    </i>
  </rowItems>
  <colItems count="1">
    <i/>
  </colItems>
  <pageFields count="1">
    <pageField fld="5" item="22" hier="-1"/>
  </pageFields>
  <dataFields count="1">
    <dataField name="Suma de VALOR APORTE (USD)" fld="8" baseField="0" baseItem="0" numFmtId="165"/>
  </dataFields>
  <chartFormats count="6">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2">
    <filter fld="9" type="count" evalOrder="-1" id="1" iMeasureFld="0">
      <autoFilter ref="A1">
        <filterColumn colId="0">
          <top10 val="5" filterVal="5"/>
        </filterColumn>
      </autoFilter>
    </filter>
    <filter fld="14"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2256ED8-BB17-4719-97E8-F488347B5AC7}" name="infogeneral" displayName="infogeneral" ref="A1:Q34" totalsRowShown="0">
  <autoFilter ref="A1:Q34" xr:uid="{12256ED8-BB17-4719-97E8-F488347B5AC7}"/>
  <sortState xmlns:xlrd2="http://schemas.microsoft.com/office/spreadsheetml/2017/richdata2" ref="A2:N34">
    <sortCondition ref="B1:B34"/>
  </sortState>
  <tableColumns count="17">
    <tableColumn id="1" xr3:uid="{F86D8565-76DD-497D-A282-FF64969A2925}" name="Divipola"/>
    <tableColumn id="2" xr3:uid="{E8CF5005-D1E4-4075-BEE9-7B25C8FE2113}" name="Departamento"/>
    <tableColumn id="3" xr3:uid="{01367CA3-87BE-4777-BC3F-9230791271DD}" name="Capital"/>
    <tableColumn id="4" xr3:uid="{0A2F9DE2-8757-4076-8B95-CE16304D212F}" name="Número de Municipios"/>
    <tableColumn id="5" xr3:uid="{E356965D-D855-4069-87BD-4666874402CA}" name="Población" dataDxfId="60"/>
    <tableColumn id="6" xr3:uid="{22D36241-E3A3-4C9D-9730-66DFA100268E}" name="Región"/>
    <tableColumn id="7" xr3:uid="{BEAAFD4D-0166-4442-A09C-55EAA39009B9}" name="Dependencia de Cooperación"/>
    <tableColumn id="15" xr3:uid="{46459589-C2BC-46C0-BF9B-B3272BC6C2B0}" name="Nombre enlace cooperación"/>
    <tableColumn id="19" xr3:uid="{5192ADF2-395C-4F83-9576-05016BB2BA52}" name="Correo del enlace de Cooperación"/>
    <tableColumn id="10" xr3:uid="{92EE544D-AD39-45BC-885C-E89375DC24D1}" name="Nombre del Alcalde ciudad capital"/>
    <tableColumn id="11" xr3:uid="{E127EB4C-2E93-4958-B668-279C6BAE19AA}" name="Correo Alcaldía"/>
    <tableColumn id="16" xr3:uid="{4F2E2276-37F4-479F-96DA-A1292A4745FB}" name="Nombre gobernador"/>
    <tableColumn id="13" xr3:uid="{7F1EEDC8-EE47-4983-A6EF-803F811BCDF7}" name="Correo del Gobernador"/>
    <tableColumn id="20" xr3:uid="{E2CA8589-10AB-41C1-BA3F-0EB162679411}" name="¿Cuenta con plan de trabajo?" dataDxfId="59">
      <calculatedColumnFormula array="1">+_xlfn.XLOOKUP(infogeneral[[#This Row],[Departamento]],plan[[#All],[Departamento]],plan[[#All],[Plan de trabajo]],na,0)</calculatedColumnFormula>
    </tableColumn>
    <tableColumn id="21" xr3:uid="{936C6B9D-C754-4444-9C73-A1BC7DDFABBD}" name="Capítulo especial" dataDxfId="58">
      <calculatedColumnFormula array="1">+_xlfn.XLOOKUP(infogeneral[[#This Row],[Departamento]],plan[[#All],[Departamento]],plan[[#All],[Capítulo especial]],na,0)</calculatedColumnFormula>
    </tableColumn>
    <tableColumn id="22" xr3:uid="{8CC57C9C-63B1-427D-BCC3-632002C1F288}" name="Cuál" dataDxfId="57">
      <calculatedColumnFormula array="1">+_xlfn.XLOOKUP(infogeneral[[#This Row],[Departamento]],plan[[#All],[Departamento]],plan[[#All],[Cuál]],na,0)</calculatedColumnFormula>
    </tableColumn>
    <tableColumn id="23" xr3:uid="{59FACBB0-C215-4EFB-B34C-20EDAA2962DB}" name="Año creación" dataDxfId="56">
      <calculatedColumnFormula array="1">+_xlfn.XLOOKUP(infogeneral[[#This Row],[Departamento]],Tabla4[[#All],[Nombre del espacio]],Tabla4[[#All],[Fecha de inicio ]],"n/a",0)</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91E41ED-AF8D-47F6-ADBF-417CE1DF36C8}" name="plan" displayName="plan" ref="B38:E71" totalsRowShown="0" headerRowDxfId="55" dataDxfId="53" headerRowBorderDxfId="54" tableBorderDxfId="52" totalsRowBorderDxfId="51">
  <autoFilter ref="B38:E71" xr:uid="{391E41ED-AF8D-47F6-ADBF-417CE1DF36C8}"/>
  <sortState xmlns:xlrd2="http://schemas.microsoft.com/office/spreadsheetml/2017/richdata2" ref="B39:E71">
    <sortCondition ref="B38:B71"/>
  </sortState>
  <tableColumns count="4">
    <tableColumn id="6" xr3:uid="{E2DD8663-6E84-4E22-B479-4261862207F2}" name="Departamento" dataDxfId="50"/>
    <tableColumn id="2" xr3:uid="{5D2A9155-245B-43D1-A1AC-4FFAA87BA638}" name="Plan de trabajo" dataDxfId="49"/>
    <tableColumn id="3" xr3:uid="{72E7189E-319A-4A59-A12F-0878E5C8DD1E}" name="Capítulo especial" dataDxfId="48"/>
    <tableColumn id="4" xr3:uid="{C0492D17-D3B6-4997-9DFC-535C2F2D1EF7}" name="Cuál" dataDxfId="4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C3CDE81-4504-4C37-9414-417E25C6D899}" name="Tabla4" displayName="Tabla4" ref="S3:U28" totalsRowShown="0" headerRowBorderDxfId="46" tableBorderDxfId="45" totalsRowBorderDxfId="44">
  <autoFilter ref="S3:U28" xr:uid="{9C3CDE81-4504-4C37-9414-417E25C6D899}"/>
  <tableColumns count="3">
    <tableColumn id="1" xr3:uid="{F87F1241-30D1-4A25-8798-26F959229FD7}" name="Fecha de inicio " dataDxfId="43"/>
    <tableColumn id="2" xr3:uid="{A6201834-1566-4084-AAF7-B584377B2210}" name="Tipo de espacio"/>
    <tableColumn id="3" xr3:uid="{58908BEC-EFF8-4489-831B-383FB6928244}" name="Nombre del espacio"/>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71CFFAF-A50A-4777-99D3-A806CDBE4533}" name="contrapartidas" displayName="contrapartidas" ref="A1:G12" totalsRowShown="0">
  <autoFilter ref="A1:G12" xr:uid="{D71CFFAF-A50A-4777-99D3-A806CDBE4533}"/>
  <tableColumns count="7">
    <tableColumn id="1" xr3:uid="{4956FB25-E866-401A-8AD2-6C449225F914}" name="Departamento"/>
    <tableColumn id="7" xr3:uid="{BBA59991-AE52-409E-98DC-D6F7E9F38C7E}" name="AÑO"/>
    <tableColumn id="2" xr3:uid="{E0CB5690-FB62-4554-857C-F86DE3E98E26}" name="Nombre del proyecto" dataDxfId="42"/>
    <tableColumn id="3" xr3:uid="{5DF7223F-0AD0-46E2-B369-2B2BA16B7F5C}" name="Implementador"/>
    <tableColumn id="4" xr3:uid="{0BFE47A9-122A-4B6E-8245-85077E0D4588}" name="Financiador"/>
    <tableColumn id="5" xr3:uid="{5E242835-55DF-4F60-BB0D-B5EDD3A34D77}" name="Monto total " dataDxfId="41" dataCellStyle="Moneda"/>
    <tableColumn id="6" xr3:uid="{C7ABC1B8-4DEB-4F93-AB2A-BEE941DAB7FC}" name="Monto por APC" dataDxfId="40" dataCellStyle="Moneda"/>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458B0F6-CFC0-44D5-B3AD-76D500422606}" name="colcol" displayName="colcol" ref="A1:P28" totalsRowShown="0">
  <autoFilter ref="A1:P28" xr:uid="{B458B0F6-CFC0-44D5-B3AD-76D500422606}"/>
  <tableColumns count="16">
    <tableColumn id="1" xr3:uid="{DDFD8C5A-5A2C-4C99-9FBB-EC5ACAD8ED6C}" name="CODIGO"/>
    <tableColumn id="4" xr3:uid="{3953D054-7E59-404A-9ED5-64894AE2B7C0}" name="AÑO"/>
    <tableColumn id="2" xr3:uid="{6F350D35-0D81-4E22-BA95-0FC5E9B3BE89}" name="NOMBRE DEL INTERCAMBIO"/>
    <tableColumn id="3" xr3:uid="{76E97165-0A6F-4C77-8282-7C54B8DDF78E}" name="OBJETIVO DEL INTERCAMBIO"/>
    <tableColumn id="5" xr3:uid="{6A84CDF9-98FC-47CE-9B25-C24BCDD9CBB3}" name="BUENA PRÁCTICA"/>
    <tableColumn id="8" xr3:uid="{F0F3AD7B-211F-4F7E-99FB-85CDA4DC578C}" name="LÍNEA TEMÁTICA"/>
    <tableColumn id="9" xr3:uid="{B77865D0-071F-4698-8CB9-748322E70ACE}" name="DEPARTAMENTO EN EL QUE SE DESARROLLÓ"/>
    <tableColumn id="17" xr3:uid="{EF71309C-A53E-48D4-A25A-EEF5C8AA0880}" name="MES DE REALIZACIÓN"/>
    <tableColumn id="18" xr3:uid="{B694814D-E896-4F56-B9C7-AA511BF4D59E}" name="ENTIDAD SOCIA NACIONAL"/>
    <tableColumn id="19" xr3:uid="{CE5AD495-3952-432B-8415-CBEDF69CB1B8}" name="OTRAS ENTIDADES SOCIAS"/>
    <tableColumn id="21" xr3:uid="{DA2EB8A5-0315-4510-A57E-162F751D699E}" name="COOPERANTE 1"/>
    <tableColumn id="27" xr3:uid="{9335C367-AC41-44DA-A0C7-1F5A8F34EC22}" name="PRESUPUESTO ESTIMADO APC COLOMBIA" dataDxfId="39"/>
    <tableColumn id="6" xr3:uid="{86CEEB16-BA2F-4D05-B787-0AB1814A36D9}" name="ROL" dataDxfId="38"/>
    <tableColumn id="28" xr3:uid="{289499D3-C8F2-464B-86C3-A4BAB9FBD69E}" name="RUBRO ASUMIDO"/>
    <tableColumn id="32" xr3:uid="{974261CA-DE34-4416-B168-2D286091C7F0}" name="DEPARTAMENTOS MAY">
      <calculatedColumnFormula>+UPPER(P2)</calculatedColumnFormula>
    </tableColumn>
    <tableColumn id="33" xr3:uid="{287A46C3-70E7-4EBD-AB16-113665E2FEA5}" name="DEPARTAMENTOS PARTICIPANTE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89BC821-0798-443E-B36A-9887683172C1}" name="ciclope" displayName="ciclope" ref="A1:Q2880" totalsRowShown="0" headerRowDxfId="37" dataDxfId="35" headerRowBorderDxfId="36" tableBorderDxfId="34" totalsRowBorderDxfId="33">
  <autoFilter ref="A1:Q2880" xr:uid="{E89BC821-0798-443E-B36A-9887683172C1}"/>
  <tableColumns count="17">
    <tableColumn id="1" xr3:uid="{6943CA6B-A776-45CE-BB31-D2F27764C8F5}" name="CODIGO INTERVENCION" dataDxfId="32"/>
    <tableColumn id="2" xr3:uid="{82BAF7BC-2FA8-4834-A87B-065F30E51DBC}" name="NOMBRE INTERVENCION" dataDxfId="31"/>
    <tableColumn id="3" xr3:uid="{A905ECA7-5E83-481F-BD7C-79B4A45460FC}" name="OBJETIVO GENERAL" dataDxfId="30"/>
    <tableColumn id="4" xr3:uid="{3ECA7D0B-39FC-4E02-8530-B850F4C8EE27}" name="FECHA INICIAL" dataDxfId="29"/>
    <tableColumn id="5" xr3:uid="{5B2FC42B-4AC2-49FF-949F-116D9EC46AB5}" name="FECHA FINAL" dataDxfId="28"/>
    <tableColumn id="6" xr3:uid="{F80DB4ED-4F19-4E13-8021-1A92CDABBC11}" name="DEPARTAMENTO" dataDxfId="27"/>
    <tableColumn id="7" xr3:uid="{263A713C-9498-43DD-9A43-13E916CEE152}" name="MUNICIPIO" dataDxfId="26"/>
    <tableColumn id="8" xr3:uid="{81054D07-E55B-4E06-9811-CC415C273EAD}" name="ORIGEN DEL ACTOR" dataDxfId="25"/>
    <tableColumn id="9" xr3:uid="{2601516A-242B-4945-BBAD-D1829DAC0BB1}" name="VALOR APORTE (USD)" dataDxfId="24"/>
    <tableColumn id="10" xr3:uid="{05957E14-D6CC-4376-AFE9-9B325FC54D12}" name="NOMBRE ACTOR" dataDxfId="23"/>
    <tableColumn id="11" xr3:uid="{20961DB3-F94E-4020-BB4B-196DD0F4B42B}" name="PAIS ACTOR" dataDxfId="22"/>
    <tableColumn id="12" xr3:uid="{5F809C39-1616-43A9-A40A-9BA5F4BE8191}" name="ROLES APORTE" dataDxfId="21"/>
    <tableColumn id="13" xr3:uid="{80DA236D-3D01-4207-9693-C67389C44C53}" name="ENCI PRIMER NIVEL" dataDxfId="20"/>
    <tableColumn id="14" xr3:uid="{43B1E710-248E-49D7-A4E6-707574518E63}" name="META ODS" dataDxfId="19"/>
    <tableColumn id="15" xr3:uid="{9B373733-9ED6-487B-A891-1AAB45384F9A}" name="ODS" dataDxfId="18"/>
    <tableColumn id="16" xr3:uid="{E843FBD9-3348-4389-96A5-D7689966C267}" name="TIPO ASISTENCIA" dataDxfId="17"/>
    <tableColumn id="17" xr3:uid="{FD28604E-C8AB-4F7B-B031-F61235EF5C69}" name="SECTORES GOB" dataDxfId="16"/>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344E412-EF78-4F83-982D-BC4A50D9FD8B}" name="proyectos" displayName="proyectos" ref="A1:M2880" totalsRowShown="0" headerRowDxfId="15" dataDxfId="13" headerRowBorderDxfId="14">
  <autoFilter ref="A1:M2880" xr:uid="{A344E412-EF78-4F83-982D-BC4A50D9FD8B}"/>
  <tableColumns count="13">
    <tableColumn id="15" xr3:uid="{BA35C80F-A062-4D9C-889D-02374536B93A}" name="CODIGO INTERVENCION" dataDxfId="12"/>
    <tableColumn id="1" xr3:uid="{AAACA77D-AD7C-44B8-B710-96137B740BAB}" name="NOMBRE INTERVENCION" dataDxfId="11"/>
    <tableColumn id="16" xr3:uid="{1F59D134-B2C0-4F6B-9BB4-D73864C0FD27}" name="OBJETIVO GENERAL" dataDxfId="10"/>
    <tableColumn id="17" xr3:uid="{9D8E9493-E2C3-4492-B95E-9B93769CD9B6}" name="FECHA INICIAL" dataDxfId="9"/>
    <tableColumn id="18" xr3:uid="{940AF6F5-9CED-4AB8-83D6-4124BA77CA88}" name="FECHA FINAL" dataDxfId="8"/>
    <tableColumn id="19" xr3:uid="{EC4B3025-BA35-439C-ABCF-0171E5F9D0FA}" name="DEPARTAMENTO" dataDxfId="7"/>
    <tableColumn id="20" xr3:uid="{3DB93C28-2E85-489A-A6AF-82A1441B7DDF}" name="MUNICIPIO" dataDxfId="6"/>
    <tableColumn id="21" xr3:uid="{F2C86CBF-780E-4D40-98F7-3A86B1BAF1B1}" name="NOMBRE ACTOR" dataDxfId="5"/>
    <tableColumn id="22" xr3:uid="{169901D9-95D2-4974-BC47-CE434F815B21}" name="ENCI PRIMER NIVEL" dataDxfId="4"/>
    <tableColumn id="23" xr3:uid="{B4A29F1E-DA51-4406-B43E-CFA27EBE61DD}" name="META ODS" dataDxfId="3"/>
    <tableColumn id="24" xr3:uid="{D088E54A-D431-49D4-A6E0-43A0AE53E1DE}" name="ODS" dataDxfId="2"/>
    <tableColumn id="25" xr3:uid="{38EFAEC0-1D34-4FB4-947E-72E6DD6FDB4F}" name="TIPO ASISTENCIA" dataDxfId="1"/>
    <tableColumn id="26" xr3:uid="{73B954AA-1B03-4EAF-B488-CC288695A84D}" name="SECTORES GOB" dataDxfId="0"/>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hyperlink" Target="mailto:cooperacion@laguajira.gov.co" TargetMode="External"/><Relationship Id="rId7" Type="http://schemas.openxmlformats.org/officeDocument/2006/relationships/table" Target="../tables/table3.xml"/><Relationship Id="rId2" Type="http://schemas.openxmlformats.org/officeDocument/2006/relationships/hyperlink" Target="mailto:asuntosinterinstitucionales@cesar.gov.co" TargetMode="External"/><Relationship Id="rId1" Type="http://schemas.openxmlformats.org/officeDocument/2006/relationships/hyperlink" Target="mailto:jgcastrob@alcaldiabogota.gov.co" TargetMode="Externa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hyperlink" Target="mailto:guzmandespacho@puertocarreno-vichada.gov.co" TargetMode="Externa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CFE90-BB73-4412-AE11-F00D319C9FF2}">
  <sheetPr codeName="Hoja1">
    <pageSetUpPr fitToPage="1"/>
  </sheetPr>
  <dimension ref="A1:M87"/>
  <sheetViews>
    <sheetView showGridLines="0" tabSelected="1" zoomScale="82" zoomScaleNormal="82" workbookViewId="0">
      <selection activeCell="D16" sqref="D16"/>
    </sheetView>
  </sheetViews>
  <sheetFormatPr baseColWidth="10" defaultRowHeight="14.4" x14ac:dyDescent="0.3"/>
  <cols>
    <col min="3" max="3" width="83.88671875" bestFit="1" customWidth="1"/>
    <col min="4" max="4" width="55" customWidth="1"/>
    <col min="5" max="5" width="25.6640625" customWidth="1"/>
    <col min="6" max="6" width="15" bestFit="1" customWidth="1"/>
    <col min="7" max="7" width="19.21875" customWidth="1"/>
    <col min="8" max="8" width="14.33203125" customWidth="1"/>
    <col min="10" max="10" width="12.77734375" customWidth="1"/>
    <col min="11" max="11" width="14.5546875" customWidth="1"/>
    <col min="12" max="12" width="15.88671875" customWidth="1"/>
    <col min="13" max="13" width="16" customWidth="1"/>
  </cols>
  <sheetData>
    <row r="1" spans="1:4" x14ac:dyDescent="0.3">
      <c r="A1" s="34"/>
    </row>
    <row r="2" spans="1:4" x14ac:dyDescent="0.3">
      <c r="A2" s="34"/>
    </row>
    <row r="3" spans="1:4" x14ac:dyDescent="0.3">
      <c r="A3" s="34"/>
    </row>
    <row r="4" spans="1:4" x14ac:dyDescent="0.3">
      <c r="A4" s="34"/>
    </row>
    <row r="5" spans="1:4" x14ac:dyDescent="0.3">
      <c r="A5" s="34"/>
    </row>
    <row r="6" spans="1:4" x14ac:dyDescent="0.3">
      <c r="A6" s="34"/>
    </row>
    <row r="7" spans="1:4" x14ac:dyDescent="0.3">
      <c r="A7" s="34"/>
    </row>
    <row r="8" spans="1:4" x14ac:dyDescent="0.3">
      <c r="A8" s="34"/>
    </row>
    <row r="9" spans="1:4" x14ac:dyDescent="0.3">
      <c r="A9" s="34"/>
    </row>
    <row r="10" spans="1:4" x14ac:dyDescent="0.3">
      <c r="A10" s="34"/>
    </row>
    <row r="11" spans="1:4" x14ac:dyDescent="0.3">
      <c r="A11" s="34"/>
    </row>
    <row r="12" spans="1:4" x14ac:dyDescent="0.3">
      <c r="A12" s="34"/>
    </row>
    <row r="13" spans="1:4" x14ac:dyDescent="0.3">
      <c r="A13" s="34"/>
    </row>
    <row r="14" spans="1:4" x14ac:dyDescent="0.3">
      <c r="A14" s="34"/>
    </row>
    <row r="15" spans="1:4" x14ac:dyDescent="0.3">
      <c r="A15" s="34"/>
    </row>
    <row r="16" spans="1:4" ht="18" x14ac:dyDescent="0.35">
      <c r="A16" s="34"/>
      <c r="C16" s="35" t="s">
        <v>1</v>
      </c>
      <c r="D16" s="38" t="s">
        <v>110</v>
      </c>
    </row>
    <row r="17" spans="1:4" ht="18" x14ac:dyDescent="0.35">
      <c r="A17" s="34"/>
      <c r="C17" s="35" t="s">
        <v>2</v>
      </c>
      <c r="D17" s="38" t="str" cm="1">
        <f t="array" ref="D17">+_xlfn.XLOOKUP(D16,infogeneral[[#All],[Departamento]],infogeneral[[#All],[Capital]],na,0)</f>
        <v>PASTO</v>
      </c>
    </row>
    <row r="18" spans="1:4" ht="18" x14ac:dyDescent="0.35">
      <c r="A18" s="34"/>
      <c r="C18" s="35" t="s">
        <v>3</v>
      </c>
      <c r="D18" s="38" cm="1">
        <f t="array" ref="D18">+_xlfn.XLOOKUP(D16,infogeneral[[#All],[Departamento]],infogeneral[[#All],[Número de Municipios]],na,0)</f>
        <v>64</v>
      </c>
    </row>
    <row r="19" spans="1:4" ht="18" x14ac:dyDescent="0.35">
      <c r="A19" s="34"/>
      <c r="C19" s="35" t="s">
        <v>4</v>
      </c>
      <c r="D19" s="39" cm="1">
        <f t="array" ref="D19">+_xlfn.XLOOKUP(D16,infogeneral[[#All],[Departamento]],infogeneral[[#All],[Población]],na,0)</f>
        <v>1630592</v>
      </c>
    </row>
    <row r="20" spans="1:4" ht="18" x14ac:dyDescent="0.35">
      <c r="A20" s="34"/>
      <c r="C20" s="35" t="s">
        <v>260</v>
      </c>
      <c r="D20" s="38" t="str" cm="1">
        <f t="array" ref="D20">+_xlfn.XLOOKUP(D16,infogeneral[[#All],[Departamento]],infogeneral[[#All],[Nombre gobernador]],na,0)</f>
        <v>Luis Alfonso Escobar Jaramillo</v>
      </c>
    </row>
    <row r="21" spans="1:4" ht="18" x14ac:dyDescent="0.35">
      <c r="A21" s="34"/>
      <c r="C21" s="35" t="s">
        <v>261</v>
      </c>
      <c r="D21" s="38" t="str" cm="1">
        <f t="array" ref="D21">+_xlfn.XLOOKUP(Ficha_territorial!D16,infogeneral[[#All],[Departamento]],infogeneral[[#All],[Correo del Gobernador]],na,0)</f>
        <v>despacho@narino.gov.co</v>
      </c>
    </row>
    <row r="22" spans="1:4" ht="18" x14ac:dyDescent="0.35">
      <c r="A22" s="34"/>
      <c r="C22" s="35" t="s">
        <v>263</v>
      </c>
      <c r="D22" s="38" t="str" cm="1">
        <f t="array" ref="D22">+_xlfn.XLOOKUP(D16,infogeneral[[#All],[Departamento]],infogeneral[[#All],[Dependencia de Cooperación]],na,0)</f>
        <v>SI</v>
      </c>
    </row>
    <row r="23" spans="1:4" ht="18" x14ac:dyDescent="0.35">
      <c r="A23" s="34"/>
      <c r="C23" s="35" t="s">
        <v>262</v>
      </c>
      <c r="D23" s="38" t="str" cm="1">
        <f t="array" ref="D23">+_xlfn.XLOOKUP(Ficha_territorial!D16,infogeneral[[#All],[Departamento]],infogeneral[[#All],[Nombre enlace cooperación]],na,0)</f>
        <v>Mario Fernando Lima Vela</v>
      </c>
    </row>
    <row r="24" spans="1:4" ht="18" x14ac:dyDescent="0.35">
      <c r="A24" s="34"/>
      <c r="C24" s="35" t="s">
        <v>261</v>
      </c>
      <c r="D24" s="40" t="str" cm="1">
        <f t="array" ref="D24">+_xlfn.XLOOKUP(D16,infogeneral[[#All],[Departamento]],infogeneral[[#All],[Correo del enlace de Cooperación]],na,0)</f>
        <v>cooperacioninternacional@narino.gov.co</v>
      </c>
    </row>
    <row r="25" spans="1:4" x14ac:dyDescent="0.3">
      <c r="A25" s="34"/>
    </row>
    <row r="26" spans="1:4" x14ac:dyDescent="0.3">
      <c r="A26" s="34"/>
    </row>
    <row r="27" spans="1:4" x14ac:dyDescent="0.3">
      <c r="A27" s="34"/>
    </row>
    <row r="28" spans="1:4" x14ac:dyDescent="0.3">
      <c r="A28" s="34"/>
    </row>
    <row r="29" spans="1:4" x14ac:dyDescent="0.3">
      <c r="A29" s="34"/>
    </row>
    <row r="30" spans="1:4" ht="18" x14ac:dyDescent="0.35">
      <c r="A30" s="34"/>
      <c r="C30" s="36" t="s">
        <v>267</v>
      </c>
      <c r="D30" s="41" t="str" cm="1">
        <f t="array" ref="D30">+_xlfn.XLOOKUP(D16,infogeneral[[#All],[Departamento]],infogeneral[[#All],[¿Cuenta con plan de trabajo?]],na,0)</f>
        <v>sí</v>
      </c>
    </row>
    <row r="31" spans="1:4" ht="18" x14ac:dyDescent="0.35">
      <c r="A31" s="34"/>
      <c r="C31" s="36" t="s">
        <v>268</v>
      </c>
      <c r="D31" s="41" t="str" cm="1">
        <f t="array" ref="D31">+_xlfn.XLOOKUP(Ficha_territorial!D16,infogeneral[[#All],[Departamento]],infogeneral[[#All],[Capítulo especial]],na,0)</f>
        <v>No</v>
      </c>
    </row>
    <row r="32" spans="1:4" ht="18" x14ac:dyDescent="0.35">
      <c r="A32" s="34"/>
      <c r="C32" s="36" t="s">
        <v>269</v>
      </c>
      <c r="D32" s="41" t="str" cm="1">
        <f t="array" ref="D32">+_xlfn.XLOOKUP(D16,infogeneral[[#All],[Departamento]],infogeneral[[#All],[Cuál]],na,0)</f>
        <v>n/a</v>
      </c>
    </row>
    <row r="33" spans="1:4" ht="18" x14ac:dyDescent="0.35">
      <c r="A33" s="34"/>
      <c r="C33" s="37" t="s">
        <v>1880</v>
      </c>
      <c r="D33" s="89" cm="1">
        <f t="array" ref="D33">+_xlfn.XLOOKUP(D16,infogeneral[[#All],[Departamento]],infogeneral[[#All],[Año creación]],na,0)</f>
        <v>2024</v>
      </c>
    </row>
    <row r="34" spans="1:4" ht="18" x14ac:dyDescent="0.35">
      <c r="A34" s="34"/>
      <c r="C34" s="37"/>
      <c r="D34" s="89"/>
    </row>
    <row r="35" spans="1:4" x14ac:dyDescent="0.3">
      <c r="A35" s="34"/>
    </row>
    <row r="36" spans="1:4" x14ac:dyDescent="0.3">
      <c r="A36" s="34"/>
    </row>
    <row r="37" spans="1:4" x14ac:dyDescent="0.3">
      <c r="A37" s="34"/>
    </row>
    <row r="38" spans="1:4" x14ac:dyDescent="0.3">
      <c r="A38" s="34"/>
    </row>
    <row r="39" spans="1:4" x14ac:dyDescent="0.3">
      <c r="A39" s="34"/>
    </row>
    <row r="40" spans="1:4" ht="18" x14ac:dyDescent="0.3">
      <c r="A40" s="34"/>
      <c r="C40" s="60" t="s">
        <v>264</v>
      </c>
      <c r="D40" s="50" cm="1">
        <f t="array" ref="D40">IFERROR(
  ROWS(
    _xlfn.UNIQUE(
      _xlfn._xlws.FILTER(
        proyectos[CODIGO INTERVENCION],
        (TRIM(SUBSTITUTE(proyectos[DEPARTAMENTO],CHAR(160),""))=
         TRIM(SUBSTITUTE($D$16,CHAR(160),""))) *
        (proyectos[CODIGO INTERVENCION]&lt;&gt;"")
      )
    )
  ),
  0
)</f>
        <v>84</v>
      </c>
    </row>
    <row r="41" spans="1:4" ht="18" x14ac:dyDescent="0.3">
      <c r="A41" s="34"/>
      <c r="C41" s="60" t="s">
        <v>265</v>
      </c>
      <c r="D41" s="50" cm="1">
        <f t="array" ref="D41">IFERROR(
  _xlfn.LET(
    _xlpm.deptSel, TRIM(SUBSTITUTE($D$16,CHAR(160),"")),
    _xlpm.colDept, TRIM(SUBSTITUTE(proyectos[DEPARTAMENTO],CHAR(160),"")),
    _xlpm.colActor, TRIM(SUBSTITUTE(proyectos[NOMBRE ACTOR],CHAR(160),"")),
    _xlpm.actoresDept, _xlfn._xlws.FILTER(_xlpm.colActor, (_xlpm.colDept=_xlpm.deptSel) * (_xlpm.colActor&lt;&gt;"")),
    ROWS(_xlfn.UNIQUE(_xlpm.actoresDept))
  ),
  0
)</f>
        <v>50</v>
      </c>
    </row>
    <row r="42" spans="1:4" ht="18" x14ac:dyDescent="0.3">
      <c r="A42" s="34"/>
      <c r="C42" s="60" t="s">
        <v>266</v>
      </c>
      <c r="D42" s="50" cm="1">
        <f t="array" ref="D42">IFERROR(
  _xlfn.LET(
    _xlpm.deptSel, TRIM(SUBSTITUTE($D$16,CHAR(160),"")),
    _xlpm.colDept, TRIM(SUBSTITUTE(proyectos[DEPARTAMENTO],CHAR(160),"")),
    _xlpm.colMuni, TRIM(SUBSTITUTE(proyectos[MUNICIPIO],CHAR(160),"")),
    _xlpm.munisDept, _xlfn._xlws.FILTER(_xlpm.colMuni, (_xlpm.colDept=_xlpm.deptSel)*(_xlpm.colMuni&lt;&gt;"")),
    ROWS(_xlfn.UNIQUE(_xlpm.munisDept))
  ),
  0
)</f>
        <v>65</v>
      </c>
    </row>
    <row r="43" spans="1:4" s="59" customFormat="1" ht="36" x14ac:dyDescent="0.3">
      <c r="A43" s="58"/>
      <c r="C43" s="57" t="s">
        <v>2414</v>
      </c>
      <c r="D43" s="51">
        <f>IFERROR(
   SUMIF(
      ciclope[DEPARTAMENTO],
      Ficha_territorial!$D$16,
      ciclope[VALOR APORTE (USD)]
   ),
0)</f>
        <v>31702478.949179128</v>
      </c>
    </row>
    <row r="44" spans="1:4" x14ac:dyDescent="0.3">
      <c r="A44" s="34"/>
    </row>
    <row r="45" spans="1:4" x14ac:dyDescent="0.3">
      <c r="A45" s="34"/>
    </row>
    <row r="46" spans="1:4" x14ac:dyDescent="0.3">
      <c r="A46" s="34"/>
    </row>
    <row r="47" spans="1:4" ht="21" x14ac:dyDescent="0.3">
      <c r="A47" s="34"/>
      <c r="C47" s="33"/>
    </row>
    <row r="48" spans="1:4" x14ac:dyDescent="0.3">
      <c r="A48" s="34"/>
    </row>
    <row r="49" spans="1:13" x14ac:dyDescent="0.3">
      <c r="A49" s="34"/>
    </row>
    <row r="50" spans="1:13" x14ac:dyDescent="0.3">
      <c r="A50" s="34"/>
    </row>
    <row r="51" spans="1:13" x14ac:dyDescent="0.3">
      <c r="A51" s="34"/>
    </row>
    <row r="52" spans="1:13" x14ac:dyDescent="0.3">
      <c r="A52" s="34"/>
    </row>
    <row r="53" spans="1:13" x14ac:dyDescent="0.3">
      <c r="A53" s="34"/>
    </row>
    <row r="54" spans="1:13" x14ac:dyDescent="0.3">
      <c r="A54" s="34"/>
    </row>
    <row r="55" spans="1:13" x14ac:dyDescent="0.3">
      <c r="A55" s="34"/>
    </row>
    <row r="56" spans="1:13" x14ac:dyDescent="0.3">
      <c r="A56" s="34"/>
    </row>
    <row r="57" spans="1:13" x14ac:dyDescent="0.3">
      <c r="A57" s="34"/>
    </row>
    <row r="58" spans="1:13" x14ac:dyDescent="0.3">
      <c r="A58" s="34"/>
    </row>
    <row r="59" spans="1:13" x14ac:dyDescent="0.3">
      <c r="A59" s="34"/>
    </row>
    <row r="60" spans="1:13" x14ac:dyDescent="0.3">
      <c r="A60" s="34"/>
    </row>
    <row r="61" spans="1:13" x14ac:dyDescent="0.3">
      <c r="A61" s="34"/>
    </row>
    <row r="62" spans="1:13" x14ac:dyDescent="0.3">
      <c r="A62" s="34"/>
    </row>
    <row r="63" spans="1:13" x14ac:dyDescent="0.3">
      <c r="A63" s="34"/>
    </row>
    <row r="64" spans="1:13" ht="40.200000000000003" x14ac:dyDescent="0.3">
      <c r="A64" s="34"/>
      <c r="C64" s="54" t="s">
        <v>1900</v>
      </c>
      <c r="D64" s="54" t="s">
        <v>1901</v>
      </c>
      <c r="E64" s="54" t="s">
        <v>1902</v>
      </c>
      <c r="F64" s="54" t="s">
        <v>1903</v>
      </c>
      <c r="G64" s="54" t="s">
        <v>1904</v>
      </c>
      <c r="H64" s="54" t="s">
        <v>1906</v>
      </c>
      <c r="I64" s="54" t="s">
        <v>1907</v>
      </c>
      <c r="J64" s="54" t="s">
        <v>1908</v>
      </c>
      <c r="K64" s="54" t="s">
        <v>2412</v>
      </c>
      <c r="L64" s="54" t="s">
        <v>1910</v>
      </c>
      <c r="M64" s="54" t="s">
        <v>1949</v>
      </c>
    </row>
    <row r="65" spans="1:13" ht="72.599999999999994" x14ac:dyDescent="0.3">
      <c r="A65" s="34"/>
      <c r="C65" s="42" t="str" cm="1">
        <f t="array" ref="C65:M65">_xlfn._xlws.FILTER(
  colcol[[NOMBRE DEL INTERCAMBIO]:[ROL]],
  TRIM(SUBSTITUTE(colcol[DEPARTAMENTOS MAY],CHAR(160),""))
    = TRIM(SUBSTITUTE(Ficha_territorial!$D$16,CHAR(160),"")),
  "NA"
)</f>
        <v>Oportunidades que conectan territorios: cooperación internacional al alcance local </v>
      </c>
      <c r="D65" s="43" t="str">
        <v>Fortalecer las capacidades técnicas en la gestión y administración de cooperación internacional, dirigida a gobiernos departamentales y territoriales en el marco del Sistema Nacional de Cooperación Internacional. </v>
      </c>
      <c r="E65" s="43" t="str">
        <v>Chocó: Política Pública
Guaviare: Planeación
Sucre: Gestión de Proyectos (Koica)
Caquetá:Articulación y gobernanza</v>
      </c>
      <c r="F65" s="43" t="str">
        <v>Cooperación Internacional</v>
      </c>
      <c r="G65" s="43" t="str">
        <v>Virtual</v>
      </c>
      <c r="H65" s="43" t="str">
        <v>Septiembre</v>
      </c>
      <c r="I65" s="43" t="str">
        <v>APC Colombia</v>
      </c>
      <c r="J65" s="43" t="str">
        <v>N/A</v>
      </c>
      <c r="K65" s="43" t="str">
        <v>N/A</v>
      </c>
      <c r="L65" s="44">
        <v>0</v>
      </c>
      <c r="M65" s="43" t="str">
        <v>PARTICIPANTE</v>
      </c>
    </row>
    <row r="66" spans="1:13" x14ac:dyDescent="0.3">
      <c r="A66" s="34"/>
      <c r="C66" s="42"/>
      <c r="D66" s="43"/>
      <c r="E66" s="43"/>
      <c r="F66" s="43"/>
      <c r="G66" s="43"/>
      <c r="H66" s="43"/>
      <c r="I66" s="43"/>
      <c r="J66" s="43"/>
      <c r="K66" s="43"/>
      <c r="L66" s="44"/>
      <c r="M66" s="43"/>
    </row>
    <row r="67" spans="1:13" x14ac:dyDescent="0.3">
      <c r="A67" s="34"/>
      <c r="C67" s="42"/>
      <c r="D67" s="43"/>
      <c r="E67" s="43"/>
      <c r="F67" s="43"/>
      <c r="G67" s="43"/>
      <c r="H67" s="43"/>
      <c r="I67" s="43"/>
      <c r="J67" s="43"/>
      <c r="K67" s="43"/>
      <c r="L67" s="44"/>
      <c r="M67" s="43"/>
    </row>
    <row r="68" spans="1:13" x14ac:dyDescent="0.3">
      <c r="A68" s="34"/>
      <c r="C68" s="42"/>
      <c r="D68" s="43"/>
      <c r="E68" s="43"/>
      <c r="F68" s="43"/>
      <c r="G68" s="43"/>
      <c r="H68" s="43"/>
      <c r="I68" s="43"/>
      <c r="J68" s="43"/>
      <c r="K68" s="43"/>
      <c r="L68" s="43"/>
      <c r="M68" s="43"/>
    </row>
    <row r="69" spans="1:13" x14ac:dyDescent="0.3">
      <c r="A69" s="34"/>
      <c r="C69" s="17"/>
      <c r="D69" s="18"/>
      <c r="E69" s="18"/>
      <c r="F69" s="18"/>
      <c r="G69" s="18"/>
      <c r="H69" s="18"/>
      <c r="I69" s="18"/>
      <c r="J69" s="18"/>
      <c r="K69" s="18"/>
      <c r="L69" s="18"/>
      <c r="M69" s="18"/>
    </row>
    <row r="70" spans="1:13" x14ac:dyDescent="0.3">
      <c r="A70" s="34"/>
    </row>
    <row r="71" spans="1:13" x14ac:dyDescent="0.3">
      <c r="A71" s="34"/>
    </row>
    <row r="72" spans="1:13" x14ac:dyDescent="0.3">
      <c r="A72" s="34"/>
    </row>
    <row r="73" spans="1:13" x14ac:dyDescent="0.3">
      <c r="A73" s="34"/>
    </row>
    <row r="74" spans="1:13" x14ac:dyDescent="0.3">
      <c r="A74" s="34"/>
      <c r="C74" s="54" t="s">
        <v>270</v>
      </c>
      <c r="D74" s="54" t="s">
        <v>271</v>
      </c>
      <c r="E74" s="54" t="s">
        <v>272</v>
      </c>
      <c r="F74" s="54" t="s">
        <v>1881</v>
      </c>
      <c r="G74" s="54" t="s">
        <v>1882</v>
      </c>
    </row>
    <row r="75" spans="1:13" ht="37.799999999999997" customHeight="1" x14ac:dyDescent="0.3">
      <c r="A75" s="34"/>
      <c r="C75" s="45" t="str" cm="1">
        <f t="array" ref="C75:G75">_xlfn._xlws.FILTER(contrapartidas[[Nombre del proyecto]:[Monto por APC]], contrapartidas[Departamento]=Ficha_territorial!$D$16, "NA")</f>
        <v>Coordinadora Humanitaria- Asesoría técnica a los procesos territoriales en metodología, seguimiento y articulación interinstitucional</v>
      </c>
      <c r="D75" s="46" t="str">
        <v xml:space="preserve">Corporación Vivamos Humanos </v>
      </c>
      <c r="E75" s="46" t="str">
        <v>Agencia Española de Cooperación Internacional para el Desarrollo -AECID-</v>
      </c>
      <c r="F75" s="47">
        <v>935412000</v>
      </c>
      <c r="G75" s="47">
        <v>230500000</v>
      </c>
    </row>
    <row r="76" spans="1:13" x14ac:dyDescent="0.3">
      <c r="A76" s="34"/>
      <c r="C76" s="45"/>
      <c r="D76" s="46"/>
      <c r="E76" s="46"/>
      <c r="F76" s="47"/>
      <c r="G76" s="47"/>
    </row>
    <row r="77" spans="1:13" x14ac:dyDescent="0.3">
      <c r="A77" s="34"/>
      <c r="C77" s="45"/>
      <c r="D77" s="46"/>
      <c r="E77" s="46"/>
      <c r="F77" s="47"/>
      <c r="G77" s="47"/>
    </row>
    <row r="78" spans="1:13" x14ac:dyDescent="0.3">
      <c r="A78" s="34"/>
      <c r="C78" s="48"/>
      <c r="D78" s="49"/>
      <c r="E78" s="49"/>
      <c r="F78" s="49"/>
      <c r="G78" s="49"/>
    </row>
    <row r="79" spans="1:13" x14ac:dyDescent="0.3">
      <c r="A79" s="34"/>
      <c r="C79" s="48"/>
      <c r="D79" s="49"/>
      <c r="E79" s="49"/>
      <c r="F79" s="49"/>
      <c r="G79" s="49"/>
    </row>
    <row r="80" spans="1:13" x14ac:dyDescent="0.3">
      <c r="A80" s="34"/>
      <c r="C80" s="48"/>
      <c r="D80" s="49"/>
      <c r="E80" s="49"/>
      <c r="F80" s="49"/>
      <c r="G80" s="49"/>
    </row>
    <row r="81" spans="1:3" x14ac:dyDescent="0.3">
      <c r="A81" s="34"/>
    </row>
    <row r="82" spans="1:3" x14ac:dyDescent="0.3">
      <c r="A82" s="34"/>
    </row>
    <row r="83" spans="1:3" x14ac:dyDescent="0.3">
      <c r="A83" s="34"/>
      <c r="C83" s="7"/>
    </row>
    <row r="84" spans="1:3" x14ac:dyDescent="0.3">
      <c r="A84" s="34"/>
    </row>
    <row r="85" spans="1:3" x14ac:dyDescent="0.3">
      <c r="A85" s="34"/>
    </row>
    <row r="86" spans="1:3" x14ac:dyDescent="0.3">
      <c r="A86" s="34"/>
    </row>
    <row r="87" spans="1:3" x14ac:dyDescent="0.3">
      <c r="A87" s="34"/>
    </row>
  </sheetData>
  <protectedRanges>
    <protectedRange sqref="D16" name="Rango1"/>
  </protectedRanges>
  <printOptions horizontalCentered="1"/>
  <pageMargins left="0.25" right="0.25" top="0.75" bottom="0.75" header="0.3" footer="0.3"/>
  <pageSetup scale="33" fitToHeight="0"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000001B-12D6-4BF2-8AC7-734CDDCD8001}">
          <x14:formula1>
            <xm:f>'tablas DCI'!$B$2:$B$34</xm:f>
          </x14:formula1>
          <xm:sqref>D16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952E17-7CB9-4D6F-A4AD-6ED498F0B752}">
  <sheetPr codeName="Hoja2">
    <pageSetUpPr fitToPage="1"/>
  </sheetPr>
  <dimension ref="A1:L317"/>
  <sheetViews>
    <sheetView showGridLines="0" topLeftCell="A297" zoomScaleNormal="100" workbookViewId="0">
      <selection activeCell="D16" sqref="D16"/>
    </sheetView>
  </sheetViews>
  <sheetFormatPr baseColWidth="10" defaultColWidth="42.6640625" defaultRowHeight="12" x14ac:dyDescent="0.3"/>
  <cols>
    <col min="1" max="1" width="37.109375" style="75" customWidth="1"/>
    <col min="2" max="2" width="44.88671875" style="75" customWidth="1"/>
    <col min="3" max="3" width="12.88671875" style="79" bestFit="1" customWidth="1"/>
    <col min="4" max="4" width="14.5546875" style="79" customWidth="1"/>
    <col min="5" max="5" width="14.109375" style="75" customWidth="1"/>
    <col min="6" max="6" width="17.77734375" style="75" bestFit="1" customWidth="1"/>
    <col min="7" max="7" width="43.21875" style="75" bestFit="1" customWidth="1"/>
    <col min="8" max="8" width="17.33203125" style="75" bestFit="1" customWidth="1"/>
    <col min="9" max="9" width="20.109375" style="75" customWidth="1"/>
    <col min="10" max="10" width="4.77734375" style="75" bestFit="1" customWidth="1"/>
    <col min="11" max="11" width="15.5546875" style="75" bestFit="1" customWidth="1"/>
    <col min="12" max="12" width="17.21875" style="75" customWidth="1"/>
    <col min="13" max="16384" width="42.6640625" style="78"/>
  </cols>
  <sheetData>
    <row r="1" spans="1:12" s="75" customFormat="1" x14ac:dyDescent="0.3">
      <c r="A1" s="73"/>
      <c r="B1" s="73"/>
      <c r="C1" s="76"/>
      <c r="D1" s="73"/>
      <c r="E1" s="73"/>
      <c r="F1" s="73"/>
      <c r="G1" s="73"/>
      <c r="H1" s="73"/>
      <c r="I1" s="73"/>
      <c r="J1" s="73"/>
      <c r="K1" s="73"/>
      <c r="L1" s="73"/>
    </row>
    <row r="2" spans="1:12" s="75" customFormat="1" x14ac:dyDescent="0.3">
      <c r="A2" s="73"/>
      <c r="B2" s="73"/>
      <c r="C2" s="76"/>
      <c r="D2" s="73"/>
      <c r="E2" s="73"/>
      <c r="F2" s="73"/>
      <c r="G2" s="73"/>
      <c r="H2" s="73"/>
      <c r="I2" s="73"/>
      <c r="J2" s="73"/>
      <c r="K2" s="73"/>
      <c r="L2" s="73"/>
    </row>
    <row r="3" spans="1:12" s="75" customFormat="1" x14ac:dyDescent="0.3">
      <c r="A3" s="73"/>
      <c r="B3" s="73"/>
      <c r="C3" s="76"/>
      <c r="D3" s="73"/>
      <c r="E3" s="73"/>
      <c r="F3" s="73"/>
      <c r="G3" s="73"/>
      <c r="H3" s="73"/>
      <c r="I3" s="73"/>
      <c r="J3" s="73"/>
      <c r="K3" s="73"/>
      <c r="L3" s="73"/>
    </row>
    <row r="4" spans="1:12" s="75" customFormat="1" x14ac:dyDescent="0.3">
      <c r="A4" s="73"/>
      <c r="B4" s="73"/>
      <c r="C4" s="76"/>
      <c r="D4" s="73"/>
      <c r="E4" s="73"/>
      <c r="F4" s="73"/>
      <c r="G4" s="73"/>
      <c r="H4" s="73"/>
      <c r="I4" s="73"/>
      <c r="J4" s="73"/>
      <c r="K4" s="73"/>
      <c r="L4" s="73"/>
    </row>
    <row r="5" spans="1:12" s="75" customFormat="1" x14ac:dyDescent="0.3">
      <c r="A5" s="73"/>
      <c r="B5" s="73"/>
      <c r="C5" s="76"/>
      <c r="D5" s="73"/>
      <c r="E5" s="73"/>
      <c r="F5" s="73"/>
      <c r="G5" s="73"/>
      <c r="H5" s="73"/>
      <c r="I5" s="73"/>
      <c r="J5" s="73"/>
      <c r="K5" s="73"/>
      <c r="L5" s="73"/>
    </row>
    <row r="6" spans="1:12" s="75" customFormat="1" x14ac:dyDescent="0.25">
      <c r="A6" s="55" t="s">
        <v>290</v>
      </c>
      <c r="B6" s="55" t="s">
        <v>291</v>
      </c>
      <c r="C6" s="56" t="s">
        <v>1953</v>
      </c>
      <c r="D6" s="56" t="s">
        <v>292</v>
      </c>
      <c r="E6" s="55" t="s">
        <v>293</v>
      </c>
      <c r="F6" s="55" t="s">
        <v>294</v>
      </c>
      <c r="G6" s="55" t="s">
        <v>296</v>
      </c>
      <c r="H6" s="55" t="s">
        <v>298</v>
      </c>
      <c r="I6" s="55" t="s">
        <v>299</v>
      </c>
      <c r="J6" s="55" t="s">
        <v>300</v>
      </c>
      <c r="K6" s="55" t="s">
        <v>301</v>
      </c>
      <c r="L6" s="55" t="s">
        <v>1956</v>
      </c>
    </row>
    <row r="7" spans="1:12" s="75" customFormat="1" ht="21.6" customHeight="1" x14ac:dyDescent="0.3">
      <c r="A7" s="74" t="str" cm="1">
        <f t="array" ref="A7:L317">IFERROR(
  _xlfn.LET(
    _xlpm.deptSel, TRIM(SUBSTITUTE(Ficha_territorial!$D$16, CHAR(160), "")),
    _xlpm.colDept, TRIM(SUBSTITUTE(proyectos[DEPARTAMENTO], CHAR(160), "")),
    _xlpm.datos,   proyectos[[NOMBRE INTERVENCION]:[SECTORES GOB]],
    _xlfn._xlws.FILTER(_xlpm.datos, _xlpm.colDept = _xlpm.deptSel)
  ),
  "Sin datos"
)</f>
        <v>ACELERACIÓN DEL EMPODERAMIENTO ECONÓMICO DE LAS MUJERES RURALES EN COLOMBIA  (ODS 5: INICIATIVA DE ACELERACIÓN DEL EMPODERAMIENTO ECONÓMICO DE LAS MUJERES 2021-2026) 129723</v>
      </c>
      <c r="B7" s="74" t="str">
        <v>Promover sistemas de desarrollo económico y territorial para superar las barreras al empoderamiento económico de las mujeres y acelerar el avance hacia las metas del ODS 5 en dos regiones PDET de Colombia.</v>
      </c>
      <c r="C7" s="77">
        <v>44545</v>
      </c>
      <c r="D7" s="77">
        <v>46112</v>
      </c>
      <c r="E7" s="74" t="str">
        <v>Nariño</v>
      </c>
      <c r="F7" s="74" t="str">
        <v>Barbacoas</v>
      </c>
      <c r="G7" s="74" t="str">
        <v>AGENCIA DE COOPERACIÓN INTERNACIONAL DE KOREA</v>
      </c>
      <c r="H7" s="74" t="str">
        <v>1. FOCALIZAR Y DINAMIZAR</v>
      </c>
      <c r="I7" s="74" t="str">
        <v>Sin datos</v>
      </c>
      <c r="J7" s="74" t="str">
        <v>ODS 5</v>
      </c>
      <c r="K7" s="74" t="str">
        <v>SIN ALINEAR</v>
      </c>
      <c r="L7" s="74" t="str">
        <v>Presidencia de la República</v>
      </c>
    </row>
    <row r="8" spans="1:12" ht="33" customHeight="1" x14ac:dyDescent="0.3">
      <c r="A8" s="74" t="str">
        <v>ACELERACIÓN DEL EMPODERAMIENTO ECONÓMICO DE LAS MUJERES RURALES EN COLOMBIA  (ODS 5: INICIATIVA DE ACELERACIÓN DEL EMPODERAMIENTO ECONÓMICO DE LAS MUJERES 2021-2026) 129723</v>
      </c>
      <c r="B8" s="74" t="str">
        <v>Promover sistemas de desarrollo económico y territorial para superar las barreras al empoderamiento económico de las mujeres y acelerar el avance hacia las metas del ODS 5 en dos regiones PDET de Colombia.</v>
      </c>
      <c r="C8" s="77">
        <v>44545</v>
      </c>
      <c r="D8" s="77">
        <v>46112</v>
      </c>
      <c r="E8" s="74" t="str">
        <v>Nariño</v>
      </c>
      <c r="F8" s="74" t="str">
        <v>Cumbitara</v>
      </c>
      <c r="G8" s="74" t="str">
        <v>AGENCIA DE COOPERACIÓN INTERNACIONAL DE KOREA</v>
      </c>
      <c r="H8" s="74" t="str">
        <v>1. FOCALIZAR Y DINAMIZAR</v>
      </c>
      <c r="I8" s="74" t="str">
        <v>Sin datos</v>
      </c>
      <c r="J8" s="74" t="str">
        <v>ODS 5</v>
      </c>
      <c r="K8" s="74" t="str">
        <v>SIN ALINEAR</v>
      </c>
      <c r="L8" s="74" t="str">
        <v>Presidencia de la República</v>
      </c>
    </row>
    <row r="9" spans="1:12" x14ac:dyDescent="0.3">
      <c r="A9" s="74" t="str">
        <v>ACELERACIÓN DEL EMPODERAMIENTO ECONÓMICO DE LAS MUJERES RURALES EN COLOMBIA  (ODS 5: INICIATIVA DE ACELERACIÓN DEL EMPODERAMIENTO ECONÓMICO DE LAS MUJERES 2021-2026) 129723</v>
      </c>
      <c r="B9" s="74" t="str">
        <v>Promover sistemas de desarrollo económico y territorial para superar las barreras al empoderamiento económico de las mujeres y acelerar el avance hacia las metas del ODS 5 en dos regiones PDET de Colombia.</v>
      </c>
      <c r="C9" s="77">
        <v>44545</v>
      </c>
      <c r="D9" s="77">
        <v>46112</v>
      </c>
      <c r="E9" s="74" t="str">
        <v>Nariño</v>
      </c>
      <c r="F9" s="74" t="str">
        <v>Leiva</v>
      </c>
      <c r="G9" s="74" t="str">
        <v>AGENCIA DE COOPERACIÓN INTERNACIONAL DE KOREA</v>
      </c>
      <c r="H9" s="74" t="str">
        <v>1. FOCALIZAR Y DINAMIZAR</v>
      </c>
      <c r="I9" s="74" t="str">
        <v>Sin datos</v>
      </c>
      <c r="J9" s="74" t="str">
        <v>ODS 5</v>
      </c>
      <c r="K9" s="74" t="str">
        <v>SIN ALINEAR</v>
      </c>
      <c r="L9" s="74" t="str">
        <v>Presidencia de la República</v>
      </c>
    </row>
    <row r="10" spans="1:12" x14ac:dyDescent="0.3">
      <c r="A10" s="74" t="str">
        <v>ACELERACIÓN DEL EMPODERAMIENTO ECONÓMICO DE LAS MUJERES RURALES EN COLOMBIA  (ODS 5: INICIATIVA DE ACELERACIÓN DEL EMPODERAMIENTO ECONÓMICO DE LAS MUJERES 2021-2026) 129723</v>
      </c>
      <c r="B10" s="74" t="str">
        <v>Promover sistemas de desarrollo económico y territorial para superar las barreras al empoderamiento económico de las mujeres y acelerar el avance hacia las metas del ODS 5 en dos regiones PDET de Colombia.</v>
      </c>
      <c r="C10" s="77">
        <v>44545</v>
      </c>
      <c r="D10" s="77">
        <v>46112</v>
      </c>
      <c r="E10" s="74" t="str">
        <v>Nariño</v>
      </c>
      <c r="F10" s="74" t="str">
        <v>Pasto</v>
      </c>
      <c r="G10" s="74" t="str">
        <v>AGENCIA DE COOPERACIÓN INTERNACIONAL DE KOREA</v>
      </c>
      <c r="H10" s="74" t="str">
        <v>1. FOCALIZAR Y DINAMIZAR</v>
      </c>
      <c r="I10" s="74" t="str">
        <v>Sin datos</v>
      </c>
      <c r="J10" s="74" t="str">
        <v>ODS 5</v>
      </c>
      <c r="K10" s="74" t="str">
        <v>SIN ALINEAR</v>
      </c>
      <c r="L10" s="74" t="str">
        <v>Presidencia de la República</v>
      </c>
    </row>
    <row r="11" spans="1:12" x14ac:dyDescent="0.3">
      <c r="A11" s="74" t="str">
        <v>ACELERACIÓN DEL EMPODERAMIENTO ECONÓMICO DE LAS MUJERES RURALES EN COLOMBIA  (ODS 5: INICIATIVA DE ACELERACIÓN DEL EMPODERAMIENTO ECONÓMICO DE LAS MUJERES 2021-2026) 129723</v>
      </c>
      <c r="B11" s="74" t="str">
        <v>Promover sistemas de desarrollo económico y territorial para superar las barreras al empoderamiento económico de las mujeres y acelerar el avance hacia las metas del ODS 5 en dos regiones PDET de Colombia.</v>
      </c>
      <c r="C11" s="77">
        <v>44545</v>
      </c>
      <c r="D11" s="77">
        <v>46112</v>
      </c>
      <c r="E11" s="74" t="str">
        <v>Nariño</v>
      </c>
      <c r="F11" s="74" t="str">
        <v>Policarpa</v>
      </c>
      <c r="G11" s="74" t="str">
        <v>AGENCIA DE COOPERACIÓN INTERNACIONAL DE KOREA</v>
      </c>
      <c r="H11" s="74" t="str">
        <v>1. FOCALIZAR Y DINAMIZAR</v>
      </c>
      <c r="I11" s="74" t="str">
        <v>Sin datos</v>
      </c>
      <c r="J11" s="74" t="str">
        <v>ODS 5</v>
      </c>
      <c r="K11" s="74" t="str">
        <v>SIN ALINEAR</v>
      </c>
      <c r="L11" s="74" t="str">
        <v>Presidencia de la República</v>
      </c>
    </row>
    <row r="12" spans="1:12" x14ac:dyDescent="0.3">
      <c r="A12" s="74" t="str">
        <v>ACELERACIÓN DEL EMPODERAMIENTO ECONÓMICO DE LAS MUJERES RURALES EN COLOMBIA  (ODS 5: INICIATIVA DE ACELERACIÓN DEL EMPODERAMIENTO ECONÓMICO DE LAS MUJERES 2021-2026) 129723</v>
      </c>
      <c r="B12" s="74" t="str">
        <v>Promover sistemas de desarrollo económico y territorial para superar las barreras al empoderamiento económico de las mujeres y acelerar el avance hacia las metas del ODS 5 en dos regiones PDET de Colombia.</v>
      </c>
      <c r="C12" s="77">
        <v>44545</v>
      </c>
      <c r="D12" s="77">
        <v>46112</v>
      </c>
      <c r="E12" s="74" t="str">
        <v>Nariño</v>
      </c>
      <c r="F12" s="74" t="str">
        <v>San Andrés de Tumaco</v>
      </c>
      <c r="G12" s="74" t="str">
        <v>AGENCIA DE COOPERACIÓN INTERNACIONAL DE KOREA</v>
      </c>
      <c r="H12" s="74" t="str">
        <v>1. FOCALIZAR Y DINAMIZAR</v>
      </c>
      <c r="I12" s="74" t="str">
        <v>Sin datos</v>
      </c>
      <c r="J12" s="74" t="str">
        <v>ODS 5</v>
      </c>
      <c r="K12" s="74" t="str">
        <v>SIN ALINEAR</v>
      </c>
      <c r="L12" s="74" t="str">
        <v>Presidencia de la República</v>
      </c>
    </row>
    <row r="13" spans="1:12" x14ac:dyDescent="0.3">
      <c r="A13" s="74" t="str">
        <v>PROMOCIÓN DE LA ECONOMÍA FORESTAL EN APOYO A LA LUCHA CONTRA LA DEFORESTACIÓN</v>
      </c>
      <c r="B13" s="74" t="str">
        <v>Sin datos</v>
      </c>
      <c r="C13" s="77">
        <v>44630</v>
      </c>
      <c r="D13" s="77">
        <v>46091</v>
      </c>
      <c r="E13" s="74" t="str">
        <v>Nariño</v>
      </c>
      <c r="F13" s="74" t="str">
        <v>San Andrés de Tumaco</v>
      </c>
      <c r="G13" s="74" t="str">
        <v>Fondo Colombia Sostenible</v>
      </c>
      <c r="H13" s="74" t="str">
        <v>C. Conservación Y Sostenibilidad Ambiental</v>
      </c>
      <c r="I13" s="74" t="str">
        <v>15.2.Para 2020, promover la implementación de la gestión sostenible de todos los tipos de bosques, detener la deforestación, restaurar los bosques degradados y aumentar la forestación y reforestación en un x% a nivel global.</v>
      </c>
      <c r="J13" s="74" t="str">
        <v>ODS 15</v>
      </c>
      <c r="K13" s="74" t="str">
        <v>SIN ALINEAR</v>
      </c>
      <c r="L13" s="74" t="str">
        <v>Ambiente y Desarrollo Sostenible</v>
      </c>
    </row>
    <row r="14" spans="1:12" x14ac:dyDescent="0.3">
      <c r="A14" s="74" t="str">
        <v>Iniciativas Comunitarias para la Promoción de Productos Forestales no Maderablescomo Apoyo a la Lucha Contra la Deforestación</v>
      </c>
      <c r="B14" s="74" t="str">
        <v>Sin datos</v>
      </c>
      <c r="C14" s="77">
        <v>44834</v>
      </c>
      <c r="D14" s="77">
        <v>46295</v>
      </c>
      <c r="E14" s="74" t="str">
        <v>Nariño</v>
      </c>
      <c r="F14" s="74" t="str">
        <v>No Reporta</v>
      </c>
      <c r="G14" s="74" t="str">
        <v>Fondo Colombia Sostenible</v>
      </c>
      <c r="H14" s="74" t="str">
        <v>C. Conservación Y Sostenibilidad Ambiental</v>
      </c>
      <c r="I14" s="74" t="str">
        <v>15.4.En 2030 asegurar la preservación de los ecosistemas de montaña, incluyendo su biodiversidad, para mejorar su capacidad para proporcionar beneficios que son esenciales para el desarrollo sostenible.</v>
      </c>
      <c r="J14" s="74" t="str">
        <v>ODS 15</v>
      </c>
      <c r="K14" s="74" t="str">
        <v>SIN ALINEAR</v>
      </c>
      <c r="L14" s="74" t="str">
        <v>Agricultura y Desarrollo Rural</v>
      </c>
    </row>
    <row r="15" spans="1:12" x14ac:dyDescent="0.3">
      <c r="A15" s="74" t="str">
        <v>Impulso de la autonomía económica de las mujeres en torno al ecosistema de los oficios y los saberes locales. Fase II</v>
      </c>
      <c r="B15" s="74" t="str">
        <v xml:space="preserve">Promover la autonomía y la inserción laboral de las mujeres para contribuir a la reducción de la brecha de género en Colombia 
</v>
      </c>
      <c r="C15" s="77">
        <v>44868</v>
      </c>
      <c r="D15" s="77">
        <v>46115</v>
      </c>
      <c r="E15" s="74" t="str">
        <v>Nariño</v>
      </c>
      <c r="F15" s="74" t="str">
        <v>No Reporta</v>
      </c>
      <c r="G15" s="74" t="str">
        <v>AGENCIA ESPAÑOLA DE COOPERACIÓN INTERNACIONAL PARA EL DESARROLLO</v>
      </c>
      <c r="H15" s="74" t="str">
        <v>D. Emprendimiento Y Economía Naranjal</v>
      </c>
      <c r="I15" s="74" t="str">
        <v>5.5.Garantizar la participación plena y efectiva de las mujeres y la igualdad de oportunidades para el liderazgo en todos los niveles de toma de decisiones en la vida política, económica y
pública.</v>
      </c>
      <c r="J15" s="74" t="str">
        <v>ODS 5</v>
      </c>
      <c r="K15" s="74" t="str">
        <v>SIN ALINEAR</v>
      </c>
      <c r="L15" s="74" t="str">
        <v>Presidencia de la República</v>
      </c>
    </row>
    <row r="16" spans="1:12" x14ac:dyDescent="0.3">
      <c r="A16" s="74" t="str">
        <v>Sin datos</v>
      </c>
      <c r="B16" s="74" t="str">
        <v xml:space="preserve">Mejorar los resultados de salud de las y los migrantes y de las comunidades de acogida en los territorios priorizados
</v>
      </c>
      <c r="C16" s="77">
        <v>44755</v>
      </c>
      <c r="D16" s="77">
        <v>46307</v>
      </c>
      <c r="E16" s="74" t="str">
        <v>Nariño</v>
      </c>
      <c r="F16" s="74" t="str">
        <v>No Reporta</v>
      </c>
      <c r="G16" s="74" t="str">
        <v>Unión Europea</v>
      </c>
      <c r="H16" s="74" t="str">
        <v>E. Fenómeno migratorio</v>
      </c>
      <c r="I16" s="74" t="str">
        <v>10.7.Facilitar una migración y movimiento de personas ordenada, segura, regular y responsable, a través de la implementación de políticas migratorias planificadas y bien gestionadas.</v>
      </c>
      <c r="J16" s="74" t="str">
        <v>ODS 10</v>
      </c>
      <c r="K16" s="74" t="str">
        <v>SIN ALINEAR</v>
      </c>
      <c r="L16" s="74" t="str">
        <v>Salud y Protección Social</v>
      </c>
    </row>
    <row r="17" spans="1:12" x14ac:dyDescent="0.3">
      <c r="A17" s="74" t="str">
        <v>Empoderamiento de la Mujer - Women ´s Empowerment (WE)</v>
      </c>
      <c r="B17" s="74" t="str">
        <v>Contribuir en la formación integral de mujeres ubicadas en diferentes zonas del país y pertenecientes a uno de los programas de la organización, a través del fortalecimiento de sus capacidades, valores morales y formación académica.</v>
      </c>
      <c r="C17" s="77">
        <v>44936</v>
      </c>
      <c r="D17" s="77">
        <v>47848</v>
      </c>
      <c r="E17" s="74" t="str">
        <v>Nariño</v>
      </c>
      <c r="F17" s="74" t="str">
        <v>San Andrés de Tumaco</v>
      </c>
      <c r="G17" s="74" t="str">
        <v>CONVOY OF HOPE</v>
      </c>
      <c r="H17" s="74" t="str">
        <v>No Aplica</v>
      </c>
      <c r="I17" s="74" t="str">
        <v>5.c.Adoptar y reforzar políticas sólidas y una legislación aplicable para la promoción de la igualdad de género y el empoderamiento de las mujeres y las niñas en todos los niveles.</v>
      </c>
      <c r="J17" s="74" t="str">
        <v>ODS 5</v>
      </c>
      <c r="K17" s="74" t="str">
        <v>SIN ALINEAR</v>
      </c>
      <c r="L17" s="74" t="str">
        <v>Presidencia de la República</v>
      </c>
    </row>
    <row r="18" spans="1:12" x14ac:dyDescent="0.3">
      <c r="A18" s="74" t="str">
        <v>Agricultura – Agriculture (AG)</v>
      </c>
      <c r="B18" s="74" t="str">
        <v>Fortalecer la seguridad alimentaria con familias cuyos hijos pertenezcan al programa de nutrición, a través de las estrategias planteadas por el programa de agricultura.</v>
      </c>
      <c r="C18" s="77">
        <v>44936</v>
      </c>
      <c r="D18" s="77">
        <v>47848</v>
      </c>
      <c r="E18" s="74" t="str">
        <v>Nariño</v>
      </c>
      <c r="F18" s="74" t="str">
        <v>San Andrés de Tumaco</v>
      </c>
      <c r="G18" s="74" t="str">
        <v>CONVOY OF HOPE</v>
      </c>
      <c r="H18" s="74" t="str">
        <v>2. Contribuir a la lucha contra el hambre y la atención humanitaria a la poblacion</v>
      </c>
      <c r="I18" s="74" t="str">
        <v>Sin datos</v>
      </c>
      <c r="J18" s="74" t="str">
        <v>ODS 2</v>
      </c>
      <c r="K18" s="74" t="str">
        <v>SIN ALINEAR</v>
      </c>
      <c r="L18" s="74" t="str">
        <v>Agricultura y Desarrollo Rural</v>
      </c>
    </row>
    <row r="19" spans="1:12" x14ac:dyDescent="0.3">
      <c r="A19" s="74" t="str">
        <v>Iniciativa alimentaria para niños (CFI Children Fedding Initiatives)</v>
      </c>
      <c r="B19" s="74" t="str">
        <v>Contribuir al mejoramiento del estado nutricional en niños pertenecientes a familias diagnosticadas en inseguridad alimentaria a través de alimentos complementarios e iniciativas de educación integrales en diferentes zonas del país</v>
      </c>
      <c r="C19" s="77">
        <v>44936</v>
      </c>
      <c r="D19" s="77">
        <v>47848</v>
      </c>
      <c r="E19" s="74" t="str">
        <v>Nariño</v>
      </c>
      <c r="F19" s="74" t="str">
        <v>San Andrés de Tumaco</v>
      </c>
      <c r="G19" s="74" t="str">
        <v>CONVOY OF HOPE</v>
      </c>
      <c r="H19" s="74" t="str">
        <v>No Aplica</v>
      </c>
      <c r="I19" s="74" t="str">
        <v>2.1Para 2030 erradicar el hambre y asegurar el acceso de todas las personas, en particular de los pobres y de las personas en situación de vulnerabilidad, incluyendo los infantes, a alimentos seguros, nutritivos y suficientes durante todo el año.</v>
      </c>
      <c r="J19" s="74" t="str">
        <v>ODS 2</v>
      </c>
      <c r="K19" s="74" t="str">
        <v>SIN ALINEAR</v>
      </c>
      <c r="L19" s="74" t="str">
        <v>Inclusión Social y Reconciliación</v>
      </c>
    </row>
    <row r="20" spans="1:12" x14ac:dyDescent="0.3">
      <c r="A20" s="74" t="str">
        <v>Entornos protectores, facilitadores del empoderamiento y garantía de derechos de los colectivos más vulnerables (niñas, niños, jóvenes, mujeres, y líderes/as sociales) en Tumaco y Buenaventura - NDICI-HR-INTPA/2022/440-873</v>
      </c>
      <c r="B20" s="74" t="str">
        <v>Sin datos</v>
      </c>
      <c r="C20" s="77">
        <v>44941</v>
      </c>
      <c r="D20" s="77">
        <v>46036</v>
      </c>
      <c r="E20" s="74" t="str">
        <v>Nariño</v>
      </c>
      <c r="F20" s="74" t="str">
        <v>San Andrés de Tumaco</v>
      </c>
      <c r="G20" s="74" t="str">
        <v>Unión Europea</v>
      </c>
      <c r="H20" s="74" t="str">
        <v>2. Contribuir a la lucha contra el hambre y la atención humanitaria a la poblacion</v>
      </c>
      <c r="I20" s="74" t="str">
        <v>Sin datos</v>
      </c>
      <c r="J20" s="74" t="str">
        <v>ODS 1</v>
      </c>
      <c r="K20" s="74" t="str">
        <v>SIN ALINEAR</v>
      </c>
      <c r="L20" s="74" t="str">
        <v>Presidencia de la República</v>
      </c>
    </row>
    <row r="21" spans="1:12" x14ac:dyDescent="0.3">
      <c r="A21" s="74" t="str">
        <v xml:space="preserve">Garantizar el libre ejercicio del derecho de libertad de prensa y expresión por parte de periodistas y comunicadores comunitarios en departamentos fronterizos. . Expediente nº 2023QdV00243 </v>
      </c>
      <c r="B21" s="74" t="str">
        <v xml:space="preserve">Fortalecer el ejercicio de libertad de prensa como derecho fundamental para el ejercicio de la democracia
</v>
      </c>
      <c r="C21" s="77">
        <v>45147</v>
      </c>
      <c r="D21" s="77">
        <v>46427</v>
      </c>
      <c r="E21" s="74" t="str">
        <v>Nariño</v>
      </c>
      <c r="F21" s="74" t="str">
        <v>No Reporta</v>
      </c>
      <c r="G21" s="74" t="str">
        <v>AGENCIA ESPAÑOLA DE COOPERACIÓN INTERNACIONAL PARA EL DESARROLLO</v>
      </c>
      <c r="H21" s="74" t="str">
        <v>No Aplica</v>
      </c>
      <c r="I21" s="74" t="str">
        <v>16.3.Promover el estado de derecho en los planos nacional e internacional, y garantizar la igualdad en el acceso a la justicia para todos.</v>
      </c>
      <c r="J21" s="74" t="str">
        <v>ODS 16</v>
      </c>
      <c r="K21" s="74" t="str">
        <v>SIN ALINEAR</v>
      </c>
      <c r="L21" s="74" t="str">
        <v>Tecnologías de la Información y las Comunicaciones</v>
      </c>
    </row>
    <row r="22" spans="1:12" x14ac:dyDescent="0.3">
      <c r="A22" s="74" t="str">
        <v>Fortalecimiento de los procesos de empoderamiento, autonomía y preservación de la vida de las mujeres del pueblo awá del departamento de Nariño (municipios de Tumaco y Barbacoas) No. 2023QdV00285</v>
      </c>
      <c r="B22" s="74" t="str">
        <v>fortalecer los procesos de protección y prevención de 
violencias de género contra las mujeres Awá su 
posicionamiento e incidencia política y su 
empoderamiento económico.</v>
      </c>
      <c r="C22" s="77">
        <v>45154</v>
      </c>
      <c r="D22" s="77">
        <v>46320</v>
      </c>
      <c r="E22" s="74" t="str">
        <v>Nariño</v>
      </c>
      <c r="F22" s="74" t="str">
        <v>Barbacoas</v>
      </c>
      <c r="G22" s="74" t="str">
        <v>AGENCIA ESPAÑOLA DE COOPERACIÓN INTERNACIONAL PARA EL DESARROLLO</v>
      </c>
      <c r="H22" s="74" t="str">
        <v>No Aplica</v>
      </c>
      <c r="I22" s="74" t="str">
        <v>5.5.Garantizar la participación plena y efectiva de las mujeres y la igualdad de oportunidades para el liderazgo en todos los niveles de toma de decisiones en la vida política, económica y
pública.</v>
      </c>
      <c r="J22" s="74" t="str">
        <v>ODS 5</v>
      </c>
      <c r="K22" s="74" t="str">
        <v>SIN ALINEAR</v>
      </c>
      <c r="L22" s="74" t="str">
        <v>Interior</v>
      </c>
    </row>
    <row r="23" spans="1:12" x14ac:dyDescent="0.3">
      <c r="A23" s="74" t="str">
        <v>Fortalecimiento de los procesos de empoderamiento, autonomía y preservación de la vida de las mujeres del pueblo awá del departamento de Nariño (municipios de Tumaco y Barbacoas) No. 2023QdV00285</v>
      </c>
      <c r="B23" s="74" t="str">
        <v>fortalecer los procesos de protección y prevención de 
violencias de género contra las mujeres Awá su 
posicionamiento e incidencia política y su 
empoderamiento económico.</v>
      </c>
      <c r="C23" s="77">
        <v>45154</v>
      </c>
      <c r="D23" s="77">
        <v>46320</v>
      </c>
      <c r="E23" s="74" t="str">
        <v>Nariño</v>
      </c>
      <c r="F23" s="74" t="str">
        <v>San Andrés de Tumaco</v>
      </c>
      <c r="G23" s="74" t="str">
        <v>AGENCIA ESPAÑOLA DE COOPERACIÓN INTERNACIONAL PARA EL DESARROLLO</v>
      </c>
      <c r="H23" s="74" t="str">
        <v>No Aplica</v>
      </c>
      <c r="I23" s="74" t="str">
        <v>5.5.Garantizar la participación plena y efectiva de las mujeres y la igualdad de oportunidades para el liderazgo en todos los niveles de toma de decisiones en la vida política, económica y
pública.</v>
      </c>
      <c r="J23" s="74" t="str">
        <v>ODS 5</v>
      </c>
      <c r="K23" s="74" t="str">
        <v>SIN ALINEAR</v>
      </c>
      <c r="L23" s="74" t="str">
        <v>Interior</v>
      </c>
    </row>
    <row r="24" spans="1:12" x14ac:dyDescent="0.3">
      <c r="A24" s="74" t="str">
        <v>Sin datos</v>
      </c>
      <c r="B24" s="74" t="str">
        <v>Sin datos</v>
      </c>
      <c r="C24" s="77">
        <v>45141</v>
      </c>
      <c r="D24" s="77">
        <v>46421</v>
      </c>
      <c r="E24" s="74" t="str">
        <v>Nariño</v>
      </c>
      <c r="F24" s="74" t="str">
        <v>No Reporta</v>
      </c>
      <c r="G24" s="74" t="str">
        <v>AGENCIA ESPAÑOLA DE COOPERACIÓN INTERNACIONAL PARA EL DESARROLLO</v>
      </c>
      <c r="H24" s="74" t="str">
        <v>3. Promover una cultura de paz, justicia y lucha contra la desigualdad</v>
      </c>
      <c r="I24" s="74" t="str">
        <v>16.3.Promover el estado de derecho en los planos nacional e internacional, y garantizar la igualdad en el acceso a la justicia para todos.</v>
      </c>
      <c r="J24" s="74" t="str">
        <v>ODS 16</v>
      </c>
      <c r="K24" s="74" t="str">
        <v>SIN ALINEAR</v>
      </c>
      <c r="L24" s="74" t="str">
        <v>Justicia y del Derecho</v>
      </c>
    </row>
    <row r="25" spans="1:12" x14ac:dyDescent="0.3">
      <c r="A25" s="74" t="str">
        <v>Fortaleciendo capacidades del Ministerio de Igualdad y Equidad y su despliegue territorial en la región pacífica. Expediente No 2023QdV00251</v>
      </c>
      <c r="B25" s="74" t="str">
        <v>Contribuir con el fortalecimiento de las políticas públicas de promoción de la igualdad de trato y no discriminación en Colombia y la consolidación del Ministerio de Igualdad y Equidad.</v>
      </c>
      <c r="C25" s="77">
        <v>45218</v>
      </c>
      <c r="D25" s="77">
        <v>46130</v>
      </c>
      <c r="E25" s="74" t="str">
        <v>Nariño</v>
      </c>
      <c r="F25" s="74" t="str">
        <v>No Reporta</v>
      </c>
      <c r="G25" s="74" t="str">
        <v>AGENCIA ESPAÑOLA DE COOPERACIÓN INTERNACIONAL PARA EL DESARROLLO</v>
      </c>
      <c r="H25" s="74" t="str">
        <v>No Aplica</v>
      </c>
      <c r="I25" s="74" t="str">
        <v>10.2.Para 2030 potenciar y promover la inclusión social, económica y política de todos independientemente de la edad, sexo, discapacidad, raza, etnia, origen, religión o condición económica o de otro tipo.</v>
      </c>
      <c r="J25" s="74" t="str">
        <v>ODS 10</v>
      </c>
      <c r="K25" s="74" t="str">
        <v>SIN ALINEAR</v>
      </c>
      <c r="L25" s="74" t="str">
        <v>Igualdad y Equidad</v>
      </c>
    </row>
    <row r="26" spans="1:12" x14ac:dyDescent="0.3">
      <c r="A26" s="74" t="str">
        <v>Escuelas de liderazgo juvenil para la participación e incidencia en la construcción de paz territorial en Tumaco, Buenaventura, Tibú, y Cúcuta. Exp.  2023QdV00286</v>
      </c>
      <c r="B26" s="74" t="str">
        <v xml:space="preserve">Contribuir al logro de sociedades más pacíficas e incluyentes en Colombia
</v>
      </c>
      <c r="C26" s="77">
        <v>45177</v>
      </c>
      <c r="D26" s="77">
        <v>46273</v>
      </c>
      <c r="E26" s="74" t="str">
        <v>Nariño</v>
      </c>
      <c r="F26" s="74" t="str">
        <v>San Andrés de Tumaco</v>
      </c>
      <c r="G26" s="74" t="str">
        <v>AGENCIA ESPAÑOLA DE COOPERACIÓN INTERNACIONAL PARA EL DESARROLLO</v>
      </c>
      <c r="H26" s="74" t="str">
        <v>No Aplica</v>
      </c>
      <c r="I26" s="74" t="str">
        <v>16.7.Garantizar la toma de decisiones receptiva, inclusiva, participativa y representativa en todos los niveles.</v>
      </c>
      <c r="J26" s="74" t="str">
        <v>ODS 16</v>
      </c>
      <c r="K26" s="74" t="str">
        <v>SIN ALINEAR</v>
      </c>
      <c r="L26" s="74" t="str">
        <v>Interior</v>
      </c>
    </row>
    <row r="27" spans="1:12" x14ac:dyDescent="0.3">
      <c r="A27" s="74" t="str">
        <v>Fortalecimiento del Estado colombiano para el abordaje integral de la lucha contra la trata de personas en los departamentos de Nariño, Chocó, Antioquia, La Guajira y Norte de Santander. Exp nº 2023QdV00322</v>
      </c>
      <c r="B27" s="74" t="str">
        <v>Fortalecer las capacidades técnicas del Estado colombiano en materia de lucha 
contra la trata y el tráfico de personas.</v>
      </c>
      <c r="C27" s="77">
        <v>45229</v>
      </c>
      <c r="D27" s="77">
        <v>46873</v>
      </c>
      <c r="E27" s="74" t="str">
        <v>Nariño</v>
      </c>
      <c r="F27" s="74" t="str">
        <v>Ipiales</v>
      </c>
      <c r="G27" s="74" t="str">
        <v>AGENCIA ESPAÑOLA DE COOPERACIÓN INTERNACIONAL PARA EL DESARROLLO</v>
      </c>
      <c r="H27" s="74" t="str">
        <v>No Aplica</v>
      </c>
      <c r="I27" s="74" t="str">
        <v>5.2.Eliminar todas las formas de violencia contra las mujeres y las niñas en las esferas públicas y privadas, incluyendo el tráfico sexual y otros tipos de explotación.</v>
      </c>
      <c r="J27" s="74" t="str">
        <v>ODS 5</v>
      </c>
      <c r="K27" s="74" t="str">
        <v>SIN ALINEAR</v>
      </c>
      <c r="L27" s="74" t="str">
        <v>Interior</v>
      </c>
    </row>
    <row r="28" spans="1:12" x14ac:dyDescent="0.3">
      <c r="A28" s="74" t="str">
        <v>Fortalecimiento del Estado colombiano para el abordaje integral de la lucha contra la trata de personas en los departamentos de Nariño, Chocó, Antioquia, La Guajira y Norte de Santander. Exp nº 2023QdV00322</v>
      </c>
      <c r="B28" s="74" t="str">
        <v>Fortalecer las capacidades técnicas del Estado colombiano en materia de lucha 
contra la trata y el tráfico de personas.</v>
      </c>
      <c r="C28" s="77">
        <v>45229</v>
      </c>
      <c r="D28" s="77">
        <v>46873</v>
      </c>
      <c r="E28" s="74" t="str">
        <v>Nariño</v>
      </c>
      <c r="F28" s="74" t="str">
        <v>Pasto</v>
      </c>
      <c r="G28" s="74" t="str">
        <v>AGENCIA ESPAÑOLA DE COOPERACIÓN INTERNACIONAL PARA EL DESARROLLO</v>
      </c>
      <c r="H28" s="74" t="str">
        <v>No Aplica</v>
      </c>
      <c r="I28" s="74" t="str">
        <v>5.2.Eliminar todas las formas de violencia contra las mujeres y las niñas en las esferas públicas y privadas, incluyendo el tráfico sexual y otros tipos de explotación.</v>
      </c>
      <c r="J28" s="74" t="str">
        <v>ODS 5</v>
      </c>
      <c r="K28" s="74" t="str">
        <v>SIN ALINEAR</v>
      </c>
      <c r="L28" s="74" t="str">
        <v>Interior</v>
      </c>
    </row>
    <row r="29" spans="1:12" x14ac:dyDescent="0.3">
      <c r="A29" s="74" t="str">
        <v>Fortalecimiento del Estado colombiano para el abordaje integral de la lucha contra la trata de personas en los departamentos de Nariño, Chocó, Antioquia, La Guajira y Norte de Santander. Exp nº 2023QdV00322. Fase II</v>
      </c>
      <c r="B29" s="74" t="str">
        <v xml:space="preserve">Fortalecer las capacidades técnicas del Estado Colombiano en materia de lucha contra la trata y el tráfico de personas
</v>
      </c>
      <c r="C29" s="77">
        <v>45294</v>
      </c>
      <c r="D29" s="77">
        <v>46873</v>
      </c>
      <c r="E29" s="74" t="str">
        <v>Nariño</v>
      </c>
      <c r="F29" s="74" t="str">
        <v>Ipiales</v>
      </c>
      <c r="G29" s="74" t="str">
        <v>AGENCIA ESPAÑOLA DE COOPERACIÓN INTERNACIONAL PARA EL DESARROLLO</v>
      </c>
      <c r="H29" s="74" t="str">
        <v>No Aplica</v>
      </c>
      <c r="I29" s="74" t="str">
        <v>5.2.Eliminar todas las formas de violencia contra las mujeres y las niñas en las esferas públicas y privadas, incluyendo el tráfico sexual y otros tipos de explotación.</v>
      </c>
      <c r="J29" s="74" t="str">
        <v>ODS 5</v>
      </c>
      <c r="K29" s="74" t="str">
        <v>SIN ALINEAR</v>
      </c>
      <c r="L29" s="74" t="str">
        <v>Interior</v>
      </c>
    </row>
    <row r="30" spans="1:12" x14ac:dyDescent="0.3">
      <c r="A30" s="74" t="str">
        <v>Fortalecimiento del Estado colombiano para el abordaje integral de la lucha contra la trata de personas en los departamentos de Nariño, Chocó, Antioquia, La Guajira y Norte de Santander. Exp nº 2023QdV00322. Fase II</v>
      </c>
      <c r="B30" s="74" t="str">
        <v xml:space="preserve">Fortalecer las capacidades técnicas del Estado Colombiano en materia de lucha contra la trata y el tráfico de personas
</v>
      </c>
      <c r="C30" s="77">
        <v>45294</v>
      </c>
      <c r="D30" s="77">
        <v>46873</v>
      </c>
      <c r="E30" s="74" t="str">
        <v>Nariño</v>
      </c>
      <c r="F30" s="74" t="str">
        <v>Pasto</v>
      </c>
      <c r="G30" s="74" t="str">
        <v>AGENCIA ESPAÑOLA DE COOPERACIÓN INTERNACIONAL PARA EL DESARROLLO</v>
      </c>
      <c r="H30" s="74" t="str">
        <v>No Aplica</v>
      </c>
      <c r="I30" s="74" t="str">
        <v>5.2.Eliminar todas las formas de violencia contra las mujeres y las niñas en las esferas públicas y privadas, incluyendo el tráfico sexual y otros tipos de explotación.</v>
      </c>
      <c r="J30" s="74" t="str">
        <v>ODS 5</v>
      </c>
      <c r="K30" s="74" t="str">
        <v>SIN ALINEAR</v>
      </c>
      <c r="L30" s="74" t="str">
        <v>Interior</v>
      </c>
    </row>
    <row r="31" spans="1:12" x14ac:dyDescent="0.3">
      <c r="A31" s="74" t="str">
        <v>SOCIEDADES SOLIDARIAS:  COMPARTIR RESPONSABILIDADES DEL CUIDADO PARA AVANZAR EN LA IGUALDAD DE GENERO (ECONOMIA DEL CUIDADO)</v>
      </c>
      <c r="B31" s="74" t="str">
        <v>EL PROYECTO ABORDA LA DISTRIBUCIÓN DESIGUAL DEL TRABAJO DE CUIDADOS REMUNERADO Y NO REUMERADO</v>
      </c>
      <c r="C31" s="77">
        <v>44993</v>
      </c>
      <c r="D31" s="77">
        <v>47026</v>
      </c>
      <c r="E31" s="74" t="str">
        <v>Nariño</v>
      </c>
      <c r="F31" s="74" t="str">
        <v>No Reporta</v>
      </c>
      <c r="G31" s="74" t="str">
        <v>GLOBAL AFFAIRS CANADA</v>
      </c>
      <c r="H31" s="74" t="str">
        <v>2. Contribuir a la lucha contra el hambre y la atención humanitaria a la poblacion</v>
      </c>
      <c r="I31" s="74" t="str">
        <v>8.5.Para 2030 lograr el empleo pleno y productivo y el trabajo decente para todas las mujeres y hombres, incluidos los jóvenes y las personas con discapacidad, y la igualdad de remuneración para el trabajo de igual valor.</v>
      </c>
      <c r="J31" s="74" t="str">
        <v>ODS 8</v>
      </c>
      <c r="K31" s="74" t="str">
        <v>SIN ALINEAR</v>
      </c>
      <c r="L31" s="74" t="str">
        <v>Igualdad y Equidad</v>
      </c>
    </row>
    <row r="32" spans="1:12" x14ac:dyDescent="0.3">
      <c r="A32" s="74" t="str">
        <v>Sin datos</v>
      </c>
      <c r="B32" s="74" t="str">
        <v>Sin datos</v>
      </c>
      <c r="C32" s="77">
        <v>45328</v>
      </c>
      <c r="D32" s="77">
        <v>46058</v>
      </c>
      <c r="E32" s="74" t="str">
        <v>Nariño</v>
      </c>
      <c r="F32" s="74" t="str">
        <v>Pasto</v>
      </c>
      <c r="G32" s="74" t="str">
        <v>PNUD</v>
      </c>
      <c r="H32" s="74" t="str">
        <v>2. Contribuir a la lucha contra el hambre y la atención humanitaria a la poblacion</v>
      </c>
      <c r="I32" s="74" t="str">
        <v>Sin datos</v>
      </c>
      <c r="J32" s="74" t="str">
        <v>ODS 8</v>
      </c>
      <c r="K32" s="74" t="str">
        <v>SIN ALINEAR</v>
      </c>
      <c r="L32" s="74" t="str">
        <v>Comercio, Industria y Turismo</v>
      </c>
    </row>
    <row r="33" spans="1:12" x14ac:dyDescent="0.3">
      <c r="A33" s="74" t="str">
        <v>Sin datos</v>
      </c>
      <c r="B33" s="74" t="str">
        <v>Sin datos</v>
      </c>
      <c r="C33" s="77">
        <v>45328</v>
      </c>
      <c r="D33" s="77">
        <v>46058</v>
      </c>
      <c r="E33" s="74" t="str">
        <v>Nariño</v>
      </c>
      <c r="F33" s="74" t="str">
        <v>San Andrés de Tumaco</v>
      </c>
      <c r="G33" s="74" t="str">
        <v>PNUD</v>
      </c>
      <c r="H33" s="74" t="str">
        <v>2. Contribuir a la lucha contra el hambre y la atención humanitaria a la poblacion</v>
      </c>
      <c r="I33" s="74" t="str">
        <v>Sin datos</v>
      </c>
      <c r="J33" s="74" t="str">
        <v>ODS 8</v>
      </c>
      <c r="K33" s="74" t="str">
        <v>SIN ALINEAR</v>
      </c>
      <c r="L33" s="74" t="str">
        <v>Comercio, Industria y Turismo</v>
      </c>
    </row>
    <row r="34" spans="1:12" x14ac:dyDescent="0.3">
      <c r="A34" s="74" t="str">
        <v>ProDefensoras II. WOMEN LEADERS AND DEFENDERS PREVENTION AND PROTECTION PROGRAMME ASIGNACIÓN 2023 (Women Leaders and Defenders Prevention and Protection Programme -PHAse II) - 2000248</v>
      </c>
      <c r="B34" s="74" t="str">
        <v>Sin datos</v>
      </c>
      <c r="C34" s="77">
        <v>45041</v>
      </c>
      <c r="D34" s="77">
        <v>46102</v>
      </c>
      <c r="E34" s="74" t="str">
        <v>Nariño</v>
      </c>
      <c r="F34" s="74" t="str">
        <v>No Reporta</v>
      </c>
      <c r="G34" s="74" t="str">
        <v>REAL EMBAJADA DE NORUEGA</v>
      </c>
      <c r="H34" s="74" t="str">
        <v>3. Promover una cultura de paz, justicia y lucha contra la desigualdad</v>
      </c>
      <c r="I34" s="74" t="str">
        <v>5.2.Eliminar todas las formas de violencia contra las mujeres y las niñas en las esferas públicas y privadas, incluyendo el tráfico sexual y otros tipos de explotación.</v>
      </c>
      <c r="J34" s="74" t="str">
        <v>ODS 5</v>
      </c>
      <c r="K34" s="74" t="str">
        <v>SIN ALINEAR</v>
      </c>
      <c r="L34" s="74" t="str">
        <v>Interior</v>
      </c>
    </row>
    <row r="35" spans="1:12" x14ac:dyDescent="0.3">
      <c r="A35" s="74" t="str">
        <v xml:space="preserve"> HUB Diversidad Digital Colombia. Réplica de un modelo de éxito de educación digital para el empleo de Personas con Discapacidad. Expediente No 2023/ACDE/000787</v>
      </c>
      <c r="B35" s="74" t="str">
        <v xml:space="preserve">Contribuir al goce efectivo del derecho al trabajo de las personas con discapacidad en Colombia
</v>
      </c>
      <c r="C35" s="77">
        <v>45245</v>
      </c>
      <c r="D35" s="77">
        <v>46265</v>
      </c>
      <c r="E35" s="74" t="str">
        <v>Nariño</v>
      </c>
      <c r="F35" s="74" t="str">
        <v>No Reporta</v>
      </c>
      <c r="G35" s="74" t="str">
        <v>AGENCIA ESPAÑOLA DE COOPERACIÓN INTERNACIONAL PARA EL DESARROLLO</v>
      </c>
      <c r="H35" s="74" t="str">
        <v>2. Contribuir a la lucha contra el hambre y la atención humanitaria a la poblacion</v>
      </c>
      <c r="I35" s="74" t="str">
        <v>8.5.Para 2030 lograr el empleo pleno y productivo y el trabajo decente para todas las mujeres y hombres, incluidos los jóvenes y las personas con discapacidad, y la igualdad de remuneración para el trabajo de igual valor.</v>
      </c>
      <c r="J35" s="74" t="str">
        <v>ODS 8</v>
      </c>
      <c r="K35" s="74" t="str">
        <v>SIN ALINEAR</v>
      </c>
      <c r="L35" s="74" t="str">
        <v>Igualdad y Equidad</v>
      </c>
    </row>
    <row r="36" spans="1:12" x14ac:dyDescent="0.3">
      <c r="A36" s="74" t="str">
        <v xml:space="preserve"> HUB Diversidad Digital Colombia. Réplica de un modelo de éxito de educación digital para el empleo de Personas con Discapacidad. Expediente No 2023/ACDE/000787</v>
      </c>
      <c r="B36" s="74" t="str">
        <v xml:space="preserve">Contribuir al goce efectivo del derecho al trabajo de las personas con discapacidad en Colombia
</v>
      </c>
      <c r="C36" s="77">
        <v>45245</v>
      </c>
      <c r="D36" s="77">
        <v>46265</v>
      </c>
      <c r="E36" s="74" t="str">
        <v>Nariño</v>
      </c>
      <c r="F36" s="74" t="str">
        <v>No Reporta</v>
      </c>
      <c r="G36" s="74" t="str">
        <v>FUNDACIÓN SALDARRIAGA CONCHA</v>
      </c>
      <c r="H36" s="74" t="str">
        <v>2. Contribuir a la lucha contra el hambre y la atención humanitaria a la poblacion</v>
      </c>
      <c r="I36" s="74" t="str">
        <v>8.5.Para 2030 lograr el empleo pleno y productivo y el trabajo decente para todas las mujeres y hombres, incluidos los jóvenes y las personas con discapacidad, y la igualdad de remuneración para el trabajo de igual valor.</v>
      </c>
      <c r="J36" s="74" t="str">
        <v>ODS 8</v>
      </c>
      <c r="K36" s="74" t="str">
        <v>SIN ALINEAR</v>
      </c>
      <c r="L36" s="74" t="str">
        <v>Igualdad y Equidad</v>
      </c>
    </row>
    <row r="37" spans="1:12" x14ac:dyDescent="0.3">
      <c r="A37" s="74" t="str">
        <v>Conservación y recuperación de los ecosistemas naturales mediante el fortalecimiento del turismo ecológico y comunitario en la Región Pacífico. EXP. 2024QDE00031</v>
      </c>
      <c r="B37" s="74" t="str">
        <v>Contribuir a la protección, conservación y restauración de la biodiversidad en comunidades del pacifico colombiano que desarrollan actividades de turismo ecológico y comunitario.</v>
      </c>
      <c r="C37" s="77">
        <v>45399</v>
      </c>
      <c r="D37" s="77">
        <v>46311</v>
      </c>
      <c r="E37" s="74" t="str">
        <v>Nariño</v>
      </c>
      <c r="F37" s="74" t="str">
        <v>Pasto</v>
      </c>
      <c r="G37" s="74" t="str">
        <v>AGENCIA ESPAÑOLA DE COOPERACIÓN INTERNACIONAL PARA EL DESARROLLO</v>
      </c>
      <c r="H37" s="74" t="str">
        <v>1. Promover la lucha contra el cambio climatico, la justicia ambiental y la transformación productiva</v>
      </c>
      <c r="I37" s="74" t="str">
        <v>Sin datos</v>
      </c>
      <c r="J37" s="74" t="str">
        <v>ODS 15</v>
      </c>
      <c r="K37" s="74" t="str">
        <v>SIN ALINEAR</v>
      </c>
      <c r="L37" s="74" t="str">
        <v>Ambiente y Desarrollo Sostenible</v>
      </c>
    </row>
    <row r="38" spans="1:12" x14ac:dyDescent="0.3">
      <c r="A38" s="74" t="str">
        <v>Conservación y recuperación de los ecosistemas naturales mediante el fortalecimiento del turismo ecológico y comunitario en la Región Pacífico. EXP. 2024QDE00031</v>
      </c>
      <c r="B38" s="74" t="str">
        <v>Contribuir a la protección, conservación y restauración de la biodiversidad en comunidades del pacifico colombiano que desarrollan actividades de turismo ecológico y comunitario.</v>
      </c>
      <c r="C38" s="77">
        <v>45399</v>
      </c>
      <c r="D38" s="77">
        <v>46311</v>
      </c>
      <c r="E38" s="74" t="str">
        <v>Nariño</v>
      </c>
      <c r="F38" s="74" t="str">
        <v>San Andrés de Tumaco</v>
      </c>
      <c r="G38" s="74" t="str">
        <v>AGENCIA ESPAÑOLA DE COOPERACIÓN INTERNACIONAL PARA EL DESARROLLO</v>
      </c>
      <c r="H38" s="74" t="str">
        <v>1. Promover la lucha contra el cambio climatico, la justicia ambiental y la transformación productiva</v>
      </c>
      <c r="I38" s="74" t="str">
        <v>Sin datos</v>
      </c>
      <c r="J38" s="74" t="str">
        <v>ODS 15</v>
      </c>
      <c r="K38" s="74" t="str">
        <v>SIN ALINEAR</v>
      </c>
      <c r="L38" s="74" t="str">
        <v>Ambiente y Desarrollo Sostenible</v>
      </c>
    </row>
    <row r="39" spans="1:12" x14ac:dyDescent="0.3">
      <c r="A39" s="74" t="str">
        <v>Coordinadora Humanitaria- Asesoría técnica a los procesos  territoriales en metodología, seguimiento y articulación  interinstitucional exp.2024QdV00008</v>
      </c>
      <c r="B39" s="74" t="str">
        <v>Sin datos</v>
      </c>
      <c r="C39" s="77">
        <v>45407</v>
      </c>
      <c r="D39" s="77">
        <v>46320</v>
      </c>
      <c r="E39" s="74" t="str">
        <v>Nariño</v>
      </c>
      <c r="F39" s="74" t="str">
        <v>No Reporta</v>
      </c>
      <c r="G39" s="74" t="str">
        <v>AGENCIA ESPAÑOLA DE COOPERACIÓN INTERNACIONAL PARA EL DESARROLLO</v>
      </c>
      <c r="H39" s="74" t="str">
        <v>3. Promover una cultura de paz, justicia y lucha contra la desigualdad</v>
      </c>
      <c r="I39" s="74" t="str">
        <v>16.3.Promover el estado de derecho en los planos nacional e internacional, y garantizar la igualdad en el acceso a la justicia para todos.</v>
      </c>
      <c r="J39" s="74" t="str">
        <v>ODS 16</v>
      </c>
      <c r="K39" s="74" t="str">
        <v>SIN ALINEAR</v>
      </c>
      <c r="L39" s="74" t="str">
        <v>Presidencia de la República</v>
      </c>
    </row>
    <row r="40" spans="1:12" x14ac:dyDescent="0.3">
      <c r="A40" s="74" t="str">
        <v>Coordinadora Humanitaria- Asesoría técnica a los procesos  territoriales en metodología, seguimiento y articulación  interinstitucional exp.2024QdV00008</v>
      </c>
      <c r="B40" s="74" t="str">
        <v>Sin datos</v>
      </c>
      <c r="C40" s="77">
        <v>45407</v>
      </c>
      <c r="D40" s="77">
        <v>46320</v>
      </c>
      <c r="E40" s="74" t="str">
        <v>Nariño</v>
      </c>
      <c r="F40" s="74" t="str">
        <v>No Reporta</v>
      </c>
      <c r="G40" s="74" t="str">
        <v>CORPORACIÓN VIVAMOS HUMANOS</v>
      </c>
      <c r="H40" s="74" t="str">
        <v>3. Promover una cultura de paz, justicia y lucha contra la desigualdad</v>
      </c>
      <c r="I40" s="74" t="str">
        <v>16.3.Promover el estado de derecho en los planos nacional e internacional, y garantizar la igualdad en el acceso a la justicia para todos.</v>
      </c>
      <c r="J40" s="74" t="str">
        <v>ODS 16</v>
      </c>
      <c r="K40" s="74" t="str">
        <v>SIN ALINEAR</v>
      </c>
      <c r="L40" s="74" t="str">
        <v>Presidencia de la República</v>
      </c>
    </row>
    <row r="41" spans="1:12" x14ac:dyDescent="0.3">
      <c r="A41" s="74" t="str">
        <v>Protección comunitaria e institucional con enfoque étnico frente a la VdG para personas con discapacidad y diversidad sexual y de género. Exp 2023/PRYC/000571</v>
      </c>
      <c r="B41" s="74" t="str">
        <v>Contribuir al derecho a una vida libre de violencia en Tumaco, Barbacoas y Buenaventura (Colombia)</v>
      </c>
      <c r="C41" s="77">
        <v>45247</v>
      </c>
      <c r="D41" s="77">
        <v>46039</v>
      </c>
      <c r="E41" s="74" t="str">
        <v>Nariño</v>
      </c>
      <c r="F41" s="74" t="str">
        <v>Barbacoas</v>
      </c>
      <c r="G41" s="74" t="str">
        <v>AGENCIA ESPAÑOLA DE COOPERACIÓN INTERNACIONAL PARA EL DESARROLLO</v>
      </c>
      <c r="H41" s="74" t="str">
        <v>3. Promover una cultura de paz, justicia y lucha contra la desigualdad</v>
      </c>
      <c r="I41" s="74" t="str">
        <v>5.2.Eliminar todas las formas de violencia contra las mujeres y las niñas en las esferas públicas y privadas, incluyendo el tráfico sexual y otros tipos de explotación.</v>
      </c>
      <c r="J41" s="74" t="str">
        <v>ODS 5</v>
      </c>
      <c r="K41" s="74" t="str">
        <v>SIN ALINEAR</v>
      </c>
      <c r="L41" s="74" t="str">
        <v>Igualdad y Equidad</v>
      </c>
    </row>
    <row r="42" spans="1:12" x14ac:dyDescent="0.3">
      <c r="A42" s="74" t="str">
        <v>Protección comunitaria e institucional con enfoque étnico frente a la VdG para personas con discapacidad y diversidad sexual y de género. Exp 2023/PRYC/000571</v>
      </c>
      <c r="B42" s="74" t="str">
        <v>Contribuir al derecho a una vida libre de violencia en Tumaco, Barbacoas y Buenaventura (Colombia)</v>
      </c>
      <c r="C42" s="77">
        <v>45247</v>
      </c>
      <c r="D42" s="77">
        <v>46039</v>
      </c>
      <c r="E42" s="74" t="str">
        <v>Nariño</v>
      </c>
      <c r="F42" s="74" t="str">
        <v>San Andrés de Tumaco</v>
      </c>
      <c r="G42" s="74" t="str">
        <v>AGENCIA ESPAÑOLA DE COOPERACIÓN INTERNACIONAL PARA EL DESARROLLO</v>
      </c>
      <c r="H42" s="74" t="str">
        <v>3. Promover una cultura de paz, justicia y lucha contra la desigualdad</v>
      </c>
      <c r="I42" s="74" t="str">
        <v>5.2.Eliminar todas las formas de violencia contra las mujeres y las niñas en las esferas públicas y privadas, incluyendo el tráfico sexual y otros tipos de explotación.</v>
      </c>
      <c r="J42" s="74" t="str">
        <v>ODS 5</v>
      </c>
      <c r="K42" s="74" t="str">
        <v>SIN ALINEAR</v>
      </c>
      <c r="L42" s="74" t="str">
        <v>Igualdad y Equidad</v>
      </c>
    </row>
    <row r="43" spans="1:12" x14ac:dyDescent="0.3">
      <c r="A43" s="74" t="str">
        <v>Innovación tecnológica y social para la construcción de una paz sostenible en EL SUROCCIDENTE colombiano-2023/ACDE/001204</v>
      </c>
      <c r="B43" s="74" t="str">
        <v>Se busca la consolidación de procesos de reincorporación económica y social de firmantes de paz en articulación con actores sociales , institucionales y privados para garantizar la paz territorial y el desarrollo local.</v>
      </c>
      <c r="C43" s="77">
        <v>45245</v>
      </c>
      <c r="D43" s="77">
        <v>46157</v>
      </c>
      <c r="E43" s="74" t="str">
        <v>Nariño</v>
      </c>
      <c r="F43" s="74" t="str">
        <v>El Tambo</v>
      </c>
      <c r="G43" s="74" t="str">
        <v>AGENCIA ESPAÑOLA DE COOPERACIÓN INTERNACIONAL PARA EL DESARROLLO</v>
      </c>
      <c r="H43" s="74" t="str">
        <v>2. Contribuir a la lucha contra el hambre y la atención humanitaria a la poblacion</v>
      </c>
      <c r="I43" s="74" t="str">
        <v>16.7.Garantizar la toma de decisiones receptiva, inclusiva, participativa y representativa en todos los niveles.</v>
      </c>
      <c r="J43" s="74" t="str">
        <v>ODS 16</v>
      </c>
      <c r="K43" s="74" t="str">
        <v>SIN ALINEAR</v>
      </c>
      <c r="L43" s="74" t="str">
        <v>Presidencia de la República</v>
      </c>
    </row>
    <row r="44" spans="1:12" x14ac:dyDescent="0.3">
      <c r="A44" s="74" t="str">
        <v>Innovación tecnológica y social para la construcción de una paz sostenible en EL SUROCCIDENTE colombiano-2023/ACDE/001204</v>
      </c>
      <c r="B44" s="74" t="str">
        <v>Se busca la consolidación de procesos de reincorporación económica y social de firmantes de paz en articulación con actores sociales , institucionales y privados para garantizar la paz territorial y el desarrollo local.</v>
      </c>
      <c r="C44" s="77">
        <v>45245</v>
      </c>
      <c r="D44" s="77">
        <v>46157</v>
      </c>
      <c r="E44" s="74" t="str">
        <v>Nariño</v>
      </c>
      <c r="F44" s="74" t="str">
        <v>San Andrés de Tumaco</v>
      </c>
      <c r="G44" s="74" t="str">
        <v>AGENCIA ESPAÑOLA DE COOPERACIÓN INTERNACIONAL PARA EL DESARROLLO</v>
      </c>
      <c r="H44" s="74" t="str">
        <v>2. Contribuir a la lucha contra el hambre y la atención humanitaria a la poblacion</v>
      </c>
      <c r="I44" s="74" t="str">
        <v>16.7.Garantizar la toma de decisiones receptiva, inclusiva, participativa y representativa en todos los niveles.</v>
      </c>
      <c r="J44" s="74" t="str">
        <v>ODS 16</v>
      </c>
      <c r="K44" s="74" t="str">
        <v>SIN ALINEAR</v>
      </c>
      <c r="L44" s="74" t="str">
        <v>Presidencia de la República</v>
      </c>
    </row>
    <row r="45" spans="1:12" x14ac:dyDescent="0.3">
      <c r="A45" s="74" t="str">
        <v>Innovación tecnológica y social para la construcción de una paz sostenible en EL SUROCCIDENTE colombiano-2023/ACDE/001204</v>
      </c>
      <c r="B45" s="74" t="str">
        <v>Se busca la consolidación de procesos de reincorporación económica y social de firmantes de paz en articulación con actores sociales , institucionales y privados para garantizar la paz territorial y el desarrollo local.</v>
      </c>
      <c r="C45" s="77">
        <v>45245</v>
      </c>
      <c r="D45" s="77">
        <v>46157</v>
      </c>
      <c r="E45" s="74" t="str">
        <v>Nariño</v>
      </c>
      <c r="F45" s="74" t="str">
        <v>El Tambo</v>
      </c>
      <c r="G45" s="74" t="str">
        <v>ASOCIACIÓN CATALANA POR LA PAZ (ASOCIACIÓ CATALANA PER LA PAU)</v>
      </c>
      <c r="H45" s="74" t="str">
        <v>2. Contribuir a la lucha contra el hambre y la atención humanitaria a la poblacion</v>
      </c>
      <c r="I45" s="74" t="str">
        <v>16.7.Garantizar la toma de decisiones receptiva, inclusiva, participativa y representativa en todos los niveles.</v>
      </c>
      <c r="J45" s="74" t="str">
        <v>ODS 16</v>
      </c>
      <c r="K45" s="74" t="str">
        <v>SIN ALINEAR</v>
      </c>
      <c r="L45" s="74" t="str">
        <v>Presidencia de la República</v>
      </c>
    </row>
    <row r="46" spans="1:12" x14ac:dyDescent="0.3">
      <c r="A46" s="74" t="str">
        <v>Innovación tecnológica y social para la construcción de una paz sostenible en EL SUROCCIDENTE colombiano-2023/ACDE/001204</v>
      </c>
      <c r="B46" s="74" t="str">
        <v>Se busca la consolidación de procesos de reincorporación económica y social de firmantes de paz en articulación con actores sociales , institucionales y privados para garantizar la paz territorial y el desarrollo local.</v>
      </c>
      <c r="C46" s="77">
        <v>45245</v>
      </c>
      <c r="D46" s="77">
        <v>46157</v>
      </c>
      <c r="E46" s="74" t="str">
        <v>Nariño</v>
      </c>
      <c r="F46" s="74" t="str">
        <v>San Andrés de Tumaco</v>
      </c>
      <c r="G46" s="74" t="str">
        <v>ASOCIACIÓN CATALANA POR LA PAZ (ASOCIACIÓ CATALANA PER LA PAU)</v>
      </c>
      <c r="H46" s="74" t="str">
        <v>2. Contribuir a la lucha contra el hambre y la atención humanitaria a la poblacion</v>
      </c>
      <c r="I46" s="74" t="str">
        <v>16.7.Garantizar la toma de decisiones receptiva, inclusiva, participativa y representativa en todos los niveles.</v>
      </c>
      <c r="J46" s="74" t="str">
        <v>ODS 16</v>
      </c>
      <c r="K46" s="74" t="str">
        <v>SIN ALINEAR</v>
      </c>
      <c r="L46" s="74" t="str">
        <v>Presidencia de la República</v>
      </c>
    </row>
    <row r="47" spans="1:12" x14ac:dyDescent="0.3">
      <c r="A47" s="74" t="str">
        <v>Innovación tecnológica y social para la construcción de una paz sostenible en EL SUROCCIDENTE colombiano-2023/ACDE/001204</v>
      </c>
      <c r="B47" s="74" t="str">
        <v>Se busca la consolidación de procesos de reincorporación económica y social de firmantes de paz en articulación con actores sociales , institucionales y privados para garantizar la paz territorial y el desarrollo local.</v>
      </c>
      <c r="C47" s="77">
        <v>45245</v>
      </c>
      <c r="D47" s="77">
        <v>46157</v>
      </c>
      <c r="E47" s="74" t="str">
        <v>Nariño</v>
      </c>
      <c r="F47" s="74" t="str">
        <v>El Tambo</v>
      </c>
      <c r="G47" s="74" t="str">
        <v>CORPORACIÓN CENTRO DE PROMOCIÓN DEL DESARROLLO TERRITORIAL CEPRODET</v>
      </c>
      <c r="H47" s="74" t="str">
        <v>2. Contribuir a la lucha contra el hambre y la atención humanitaria a la poblacion</v>
      </c>
      <c r="I47" s="74" t="str">
        <v>16.7.Garantizar la toma de decisiones receptiva, inclusiva, participativa y representativa en todos los niveles.</v>
      </c>
      <c r="J47" s="74" t="str">
        <v>ODS 16</v>
      </c>
      <c r="K47" s="74" t="str">
        <v>SIN ALINEAR</v>
      </c>
      <c r="L47" s="74" t="str">
        <v>Presidencia de la República</v>
      </c>
    </row>
    <row r="48" spans="1:12" x14ac:dyDescent="0.3">
      <c r="A48" s="74" t="str">
        <v>Innovación tecnológica y social para la construcción de una paz sostenible en EL SUROCCIDENTE colombiano-2023/ACDE/001204</v>
      </c>
      <c r="B48" s="74" t="str">
        <v>Se busca la consolidación de procesos de reincorporación económica y social de firmantes de paz en articulación con actores sociales , institucionales y privados para garantizar la paz territorial y el desarrollo local.</v>
      </c>
      <c r="C48" s="77">
        <v>45245</v>
      </c>
      <c r="D48" s="77">
        <v>46157</v>
      </c>
      <c r="E48" s="74" t="str">
        <v>Nariño</v>
      </c>
      <c r="F48" s="74" t="str">
        <v>San Andrés de Tumaco</v>
      </c>
      <c r="G48" s="74" t="str">
        <v>CORPORACIÓN CENTRO DE PROMOCIÓN DEL DESARROLLO TERRITORIAL CEPRODET</v>
      </c>
      <c r="H48" s="74" t="str">
        <v>2. Contribuir a la lucha contra el hambre y la atención humanitaria a la poblacion</v>
      </c>
      <c r="I48" s="74" t="str">
        <v>16.7.Garantizar la toma de decisiones receptiva, inclusiva, participativa y representativa en todos los niveles.</v>
      </c>
      <c r="J48" s="74" t="str">
        <v>ODS 16</v>
      </c>
      <c r="K48" s="74" t="str">
        <v>SIN ALINEAR</v>
      </c>
      <c r="L48" s="74" t="str">
        <v>Presidencia de la República</v>
      </c>
    </row>
    <row r="49" spans="1:12" x14ac:dyDescent="0.3">
      <c r="A49" s="74" t="str">
        <v>Innovación tecnológica y social para la construcción de una paz sostenible en EL SUROCCIDENTE colombiano-2023/ACDE/001204</v>
      </c>
      <c r="B49" s="74" t="str">
        <v>Se busca la consolidación de procesos de reincorporación económica y social de firmantes de paz en articulación con actores sociales , institucionales y privados para garantizar la paz territorial y el desarrollo local.</v>
      </c>
      <c r="C49" s="77">
        <v>45245</v>
      </c>
      <c r="D49" s="77">
        <v>46157</v>
      </c>
      <c r="E49" s="74" t="str">
        <v>Nariño</v>
      </c>
      <c r="F49" s="74" t="str">
        <v>El Tambo</v>
      </c>
      <c r="G49" s="74" t="str">
        <v>UNIVERSIDAD POLITECNICA DE CATALUÑA</v>
      </c>
      <c r="H49" s="74" t="str">
        <v>2. Contribuir a la lucha contra el hambre y la atención humanitaria a la poblacion</v>
      </c>
      <c r="I49" s="74" t="str">
        <v>16.7.Garantizar la toma de decisiones receptiva, inclusiva, participativa y representativa en todos los niveles.</v>
      </c>
      <c r="J49" s="74" t="str">
        <v>ODS 16</v>
      </c>
      <c r="K49" s="74" t="str">
        <v>SIN ALINEAR</v>
      </c>
      <c r="L49" s="74" t="str">
        <v>Presidencia de la República</v>
      </c>
    </row>
    <row r="50" spans="1:12" x14ac:dyDescent="0.3">
      <c r="A50" s="74" t="str">
        <v>Innovación tecnológica y social para la construcción de una paz sostenible en EL SUROCCIDENTE colombiano-2023/ACDE/001204</v>
      </c>
      <c r="B50" s="74" t="str">
        <v>Se busca la consolidación de procesos de reincorporación económica y social de firmantes de paz en articulación con actores sociales , institucionales y privados para garantizar la paz territorial y el desarrollo local.</v>
      </c>
      <c r="C50" s="77">
        <v>45245</v>
      </c>
      <c r="D50" s="77">
        <v>46157</v>
      </c>
      <c r="E50" s="74" t="str">
        <v>Nariño</v>
      </c>
      <c r="F50" s="74" t="str">
        <v>San Andrés de Tumaco</v>
      </c>
      <c r="G50" s="74" t="str">
        <v>UNIVERSIDAD POLITECNICA DE CATALUÑA</v>
      </c>
      <c r="H50" s="74" t="str">
        <v>2. Contribuir a la lucha contra el hambre y la atención humanitaria a la poblacion</v>
      </c>
      <c r="I50" s="74" t="str">
        <v>16.7.Garantizar la toma de decisiones receptiva, inclusiva, participativa y representativa en todos los niveles.</v>
      </c>
      <c r="J50" s="74" t="str">
        <v>ODS 16</v>
      </c>
      <c r="K50" s="74" t="str">
        <v>SIN ALINEAR</v>
      </c>
      <c r="L50" s="74" t="str">
        <v>Presidencia de la República</v>
      </c>
    </row>
    <row r="51" spans="1:12" x14ac:dyDescent="0.3">
      <c r="A51" s="74" t="str">
        <v>Fortalecimiento productivo y comercial del proceso artesanal de tejido en lana de las mujeres tejedoras de Cumbal, Nariño</v>
      </c>
      <c r="B51" s="74" t="str">
        <v>Sin datos</v>
      </c>
      <c r="C51" s="77">
        <v>45419</v>
      </c>
      <c r="D51" s="77">
        <v>46149</v>
      </c>
      <c r="E51" s="74" t="str">
        <v>Nariño</v>
      </c>
      <c r="F51" s="74" t="str">
        <v>No Reporta</v>
      </c>
      <c r="G51" s="74" t="str">
        <v>BANCO INTERAMERICANO DE DESARROLLO - BID</v>
      </c>
      <c r="H51" s="74" t="str">
        <v>2. Contribuir a la lucha contra el hambre y la atención humanitaria a la poblacion</v>
      </c>
      <c r="I51" s="74" t="str">
        <v>Sin datos</v>
      </c>
      <c r="J51" s="74" t="str">
        <v>ODS 5</v>
      </c>
      <c r="K51" s="74" t="str">
        <v>SIN ALINEAR</v>
      </c>
      <c r="L51" s="74" t="str">
        <v>Igualdad y Equidad</v>
      </c>
    </row>
    <row r="52" spans="1:12" x14ac:dyDescent="0.3">
      <c r="A52" s="74" t="str">
        <v>Transformación del subsector Panela de Colombia a través de la implementación  inicial del NAMA (CPS-NAMA) - CAF02 / GEF9581</v>
      </c>
      <c r="B52" s="74" t="str">
        <v xml:space="preserve">Contribuir a la implementación de la NAMA a través de la transformación productiva y tecnológica del subsector Panela. Área Focal: Mitigación al cambio climático.
</v>
      </c>
      <c r="C52" s="77">
        <v>44795</v>
      </c>
      <c r="D52" s="77">
        <v>46440</v>
      </c>
      <c r="E52" s="74" t="str">
        <v>Nariño</v>
      </c>
      <c r="F52" s="74" t="str">
        <v>No Reporta</v>
      </c>
      <c r="G52" s="74" t="str">
        <v xml:space="preserve">GLOBAL ENVIRONMENTAL FACILITY </v>
      </c>
      <c r="H52" s="74" t="str">
        <v>C. Conservación y Sostenibilidad Ambiental</v>
      </c>
      <c r="I52" s="74" t="str">
        <v>Sin datos</v>
      </c>
      <c r="J52" s="74" t="str">
        <v>ODS 9</v>
      </c>
      <c r="K52" s="74" t="str">
        <v>SIN ALINEAR</v>
      </c>
      <c r="L52" s="74" t="str">
        <v>Ambiente y Desarrollo Sostenible</v>
      </c>
    </row>
    <row r="53" spans="1:12" x14ac:dyDescent="0.3">
      <c r="A53" s="74" t="str">
        <v>Fortalecimiento de la soberanía alimentaria, economía familiar y las organizaciones propias de las mujeres índigenas Pastos.</v>
      </c>
      <c r="B53" s="74" t="str">
        <v>Sin datos</v>
      </c>
      <c r="C53" s="77">
        <v>44893</v>
      </c>
      <c r="D53" s="77">
        <v>46188</v>
      </c>
      <c r="E53" s="74" t="str">
        <v>Nariño</v>
      </c>
      <c r="F53" s="74" t="str">
        <v>Córdoba</v>
      </c>
      <c r="G53" s="74" t="str">
        <v>AGENCIA ESPAÑOLA DE COOPERACIÓN INTERNACIONAL PARA EL DESARROLLO</v>
      </c>
      <c r="H53" s="74" t="str">
        <v>B. Desarrollo Rural</v>
      </c>
      <c r="I53" s="74" t="str">
        <v>5.5.Garantizar la participación plena y efectiva de las mujeres y la igualdad de oportunidades para el liderazgo en todos los niveles de toma de decisiones en la vida política, económica y
pública.</v>
      </c>
      <c r="J53" s="74" t="str">
        <v>ODS 5</v>
      </c>
      <c r="K53" s="74" t="str">
        <v>SIN ALINEAR</v>
      </c>
      <c r="L53" s="74" t="str">
        <v>Igualdad y Equidad</v>
      </c>
    </row>
    <row r="54" spans="1:12" x14ac:dyDescent="0.3">
      <c r="A54" s="74" t="str">
        <v>Fortalecimiento de la soberanía alimentaria, economía familiar y las organizaciones propias de las mujeres índigenas Pastos.</v>
      </c>
      <c r="B54" s="74" t="str">
        <v>Sin datos</v>
      </c>
      <c r="C54" s="77">
        <v>44893</v>
      </c>
      <c r="D54" s="77">
        <v>46188</v>
      </c>
      <c r="E54" s="74" t="str">
        <v>Nariño</v>
      </c>
      <c r="F54" s="74" t="str">
        <v>Cumbal</v>
      </c>
      <c r="G54" s="74" t="str">
        <v>AGENCIA ESPAÑOLA DE COOPERACIÓN INTERNACIONAL PARA EL DESARROLLO</v>
      </c>
      <c r="H54" s="74" t="str">
        <v>B. Desarrollo Rural</v>
      </c>
      <c r="I54" s="74" t="str">
        <v>5.5.Garantizar la participación plena y efectiva de las mujeres y la igualdad de oportunidades para el liderazgo en todos los niveles de toma de decisiones en la vida política, económica y
pública.</v>
      </c>
      <c r="J54" s="74" t="str">
        <v>ODS 5</v>
      </c>
      <c r="K54" s="74" t="str">
        <v>SIN ALINEAR</v>
      </c>
      <c r="L54" s="74" t="str">
        <v>Igualdad y Equidad</v>
      </c>
    </row>
    <row r="55" spans="1:12" x14ac:dyDescent="0.3">
      <c r="A55" s="74" t="str">
        <v>Fortalecimiento de la soberanía alimentaria, economía familiar y las organizaciones propias de las mujeres índigenas Pastos.</v>
      </c>
      <c r="B55" s="74" t="str">
        <v>Sin datos</v>
      </c>
      <c r="C55" s="77">
        <v>44893</v>
      </c>
      <c r="D55" s="77">
        <v>46188</v>
      </c>
      <c r="E55" s="74" t="str">
        <v>Nariño</v>
      </c>
      <c r="F55" s="74" t="str">
        <v>Guachucal</v>
      </c>
      <c r="G55" s="74" t="str">
        <v>AGENCIA ESPAÑOLA DE COOPERACIÓN INTERNACIONAL PARA EL DESARROLLO</v>
      </c>
      <c r="H55" s="74" t="str">
        <v>B. Desarrollo Rural</v>
      </c>
      <c r="I55" s="74" t="str">
        <v>5.5.Garantizar la participación plena y efectiva de las mujeres y la igualdad de oportunidades para el liderazgo en todos los niveles de toma de decisiones en la vida política, económica y
pública.</v>
      </c>
      <c r="J55" s="74" t="str">
        <v>ODS 5</v>
      </c>
      <c r="K55" s="74" t="str">
        <v>SIN ALINEAR</v>
      </c>
      <c r="L55" s="74" t="str">
        <v>Igualdad y Equidad</v>
      </c>
    </row>
    <row r="56" spans="1:12" x14ac:dyDescent="0.3">
      <c r="A56" s="74" t="str">
        <v>Fortalecimiento de la soberanía alimentaria, economía familiar y las organizaciones propias de las mujeres índigenas Pastos.</v>
      </c>
      <c r="B56" s="74" t="str">
        <v>Sin datos</v>
      </c>
      <c r="C56" s="77">
        <v>44893</v>
      </c>
      <c r="D56" s="77">
        <v>46188</v>
      </c>
      <c r="E56" s="74" t="str">
        <v>Nariño</v>
      </c>
      <c r="F56" s="74" t="str">
        <v>Ipiales</v>
      </c>
      <c r="G56" s="74" t="str">
        <v>AGENCIA ESPAÑOLA DE COOPERACIÓN INTERNACIONAL PARA EL DESARROLLO</v>
      </c>
      <c r="H56" s="74" t="str">
        <v>B. Desarrollo Rural</v>
      </c>
      <c r="I56" s="74" t="str">
        <v>5.5.Garantizar la participación plena y efectiva de las mujeres y la igualdad de oportunidades para el liderazgo en todos los niveles de toma de decisiones en la vida política, económica y
pública.</v>
      </c>
      <c r="J56" s="74" t="str">
        <v>ODS 5</v>
      </c>
      <c r="K56" s="74" t="str">
        <v>SIN ALINEAR</v>
      </c>
      <c r="L56" s="74" t="str">
        <v>Igualdad y Equidad</v>
      </c>
    </row>
    <row r="57" spans="1:12" x14ac:dyDescent="0.3">
      <c r="A57" s="74" t="str">
        <v>Fortalecimiento de la soberanía alimentaria, economía familiar y las organizaciones propias de las mujeres índigenas Pastos.</v>
      </c>
      <c r="B57" s="74" t="str">
        <v>Sin datos</v>
      </c>
      <c r="C57" s="77">
        <v>44893</v>
      </c>
      <c r="D57" s="77">
        <v>46188</v>
      </c>
      <c r="E57" s="74" t="str">
        <v>Nariño</v>
      </c>
      <c r="F57" s="74" t="str">
        <v>Puerres</v>
      </c>
      <c r="G57" s="74" t="str">
        <v>AGENCIA ESPAÑOLA DE COOPERACIÓN INTERNACIONAL PARA EL DESARROLLO</v>
      </c>
      <c r="H57" s="74" t="str">
        <v>B. Desarrollo Rural</v>
      </c>
      <c r="I57" s="74" t="str">
        <v>5.5.Garantizar la participación plena y efectiva de las mujeres y la igualdad de oportunidades para el liderazgo en todos los niveles de toma de decisiones en la vida política, económica y
pública.</v>
      </c>
      <c r="J57" s="74" t="str">
        <v>ODS 5</v>
      </c>
      <c r="K57" s="74" t="str">
        <v>SIN ALINEAR</v>
      </c>
      <c r="L57" s="74" t="str">
        <v>Igualdad y Equidad</v>
      </c>
    </row>
    <row r="58" spans="1:12" x14ac:dyDescent="0.3">
      <c r="A58" s="74" t="str">
        <v xml:space="preserve">Contribuir a la garantía de los derechos de las víctimas, especialmente las de desplazamiento forzado, y a su participación en la construcción de paz y la no repetición en Colombia - Ref. Expediente nº 2024QdV00003 </v>
      </c>
      <c r="B58" s="74" t="str">
        <v>Contribuir al logro del goce efectivo de los derechos de las víctimas del conflicto armado interno, especialmente las víctimas de desplazamiento forzado, incluidos sus derechos como víctimas en Colombia.</v>
      </c>
      <c r="C58" s="77">
        <v>45434</v>
      </c>
      <c r="D58" s="77">
        <v>46348</v>
      </c>
      <c r="E58" s="74" t="str">
        <v>Nariño</v>
      </c>
      <c r="F58" s="74" t="str">
        <v>Barbacoas</v>
      </c>
      <c r="G58" s="74" t="str">
        <v>AGENCIA ESPAÑOLA DE COOPERACIÓN INTERNACIONAL PARA EL DESARROLLO</v>
      </c>
      <c r="H58" s="74" t="str">
        <v>3. Promover una cultura de paz, justicia y lucha contra la desigualdad</v>
      </c>
      <c r="I58" s="74" t="str">
        <v>16.3.Promover el estado de derecho en los planos nacional e internacional, y garantizar la igualdad en el acceso a la justicia para todos.</v>
      </c>
      <c r="J58" s="74" t="str">
        <v>ODS 16</v>
      </c>
      <c r="K58" s="74" t="str">
        <v>SIN ALINEAR</v>
      </c>
      <c r="L58" s="74" t="str">
        <v>Inclusión Social y Reconciliación</v>
      </c>
    </row>
    <row r="59" spans="1:12" x14ac:dyDescent="0.3">
      <c r="A59" s="74" t="str">
        <v xml:space="preserve">Contribuir a la garantía de los derechos de las víctimas, especialmente las de desplazamiento forzado, y a su participación en la construcción de paz y la no repetición en Colombia - Ref. Expediente nº 2024QdV00003 </v>
      </c>
      <c r="B59" s="74" t="str">
        <v>Contribuir al logro del goce efectivo de los derechos de las víctimas del conflicto armado interno, especialmente las víctimas de desplazamiento forzado, incluidos sus derechos como víctimas en Colombia.</v>
      </c>
      <c r="C59" s="77">
        <v>45434</v>
      </c>
      <c r="D59" s="77">
        <v>46348</v>
      </c>
      <c r="E59" s="74" t="str">
        <v>Nariño</v>
      </c>
      <c r="F59" s="74" t="str">
        <v>Cumbal</v>
      </c>
      <c r="G59" s="74" t="str">
        <v>AGENCIA ESPAÑOLA DE COOPERACIÓN INTERNACIONAL PARA EL DESARROLLO</v>
      </c>
      <c r="H59" s="74" t="str">
        <v>3. Promover una cultura de paz, justicia y lucha contra la desigualdad</v>
      </c>
      <c r="I59" s="74" t="str">
        <v>16.3.Promover el estado de derecho en los planos nacional e internacional, y garantizar la igualdad en el acceso a la justicia para todos.</v>
      </c>
      <c r="J59" s="74" t="str">
        <v>ODS 16</v>
      </c>
      <c r="K59" s="74" t="str">
        <v>SIN ALINEAR</v>
      </c>
      <c r="L59" s="74" t="str">
        <v>Inclusión Social y Reconciliación</v>
      </c>
    </row>
    <row r="60" spans="1:12" x14ac:dyDescent="0.3">
      <c r="A60" s="74" t="str">
        <v xml:space="preserve">Contribuir a la garantía de los derechos de las víctimas, especialmente las de desplazamiento forzado, y a su participación en la construcción de paz y la no repetición en Colombia - Ref. Expediente nº 2024QdV00003 </v>
      </c>
      <c r="B60" s="74" t="str">
        <v>Contribuir al logro del goce efectivo de los derechos de las víctimas del conflicto armado interno, especialmente las víctimas de desplazamiento forzado, incluidos sus derechos como víctimas en Colombia.</v>
      </c>
      <c r="C60" s="77">
        <v>45434</v>
      </c>
      <c r="D60" s="77">
        <v>46348</v>
      </c>
      <c r="E60" s="74" t="str">
        <v>Nariño</v>
      </c>
      <c r="F60" s="74" t="str">
        <v>Francisco Pizarro</v>
      </c>
      <c r="G60" s="74" t="str">
        <v>AGENCIA ESPAÑOLA DE COOPERACIÓN INTERNACIONAL PARA EL DESARROLLO</v>
      </c>
      <c r="H60" s="74" t="str">
        <v>3. Promover una cultura de paz, justicia y lucha contra la desigualdad</v>
      </c>
      <c r="I60" s="74" t="str">
        <v>16.3.Promover el estado de derecho en los planos nacional e internacional, y garantizar la igualdad en el acceso a la justicia para todos.</v>
      </c>
      <c r="J60" s="74" t="str">
        <v>ODS 16</v>
      </c>
      <c r="K60" s="74" t="str">
        <v>SIN ALINEAR</v>
      </c>
      <c r="L60" s="74" t="str">
        <v>Inclusión Social y Reconciliación</v>
      </c>
    </row>
    <row r="61" spans="1:12" x14ac:dyDescent="0.3">
      <c r="A61" s="74" t="str">
        <v xml:space="preserve">Contribuir a la garantía de los derechos de las víctimas, especialmente las de desplazamiento forzado, y a su participación en la construcción de paz y la no repetición en Colombia - Ref. Expediente nº 2024QdV00003 </v>
      </c>
      <c r="B61" s="74" t="str">
        <v>Contribuir al logro del goce efectivo de los derechos de las víctimas del conflicto armado interno, especialmente las víctimas de desplazamiento forzado, incluidos sus derechos como víctimas en Colombia.</v>
      </c>
      <c r="C61" s="77">
        <v>45434</v>
      </c>
      <c r="D61" s="77">
        <v>46348</v>
      </c>
      <c r="E61" s="74" t="str">
        <v>Nariño</v>
      </c>
      <c r="F61" s="74" t="str">
        <v>Ricaurte</v>
      </c>
      <c r="G61" s="74" t="str">
        <v>AGENCIA ESPAÑOLA DE COOPERACIÓN INTERNACIONAL PARA EL DESARROLLO</v>
      </c>
      <c r="H61" s="74" t="str">
        <v>3. Promover una cultura de paz, justicia y lucha contra la desigualdad</v>
      </c>
      <c r="I61" s="74" t="str">
        <v>16.3.Promover el estado de derecho en los planos nacional e internacional, y garantizar la igualdad en el acceso a la justicia para todos.</v>
      </c>
      <c r="J61" s="74" t="str">
        <v>ODS 16</v>
      </c>
      <c r="K61" s="74" t="str">
        <v>SIN ALINEAR</v>
      </c>
      <c r="L61" s="74" t="str">
        <v>Inclusión Social y Reconciliación</v>
      </c>
    </row>
    <row r="62" spans="1:12" x14ac:dyDescent="0.3">
      <c r="A62" s="74" t="str">
        <v xml:space="preserve">Contribuir a la garantía de los derechos de las víctimas, especialmente las de desplazamiento forzado, y a su participación en la construcción de paz y la no repetición en Colombia - Ref. Expediente nº 2024QdV00003 </v>
      </c>
      <c r="B62" s="74" t="str">
        <v>Contribuir al logro del goce efectivo de los derechos de las víctimas del conflicto armado interno, especialmente las víctimas de desplazamiento forzado, incluidos sus derechos como víctimas en Colombia.</v>
      </c>
      <c r="C62" s="77">
        <v>45434</v>
      </c>
      <c r="D62" s="77">
        <v>46348</v>
      </c>
      <c r="E62" s="74" t="str">
        <v>Nariño</v>
      </c>
      <c r="F62" s="74" t="str">
        <v>Roberto Payán</v>
      </c>
      <c r="G62" s="74" t="str">
        <v>AGENCIA ESPAÑOLA DE COOPERACIÓN INTERNACIONAL PARA EL DESARROLLO</v>
      </c>
      <c r="H62" s="74" t="str">
        <v>3. Promover una cultura de paz, justicia y lucha contra la desigualdad</v>
      </c>
      <c r="I62" s="74" t="str">
        <v>16.3.Promover el estado de derecho en los planos nacional e internacional, y garantizar la igualdad en el acceso a la justicia para todos.</v>
      </c>
      <c r="J62" s="74" t="str">
        <v>ODS 16</v>
      </c>
      <c r="K62" s="74" t="str">
        <v>SIN ALINEAR</v>
      </c>
      <c r="L62" s="74" t="str">
        <v>Inclusión Social y Reconciliación</v>
      </c>
    </row>
    <row r="63" spans="1:12" x14ac:dyDescent="0.3">
      <c r="A63" s="74" t="str">
        <v xml:space="preserve">Contribuir a la garantía de los derechos de las víctimas, especialmente las de desplazamiento forzado, y a su participación en la construcción de paz y la no repetición en Colombia - Ref. Expediente nº 2024QdV00003 </v>
      </c>
      <c r="B63" s="74" t="str">
        <v>Contribuir al logro del goce efectivo de los derechos de las víctimas del conflicto armado interno, especialmente las víctimas de desplazamiento forzado, incluidos sus derechos como víctimas en Colombia.</v>
      </c>
      <c r="C63" s="77">
        <v>45434</v>
      </c>
      <c r="D63" s="77">
        <v>46348</v>
      </c>
      <c r="E63" s="74" t="str">
        <v>Nariño</v>
      </c>
      <c r="F63" s="74" t="str">
        <v>San Andrés de Tumaco</v>
      </c>
      <c r="G63" s="74" t="str">
        <v>AGENCIA ESPAÑOLA DE COOPERACIÓN INTERNACIONAL PARA EL DESARROLLO</v>
      </c>
      <c r="H63" s="74" t="str">
        <v>3. Promover una cultura de paz, justicia y lucha contra la desigualdad</v>
      </c>
      <c r="I63" s="74" t="str">
        <v>16.3.Promover el estado de derecho en los planos nacional e internacional, y garantizar la igualdad en el acceso a la justicia para todos.</v>
      </c>
      <c r="J63" s="74" t="str">
        <v>ODS 16</v>
      </c>
      <c r="K63" s="74" t="str">
        <v>SIN ALINEAR</v>
      </c>
      <c r="L63" s="74" t="str">
        <v>Inclusión Social y Reconciliación</v>
      </c>
    </row>
    <row r="64" spans="1:12" x14ac:dyDescent="0.3">
      <c r="A64" s="74" t="str">
        <v>Educación digital: mujeres diversas con discapacidad. Exp 2023/ACDE/001191</v>
      </c>
      <c r="B64" s="74" t="str">
        <v xml:space="preserve">Fortalecer el derecho a una educación de calidad de las niñas y mujeres con discapacidad
</v>
      </c>
      <c r="C64" s="77">
        <v>45245</v>
      </c>
      <c r="D64" s="77">
        <v>46037</v>
      </c>
      <c r="E64" s="74" t="str">
        <v>Nariño</v>
      </c>
      <c r="F64" s="74" t="str">
        <v>No Reporta</v>
      </c>
      <c r="G64" s="74" t="str">
        <v>AGENCIA ESPAÑOLA DE COOPERACIÓN INTERNACIONAL PARA EL DESARROLLO</v>
      </c>
      <c r="H64" s="74" t="str">
        <v>2. Contribuir a la lucha contra el hambre y la atención humanitaria a la poblacion</v>
      </c>
      <c r="I64" s="74" t="str">
        <v>Sin datos</v>
      </c>
      <c r="J64" s="74" t="str">
        <v>ODS 4</v>
      </c>
      <c r="K64" s="74" t="str">
        <v>SIN ALINEAR</v>
      </c>
      <c r="L64" s="74" t="str">
        <v>Igualdad y Equidad</v>
      </c>
    </row>
    <row r="65" spans="1:12" x14ac:dyDescent="0.3">
      <c r="A65" s="74" t="str">
        <v>Educación digital: mujeres diversas con discapacidad. Exp 2023/ACDE/001191</v>
      </c>
      <c r="B65" s="74" t="str">
        <v xml:space="preserve">Fortalecer el derecho a una educación de calidad de las niñas y mujeres con discapacidad
</v>
      </c>
      <c r="C65" s="77">
        <v>45245</v>
      </c>
      <c r="D65" s="77">
        <v>46037</v>
      </c>
      <c r="E65" s="74" t="str">
        <v>Nariño</v>
      </c>
      <c r="F65" s="74" t="str">
        <v>No Reporta</v>
      </c>
      <c r="G65" s="74" t="str">
        <v>COORDINADORA NACIONAL DE ORGANIZACIONES DE PERSONAS CON LIMITACIÓN VISUAL</v>
      </c>
      <c r="H65" s="74" t="str">
        <v>2. Contribuir a la lucha contra el hambre y la atención humanitaria a la poblacion</v>
      </c>
      <c r="I65" s="74" t="str">
        <v>Sin datos</v>
      </c>
      <c r="J65" s="74" t="str">
        <v>ODS 4</v>
      </c>
      <c r="K65" s="74" t="str">
        <v>SIN ALINEAR</v>
      </c>
      <c r="L65" s="74" t="str">
        <v>Igualdad y Equidad</v>
      </c>
    </row>
    <row r="66" spans="1:12" x14ac:dyDescent="0.3">
      <c r="A66" s="74" t="str">
        <v>Educación digital: mujeres diversas con discapacidad. Exp 2023/ACDE/001191</v>
      </c>
      <c r="B66" s="74" t="str">
        <v xml:space="preserve">Fortalecer el derecho a una educación de calidad de las niñas y mujeres con discapacidad
</v>
      </c>
      <c r="C66" s="77">
        <v>45245</v>
      </c>
      <c r="D66" s="77">
        <v>46037</v>
      </c>
      <c r="E66" s="74" t="str">
        <v>Nariño</v>
      </c>
      <c r="F66" s="74" t="str">
        <v>No Reporta</v>
      </c>
      <c r="G66" s="74" t="str">
        <v>FUNDACIÓN ONCE</v>
      </c>
      <c r="H66" s="74" t="str">
        <v>2. Contribuir a la lucha contra el hambre y la atención humanitaria a la poblacion</v>
      </c>
      <c r="I66" s="74" t="str">
        <v>Sin datos</v>
      </c>
      <c r="J66" s="74" t="str">
        <v>ODS 4</v>
      </c>
      <c r="K66" s="74" t="str">
        <v>SIN ALINEAR</v>
      </c>
      <c r="L66" s="74" t="str">
        <v>Igualdad y Equidad</v>
      </c>
    </row>
    <row r="67" spans="1:12" x14ac:dyDescent="0.3">
      <c r="A67" s="74" t="str">
        <v>Apoyo a la implementación de la Convención de las Naciones Unidas contra la corrupción en Colombia  - COLX03 (fase iii, adicion 2024)</v>
      </c>
      <c r="B67" s="74" t="str">
        <v>Fortalecer las capacidades institucionales para implementar la Convención de las Naciones Unidas contra la Corrupción-UNCAC y la creación de una cultura de la integridad y la legalidad.</v>
      </c>
      <c r="C67" s="77">
        <v>45292</v>
      </c>
      <c r="D67" s="77">
        <v>46387</v>
      </c>
      <c r="E67" s="74" t="str">
        <v>Nariño</v>
      </c>
      <c r="F67" s="74" t="str">
        <v>Ipiales</v>
      </c>
      <c r="G67" s="74" t="str">
        <v>FUNDACION SIEMENS</v>
      </c>
      <c r="H67" s="74" t="str">
        <v>No Aplica</v>
      </c>
      <c r="I67" s="74" t="str">
        <v>16.5.Reducir sustancialmente la corrupción y el soborno en todas sus formas.</v>
      </c>
      <c r="J67" s="74" t="str">
        <v>ODS 16</v>
      </c>
      <c r="K67" s="74" t="str">
        <v>SIN ALINEAR</v>
      </c>
      <c r="L67" s="74" t="str">
        <v>Justicia y del Derecho</v>
      </c>
    </row>
    <row r="68" spans="1:12" x14ac:dyDescent="0.3">
      <c r="A68" s="74" t="str">
        <v>Apoyo a la implementación de la Convención de las Naciones Unidas contra la corrupción en Colombia  - COLX03 (fase iii, adicion 2024)</v>
      </c>
      <c r="B68" s="74" t="str">
        <v>Fortalecer las capacidades institucionales para implementar la Convención de las Naciones Unidas contra la Corrupción-UNCAC y la creación de una cultura de la integridad y la legalidad.</v>
      </c>
      <c r="C68" s="77">
        <v>45292</v>
      </c>
      <c r="D68" s="77">
        <v>46387</v>
      </c>
      <c r="E68" s="74" t="str">
        <v>Nariño</v>
      </c>
      <c r="F68" s="74" t="str">
        <v>Pasto</v>
      </c>
      <c r="G68" s="74" t="str">
        <v>FUNDACION SIEMENS</v>
      </c>
      <c r="H68" s="74" t="str">
        <v>No Aplica</v>
      </c>
      <c r="I68" s="74" t="str">
        <v>16.5.Reducir sustancialmente la corrupción y el soborno en todas sus formas.</v>
      </c>
      <c r="J68" s="74" t="str">
        <v>ODS 16</v>
      </c>
      <c r="K68" s="74" t="str">
        <v>SIN ALINEAR</v>
      </c>
      <c r="L68" s="74" t="str">
        <v>Justicia y del Derecho</v>
      </c>
    </row>
    <row r="69" spans="1:12" x14ac:dyDescent="0.3">
      <c r="A69" s="74" t="str">
        <v>Apoyo a la implementación de la Convención de las Naciones Unidas contra la corrupción en Colombia  - COLX03 (fase iii, adicion 2024)</v>
      </c>
      <c r="B69" s="74" t="str">
        <v>Fortalecer las capacidades institucionales para implementar la Convención de las Naciones Unidas contra la Corrupción-UNCAC y la creación de una cultura de la integridad y la legalidad.</v>
      </c>
      <c r="C69" s="77">
        <v>45292</v>
      </c>
      <c r="D69" s="77">
        <v>46387</v>
      </c>
      <c r="E69" s="74" t="str">
        <v>Nariño</v>
      </c>
      <c r="F69" s="74" t="str">
        <v>Policarpa</v>
      </c>
      <c r="G69" s="74" t="str">
        <v>FUNDACION SIEMENS</v>
      </c>
      <c r="H69" s="74" t="str">
        <v>No Aplica</v>
      </c>
      <c r="I69" s="74" t="str">
        <v>16.5.Reducir sustancialmente la corrupción y el soborno en todas sus formas.</v>
      </c>
      <c r="J69" s="74" t="str">
        <v>ODS 16</v>
      </c>
      <c r="K69" s="74" t="str">
        <v>SIN ALINEAR</v>
      </c>
      <c r="L69" s="74" t="str">
        <v>Justicia y del Derecho</v>
      </c>
    </row>
    <row r="70" spans="1:12" x14ac:dyDescent="0.3">
      <c r="A70" s="74" t="str">
        <v>Apoyo a la implementación de la Convención de las Naciones Unidas contra la corrupción en Colombia  - COLX03 (fase iii, adicion 2024)</v>
      </c>
      <c r="B70" s="74" t="str">
        <v>Fortalecer las capacidades institucionales para implementar la Convención de las Naciones Unidas contra la Corrupción-UNCAC y la creación de una cultura de la integridad y la legalidad.</v>
      </c>
      <c r="C70" s="77">
        <v>45292</v>
      </c>
      <c r="D70" s="77">
        <v>46387</v>
      </c>
      <c r="E70" s="74" t="str">
        <v>Nariño</v>
      </c>
      <c r="F70" s="74" t="str">
        <v>San Andrés de Tumaco</v>
      </c>
      <c r="G70" s="74" t="str">
        <v>FUNDACION SIEMENS</v>
      </c>
      <c r="H70" s="74" t="str">
        <v>No Aplica</v>
      </c>
      <c r="I70" s="74" t="str">
        <v>16.5.Reducir sustancialmente la corrupción y el soborno en todas sus formas.</v>
      </c>
      <c r="J70" s="74" t="str">
        <v>ODS 16</v>
      </c>
      <c r="K70" s="74" t="str">
        <v>SIN ALINEAR</v>
      </c>
      <c r="L70" s="74" t="str">
        <v>Justicia y del Derecho</v>
      </c>
    </row>
    <row r="71" spans="1:12" x14ac:dyDescent="0.3">
      <c r="A71" s="74" t="str">
        <v>Apoyo a la implementación de la Convención de las Naciones Unidas contra la corrupción en Colombia  - COLX03 (fase iii, adicion 2024)</v>
      </c>
      <c r="B71" s="74" t="str">
        <v>Fortalecer las capacidades institucionales para implementar la Convención de las Naciones Unidas contra la Corrupción-UNCAC y la creación de una cultura de la integridad y la legalidad.</v>
      </c>
      <c r="C71" s="77">
        <v>45292</v>
      </c>
      <c r="D71" s="77">
        <v>46387</v>
      </c>
      <c r="E71" s="74" t="str">
        <v>Nariño</v>
      </c>
      <c r="F71" s="74" t="str">
        <v>Ipiales</v>
      </c>
      <c r="G71" s="74" t="str">
        <v>UNODC</v>
      </c>
      <c r="H71" s="74" t="str">
        <v>No Aplica</v>
      </c>
      <c r="I71" s="74" t="str">
        <v>16.5.Reducir sustancialmente la corrupción y el soborno en todas sus formas.</v>
      </c>
      <c r="J71" s="74" t="str">
        <v>ODS 16</v>
      </c>
      <c r="K71" s="74" t="str">
        <v>SIN ALINEAR</v>
      </c>
      <c r="L71" s="74" t="str">
        <v>Justicia y del Derecho</v>
      </c>
    </row>
    <row r="72" spans="1:12" x14ac:dyDescent="0.3">
      <c r="A72" s="74" t="str">
        <v>Apoyo a la implementación de la Convención de las Naciones Unidas contra la corrupción en Colombia  - COLX03 (fase iii, adicion 2024)</v>
      </c>
      <c r="B72" s="74" t="str">
        <v>Fortalecer las capacidades institucionales para implementar la Convención de las Naciones Unidas contra la Corrupción-UNCAC y la creación de una cultura de la integridad y la legalidad.</v>
      </c>
      <c r="C72" s="77">
        <v>45292</v>
      </c>
      <c r="D72" s="77">
        <v>46387</v>
      </c>
      <c r="E72" s="74" t="str">
        <v>Nariño</v>
      </c>
      <c r="F72" s="74" t="str">
        <v>Pasto</v>
      </c>
      <c r="G72" s="74" t="str">
        <v>UNODC</v>
      </c>
      <c r="H72" s="74" t="str">
        <v>No Aplica</v>
      </c>
      <c r="I72" s="74" t="str">
        <v>16.5.Reducir sustancialmente la corrupción y el soborno en todas sus formas.</v>
      </c>
      <c r="J72" s="74" t="str">
        <v>ODS 16</v>
      </c>
      <c r="K72" s="74" t="str">
        <v>SIN ALINEAR</v>
      </c>
      <c r="L72" s="74" t="str">
        <v>Justicia y del Derecho</v>
      </c>
    </row>
    <row r="73" spans="1:12" x14ac:dyDescent="0.3">
      <c r="A73" s="74" t="str">
        <v>Apoyo a la implementación de la Convención de las Naciones Unidas contra la corrupción en Colombia  - COLX03 (fase iii, adicion 2024)</v>
      </c>
      <c r="B73" s="74" t="str">
        <v>Fortalecer las capacidades institucionales para implementar la Convención de las Naciones Unidas contra la Corrupción-UNCAC y la creación de una cultura de la integridad y la legalidad.</v>
      </c>
      <c r="C73" s="77">
        <v>45292</v>
      </c>
      <c r="D73" s="77">
        <v>46387</v>
      </c>
      <c r="E73" s="74" t="str">
        <v>Nariño</v>
      </c>
      <c r="F73" s="74" t="str">
        <v>Policarpa</v>
      </c>
      <c r="G73" s="74" t="str">
        <v>UNODC</v>
      </c>
      <c r="H73" s="74" t="str">
        <v>No Aplica</v>
      </c>
      <c r="I73" s="74" t="str">
        <v>16.5.Reducir sustancialmente la corrupción y el soborno en todas sus formas.</v>
      </c>
      <c r="J73" s="74" t="str">
        <v>ODS 16</v>
      </c>
      <c r="K73" s="74" t="str">
        <v>SIN ALINEAR</v>
      </c>
      <c r="L73" s="74" t="str">
        <v>Justicia y del Derecho</v>
      </c>
    </row>
    <row r="74" spans="1:12" x14ac:dyDescent="0.3">
      <c r="A74" s="74" t="str">
        <v>Apoyo a la implementación de la Convención de las Naciones Unidas contra la corrupción en Colombia  - COLX03 (fase iii, adicion 2024)</v>
      </c>
      <c r="B74" s="74" t="str">
        <v>Fortalecer las capacidades institucionales para implementar la Convención de las Naciones Unidas contra la Corrupción-UNCAC y la creación de una cultura de la integridad y la legalidad.</v>
      </c>
      <c r="C74" s="77">
        <v>45292</v>
      </c>
      <c r="D74" s="77">
        <v>46387</v>
      </c>
      <c r="E74" s="74" t="str">
        <v>Nariño</v>
      </c>
      <c r="F74" s="74" t="str">
        <v>San Andrés de Tumaco</v>
      </c>
      <c r="G74" s="74" t="str">
        <v>UNODC</v>
      </c>
      <c r="H74" s="74" t="str">
        <v>No Aplica</v>
      </c>
      <c r="I74" s="74" t="str">
        <v>16.5.Reducir sustancialmente la corrupción y el soborno en todas sus formas.</v>
      </c>
      <c r="J74" s="74" t="str">
        <v>ODS 16</v>
      </c>
      <c r="K74" s="74" t="str">
        <v>SIN ALINEAR</v>
      </c>
      <c r="L74" s="74" t="str">
        <v>Justicia y del Derecho</v>
      </c>
    </row>
    <row r="75" spans="1:12" x14ac:dyDescent="0.3">
      <c r="A75" s="74" t="str">
        <v>Apoyo a la implementación de la Convención de las Naciones Unidas contra la corrupción en Colombia  - COLX03 (fase iii, adicion 2024)</v>
      </c>
      <c r="B75" s="74" t="str">
        <v>Fortalecer las capacidades institucionales para implementar la Convención de las Naciones Unidas contra la Corrupción-UNCAC y la creación de una cultura de la integridad y la legalidad.</v>
      </c>
      <c r="C75" s="77">
        <v>45292</v>
      </c>
      <c r="D75" s="77">
        <v>46387</v>
      </c>
      <c r="E75" s="74" t="str">
        <v>Nariño</v>
      </c>
      <c r="F75" s="74" t="str">
        <v>Ipiales</v>
      </c>
      <c r="G75" s="74" t="str">
        <v>REINO UNIDO</v>
      </c>
      <c r="H75" s="74" t="str">
        <v>No Aplica</v>
      </c>
      <c r="I75" s="74" t="str">
        <v>16.5.Reducir sustancialmente la corrupción y el soborno en todas sus formas.</v>
      </c>
      <c r="J75" s="74" t="str">
        <v>ODS 16</v>
      </c>
      <c r="K75" s="74" t="str">
        <v>SIN ALINEAR</v>
      </c>
      <c r="L75" s="74" t="str">
        <v>Justicia y del Derecho</v>
      </c>
    </row>
    <row r="76" spans="1:12" x14ac:dyDescent="0.3">
      <c r="A76" s="74" t="str">
        <v>Apoyo a la implementación de la Convención de las Naciones Unidas contra la corrupción en Colombia  - COLX03 (fase iii, adicion 2024)</v>
      </c>
      <c r="B76" s="74" t="str">
        <v>Fortalecer las capacidades institucionales para implementar la Convención de las Naciones Unidas contra la Corrupción-UNCAC y la creación de una cultura de la integridad y la legalidad.</v>
      </c>
      <c r="C76" s="77">
        <v>45292</v>
      </c>
      <c r="D76" s="77">
        <v>46387</v>
      </c>
      <c r="E76" s="74" t="str">
        <v>Nariño</v>
      </c>
      <c r="F76" s="74" t="str">
        <v>Pasto</v>
      </c>
      <c r="G76" s="74" t="str">
        <v>REINO UNIDO</v>
      </c>
      <c r="H76" s="74" t="str">
        <v>No Aplica</v>
      </c>
      <c r="I76" s="74" t="str">
        <v>16.5.Reducir sustancialmente la corrupción y el soborno en todas sus formas.</v>
      </c>
      <c r="J76" s="74" t="str">
        <v>ODS 16</v>
      </c>
      <c r="K76" s="74" t="str">
        <v>SIN ALINEAR</v>
      </c>
      <c r="L76" s="74" t="str">
        <v>Justicia y del Derecho</v>
      </c>
    </row>
    <row r="77" spans="1:12" x14ac:dyDescent="0.3">
      <c r="A77" s="74" t="str">
        <v>Apoyo a la implementación de la Convención de las Naciones Unidas contra la corrupción en Colombia  - COLX03 (fase iii, adicion 2024)</v>
      </c>
      <c r="B77" s="74" t="str">
        <v>Fortalecer las capacidades institucionales para implementar la Convención de las Naciones Unidas contra la Corrupción-UNCAC y la creación de una cultura de la integridad y la legalidad.</v>
      </c>
      <c r="C77" s="77">
        <v>45292</v>
      </c>
      <c r="D77" s="77">
        <v>46387</v>
      </c>
      <c r="E77" s="74" t="str">
        <v>Nariño</v>
      </c>
      <c r="F77" s="74" t="str">
        <v>Policarpa</v>
      </c>
      <c r="G77" s="74" t="str">
        <v>REINO UNIDO</v>
      </c>
      <c r="H77" s="74" t="str">
        <v>No Aplica</v>
      </c>
      <c r="I77" s="74" t="str">
        <v>16.5.Reducir sustancialmente la corrupción y el soborno en todas sus formas.</v>
      </c>
      <c r="J77" s="74" t="str">
        <v>ODS 16</v>
      </c>
      <c r="K77" s="74" t="str">
        <v>SIN ALINEAR</v>
      </c>
      <c r="L77" s="74" t="str">
        <v>Justicia y del Derecho</v>
      </c>
    </row>
    <row r="78" spans="1:12" x14ac:dyDescent="0.3">
      <c r="A78" s="74" t="str">
        <v>Apoyo a la implementación de la Convención de las Naciones Unidas contra la corrupción en Colombia  - COLX03 (fase iii, adicion 2024)</v>
      </c>
      <c r="B78" s="74" t="str">
        <v>Fortalecer las capacidades institucionales para implementar la Convención de las Naciones Unidas contra la Corrupción-UNCAC y la creación de una cultura de la integridad y la legalidad.</v>
      </c>
      <c r="C78" s="77">
        <v>45292</v>
      </c>
      <c r="D78" s="77">
        <v>46387</v>
      </c>
      <c r="E78" s="74" t="str">
        <v>Nariño</v>
      </c>
      <c r="F78" s="74" t="str">
        <v>San Andrés de Tumaco</v>
      </c>
      <c r="G78" s="74" t="str">
        <v>REINO UNIDO</v>
      </c>
      <c r="H78" s="74" t="str">
        <v>No Aplica</v>
      </c>
      <c r="I78" s="74" t="str">
        <v>16.5.Reducir sustancialmente la corrupción y el soborno en todas sus formas.</v>
      </c>
      <c r="J78" s="74" t="str">
        <v>ODS 16</v>
      </c>
      <c r="K78" s="74" t="str">
        <v>SIN ALINEAR</v>
      </c>
      <c r="L78" s="74" t="str">
        <v>Justicia y del Derecho</v>
      </c>
    </row>
    <row r="79" spans="1:12" x14ac:dyDescent="0.3">
      <c r="A79" s="74" t="str">
        <v>Apoyo a la Estrategia de Prevención contra la trata y trafico ilegal de migrantes en Colombia</v>
      </c>
      <c r="B79" s="74" t="str">
        <v>Sin datos</v>
      </c>
      <c r="C79" s="77">
        <v>44985</v>
      </c>
      <c r="D79" s="77">
        <v>46080</v>
      </c>
      <c r="E79" s="74" t="str">
        <v>Nariño</v>
      </c>
      <c r="F79" s="74" t="str">
        <v>No Reporta</v>
      </c>
      <c r="G79" s="74" t="str">
        <v>BANCO INTERAMERICANO DE DESARROLLO - BID</v>
      </c>
      <c r="H79" s="74" t="str">
        <v>2. Contribuir a la lucha contra el hambre y la atención humanitaria a la poblacion</v>
      </c>
      <c r="I79" s="74" t="str">
        <v>10.7.Facilitar una migración y movimiento de personas ordenada, segura, regular y responsable, a través de la implementación de políticas migratorias planificadas y bien gestionadas.</v>
      </c>
      <c r="J79" s="74" t="str">
        <v>ODS 10</v>
      </c>
      <c r="K79" s="74" t="str">
        <v>SIN ALINEAR</v>
      </c>
      <c r="L79" s="74" t="str">
        <v>Interior</v>
      </c>
    </row>
    <row r="80" spans="1:12" x14ac:dyDescent="0.3">
      <c r="A80" s="74" t="str">
        <v>Sin datos</v>
      </c>
      <c r="B80" s="74" t="str">
        <v>fortalecer la gestión para atención de desastres y capacidad de respuesta de primeros respondientes, apoyando la implementación del Plan Nacional de Colombia de Escuelas Seguras y asegurando el acceso y retención en el sistema educativo.</v>
      </c>
      <c r="C80" s="77">
        <v>45444</v>
      </c>
      <c r="D80" s="77">
        <v>46173</v>
      </c>
      <c r="E80" s="74" t="str">
        <v>Nariño</v>
      </c>
      <c r="F80" s="74" t="str">
        <v>San Andrés de Tumaco</v>
      </c>
      <c r="G80" s="74" t="str">
        <v>Unión Europea</v>
      </c>
      <c r="H80" s="74" t="str">
        <v>1. Promover la lucha contra el cambio climatico, la justicia ambiental y la transformación productiva</v>
      </c>
      <c r="I80" s="74" t="str">
        <v>13.1.Fortalecer la resiliencia y capacidad de adaptación a los peligros relacionados con el clima y los desastres naturales en todos los países</v>
      </c>
      <c r="J80" s="74" t="str">
        <v>ODS 13</v>
      </c>
      <c r="K80" s="74" t="str">
        <v>SIN ALINEAR</v>
      </c>
      <c r="L80" s="74" t="str">
        <v>Presidencia de la República</v>
      </c>
    </row>
    <row r="81" spans="1:12" x14ac:dyDescent="0.3">
      <c r="A81" s="74" t="str">
        <v>COLOMBIA: CERRO NEGRO - SAN FRANCISCO - 2-CO-1212-23-3-a</v>
      </c>
      <c r="B81" s="74" t="str">
        <v>Declarar al ecosistema de Páramo Cerro Negro – San Francisco, ubicado en los municipios de como área protegida bajo la figura Parque Natural Regional (PNR) Andino Amazónico.</v>
      </c>
      <c r="C81" s="77">
        <v>45292</v>
      </c>
      <c r="D81" s="77">
        <v>46996</v>
      </c>
      <c r="E81" s="74" t="str">
        <v>Nariño</v>
      </c>
      <c r="F81" s="74" t="str">
        <v>Córdoba</v>
      </c>
      <c r="G81" s="74" t="str">
        <v>RAINFOREST TRUST</v>
      </c>
      <c r="H81" s="74" t="str">
        <v>1. Promover la lucha contra el cambio climatico, la justicia ambiental y la transformación productiva</v>
      </c>
      <c r="I81" s="74" t="str">
        <v>15.5.Tomar medidas urgentes y significativas para reducir la degradación del hábitat natural, detener la pérdida de biodiversidad, y en 2020 de proteger y evitar la extinción de especies amenazadas.</v>
      </c>
      <c r="J81" s="74" t="str">
        <v>ODS 15</v>
      </c>
      <c r="K81" s="74" t="str">
        <v>SIN ALINEAR</v>
      </c>
      <c r="L81" s="74" t="str">
        <v>Ambiente y Desarrollo Sostenible</v>
      </c>
    </row>
    <row r="82" spans="1:12" x14ac:dyDescent="0.3">
      <c r="A82" s="74" t="str">
        <v>COLOMBIA: CERRO NEGRO - SAN FRANCISCO - 2-CO-1212-23-3-a</v>
      </c>
      <c r="B82" s="74" t="str">
        <v>Declarar al ecosistema de Páramo Cerro Negro – San Francisco, ubicado en los municipios de como área protegida bajo la figura Parque Natural Regional (PNR) Andino Amazónico.</v>
      </c>
      <c r="C82" s="77">
        <v>45292</v>
      </c>
      <c r="D82" s="77">
        <v>46996</v>
      </c>
      <c r="E82" s="74" t="str">
        <v>Nariño</v>
      </c>
      <c r="F82" s="74" t="str">
        <v>Potosí</v>
      </c>
      <c r="G82" s="74" t="str">
        <v>RAINFOREST TRUST</v>
      </c>
      <c r="H82" s="74" t="str">
        <v>1. Promover la lucha contra el cambio climatico, la justicia ambiental y la transformación productiva</v>
      </c>
      <c r="I82" s="74" t="str">
        <v>15.5.Tomar medidas urgentes y significativas para reducir la degradación del hábitat natural, detener la pérdida de biodiversidad, y en 2020 de proteger y evitar la extinción de especies amenazadas.</v>
      </c>
      <c r="J82" s="74" t="str">
        <v>ODS 15</v>
      </c>
      <c r="K82" s="74" t="str">
        <v>SIN ALINEAR</v>
      </c>
      <c r="L82" s="74" t="str">
        <v>Ambiente y Desarrollo Sostenible</v>
      </c>
    </row>
    <row r="83" spans="1:12" x14ac:dyDescent="0.3">
      <c r="A83" s="74" t="str">
        <v>COLOMBIA: CERRO NEGRO - SAN FRANCISCO - 2-CO-1212-23-3-a</v>
      </c>
      <c r="B83" s="74" t="str">
        <v>Declarar al ecosistema de Páramo Cerro Negro – San Francisco, ubicado en los municipios de como área protegida bajo la figura Parque Natural Regional (PNR) Andino Amazónico.</v>
      </c>
      <c r="C83" s="77">
        <v>45292</v>
      </c>
      <c r="D83" s="77">
        <v>46996</v>
      </c>
      <c r="E83" s="74" t="str">
        <v>Nariño</v>
      </c>
      <c r="F83" s="74" t="str">
        <v>Puerres</v>
      </c>
      <c r="G83" s="74" t="str">
        <v>RAINFOREST TRUST</v>
      </c>
      <c r="H83" s="74" t="str">
        <v>1. Promover la lucha contra el cambio climatico, la justicia ambiental y la transformación productiva</v>
      </c>
      <c r="I83" s="74" t="str">
        <v>15.5.Tomar medidas urgentes y significativas para reducir la degradación del hábitat natural, detener la pérdida de biodiversidad, y en 2020 de proteger y evitar la extinción de especies amenazadas.</v>
      </c>
      <c r="J83" s="74" t="str">
        <v>ODS 15</v>
      </c>
      <c r="K83" s="74" t="str">
        <v>SIN ALINEAR</v>
      </c>
      <c r="L83" s="74" t="str">
        <v>Ambiente y Desarrollo Sostenible</v>
      </c>
    </row>
    <row r="84" spans="1:12" x14ac:dyDescent="0.3">
      <c r="A84" s="74" t="str">
        <v>Crear paz y oportunidades en Colombia, a traves del desminado humanitario con un enfoque de la reduccion de la violencia armada” S07-40-440.70 /COL/COL/HI/2024/01</v>
      </c>
      <c r="B84" s="74" t="str">
        <v>Sin datos</v>
      </c>
      <c r="C84" s="77">
        <v>45505</v>
      </c>
      <c r="D84" s="77">
        <v>46234</v>
      </c>
      <c r="E84" s="74" t="str">
        <v>Nariño</v>
      </c>
      <c r="F84" s="74" t="str">
        <v>La Llanada</v>
      </c>
      <c r="G84" s="74" t="str">
        <v>MINISTERIOR FEDERAL DE RELACIONES EXTERIORES</v>
      </c>
      <c r="H84" s="74" t="str">
        <v>3. Promover una cultura de paz, justicia y lucha contra la desigualdad</v>
      </c>
      <c r="I84" s="74" t="str">
        <v>16.1.Reducir significativamente todas las formas de violencia y las tasas de mortalidad relacionadas en todas partes.</v>
      </c>
      <c r="J84" s="74" t="str">
        <v>ODS 16</v>
      </c>
      <c r="K84" s="74" t="str">
        <v>SIN ALINEAR</v>
      </c>
      <c r="L84" s="74" t="str">
        <v>Presidencia de la República</v>
      </c>
    </row>
    <row r="85" spans="1:12" x14ac:dyDescent="0.3">
      <c r="A85" s="74" t="str">
        <v>Crear paz y oportunidades en Colombia, a traves del desminado humanitario con un enfoque de la reduccion de la violencia armada” S07-40-440.70 /COL/COL/HI/2024/01</v>
      </c>
      <c r="B85" s="74" t="str">
        <v>Sin datos</v>
      </c>
      <c r="C85" s="77">
        <v>45505</v>
      </c>
      <c r="D85" s="77">
        <v>46234</v>
      </c>
      <c r="E85" s="74" t="str">
        <v>Nariño</v>
      </c>
      <c r="F85" s="74" t="str">
        <v>Ricaurte</v>
      </c>
      <c r="G85" s="74" t="str">
        <v>MINISTERIOR FEDERAL DE RELACIONES EXTERIORES</v>
      </c>
      <c r="H85" s="74" t="str">
        <v>3. Promover una cultura de paz, justicia y lucha contra la desigualdad</v>
      </c>
      <c r="I85" s="74" t="str">
        <v>16.1.Reducir significativamente todas las formas de violencia y las tasas de mortalidad relacionadas en todas partes.</v>
      </c>
      <c r="J85" s="74" t="str">
        <v>ODS 16</v>
      </c>
      <c r="K85" s="74" t="str">
        <v>SIN ALINEAR</v>
      </c>
      <c r="L85" s="74" t="str">
        <v>Presidencia de la República</v>
      </c>
    </row>
    <row r="86" spans="1:12" x14ac:dyDescent="0.3">
      <c r="A86" s="74" t="str">
        <v>Crear paz y oportunidades en Colombia, a traves del desminado humanitario con un enfoque de la reduccion de la violencia armada” S07-40-440.70 /COL/COL/HI/2024/01</v>
      </c>
      <c r="B86" s="74" t="str">
        <v>Sin datos</v>
      </c>
      <c r="C86" s="77">
        <v>45505</v>
      </c>
      <c r="D86" s="77">
        <v>46234</v>
      </c>
      <c r="E86" s="74" t="str">
        <v>Nariño</v>
      </c>
      <c r="F86" s="74" t="str">
        <v>Samaniego</v>
      </c>
      <c r="G86" s="74" t="str">
        <v>MINISTERIOR FEDERAL DE RELACIONES EXTERIORES</v>
      </c>
      <c r="H86" s="74" t="str">
        <v>3. Promover una cultura de paz, justicia y lucha contra la desigualdad</v>
      </c>
      <c r="I86" s="74" t="str">
        <v>16.1.Reducir significativamente todas las formas de violencia y las tasas de mortalidad relacionadas en todas partes.</v>
      </c>
      <c r="J86" s="74" t="str">
        <v>ODS 16</v>
      </c>
      <c r="K86" s="74" t="str">
        <v>SIN ALINEAR</v>
      </c>
      <c r="L86" s="74" t="str">
        <v>Presidencia de la República</v>
      </c>
    </row>
    <row r="87" spans="1:12" x14ac:dyDescent="0.3">
      <c r="A87" s="74" t="str">
        <v>Crear paz y oportunidades en Colombia, a traves del desminado humanitario con un enfoque de la reduccion de la violencia armada” S07-40-440.70 /COL/COL/HI/2024/01</v>
      </c>
      <c r="B87" s="74" t="str">
        <v>Sin datos</v>
      </c>
      <c r="C87" s="77">
        <v>45505</v>
      </c>
      <c r="D87" s="77">
        <v>46234</v>
      </c>
      <c r="E87" s="74" t="str">
        <v>Nariño</v>
      </c>
      <c r="F87" s="74" t="str">
        <v>Santacruz</v>
      </c>
      <c r="G87" s="74" t="str">
        <v>MINISTERIOR FEDERAL DE RELACIONES EXTERIORES</v>
      </c>
      <c r="H87" s="74" t="str">
        <v>3. Promover una cultura de paz, justicia y lucha contra la desigualdad</v>
      </c>
      <c r="I87" s="74" t="str">
        <v>16.1.Reducir significativamente todas las formas de violencia y las tasas de mortalidad relacionadas en todas partes.</v>
      </c>
      <c r="J87" s="74" t="str">
        <v>ODS 16</v>
      </c>
      <c r="K87" s="74" t="str">
        <v>SIN ALINEAR</v>
      </c>
      <c r="L87" s="74" t="str">
        <v>Presidencia de la República</v>
      </c>
    </row>
    <row r="88" spans="1:12" x14ac:dyDescent="0.3">
      <c r="A88" s="74" t="str">
        <v>AYMURAY: Fortalecimiento de la capacidad de respuesta y adaptación de pequeños productores a los efectos deeventos climáticos y conflictos sociales. SAI_CICL/2023/1961. Fase II</v>
      </c>
      <c r="B88" s="74" t="str">
        <v xml:space="preserve">Incrementar la estabilidad económica y social en las zonas más afectadas por crisis ambientales y sociales, como forma de contribuir a los procesos de desarrollo sostenible
</v>
      </c>
      <c r="C88" s="77">
        <v>45689</v>
      </c>
      <c r="D88" s="77">
        <v>46053</v>
      </c>
      <c r="E88" s="74" t="str">
        <v>Nariño</v>
      </c>
      <c r="F88" s="74" t="str">
        <v>Buesaco</v>
      </c>
      <c r="G88" s="74" t="str">
        <v>CAMOES. INSTITUTO DE COOPERACIÓN Y DE LA LENGUA PORTUGUESA</v>
      </c>
      <c r="H88" s="74" t="str">
        <v>1. Promover la lucha contra el cambio climatico, la justicia ambiental y la transformación productiva</v>
      </c>
      <c r="I88" s="74" t="str">
        <v>Sin datos</v>
      </c>
      <c r="J88" s="74" t="str">
        <v>ODS 1</v>
      </c>
      <c r="K88" s="74" t="str">
        <v>SIN ALINEAR</v>
      </c>
      <c r="L88" s="74" t="str">
        <v>Agricultura y Desarrollo Rural</v>
      </c>
    </row>
    <row r="89" spans="1:12" x14ac:dyDescent="0.3">
      <c r="A89" s="74" t="str">
        <v>AYMURAY: Fortalecimiento de la capacidad de respuesta y adaptación de pequeños productores a los efectos deeventos climáticos y conflictos sociales. SAI_CICL/2023/1961. Fase II</v>
      </c>
      <c r="B89" s="74" t="str">
        <v xml:space="preserve">Incrementar la estabilidad económica y social en las zonas más afectadas por crisis ambientales y sociales, como forma de contribuir a los procesos de desarrollo sostenible
</v>
      </c>
      <c r="C89" s="77">
        <v>45689</v>
      </c>
      <c r="D89" s="77">
        <v>46053</v>
      </c>
      <c r="E89" s="74" t="str">
        <v>Nariño</v>
      </c>
      <c r="F89" s="74" t="str">
        <v>Pasto</v>
      </c>
      <c r="G89" s="74" t="str">
        <v>CAMOES. INSTITUTO DE COOPERACIÓN Y DE LA LENGUA PORTUGUESA</v>
      </c>
      <c r="H89" s="74" t="str">
        <v>1. Promover la lucha contra el cambio climatico, la justicia ambiental y la transformación productiva</v>
      </c>
      <c r="I89" s="74" t="str">
        <v>Sin datos</v>
      </c>
      <c r="J89" s="74" t="str">
        <v>ODS 1</v>
      </c>
      <c r="K89" s="74" t="str">
        <v>SIN ALINEAR</v>
      </c>
      <c r="L89" s="74" t="str">
        <v>Agricultura y Desarrollo Rural</v>
      </c>
    </row>
    <row r="90" spans="1:12" x14ac:dyDescent="0.3">
      <c r="A90" s="74" t="str">
        <v xml:space="preserve">CONCERTACIÓN SOCIAL PARA EL DESARROLLO TERRITORIAL SOSTENIBLE EN EL SUROCCIDENTE DE COLOMBIA. “SINCHISUYU” (TERRITORIO FUERTE) </v>
      </c>
      <c r="B90" s="74" t="str">
        <v>Contribuir al bienestar y la paz territorial de las comunidades indígenas y campesinas del sur de Colombia.</v>
      </c>
      <c r="C90" s="77">
        <v>45474</v>
      </c>
      <c r="D90" s="77">
        <v>46568</v>
      </c>
      <c r="E90" s="74" t="str">
        <v>Nariño</v>
      </c>
      <c r="F90" s="74" t="str">
        <v>Chachagüí</v>
      </c>
      <c r="G90" s="74" t="str">
        <v>AGENCIA FRANCESA DE DESARROLLO - AFD</v>
      </c>
      <c r="H90" s="74" t="str">
        <v>2. Contribuir a la lucha contra el hambre y la atención humanitaria a la poblacion</v>
      </c>
      <c r="I90" s="74" t="str">
        <v>Sin datos</v>
      </c>
      <c r="J90" s="74" t="str">
        <v>ODS 2</v>
      </c>
      <c r="K90" s="74" t="str">
        <v>SIN ALINEAR</v>
      </c>
      <c r="L90" s="74" t="str">
        <v>Agricultura y Desarrollo Rural</v>
      </c>
    </row>
    <row r="91" spans="1:12" x14ac:dyDescent="0.3">
      <c r="A91" s="74" t="str">
        <v xml:space="preserve">CONCERTACIÓN SOCIAL PARA EL DESARROLLO TERRITORIAL SOSTENIBLE EN EL SUROCCIDENTE DE COLOMBIA. “SINCHISUYU” (TERRITORIO FUERTE) </v>
      </c>
      <c r="B91" s="74" t="str">
        <v>Contribuir al bienestar y la paz territorial de las comunidades indígenas y campesinas del sur de Colombia.</v>
      </c>
      <c r="C91" s="77">
        <v>45474</v>
      </c>
      <c r="D91" s="77">
        <v>46568</v>
      </c>
      <c r="E91" s="74" t="str">
        <v>Nariño</v>
      </c>
      <c r="F91" s="74" t="str">
        <v>Colón</v>
      </c>
      <c r="G91" s="74" t="str">
        <v>AGENCIA FRANCESA DE DESARROLLO - AFD</v>
      </c>
      <c r="H91" s="74" t="str">
        <v>2. Contribuir a la lucha contra el hambre y la atención humanitaria a la poblacion</v>
      </c>
      <c r="I91" s="74" t="str">
        <v>Sin datos</v>
      </c>
      <c r="J91" s="74" t="str">
        <v>ODS 2</v>
      </c>
      <c r="K91" s="74" t="str">
        <v>SIN ALINEAR</v>
      </c>
      <c r="L91" s="74" t="str">
        <v>Agricultura y Desarrollo Rural</v>
      </c>
    </row>
    <row r="92" spans="1:12" x14ac:dyDescent="0.3">
      <c r="A92" s="74" t="str">
        <v xml:space="preserve">CONCERTACIÓN SOCIAL PARA EL DESARROLLO TERRITORIAL SOSTENIBLE EN EL SUROCCIDENTE DE COLOMBIA. “SINCHISUYU” (TERRITORIO FUERTE) </v>
      </c>
      <c r="B92" s="74" t="str">
        <v>Contribuir al bienestar y la paz territorial de las comunidades indígenas y campesinas del sur de Colombia.</v>
      </c>
      <c r="C92" s="77">
        <v>45474</v>
      </c>
      <c r="D92" s="77">
        <v>46568</v>
      </c>
      <c r="E92" s="74" t="str">
        <v>Nariño</v>
      </c>
      <c r="F92" s="74" t="str">
        <v>La Cruz</v>
      </c>
      <c r="G92" s="74" t="str">
        <v>AGENCIA FRANCESA DE DESARROLLO - AFD</v>
      </c>
      <c r="H92" s="74" t="str">
        <v>2. Contribuir a la lucha contra el hambre y la atención humanitaria a la poblacion</v>
      </c>
      <c r="I92" s="74" t="str">
        <v>Sin datos</v>
      </c>
      <c r="J92" s="74" t="str">
        <v>ODS 2</v>
      </c>
      <c r="K92" s="74" t="str">
        <v>SIN ALINEAR</v>
      </c>
      <c r="L92" s="74" t="str">
        <v>Agricultura y Desarrollo Rural</v>
      </c>
    </row>
    <row r="93" spans="1:12" x14ac:dyDescent="0.3">
      <c r="A93" s="74" t="str">
        <v xml:space="preserve">CONCERTACIÓN SOCIAL PARA EL DESARROLLO TERRITORIAL SOSTENIBLE EN EL SUROCCIDENTE DE COLOMBIA. “SINCHISUYU” (TERRITORIO FUERTE) </v>
      </c>
      <c r="B93" s="74" t="str">
        <v>Contribuir al bienestar y la paz territorial de las comunidades indígenas y campesinas del sur de Colombia.</v>
      </c>
      <c r="C93" s="77">
        <v>45474</v>
      </c>
      <c r="D93" s="77">
        <v>46568</v>
      </c>
      <c r="E93" s="74" t="str">
        <v>Nariño</v>
      </c>
      <c r="F93" s="74" t="str">
        <v>La Unión</v>
      </c>
      <c r="G93" s="74" t="str">
        <v>AGENCIA FRANCESA DE DESARROLLO - AFD</v>
      </c>
      <c r="H93" s="74" t="str">
        <v>2. Contribuir a la lucha contra el hambre y la atención humanitaria a la poblacion</v>
      </c>
      <c r="I93" s="74" t="str">
        <v>Sin datos</v>
      </c>
      <c r="J93" s="74" t="str">
        <v>ODS 2</v>
      </c>
      <c r="K93" s="74" t="str">
        <v>SIN ALINEAR</v>
      </c>
      <c r="L93" s="74" t="str">
        <v>Agricultura y Desarrollo Rural</v>
      </c>
    </row>
    <row r="94" spans="1:12" x14ac:dyDescent="0.3">
      <c r="A94" s="74" t="str">
        <v xml:space="preserve">CONCERTACIÓN SOCIAL PARA EL DESARROLLO TERRITORIAL SOSTENIBLE EN EL SUROCCIDENTE DE COLOMBIA. “SINCHISUYU” (TERRITORIO FUERTE) </v>
      </c>
      <c r="B94" s="74" t="str">
        <v>Contribuir al bienestar y la paz territorial de las comunidades indígenas y campesinas del sur de Colombia.</v>
      </c>
      <c r="C94" s="77">
        <v>45474</v>
      </c>
      <c r="D94" s="77">
        <v>46568</v>
      </c>
      <c r="E94" s="74" t="str">
        <v>Nariño</v>
      </c>
      <c r="F94" s="74" t="str">
        <v>Pasto</v>
      </c>
      <c r="G94" s="74" t="str">
        <v>AGENCIA FRANCESA DE DESARROLLO - AFD</v>
      </c>
      <c r="H94" s="74" t="str">
        <v>2. Contribuir a la lucha contra el hambre y la atención humanitaria a la poblacion</v>
      </c>
      <c r="I94" s="74" t="str">
        <v>Sin datos</v>
      </c>
      <c r="J94" s="74" t="str">
        <v>ODS 2</v>
      </c>
      <c r="K94" s="74" t="str">
        <v>SIN ALINEAR</v>
      </c>
      <c r="L94" s="74" t="str">
        <v>Agricultura y Desarrollo Rural</v>
      </c>
    </row>
    <row r="95" spans="1:12" x14ac:dyDescent="0.3">
      <c r="A95" s="74" t="str">
        <v xml:space="preserve">CONCERTACIÓN SOCIAL PARA EL DESARROLLO TERRITORIAL SOSTENIBLE EN EL SUROCCIDENTE DE COLOMBIA. “SINCHISUYU” (TERRITORIO FUERTE) </v>
      </c>
      <c r="B95" s="74" t="str">
        <v>Contribuir al bienestar y la paz territorial de las comunidades indígenas y campesinas del sur de Colombia.</v>
      </c>
      <c r="C95" s="77">
        <v>45474</v>
      </c>
      <c r="D95" s="77">
        <v>46568</v>
      </c>
      <c r="E95" s="74" t="str">
        <v>Nariño</v>
      </c>
      <c r="F95" s="74" t="str">
        <v>San Lorenzo</v>
      </c>
      <c r="G95" s="74" t="str">
        <v>AGENCIA FRANCESA DE DESARROLLO - AFD</v>
      </c>
      <c r="H95" s="74" t="str">
        <v>2. Contribuir a la lucha contra el hambre y la atención humanitaria a la poblacion</v>
      </c>
      <c r="I95" s="74" t="str">
        <v>Sin datos</v>
      </c>
      <c r="J95" s="74" t="str">
        <v>ODS 2</v>
      </c>
      <c r="K95" s="74" t="str">
        <v>SIN ALINEAR</v>
      </c>
      <c r="L95" s="74" t="str">
        <v>Agricultura y Desarrollo Rural</v>
      </c>
    </row>
    <row r="96" spans="1:12" x14ac:dyDescent="0.3">
      <c r="A96" s="74" t="str">
        <v xml:space="preserve">CONCERTACIÓN SOCIAL PARA EL DESARROLLO TERRITORIAL SOSTENIBLE EN EL SUROCCIDENTE DE COLOMBIA. “SINCHISUYU” (TERRITORIO FUERTE) </v>
      </c>
      <c r="B96" s="74" t="str">
        <v>Contribuir al bienestar y la paz territorial de las comunidades indígenas y campesinas del sur de Colombia.</v>
      </c>
      <c r="C96" s="77">
        <v>45474</v>
      </c>
      <c r="D96" s="77">
        <v>46568</v>
      </c>
      <c r="E96" s="74" t="str">
        <v>Nariño</v>
      </c>
      <c r="F96" s="74" t="str">
        <v>San Pablo</v>
      </c>
      <c r="G96" s="74" t="str">
        <v>AGENCIA FRANCESA DE DESARROLLO - AFD</v>
      </c>
      <c r="H96" s="74" t="str">
        <v>2. Contribuir a la lucha contra el hambre y la atención humanitaria a la poblacion</v>
      </c>
      <c r="I96" s="74" t="str">
        <v>Sin datos</v>
      </c>
      <c r="J96" s="74" t="str">
        <v>ODS 2</v>
      </c>
      <c r="K96" s="74" t="str">
        <v>SIN ALINEAR</v>
      </c>
      <c r="L96" s="74" t="str">
        <v>Agricultura y Desarrollo Rural</v>
      </c>
    </row>
    <row r="97" spans="1:12" x14ac:dyDescent="0.3">
      <c r="A97" s="74" t="str">
        <v xml:space="preserve">CONCERTACIÓN SOCIAL PARA EL DESARROLLO TERRITORIAL SOSTENIBLE EN EL SUROCCIDENTE DE COLOMBIA. “SINCHISUYU” (TERRITORIO FUERTE) </v>
      </c>
      <c r="B97" s="74" t="str">
        <v>Contribuir al bienestar y la paz territorial de las comunidades indígenas y campesinas del sur de Colombia.</v>
      </c>
      <c r="C97" s="77">
        <v>45474</v>
      </c>
      <c r="D97" s="77">
        <v>46568</v>
      </c>
      <c r="E97" s="74" t="str">
        <v>Nariño</v>
      </c>
      <c r="F97" s="74" t="str">
        <v>Yacuanquer</v>
      </c>
      <c r="G97" s="74" t="str">
        <v>AGENCIA FRANCESA DE DESARROLLO - AFD</v>
      </c>
      <c r="H97" s="74" t="str">
        <v>2. Contribuir a la lucha contra el hambre y la atención humanitaria a la poblacion</v>
      </c>
      <c r="I97" s="74" t="str">
        <v>Sin datos</v>
      </c>
      <c r="J97" s="74" t="str">
        <v>ODS 2</v>
      </c>
      <c r="K97" s="74" t="str">
        <v>SIN ALINEAR</v>
      </c>
      <c r="L97" s="74" t="str">
        <v>Agricultura y Desarrollo Rural</v>
      </c>
    </row>
    <row r="98" spans="1:12" x14ac:dyDescent="0.3">
      <c r="A98" s="74" t="str">
        <v xml:space="preserve">CONCERTACIÓN SOCIAL PARA EL DESARROLLO TERRITORIAL SOSTENIBLE EN EL SUROCCIDENTE DE COLOMBIA. “SINCHISUYU” (TERRITORIO FUERTE) </v>
      </c>
      <c r="B98" s="74" t="str">
        <v>Contribuir al bienestar y la paz territorial de las comunidades indígenas y campesinas del sur de Colombia.</v>
      </c>
      <c r="C98" s="77">
        <v>45474</v>
      </c>
      <c r="D98" s="77">
        <v>46568</v>
      </c>
      <c r="E98" s="74" t="str">
        <v>Nariño</v>
      </c>
      <c r="F98" s="74" t="str">
        <v>Chachagüí</v>
      </c>
      <c r="G98" s="74" t="str">
        <v>ASOCIACIÓN PARA EL DESARROLLO CAMPESINO</v>
      </c>
      <c r="H98" s="74" t="str">
        <v>2. Contribuir a la lucha contra el hambre y la atención humanitaria a la poblacion</v>
      </c>
      <c r="I98" s="74" t="str">
        <v>Sin datos</v>
      </c>
      <c r="J98" s="74" t="str">
        <v>ODS 2</v>
      </c>
      <c r="K98" s="74" t="str">
        <v>SIN ALINEAR</v>
      </c>
      <c r="L98" s="74" t="str">
        <v>Agricultura y Desarrollo Rural</v>
      </c>
    </row>
    <row r="99" spans="1:12" x14ac:dyDescent="0.3">
      <c r="A99" s="74" t="str">
        <v xml:space="preserve">CONCERTACIÓN SOCIAL PARA EL DESARROLLO TERRITORIAL SOSTENIBLE EN EL SUROCCIDENTE DE COLOMBIA. “SINCHISUYU” (TERRITORIO FUERTE) </v>
      </c>
      <c r="B99" s="74" t="str">
        <v>Contribuir al bienestar y la paz territorial de las comunidades indígenas y campesinas del sur de Colombia.</v>
      </c>
      <c r="C99" s="77">
        <v>45474</v>
      </c>
      <c r="D99" s="77">
        <v>46568</v>
      </c>
      <c r="E99" s="74" t="str">
        <v>Nariño</v>
      </c>
      <c r="F99" s="74" t="str">
        <v>Colón</v>
      </c>
      <c r="G99" s="74" t="str">
        <v>ASOCIACIÓN PARA EL DESARROLLO CAMPESINO</v>
      </c>
      <c r="H99" s="74" t="str">
        <v>2. Contribuir a la lucha contra el hambre y la atención humanitaria a la poblacion</v>
      </c>
      <c r="I99" s="74" t="str">
        <v>Sin datos</v>
      </c>
      <c r="J99" s="74" t="str">
        <v>ODS 2</v>
      </c>
      <c r="K99" s="74" t="str">
        <v>SIN ALINEAR</v>
      </c>
      <c r="L99" s="74" t="str">
        <v>Agricultura y Desarrollo Rural</v>
      </c>
    </row>
    <row r="100" spans="1:12" x14ac:dyDescent="0.3">
      <c r="A100" s="74" t="str">
        <v xml:space="preserve">CONCERTACIÓN SOCIAL PARA EL DESARROLLO TERRITORIAL SOSTENIBLE EN EL SUROCCIDENTE DE COLOMBIA. “SINCHISUYU” (TERRITORIO FUERTE) </v>
      </c>
      <c r="B100" s="74" t="str">
        <v>Contribuir al bienestar y la paz territorial de las comunidades indígenas y campesinas del sur de Colombia.</v>
      </c>
      <c r="C100" s="77">
        <v>45474</v>
      </c>
      <c r="D100" s="77">
        <v>46568</v>
      </c>
      <c r="E100" s="74" t="str">
        <v>Nariño</v>
      </c>
      <c r="F100" s="74" t="str">
        <v>La Cruz</v>
      </c>
      <c r="G100" s="74" t="str">
        <v>ASOCIACIÓN PARA EL DESARROLLO CAMPESINO</v>
      </c>
      <c r="H100" s="74" t="str">
        <v>2. Contribuir a la lucha contra el hambre y la atención humanitaria a la poblacion</v>
      </c>
      <c r="I100" s="74" t="str">
        <v>Sin datos</v>
      </c>
      <c r="J100" s="74" t="str">
        <v>ODS 2</v>
      </c>
      <c r="K100" s="74" t="str">
        <v>SIN ALINEAR</v>
      </c>
      <c r="L100" s="74" t="str">
        <v>Agricultura y Desarrollo Rural</v>
      </c>
    </row>
    <row r="101" spans="1:12" x14ac:dyDescent="0.3">
      <c r="A101" s="74" t="str">
        <v xml:space="preserve">CONCERTACIÓN SOCIAL PARA EL DESARROLLO TERRITORIAL SOSTENIBLE EN EL SUROCCIDENTE DE COLOMBIA. “SINCHISUYU” (TERRITORIO FUERTE) </v>
      </c>
      <c r="B101" s="74" t="str">
        <v>Contribuir al bienestar y la paz territorial de las comunidades indígenas y campesinas del sur de Colombia.</v>
      </c>
      <c r="C101" s="77">
        <v>45474</v>
      </c>
      <c r="D101" s="77">
        <v>46568</v>
      </c>
      <c r="E101" s="74" t="str">
        <v>Nariño</v>
      </c>
      <c r="F101" s="74" t="str">
        <v>La Unión</v>
      </c>
      <c r="G101" s="74" t="str">
        <v>ASOCIACIÓN PARA EL DESARROLLO CAMPESINO</v>
      </c>
      <c r="H101" s="74" t="str">
        <v>2. Contribuir a la lucha contra el hambre y la atención humanitaria a la poblacion</v>
      </c>
      <c r="I101" s="74" t="str">
        <v>Sin datos</v>
      </c>
      <c r="J101" s="74" t="str">
        <v>ODS 2</v>
      </c>
      <c r="K101" s="74" t="str">
        <v>SIN ALINEAR</v>
      </c>
      <c r="L101" s="74" t="str">
        <v>Agricultura y Desarrollo Rural</v>
      </c>
    </row>
    <row r="102" spans="1:12" x14ac:dyDescent="0.3">
      <c r="A102" s="74" t="str">
        <v xml:space="preserve">CONCERTACIÓN SOCIAL PARA EL DESARROLLO TERRITORIAL SOSTENIBLE EN EL SUROCCIDENTE DE COLOMBIA. “SINCHISUYU” (TERRITORIO FUERTE) </v>
      </c>
      <c r="B102" s="74" t="str">
        <v>Contribuir al bienestar y la paz territorial de las comunidades indígenas y campesinas del sur de Colombia.</v>
      </c>
      <c r="C102" s="77">
        <v>45474</v>
      </c>
      <c r="D102" s="77">
        <v>46568</v>
      </c>
      <c r="E102" s="74" t="str">
        <v>Nariño</v>
      </c>
      <c r="F102" s="74" t="str">
        <v>Pasto</v>
      </c>
      <c r="G102" s="74" t="str">
        <v>ASOCIACIÓN PARA EL DESARROLLO CAMPESINO</v>
      </c>
      <c r="H102" s="74" t="str">
        <v>2. Contribuir a la lucha contra el hambre y la atención humanitaria a la poblacion</v>
      </c>
      <c r="I102" s="74" t="str">
        <v>Sin datos</v>
      </c>
      <c r="J102" s="74" t="str">
        <v>ODS 2</v>
      </c>
      <c r="K102" s="74" t="str">
        <v>SIN ALINEAR</v>
      </c>
      <c r="L102" s="74" t="str">
        <v>Agricultura y Desarrollo Rural</v>
      </c>
    </row>
    <row r="103" spans="1:12" x14ac:dyDescent="0.3">
      <c r="A103" s="74" t="str">
        <v xml:space="preserve">CONCERTACIÓN SOCIAL PARA EL DESARROLLO TERRITORIAL SOSTENIBLE EN EL SUROCCIDENTE DE COLOMBIA. “SINCHISUYU” (TERRITORIO FUERTE) </v>
      </c>
      <c r="B103" s="74" t="str">
        <v>Contribuir al bienestar y la paz territorial de las comunidades indígenas y campesinas del sur de Colombia.</v>
      </c>
      <c r="C103" s="77">
        <v>45474</v>
      </c>
      <c r="D103" s="77">
        <v>46568</v>
      </c>
      <c r="E103" s="74" t="str">
        <v>Nariño</v>
      </c>
      <c r="F103" s="74" t="str">
        <v>San Lorenzo</v>
      </c>
      <c r="G103" s="74" t="str">
        <v>ASOCIACIÓN PARA EL DESARROLLO CAMPESINO</v>
      </c>
      <c r="H103" s="74" t="str">
        <v>2. Contribuir a la lucha contra el hambre y la atención humanitaria a la poblacion</v>
      </c>
      <c r="I103" s="74" t="str">
        <v>Sin datos</v>
      </c>
      <c r="J103" s="74" t="str">
        <v>ODS 2</v>
      </c>
      <c r="K103" s="74" t="str">
        <v>SIN ALINEAR</v>
      </c>
      <c r="L103" s="74" t="str">
        <v>Agricultura y Desarrollo Rural</v>
      </c>
    </row>
    <row r="104" spans="1:12" x14ac:dyDescent="0.3">
      <c r="A104" s="74" t="str">
        <v xml:space="preserve">CONCERTACIÓN SOCIAL PARA EL DESARROLLO TERRITORIAL SOSTENIBLE EN EL SUROCCIDENTE DE COLOMBIA. “SINCHISUYU” (TERRITORIO FUERTE) </v>
      </c>
      <c r="B104" s="74" t="str">
        <v>Contribuir al bienestar y la paz territorial de las comunidades indígenas y campesinas del sur de Colombia.</v>
      </c>
      <c r="C104" s="77">
        <v>45474</v>
      </c>
      <c r="D104" s="77">
        <v>46568</v>
      </c>
      <c r="E104" s="74" t="str">
        <v>Nariño</v>
      </c>
      <c r="F104" s="74" t="str">
        <v>San Pablo</v>
      </c>
      <c r="G104" s="74" t="str">
        <v>ASOCIACIÓN PARA EL DESARROLLO CAMPESINO</v>
      </c>
      <c r="H104" s="74" t="str">
        <v>2. Contribuir a la lucha contra el hambre y la atención humanitaria a la poblacion</v>
      </c>
      <c r="I104" s="74" t="str">
        <v>Sin datos</v>
      </c>
      <c r="J104" s="74" t="str">
        <v>ODS 2</v>
      </c>
      <c r="K104" s="74" t="str">
        <v>SIN ALINEAR</v>
      </c>
      <c r="L104" s="74" t="str">
        <v>Agricultura y Desarrollo Rural</v>
      </c>
    </row>
    <row r="105" spans="1:12" x14ac:dyDescent="0.3">
      <c r="A105" s="74" t="str">
        <v xml:space="preserve">CONCERTACIÓN SOCIAL PARA EL DESARROLLO TERRITORIAL SOSTENIBLE EN EL SUROCCIDENTE DE COLOMBIA. “SINCHISUYU” (TERRITORIO FUERTE) </v>
      </c>
      <c r="B105" s="74" t="str">
        <v>Contribuir al bienestar y la paz territorial de las comunidades indígenas y campesinas del sur de Colombia.</v>
      </c>
      <c r="C105" s="77">
        <v>45474</v>
      </c>
      <c r="D105" s="77">
        <v>46568</v>
      </c>
      <c r="E105" s="74" t="str">
        <v>Nariño</v>
      </c>
      <c r="F105" s="74" t="str">
        <v>Yacuanquer</v>
      </c>
      <c r="G105" s="74" t="str">
        <v>ASOCIACIÓN PARA EL DESARROLLO CAMPESINO</v>
      </c>
      <c r="H105" s="74" t="str">
        <v>2. Contribuir a la lucha contra el hambre y la atención humanitaria a la poblacion</v>
      </c>
      <c r="I105" s="74" t="str">
        <v>Sin datos</v>
      </c>
      <c r="J105" s="74" t="str">
        <v>ODS 2</v>
      </c>
      <c r="K105" s="74" t="str">
        <v>SIN ALINEAR</v>
      </c>
      <c r="L105" s="74" t="str">
        <v>Agricultura y Desarrollo Rural</v>
      </c>
    </row>
    <row r="106" spans="1:12" x14ac:dyDescent="0.3">
      <c r="A106" s="74" t="str">
        <v>Proyecto de Desarrollo Territorial y construcción de paz  en Nariño</v>
      </c>
      <c r="B106" s="74" t="str">
        <v>Contribuir a la paz territorial en el departamento de Nariño, a través del empoderamiento social, económico y político de las mujeres y jóvenes en 5 municipios de la Costa Pacífica del departamento de Nariño.</v>
      </c>
      <c r="C106" s="77">
        <v>45539</v>
      </c>
      <c r="D106" s="77">
        <v>46816</v>
      </c>
      <c r="E106" s="74" t="str">
        <v>Nariño</v>
      </c>
      <c r="F106" s="74" t="str">
        <v>Barbacoas</v>
      </c>
      <c r="G106" s="74" t="str">
        <v>AGENCIA ESPAÑOLA DE COOPERACIÓN INTERNACIONAL PARA EL DESARROLLO</v>
      </c>
      <c r="H106" s="74" t="str">
        <v>3. Promover una cultura de paz, justicia y lucha contra la desigualdad</v>
      </c>
      <c r="I106" s="74" t="str">
        <v>10.2.Para 2030 potenciar y promover la inclusión social, económica y política de todos independientemente de la edad, sexo, discapacidad, raza, etnia, origen, religión o condición económica o de otro tipo.</v>
      </c>
      <c r="J106" s="74" t="str">
        <v>ODS 10</v>
      </c>
      <c r="K106" s="74" t="str">
        <v>SIN ALINEAR</v>
      </c>
      <c r="L106" s="74" t="str">
        <v>Igualdad y Equidad</v>
      </c>
    </row>
    <row r="107" spans="1:12" x14ac:dyDescent="0.3">
      <c r="A107" s="74" t="str">
        <v>Proyecto de Desarrollo Territorial y construcción de paz  en Nariño</v>
      </c>
      <c r="B107" s="74" t="str">
        <v>Contribuir a la paz territorial en el departamento de Nariño, a través del empoderamiento social, económico y político de las mujeres y jóvenes en 5 municipios de la Costa Pacífica del departamento de Nariño.</v>
      </c>
      <c r="C107" s="77">
        <v>45539</v>
      </c>
      <c r="D107" s="77">
        <v>46816</v>
      </c>
      <c r="E107" s="74" t="str">
        <v>Nariño</v>
      </c>
      <c r="F107" s="74" t="str">
        <v>Francisco Pizarro</v>
      </c>
      <c r="G107" s="74" t="str">
        <v>AGENCIA ESPAÑOLA DE COOPERACIÓN INTERNACIONAL PARA EL DESARROLLO</v>
      </c>
      <c r="H107" s="74" t="str">
        <v>3. Promover una cultura de paz, justicia y lucha contra la desigualdad</v>
      </c>
      <c r="I107" s="74" t="str">
        <v>10.2.Para 2030 potenciar y promover la inclusión social, económica y política de todos independientemente de la edad, sexo, discapacidad, raza, etnia, origen, religión o condición económica o de otro tipo.</v>
      </c>
      <c r="J107" s="74" t="str">
        <v>ODS 10</v>
      </c>
      <c r="K107" s="74" t="str">
        <v>SIN ALINEAR</v>
      </c>
      <c r="L107" s="74" t="str">
        <v>Igualdad y Equidad</v>
      </c>
    </row>
    <row r="108" spans="1:12" x14ac:dyDescent="0.3">
      <c r="A108" s="74" t="str">
        <v>Proyecto de Desarrollo Territorial y construcción de paz  en Nariño</v>
      </c>
      <c r="B108" s="74" t="str">
        <v>Contribuir a la paz territorial en el departamento de Nariño, a través del empoderamiento social, económico y político de las mujeres y jóvenes en 5 municipios de la Costa Pacífica del departamento de Nariño.</v>
      </c>
      <c r="C108" s="77">
        <v>45539</v>
      </c>
      <c r="D108" s="77">
        <v>46816</v>
      </c>
      <c r="E108" s="74" t="str">
        <v>Nariño</v>
      </c>
      <c r="F108" s="74" t="str">
        <v>Magüí</v>
      </c>
      <c r="G108" s="74" t="str">
        <v>AGENCIA ESPAÑOLA DE COOPERACIÓN INTERNACIONAL PARA EL DESARROLLO</v>
      </c>
      <c r="H108" s="74" t="str">
        <v>3. Promover una cultura de paz, justicia y lucha contra la desigualdad</v>
      </c>
      <c r="I108" s="74" t="str">
        <v>10.2.Para 2030 potenciar y promover la inclusión social, económica y política de todos independientemente de la edad, sexo, discapacidad, raza, etnia, origen, religión o condición económica o de otro tipo.</v>
      </c>
      <c r="J108" s="74" t="str">
        <v>ODS 10</v>
      </c>
      <c r="K108" s="74" t="str">
        <v>SIN ALINEAR</v>
      </c>
      <c r="L108" s="74" t="str">
        <v>Igualdad y Equidad</v>
      </c>
    </row>
    <row r="109" spans="1:12" x14ac:dyDescent="0.3">
      <c r="A109" s="74" t="str">
        <v>Proyecto de Desarrollo Territorial y construcción de paz  en Nariño</v>
      </c>
      <c r="B109" s="74" t="str">
        <v>Contribuir a la paz territorial en el departamento de Nariño, a través del empoderamiento social, económico y político de las mujeres y jóvenes en 5 municipios de la Costa Pacífica del departamento de Nariño.</v>
      </c>
      <c r="C109" s="77">
        <v>45539</v>
      </c>
      <c r="D109" s="77">
        <v>46816</v>
      </c>
      <c r="E109" s="74" t="str">
        <v>Nariño</v>
      </c>
      <c r="F109" s="74" t="str">
        <v>Roberto Payán</v>
      </c>
      <c r="G109" s="74" t="str">
        <v>AGENCIA ESPAÑOLA DE COOPERACIÓN INTERNACIONAL PARA EL DESARROLLO</v>
      </c>
      <c r="H109" s="74" t="str">
        <v>3. Promover una cultura de paz, justicia y lucha contra la desigualdad</v>
      </c>
      <c r="I109" s="74" t="str">
        <v>10.2.Para 2030 potenciar y promover la inclusión social, económica y política de todos independientemente de la edad, sexo, discapacidad, raza, etnia, origen, religión o condición económica o de otro tipo.</v>
      </c>
      <c r="J109" s="74" t="str">
        <v>ODS 10</v>
      </c>
      <c r="K109" s="74" t="str">
        <v>SIN ALINEAR</v>
      </c>
      <c r="L109" s="74" t="str">
        <v>Igualdad y Equidad</v>
      </c>
    </row>
    <row r="110" spans="1:12" x14ac:dyDescent="0.3">
      <c r="A110" s="74" t="str">
        <v>Proyecto de Desarrollo Territorial y construcción de paz  en Nariño</v>
      </c>
      <c r="B110" s="74" t="str">
        <v>Contribuir a la paz territorial en el departamento de Nariño, a través del empoderamiento social, económico y político de las mujeres y jóvenes en 5 municipios de la Costa Pacífica del departamento de Nariño.</v>
      </c>
      <c r="C110" s="77">
        <v>45539</v>
      </c>
      <c r="D110" s="77">
        <v>46816</v>
      </c>
      <c r="E110" s="74" t="str">
        <v>Nariño</v>
      </c>
      <c r="F110" s="74" t="str">
        <v>San Andrés de Tumaco</v>
      </c>
      <c r="G110" s="74" t="str">
        <v>AGENCIA ESPAÑOLA DE COOPERACIÓN INTERNACIONAL PARA EL DESARROLLO</v>
      </c>
      <c r="H110" s="74" t="str">
        <v>3. Promover una cultura de paz, justicia y lucha contra la desigualdad</v>
      </c>
      <c r="I110" s="74" t="str">
        <v>10.2.Para 2030 potenciar y promover la inclusión social, económica y política de todos independientemente de la edad, sexo, discapacidad, raza, etnia, origen, religión o condición económica o de otro tipo.</v>
      </c>
      <c r="J110" s="74" t="str">
        <v>ODS 10</v>
      </c>
      <c r="K110" s="74" t="str">
        <v>SIN ALINEAR</v>
      </c>
      <c r="L110" s="74" t="str">
        <v>Igualdad y Equidad</v>
      </c>
    </row>
    <row r="111" spans="1:12" x14ac:dyDescent="0.3">
      <c r="A111" s="74" t="str">
        <v>Proyecto de Desarrollo Territorial y construcción de paz  en Nariño - desembolso 2025</v>
      </c>
      <c r="B111" s="74" t="str">
        <v>Contribuir a la paz territorial en el departamento de Nariño, a través del empoderamiento social, económico y político de las mujeres y jóvenes en 5 municipios de la Costa Pacífica del departamento de Nariño.</v>
      </c>
      <c r="C111" s="77">
        <v>45658</v>
      </c>
      <c r="D111" s="77">
        <v>46816</v>
      </c>
      <c r="E111" s="74" t="str">
        <v>Nariño</v>
      </c>
      <c r="F111" s="74" t="str">
        <v>Barbacoas</v>
      </c>
      <c r="G111" s="74" t="str">
        <v>AGENCIA ESPAÑOLA DE COOPERACIÓN INTERNACIONAL PARA EL DESARROLLO</v>
      </c>
      <c r="H111" s="74" t="str">
        <v>3. Promover una cultura de paz, justicia y lucha contra la desigualdad</v>
      </c>
      <c r="I111" s="74" t="str">
        <v>10.2.Para 2030 potenciar y promover la inclusión social, económica y política de todos independientemente de la edad, sexo, discapacidad, raza, etnia, origen, religión o condición económica o de otro tipo.</v>
      </c>
      <c r="J111" s="74" t="str">
        <v>ODS 10</v>
      </c>
      <c r="K111" s="74" t="str">
        <v>SIN ALINEAR</v>
      </c>
      <c r="L111" s="74" t="str">
        <v>Igualdad y Equidad</v>
      </c>
    </row>
    <row r="112" spans="1:12" x14ac:dyDescent="0.3">
      <c r="A112" s="74" t="str">
        <v>Proyecto de Desarrollo Territorial y construcción de paz  en Nariño - desembolso 2025</v>
      </c>
      <c r="B112" s="74" t="str">
        <v>Contribuir a la paz territorial en el departamento de Nariño, a través del empoderamiento social, económico y político de las mujeres y jóvenes en 5 municipios de la Costa Pacífica del departamento de Nariño.</v>
      </c>
      <c r="C112" s="77">
        <v>45658</v>
      </c>
      <c r="D112" s="77">
        <v>46816</v>
      </c>
      <c r="E112" s="74" t="str">
        <v>Nariño</v>
      </c>
      <c r="F112" s="74" t="str">
        <v>Francisco Pizarro</v>
      </c>
      <c r="G112" s="74" t="str">
        <v>AGENCIA ESPAÑOLA DE COOPERACIÓN INTERNACIONAL PARA EL DESARROLLO</v>
      </c>
      <c r="H112" s="74" t="str">
        <v>3. Promover una cultura de paz, justicia y lucha contra la desigualdad</v>
      </c>
      <c r="I112" s="74" t="str">
        <v>10.2.Para 2030 potenciar y promover la inclusión social, económica y política de todos independientemente de la edad, sexo, discapacidad, raza, etnia, origen, religión o condición económica o de otro tipo.</v>
      </c>
      <c r="J112" s="74" t="str">
        <v>ODS 10</v>
      </c>
      <c r="K112" s="74" t="str">
        <v>SIN ALINEAR</v>
      </c>
      <c r="L112" s="74" t="str">
        <v>Igualdad y Equidad</v>
      </c>
    </row>
    <row r="113" spans="1:12" x14ac:dyDescent="0.3">
      <c r="A113" s="74" t="str">
        <v>Proyecto de Desarrollo Territorial y construcción de paz  en Nariño - desembolso 2025</v>
      </c>
      <c r="B113" s="74" t="str">
        <v>Contribuir a la paz territorial en el departamento de Nariño, a través del empoderamiento social, económico y político de las mujeres y jóvenes en 5 municipios de la Costa Pacífica del departamento de Nariño.</v>
      </c>
      <c r="C113" s="77">
        <v>45658</v>
      </c>
      <c r="D113" s="77">
        <v>46816</v>
      </c>
      <c r="E113" s="74" t="str">
        <v>Nariño</v>
      </c>
      <c r="F113" s="74" t="str">
        <v>Magüí</v>
      </c>
      <c r="G113" s="74" t="str">
        <v>AGENCIA ESPAÑOLA DE COOPERACIÓN INTERNACIONAL PARA EL DESARROLLO</v>
      </c>
      <c r="H113" s="74" t="str">
        <v>3. Promover una cultura de paz, justicia y lucha contra la desigualdad</v>
      </c>
      <c r="I113" s="74" t="str">
        <v>10.2.Para 2030 potenciar y promover la inclusión social, económica y política de todos independientemente de la edad, sexo, discapacidad, raza, etnia, origen, religión o condición económica o de otro tipo.</v>
      </c>
      <c r="J113" s="74" t="str">
        <v>ODS 10</v>
      </c>
      <c r="K113" s="74" t="str">
        <v>SIN ALINEAR</v>
      </c>
      <c r="L113" s="74" t="str">
        <v>Igualdad y Equidad</v>
      </c>
    </row>
    <row r="114" spans="1:12" x14ac:dyDescent="0.3">
      <c r="A114" s="74" t="str">
        <v>Proyecto de Desarrollo Territorial y construcción de paz  en Nariño - desembolso 2025</v>
      </c>
      <c r="B114" s="74" t="str">
        <v>Contribuir a la paz territorial en el departamento de Nariño, a través del empoderamiento social, económico y político de las mujeres y jóvenes en 5 municipios de la Costa Pacífica del departamento de Nariño.</v>
      </c>
      <c r="C114" s="77">
        <v>45658</v>
      </c>
      <c r="D114" s="77">
        <v>46816</v>
      </c>
      <c r="E114" s="74" t="str">
        <v>Nariño</v>
      </c>
      <c r="F114" s="74" t="str">
        <v>Roberto Payán</v>
      </c>
      <c r="G114" s="74" t="str">
        <v>AGENCIA ESPAÑOLA DE COOPERACIÓN INTERNACIONAL PARA EL DESARROLLO</v>
      </c>
      <c r="H114" s="74" t="str">
        <v>3. Promover una cultura de paz, justicia y lucha contra la desigualdad</v>
      </c>
      <c r="I114" s="74" t="str">
        <v>10.2.Para 2030 potenciar y promover la inclusión social, económica y política de todos independientemente de la edad, sexo, discapacidad, raza, etnia, origen, religión o condición económica o de otro tipo.</v>
      </c>
      <c r="J114" s="74" t="str">
        <v>ODS 10</v>
      </c>
      <c r="K114" s="74" t="str">
        <v>SIN ALINEAR</v>
      </c>
      <c r="L114" s="74" t="str">
        <v>Igualdad y Equidad</v>
      </c>
    </row>
    <row r="115" spans="1:12" x14ac:dyDescent="0.3">
      <c r="A115" s="74" t="str">
        <v>Proyecto de Desarrollo Territorial y construcción de paz  en Nariño - desembolso 2025</v>
      </c>
      <c r="B115" s="74" t="str">
        <v>Contribuir a la paz territorial en el departamento de Nariño, a través del empoderamiento social, económico y político de las mujeres y jóvenes en 5 municipios de la Costa Pacífica del departamento de Nariño.</v>
      </c>
      <c r="C115" s="77">
        <v>45658</v>
      </c>
      <c r="D115" s="77">
        <v>46816</v>
      </c>
      <c r="E115" s="74" t="str">
        <v>Nariño</v>
      </c>
      <c r="F115" s="74" t="str">
        <v>San Andrés de Tumaco</v>
      </c>
      <c r="G115" s="74" t="str">
        <v>AGENCIA ESPAÑOLA DE COOPERACIÓN INTERNACIONAL PARA EL DESARROLLO</v>
      </c>
      <c r="H115" s="74" t="str">
        <v>3. Promover una cultura de paz, justicia y lucha contra la desigualdad</v>
      </c>
      <c r="I115" s="74" t="str">
        <v>10.2.Para 2030 potenciar y promover la inclusión social, económica y política de todos independientemente de la edad, sexo, discapacidad, raza, etnia, origen, religión o condición económica o de otro tipo.</v>
      </c>
      <c r="J115" s="74" t="str">
        <v>ODS 10</v>
      </c>
      <c r="K115" s="74" t="str">
        <v>SIN ALINEAR</v>
      </c>
      <c r="L115" s="74" t="str">
        <v>Igualdad y Equidad</v>
      </c>
    </row>
    <row r="116" spans="1:12" x14ac:dyDescent="0.3">
      <c r="A116" s="74" t="str">
        <v>Articulación institucional para avanzar en la ruta de reparación y restitución de las víctimas del conflicto armado en Colombia - desembolso 2024</v>
      </c>
      <c r="B116" s="74" t="str">
        <v>Sin datos</v>
      </c>
      <c r="C116" s="77">
        <v>45517</v>
      </c>
      <c r="D116" s="77">
        <v>46796</v>
      </c>
      <c r="E116" s="74" t="str">
        <v>Nariño</v>
      </c>
      <c r="F116" s="74" t="str">
        <v>Barbacoas</v>
      </c>
      <c r="G116" s="74" t="str">
        <v>AGENCIA ESPAÑOLA DE COOPERACIÓN INTERNACIONAL PARA EL DESARROLLO</v>
      </c>
      <c r="H116" s="74" t="str">
        <v>3. Promover una cultura de paz, justicia y lucha contra la desigualdad</v>
      </c>
      <c r="I116" s="74" t="str">
        <v>16.10.Garantizar el acceso público a la información y proteger las libertades fundamentales, de conformidad con la legislación nacional y los acuerdos internacionales.</v>
      </c>
      <c r="J116" s="74" t="str">
        <v>ODS 16</v>
      </c>
      <c r="K116" s="74" t="str">
        <v>SIN ALINEAR</v>
      </c>
      <c r="L116" s="74" t="str">
        <v>Presidencia de la República</v>
      </c>
    </row>
    <row r="117" spans="1:12" x14ac:dyDescent="0.3">
      <c r="A117" s="74" t="str">
        <v>Articulación institucional para avanzar en la ruta de reparación y restitución de las víctimas del conflicto armado en Colombia - desembolso 2024</v>
      </c>
      <c r="B117" s="74" t="str">
        <v>Sin datos</v>
      </c>
      <c r="C117" s="77">
        <v>45517</v>
      </c>
      <c r="D117" s="77">
        <v>46796</v>
      </c>
      <c r="E117" s="74" t="str">
        <v>Nariño</v>
      </c>
      <c r="F117" s="74" t="str">
        <v>San Andrés de Tumaco</v>
      </c>
      <c r="G117" s="74" t="str">
        <v>AGENCIA ESPAÑOLA DE COOPERACIÓN INTERNACIONAL PARA EL DESARROLLO</v>
      </c>
      <c r="H117" s="74" t="str">
        <v>3. Promover una cultura de paz, justicia y lucha contra la desigualdad</v>
      </c>
      <c r="I117" s="74" t="str">
        <v>16.10.Garantizar el acceso público a la información y proteger las libertades fundamentales, de conformidad con la legislación nacional y los acuerdos internacionales.</v>
      </c>
      <c r="J117" s="74" t="str">
        <v>ODS 16</v>
      </c>
      <c r="K117" s="74" t="str">
        <v>SIN ALINEAR</v>
      </c>
      <c r="L117" s="74" t="str">
        <v>Presidencia de la República</v>
      </c>
    </row>
    <row r="118" spans="1:12" x14ac:dyDescent="0.3">
      <c r="A118" s="74" t="str">
        <v>Articulación institucional para avanzar en la ruta de reparación y restitución de las víctimas del conflicto armado en Colombia - desembolso 2025</v>
      </c>
      <c r="B118" s="74" t="str">
        <v>Sin datos</v>
      </c>
      <c r="C118" s="77">
        <v>45658</v>
      </c>
      <c r="D118" s="77">
        <v>46796</v>
      </c>
      <c r="E118" s="74" t="str">
        <v>Nariño</v>
      </c>
      <c r="F118" s="74" t="str">
        <v>Barbacoas</v>
      </c>
      <c r="G118" s="74" t="str">
        <v>AGENCIA ESPAÑOLA DE COOPERACIÓN INTERNACIONAL PARA EL DESARROLLO</v>
      </c>
      <c r="H118" s="74" t="str">
        <v>3. Promover una cultura de paz, justicia y lucha contra la desigualdad</v>
      </c>
      <c r="I118" s="74" t="str">
        <v>16.10.Garantizar el acceso público a la información y proteger las libertades fundamentales, de conformidad con la legislación nacional y los acuerdos internacionales.</v>
      </c>
      <c r="J118" s="74" t="str">
        <v>ODS 16</v>
      </c>
      <c r="K118" s="74" t="str">
        <v>SIN ALINEAR</v>
      </c>
      <c r="L118" s="74" t="str">
        <v>Presidencia de la República</v>
      </c>
    </row>
    <row r="119" spans="1:12" x14ac:dyDescent="0.3">
      <c r="A119" s="74" t="str">
        <v>Articulación institucional para avanzar en la ruta de reparación y restitución de las víctimas del conflicto armado en Colombia - desembolso 2025</v>
      </c>
      <c r="B119" s="74" t="str">
        <v>Sin datos</v>
      </c>
      <c r="C119" s="77">
        <v>45658</v>
      </c>
      <c r="D119" s="77">
        <v>46796</v>
      </c>
      <c r="E119" s="74" t="str">
        <v>Nariño</v>
      </c>
      <c r="F119" s="74" t="str">
        <v>San Andrés de Tumaco</v>
      </c>
      <c r="G119" s="74" t="str">
        <v>AGENCIA ESPAÑOLA DE COOPERACIÓN INTERNACIONAL PARA EL DESARROLLO</v>
      </c>
      <c r="H119" s="74" t="str">
        <v>3. Promover una cultura de paz, justicia y lucha contra la desigualdad</v>
      </c>
      <c r="I119" s="74" t="str">
        <v>16.10.Garantizar el acceso público a la información y proteger las libertades fundamentales, de conformidad con la legislación nacional y los acuerdos internacionales.</v>
      </c>
      <c r="J119" s="74" t="str">
        <v>ODS 16</v>
      </c>
      <c r="K119" s="74" t="str">
        <v>SIN ALINEAR</v>
      </c>
      <c r="L119" s="74" t="str">
        <v>Presidencia de la República</v>
      </c>
    </row>
    <row r="120" spans="1:12" x14ac:dyDescent="0.3">
      <c r="A120" s="74" t="str">
        <v>Red Nacional de Jóvenes por la Reconciliación y La Paz Territorial</v>
      </c>
      <c r="B120" s="74" t="str">
        <v>Sin datos</v>
      </c>
      <c r="C120" s="77">
        <v>45467</v>
      </c>
      <c r="D120" s="77">
        <v>46197</v>
      </c>
      <c r="E120" s="74" t="str">
        <v>Nariño</v>
      </c>
      <c r="F120" s="74" t="str">
        <v>No Reporta</v>
      </c>
      <c r="G120" s="74" t="str">
        <v>MPTF</v>
      </c>
      <c r="H120" s="74" t="str">
        <v>3. Promover una cultura de paz, justicia y lucha contra la desigualdad</v>
      </c>
      <c r="I120" s="74" t="str">
        <v>Sin datos</v>
      </c>
      <c r="J120" s="74" t="str">
        <v>ODS 1</v>
      </c>
      <c r="K120" s="74" t="str">
        <v>SIN ALINEAR</v>
      </c>
      <c r="L120" s="74" t="str">
        <v>Presidencia de la República</v>
      </c>
    </row>
    <row r="121" spans="1:12" x14ac:dyDescent="0.3">
      <c r="A121" s="74" t="str">
        <v>Mujeres y jóvenes del Pacífico nariñense construyendo paz y autonomía económica en el territorio colombiano -  Ref exp no° 2023/PRYC/ 000723</v>
      </c>
      <c r="B121" s="74" t="str">
        <v>Contribuira la paz y el desarrollo sosteniblee inclusivo en el Pacifico colombiano</v>
      </c>
      <c r="C121" s="77">
        <v>45366</v>
      </c>
      <c r="D121" s="77">
        <v>46279</v>
      </c>
      <c r="E121" s="74" t="str">
        <v>Nariño</v>
      </c>
      <c r="F121" s="74" t="str">
        <v>Barbacoas</v>
      </c>
      <c r="G121" s="74" t="str">
        <v>AGENCIA ESPAÑOLA DE COOPERACIÓN INTERNACIONAL PARA EL DESARROLLO</v>
      </c>
      <c r="H121" s="74" t="str">
        <v>3. Promover una cultura de paz, justicia y lucha contra la desigualdad</v>
      </c>
      <c r="I121" s="74" t="str">
        <v>16.1.Reducir significativamente todas las formas de violencia y las tasas de mortalidad relacionadas en todas partes.</v>
      </c>
      <c r="J121" s="74" t="str">
        <v>ODS 16</v>
      </c>
      <c r="K121" s="74" t="str">
        <v>SIN ALINEAR</v>
      </c>
      <c r="L121" s="74" t="str">
        <v>Presidencia de la República</v>
      </c>
    </row>
    <row r="122" spans="1:12" x14ac:dyDescent="0.3">
      <c r="A122" s="74" t="str">
        <v>Mujeres y jóvenes del Pacífico nariñense construyendo paz y autonomía económica en el territorio colombiano -  Ref exp no° 2023/PRYC/ 000723</v>
      </c>
      <c r="B122" s="74" t="str">
        <v>Contribuira la paz y el desarrollo sosteniblee inclusivo en el Pacifico colombiano</v>
      </c>
      <c r="C122" s="77">
        <v>45366</v>
      </c>
      <c r="D122" s="77">
        <v>46279</v>
      </c>
      <c r="E122" s="74" t="str">
        <v>Nariño</v>
      </c>
      <c r="F122" s="74" t="str">
        <v>San Andrés de Tumaco</v>
      </c>
      <c r="G122" s="74" t="str">
        <v>AGENCIA ESPAÑOLA DE COOPERACIÓN INTERNACIONAL PARA EL DESARROLLO</v>
      </c>
      <c r="H122" s="74" t="str">
        <v>3. Promover una cultura de paz, justicia y lucha contra la desigualdad</v>
      </c>
      <c r="I122" s="74" t="str">
        <v>16.1.Reducir significativamente todas las formas de violencia y las tasas de mortalidad relacionadas en todas partes.</v>
      </c>
      <c r="J122" s="74" t="str">
        <v>ODS 16</v>
      </c>
      <c r="K122" s="74" t="str">
        <v>SIN ALINEAR</v>
      </c>
      <c r="L122" s="74" t="str">
        <v>Presidencia de la República</v>
      </c>
    </row>
    <row r="123" spans="1:12" x14ac:dyDescent="0.3">
      <c r="A123" s="74" t="str">
        <v>MUJERES AWÁ DEL PACÍFICO NARIÑENSE CONSTRUYENDO AUTONOMÍA ECONÓMICA Y PAZ EN EL TERRITORIO - SOLPCD/2023/0127</v>
      </c>
      <c r="B123" s="74" t="str">
        <v>Contribuir al "buen vivir", la autonomía y gobierno propio del pueblo Awá desde un enfoque de género, étnico y basado en DDHH, como requisito para una vida próspera, sostenible y libre de violencias en el Pacifico colombiano</v>
      </c>
      <c r="C123" s="77">
        <v>45427</v>
      </c>
      <c r="D123" s="77">
        <v>46521</v>
      </c>
      <c r="E123" s="74" t="str">
        <v>Nariño</v>
      </c>
      <c r="F123" s="74" t="str">
        <v>Barbacoas</v>
      </c>
      <c r="G123" s="74" t="str">
        <v>GENERALITAT DE VALENCIA</v>
      </c>
      <c r="H123" s="74" t="str">
        <v>3. Promover una cultura de paz, justicia y lucha contra la desigualdad</v>
      </c>
      <c r="I123" s="74" t="str">
        <v>1.3.Implementar a nivel nacional sistemas y medidas apropiados de protección social para todos, incluidos niveles mínimos, y, de aquí a 2030, lograr una amplia cobertura de las personas pobres y vulnerables</v>
      </c>
      <c r="J123" s="74" t="str">
        <v>ODS 1</v>
      </c>
      <c r="K123" s="74" t="str">
        <v>SIN ALINEAR</v>
      </c>
      <c r="L123" s="74" t="str">
        <v>Interior</v>
      </c>
    </row>
    <row r="124" spans="1:12" x14ac:dyDescent="0.3">
      <c r="A124" s="74" t="str">
        <v>MUJERES AWÁ DEL PACÍFICO NARIÑENSE CONSTRUYENDO AUTONOMÍA ECONÓMICA Y PAZ EN EL TERRITORIO - SOLPCD/2023/0127</v>
      </c>
      <c r="B124" s="74" t="str">
        <v>Contribuir al "buen vivir", la autonomía y gobierno propio del pueblo Awá desde un enfoque de género, étnico y basado en DDHH, como requisito para una vida próspera, sostenible y libre de violencias en el Pacifico colombiano</v>
      </c>
      <c r="C124" s="77">
        <v>45427</v>
      </c>
      <c r="D124" s="77">
        <v>46521</v>
      </c>
      <c r="E124" s="74" t="str">
        <v>Nariño</v>
      </c>
      <c r="F124" s="74" t="str">
        <v>San Andrés de Tumaco</v>
      </c>
      <c r="G124" s="74" t="str">
        <v>GENERALITAT DE VALENCIA</v>
      </c>
      <c r="H124" s="74" t="str">
        <v>3. Promover una cultura de paz, justicia y lucha contra la desigualdad</v>
      </c>
      <c r="I124" s="74" t="str">
        <v>1.3.Implementar a nivel nacional sistemas y medidas apropiados de protección social para todos, incluidos niveles mínimos, y, de aquí a 2030, lograr una amplia cobertura de las personas pobres y vulnerables</v>
      </c>
      <c r="J124" s="74" t="str">
        <v>ODS 1</v>
      </c>
      <c r="K124" s="74" t="str">
        <v>SIN ALINEAR</v>
      </c>
      <c r="L124" s="74" t="str">
        <v>Interior</v>
      </c>
    </row>
    <row r="125" spans="1:12" x14ac:dyDescent="0.3">
      <c r="A125" s="74" t="str">
        <v xml:space="preserve"> Las Escuelas Taller de Colombia promueven la transformación social en los territorios culturales fortaleciendo el vínculo de los patrimonios integrados y los oficios tradicionales con el turismo sostenible y el desarrollo comunitario </v>
      </c>
      <c r="B125" s="74" t="str">
        <v xml:space="preserve">Fortalecimiento del ecosistema de las economías populares y creativas como  estrategia para el desarrollo local y la consolidación de la paz en los territorios. Con los siguientes  elementos esenciales
</v>
      </c>
      <c r="C125" s="77">
        <v>45621</v>
      </c>
      <c r="D125" s="77">
        <v>46351</v>
      </c>
      <c r="E125" s="74" t="str">
        <v>Nariño</v>
      </c>
      <c r="F125" s="74" t="str">
        <v>San Andrés de Tumaco</v>
      </c>
      <c r="G125" s="74" t="str">
        <v>AGENCIA ESPAÑOLA DE COOPERACIÓN INTERNACIONAL PARA EL DESARROLLO</v>
      </c>
      <c r="H125" s="74" t="str">
        <v>2. Contribuir a la lucha contra el hambre y la atención humanitaria a la poblacion</v>
      </c>
      <c r="I125" s="74" t="str">
        <v>4.3.En 2030 garantizar la igualdad de acceso de todas las mujeres y hombres a la educación técnica, profesional y superior, de calidad y asequible, incluyendo la Universidad.</v>
      </c>
      <c r="J125" s="74" t="str">
        <v>ODS 4</v>
      </c>
      <c r="K125" s="74" t="str">
        <v>SIN ALINEAR</v>
      </c>
      <c r="L125" s="74" t="str">
        <v>Cultura</v>
      </c>
    </row>
    <row r="126" spans="1:12" x14ac:dyDescent="0.3">
      <c r="A126" s="74" t="str">
        <v>Fortalecimiento de la calidad y la capacidad de cumplimiento de las normas de las cadenas de valor de la acuicultura de camarón y tilapia en Colombia para facilitar el acceso al mercado - Programa Global de Acceso a Mercados (GMAP Colombia) - ID 200025</v>
      </c>
      <c r="B126" s="74" t="str">
        <v>Facilitar el acceso a los mercados de los productores y las micro, pequeñas y medianas empresas (mipymes) mediante el fortalecimiento de su capacidad de calidad y cumplimiento de las normas.</v>
      </c>
      <c r="C126" s="77">
        <v>44197</v>
      </c>
      <c r="D126" s="77">
        <v>46387</v>
      </c>
      <c r="E126" s="74" t="str">
        <v>Nariño</v>
      </c>
      <c r="F126" s="74" t="str">
        <v>No Reporta</v>
      </c>
      <c r="G126" s="74" t="str">
        <v>AGENCIA NORUEGA PARA LA COOPERACIÓN AL DESARROLLO</v>
      </c>
      <c r="H126" s="74" t="str">
        <v>D. Emprendimiento Y Economía Naranjal</v>
      </c>
      <c r="I126" s="74" t="str">
        <v>14.b.Proporcionar acceso de los pescadores artesanales de pequeña escala a los recursos marinos y los mercados.</v>
      </c>
      <c r="J126" s="74" t="str">
        <v>ODS 14</v>
      </c>
      <c r="K126" s="74" t="str">
        <v>SIN ALINEAR</v>
      </c>
      <c r="L126" s="74" t="str">
        <v>Agricultura y Desarrollo Rural</v>
      </c>
    </row>
    <row r="127" spans="1:12" x14ac:dyDescent="0.3">
      <c r="A127" s="74" t="str">
        <v>CAF-BID- GEF 38: Eficiencia Energética para la Transición a Ciudades Carbono Neutrales en Colombia</v>
      </c>
      <c r="B127" s="74" t="str">
        <v>Sin datos</v>
      </c>
      <c r="C127" s="77">
        <v>45660</v>
      </c>
      <c r="D127" s="77">
        <v>47486</v>
      </c>
      <c r="E127" s="74" t="str">
        <v>Nariño</v>
      </c>
      <c r="F127" s="74" t="str">
        <v>No Reporta</v>
      </c>
      <c r="G127" s="74" t="str">
        <v>BANCO DE DESARROLLO DE AMÉRICA LATINA - CAF</v>
      </c>
      <c r="H127" s="74" t="str">
        <v>1. Promover la lucha contra el cambio climatico, la justicia ambiental y la transformación productiva</v>
      </c>
      <c r="I127" s="74" t="str">
        <v>7.b.En 2030 ampliar la infraestructura y mejorar la tecnología para el suministro de servicios energéticos modernos y sostenibles para todos en los países en desarrollo, especialmente los PMA y los PEID.</v>
      </c>
      <c r="J127" s="74" t="str">
        <v>ODS 7</v>
      </c>
      <c r="K127" s="74" t="str">
        <v>SIN ALINEAR</v>
      </c>
      <c r="L127" s="74" t="str">
        <v>Ambiente y Desarrollo Sostenible</v>
      </c>
    </row>
    <row r="128" spans="1:12" x14ac:dyDescent="0.3">
      <c r="A128" s="74" t="str">
        <v>acceso a los servicios a través de acciones regionales en latam (astral) - echo/-am/bud/2024/91022</v>
      </c>
      <c r="B128" s="74" t="str">
        <v>Sin datos</v>
      </c>
      <c r="C128" s="77">
        <v>45444</v>
      </c>
      <c r="D128" s="77">
        <v>46173</v>
      </c>
      <c r="E128" s="74" t="str">
        <v>Nariño</v>
      </c>
      <c r="F128" s="74" t="str">
        <v>Ipiales</v>
      </c>
      <c r="G128" s="74" t="str">
        <v>Unión Europea</v>
      </c>
      <c r="H128" s="74" t="str">
        <v>3. Promover una cultura de paz, justicia y lucha contra la desigualdad</v>
      </c>
      <c r="I128" s="74" t="str">
        <v>3.7.De aquí a 2030, garantizar el acceso universal a los servicios de salud sexual y reproductiva, incluidos los de planificación familiar, información y educación, y la integración de la salud reproductiva en las estrategias y los programas nacionales</v>
      </c>
      <c r="J128" s="74" t="str">
        <v>ODS 3</v>
      </c>
      <c r="K128" s="74" t="str">
        <v>SIN ALINEAR</v>
      </c>
      <c r="L128" s="74" t="str">
        <v>Salud y Protección Social</v>
      </c>
    </row>
    <row r="129" spans="1:12" x14ac:dyDescent="0.3">
      <c r="A129" s="74" t="str">
        <v>Respuesta comunitaria e individual fortalecida ante amenazas de protección, violaciones de derechos y necesidades básicas en situación de desplazamiento-ECHO/ AM/BUD/2023/91007- FASE II ADENDA 2</v>
      </c>
      <c r="B129" s="74" t="str">
        <v xml:space="preserve">Contribuir a reforzar la respuesta comunitaria e individual ante las amenazas a la protección, las violaciones de derechos y las necesidades básicas insatisfechas de las poblaciones afectadas por el conflicto armado y desplazamientos. </v>
      </c>
      <c r="C129" s="77">
        <v>45638</v>
      </c>
      <c r="D129" s="77">
        <v>46142</v>
      </c>
      <c r="E129" s="74" t="str">
        <v>Nariño</v>
      </c>
      <c r="F129" s="74" t="str">
        <v>Barbacoas</v>
      </c>
      <c r="G129" s="74" t="str">
        <v>Unión Europea</v>
      </c>
      <c r="H129" s="74" t="str">
        <v>3. Promover una cultura de paz, justicia y lucha contra la desigualdad</v>
      </c>
      <c r="I129" s="74" t="str">
        <v>10.7.Facilitar una migración y movimiento de personas ordenada, segura, regular y responsable, a través de la implementación de políticas migratorias planificadas y bien gestionadas.</v>
      </c>
      <c r="J129" s="74" t="str">
        <v>ODS 10</v>
      </c>
      <c r="K129" s="74" t="str">
        <v>SIN ALINEAR</v>
      </c>
      <c r="L129" s="74" t="str">
        <v>Presidencia de la República</v>
      </c>
    </row>
    <row r="130" spans="1:12" x14ac:dyDescent="0.3">
      <c r="A130" s="74" t="str">
        <v>Respuesta comunitaria e individual fortalecida ante amenazas de protección, violaciones de derechos y necesidades básicas en situación de desplazamiento-ECHO/ AM/BUD/2023/91007- FASE II ADENDA 2</v>
      </c>
      <c r="B130" s="74" t="str">
        <v xml:space="preserve">Contribuir a reforzar la respuesta comunitaria e individual ante las amenazas a la protección, las violaciones de derechos y las necesidades básicas insatisfechas de las poblaciones afectadas por el conflicto armado y desplazamientos. </v>
      </c>
      <c r="C130" s="77">
        <v>45638</v>
      </c>
      <c r="D130" s="77">
        <v>46142</v>
      </c>
      <c r="E130" s="74" t="str">
        <v>Nariño</v>
      </c>
      <c r="F130" s="74" t="str">
        <v>La Tola</v>
      </c>
      <c r="G130" s="74" t="str">
        <v>Unión Europea</v>
      </c>
      <c r="H130" s="74" t="str">
        <v>3. Promover una cultura de paz, justicia y lucha contra la desigualdad</v>
      </c>
      <c r="I130" s="74" t="str">
        <v>10.7.Facilitar una migración y movimiento de personas ordenada, segura, regular y responsable, a través de la implementación de políticas migratorias planificadas y bien gestionadas.</v>
      </c>
      <c r="J130" s="74" t="str">
        <v>ODS 10</v>
      </c>
      <c r="K130" s="74" t="str">
        <v>SIN ALINEAR</v>
      </c>
      <c r="L130" s="74" t="str">
        <v>Presidencia de la República</v>
      </c>
    </row>
    <row r="131" spans="1:12" x14ac:dyDescent="0.3">
      <c r="A131" s="74" t="str">
        <v>Respuesta comunitaria e individual fortalecida ante amenazas de protección, violaciones de derechos y necesidades básicas en situación de desplazamiento-ECHO/ AM/BUD/2023/91007- FASE II ADENDA 2</v>
      </c>
      <c r="B131" s="74" t="str">
        <v xml:space="preserve">Contribuir a reforzar la respuesta comunitaria e individual ante las amenazas a la protección, las violaciones de derechos y las necesidades básicas insatisfechas de las poblaciones afectadas por el conflicto armado y desplazamientos. </v>
      </c>
      <c r="C131" s="77">
        <v>45638</v>
      </c>
      <c r="D131" s="77">
        <v>46142</v>
      </c>
      <c r="E131" s="74" t="str">
        <v>Nariño</v>
      </c>
      <c r="F131" s="74" t="str">
        <v>Magüí</v>
      </c>
      <c r="G131" s="74" t="str">
        <v>Unión Europea</v>
      </c>
      <c r="H131" s="74" t="str">
        <v>3. Promover una cultura de paz, justicia y lucha contra la desigualdad</v>
      </c>
      <c r="I131" s="74" t="str">
        <v>10.7.Facilitar una migración y movimiento de personas ordenada, segura, regular y responsable, a través de la implementación de políticas migratorias planificadas y bien gestionadas.</v>
      </c>
      <c r="J131" s="74" t="str">
        <v>ODS 10</v>
      </c>
      <c r="K131" s="74" t="str">
        <v>SIN ALINEAR</v>
      </c>
      <c r="L131" s="74" t="str">
        <v>Presidencia de la República</v>
      </c>
    </row>
    <row r="132" spans="1:12" x14ac:dyDescent="0.3">
      <c r="A132" s="74" t="str">
        <v>Respuesta comunitaria e individual fortalecida ante amenazas de protección, violaciones de derechos y necesidades básicas en situación de desplazamiento-ECHO/ AM/BUD/2023/91007- FASE II ADENDA 2</v>
      </c>
      <c r="B132" s="74" t="str">
        <v xml:space="preserve">Contribuir a reforzar la respuesta comunitaria e individual ante las amenazas a la protección, las violaciones de derechos y las necesidades básicas insatisfechas de las poblaciones afectadas por el conflicto armado y desplazamientos. </v>
      </c>
      <c r="C132" s="77">
        <v>45638</v>
      </c>
      <c r="D132" s="77">
        <v>46142</v>
      </c>
      <c r="E132" s="74" t="str">
        <v>Nariño</v>
      </c>
      <c r="F132" s="74" t="str">
        <v>Olaya Herrera</v>
      </c>
      <c r="G132" s="74" t="str">
        <v>Unión Europea</v>
      </c>
      <c r="H132" s="74" t="str">
        <v>3. Promover una cultura de paz, justicia y lucha contra la desigualdad</v>
      </c>
      <c r="I132" s="74" t="str">
        <v>10.7.Facilitar una migración y movimiento de personas ordenada, segura, regular y responsable, a través de la implementación de políticas migratorias planificadas y bien gestionadas.</v>
      </c>
      <c r="J132" s="74" t="str">
        <v>ODS 10</v>
      </c>
      <c r="K132" s="74" t="str">
        <v>SIN ALINEAR</v>
      </c>
      <c r="L132" s="74" t="str">
        <v>Presidencia de la República</v>
      </c>
    </row>
    <row r="133" spans="1:12" x14ac:dyDescent="0.3">
      <c r="A133" s="74" t="str">
        <v>Respuesta comunitaria e individual fortalecida ante amenazas de protección, violaciones de derechos y necesidades básicas en situación de desplazamiento-ECHO/ AM/BUD/2023/91007- FASE II ADENDA 2</v>
      </c>
      <c r="B133" s="74" t="str">
        <v xml:space="preserve">Contribuir a reforzar la respuesta comunitaria e individual ante las amenazas a la protección, las violaciones de derechos y las necesidades básicas insatisfechas de las poblaciones afectadas por el conflicto armado y desplazamientos. </v>
      </c>
      <c r="C133" s="77">
        <v>45638</v>
      </c>
      <c r="D133" s="77">
        <v>46142</v>
      </c>
      <c r="E133" s="74" t="str">
        <v>Nariño</v>
      </c>
      <c r="F133" s="74" t="str">
        <v>Roberto Payán</v>
      </c>
      <c r="G133" s="74" t="str">
        <v>Unión Europea</v>
      </c>
      <c r="H133" s="74" t="str">
        <v>3. Promover una cultura de paz, justicia y lucha contra la desigualdad</v>
      </c>
      <c r="I133" s="74" t="str">
        <v>10.7.Facilitar una migración y movimiento de personas ordenada, segura, regular y responsable, a través de la implementación de políticas migratorias planificadas y bien gestionadas.</v>
      </c>
      <c r="J133" s="74" t="str">
        <v>ODS 10</v>
      </c>
      <c r="K133" s="74" t="str">
        <v>SIN ALINEAR</v>
      </c>
      <c r="L133" s="74" t="str">
        <v>Presidencia de la República</v>
      </c>
    </row>
    <row r="134" spans="1:12" x14ac:dyDescent="0.3">
      <c r="A134" s="74" t="str">
        <v>Respuesta comunitaria e individual fortalecida ante amenazas de protección, violaciones de derechos y necesidades básicas en situación de desplazamiento-ECHO/ AM/BUD/2023/91007- FASE II ADENDA 2</v>
      </c>
      <c r="B134" s="74" t="str">
        <v xml:space="preserve">Contribuir a reforzar la respuesta comunitaria e individual ante las amenazas a la protección, las violaciones de derechos y las necesidades básicas insatisfechas de las poblaciones afectadas por el conflicto armado y desplazamientos. </v>
      </c>
      <c r="C134" s="77">
        <v>45638</v>
      </c>
      <c r="D134" s="77">
        <v>46142</v>
      </c>
      <c r="E134" s="74" t="str">
        <v>Nariño</v>
      </c>
      <c r="F134" s="74" t="str">
        <v>San Andrés de Tumaco</v>
      </c>
      <c r="G134" s="74" t="str">
        <v>Unión Europea</v>
      </c>
      <c r="H134" s="74" t="str">
        <v>3. Promover una cultura de paz, justicia y lucha contra la desigualdad</v>
      </c>
      <c r="I134" s="74" t="str">
        <v>10.7.Facilitar una migración y movimiento de personas ordenada, segura, regular y responsable, a través de la implementación de políticas migratorias planificadas y bien gestionadas.</v>
      </c>
      <c r="J134" s="74" t="str">
        <v>ODS 10</v>
      </c>
      <c r="K134" s="74" t="str">
        <v>SIN ALINEAR</v>
      </c>
      <c r="L134" s="74" t="str">
        <v>Presidencia de la República</v>
      </c>
    </row>
    <row r="135" spans="1:12" x14ac:dyDescent="0.3">
      <c r="A135" s="74" t="str">
        <v>Hambre y conflicto: proteger a las personas en situaciones de conflicto armado y violencia relacionada con la inseguridad alimentaria, fomentando el cumplimiento del DIH ECHO/ERC/BUD/2022/91013 FASE II ADENDA 1</v>
      </c>
      <c r="B135" s="74" t="str">
        <v>Contribuir a reducir el impacto de los conflictos armados y la violencia conexa en la seguridad alimentaria y los medios de subsistencia, mejorando el cumplimiento del DIH.</v>
      </c>
      <c r="C135" s="77">
        <v>45686</v>
      </c>
      <c r="D135" s="77">
        <v>46173</v>
      </c>
      <c r="E135" s="74" t="str">
        <v>Nariño</v>
      </c>
      <c r="F135" s="74" t="str">
        <v>No Reporta</v>
      </c>
      <c r="G135" s="74" t="str">
        <v>Unión Europea</v>
      </c>
      <c r="H135" s="74" t="str">
        <v>2. Contribuir a la lucha contra el hambre y la atención humanitaria a la poblacion</v>
      </c>
      <c r="I135" s="74" t="str">
        <v>2.1Para 2030 erradicar el hambre y asegurar el acceso de todas las personas, en particular de los pobres y de las personas en situación de vulnerabilidad, incluyendo los infantes, a alimentos seguros, nutritivos y suficientes durante todo el año.</v>
      </c>
      <c r="J135" s="74" t="str">
        <v>ODS 2</v>
      </c>
      <c r="K135" s="74" t="str">
        <v>SIN ALINEAR</v>
      </c>
      <c r="L135" s="74" t="str">
        <v>Agricultura y Desarrollo Rural</v>
      </c>
    </row>
    <row r="136" spans="1:12" x14ac:dyDescent="0.3">
      <c r="A136" s="74" t="str">
        <v>Camino a la reparación: acceso a la justicia, fortalecimiento de liderazgos feministas para la paz y autonomía económica para mujeres LBT - 2024/PRYC/000401</v>
      </c>
      <c r="B136" s="74" t="str">
        <v>Contribuir a la consolidación de la paz en Colombia garantizando los derechos de las mujeres LBT.</v>
      </c>
      <c r="C136" s="77">
        <v>45608</v>
      </c>
      <c r="D136" s="77">
        <v>46519</v>
      </c>
      <c r="E136" s="74" t="str">
        <v>Nariño</v>
      </c>
      <c r="F136" s="74" t="str">
        <v>No Reporta</v>
      </c>
      <c r="G136" s="74" t="str">
        <v>AGENCIA ESPAÑOLA DE COOPERACIÓN INTERNACIONAL PARA EL DESARROLLO</v>
      </c>
      <c r="H136" s="74" t="str">
        <v>3. Promover una cultura de paz, justicia y lucha contra la desigualdad</v>
      </c>
      <c r="I136" s="74" t="str">
        <v>5.5.Garantizar la participación plena y efectiva de las mujeres y la igualdad de oportunidades para el liderazgo en todos los niveles de toma de decisiones en la vida política, económica y
pública.</v>
      </c>
      <c r="J136" s="74" t="str">
        <v>ODS 5</v>
      </c>
      <c r="K136" s="74" t="str">
        <v>SIN ALINEAR</v>
      </c>
      <c r="L136" s="74" t="str">
        <v>Igualdad y Equidad</v>
      </c>
    </row>
    <row r="137" spans="1:12" x14ac:dyDescent="0.3">
      <c r="A137" s="74" t="str">
        <v>Eficiencia Energética para la Transición a Ciudades Carbono Neutrales en Colombia -  No.  ATN/FM- 20857-CO</v>
      </c>
      <c r="B137" s="74" t="str">
        <v>Sin datos</v>
      </c>
      <c r="C137" s="77">
        <v>45602</v>
      </c>
      <c r="D137" s="77">
        <v>46697</v>
      </c>
      <c r="E137" s="74" t="str">
        <v>Nariño</v>
      </c>
      <c r="F137" s="74" t="str">
        <v>Pasto</v>
      </c>
      <c r="G137" s="74" t="str">
        <v>BANCO INTERAMERICANO DE DESARROLLO - BID</v>
      </c>
      <c r="H137" s="74" t="str">
        <v>1. Promover la lucha contra el cambio climatico, la justicia ambiental y la transformación productiva</v>
      </c>
      <c r="I137" s="74" t="str">
        <v>7.3. Doblar la tasa mundial de mejora de la eficiencia energética de aquí a 2030.</v>
      </c>
      <c r="J137" s="74" t="str">
        <v>ODS 7</v>
      </c>
      <c r="K137" s="74" t="str">
        <v>SIN ALINEAR</v>
      </c>
      <c r="L137" s="74" t="str">
        <v>Minas y Energía</v>
      </c>
    </row>
    <row r="138" spans="1:12" x14ac:dyDescent="0.3">
      <c r="A138" s="74" t="str">
        <v>Apoyo al desarrollo economico sostenible y la participación juvenil en territorios de alta vulneabilidad con enfoque en turismmo comunitario, y fortalecimiento institucional</v>
      </c>
      <c r="B138" s="74" t="str">
        <v>Sin datos</v>
      </c>
      <c r="C138" s="77">
        <v>45551</v>
      </c>
      <c r="D138" s="77">
        <v>46097</v>
      </c>
      <c r="E138" s="74" t="str">
        <v>Nariño</v>
      </c>
      <c r="F138" s="74" t="str">
        <v>San Andrés de Tumaco</v>
      </c>
      <c r="G138" s="74" t="str">
        <v>ACDI VOCA</v>
      </c>
      <c r="H138" s="74" t="str">
        <v>2. Contribuir a la lucha contra el hambre y la atención humanitaria a la poblacion</v>
      </c>
      <c r="I138" s="74" t="str">
        <v>8.5.Para 2030 lograr el empleo pleno y productivo y el trabajo decente para todas las mujeres y hombres, incluidos los jóvenes y las personas con discapacidad, y la igualdad de remuneración para el trabajo de igual valor.</v>
      </c>
      <c r="J138" s="74" t="str">
        <v>ODS 8</v>
      </c>
      <c r="K138" s="74" t="str">
        <v>SIN ALINEAR</v>
      </c>
      <c r="L138" s="74" t="str">
        <v>Inclusión Social y Reconciliación</v>
      </c>
    </row>
    <row r="139" spans="1:12" x14ac:dyDescent="0.3">
      <c r="A139" s="74" t="str">
        <v>Apoyo al desarrollo economico sostenible y la participación juvenil en territorios de alta vulneabilidad con enfoque en turismmo comunitario, y fortalecimiento institucional</v>
      </c>
      <c r="B139" s="74" t="str">
        <v>Sin datos</v>
      </c>
      <c r="C139" s="77">
        <v>45551</v>
      </c>
      <c r="D139" s="77">
        <v>46097</v>
      </c>
      <c r="E139" s="74" t="str">
        <v>Nariño</v>
      </c>
      <c r="F139" s="74" t="str">
        <v>San Andrés de Tumaco</v>
      </c>
      <c r="G139" s="74" t="str">
        <v>BANCO DE DESARROLLO DE AMÉRICA LATINA - CAF</v>
      </c>
      <c r="H139" s="74" t="str">
        <v>2. Contribuir a la lucha contra el hambre y la atención humanitaria a la poblacion</v>
      </c>
      <c r="I139" s="74" t="str">
        <v>8.5.Para 2030 lograr el empleo pleno y productivo y el trabajo decente para todas las mujeres y hombres, incluidos los jóvenes y las personas con discapacidad, y la igualdad de remuneración para el trabajo de igual valor.</v>
      </c>
      <c r="J139" s="74" t="str">
        <v>ODS 8</v>
      </c>
      <c r="K139" s="74" t="str">
        <v>SIN ALINEAR</v>
      </c>
      <c r="L139" s="74" t="str">
        <v>Inclusión Social y Reconciliación</v>
      </c>
    </row>
    <row r="140" spans="1:12" x14ac:dyDescent="0.3">
      <c r="A140" s="74" t="str">
        <v xml:space="preserve">RISE UP, Acelerarla aplicación del Acuerdo de París aumentando la resiliencia climática de los pobres de las zonas urbanas - M1-32FOD-000243 </v>
      </c>
      <c r="B140" s="74" t="str">
        <v>Fortalecerlas capacidades hacia la resiliencia climática de las comunidades urbanas pobres en Bolivia, Colombia, Etiopía, Jordania y Túnez.</v>
      </c>
      <c r="C140" s="77">
        <v>45292</v>
      </c>
      <c r="D140" s="77">
        <v>46203</v>
      </c>
      <c r="E140" s="74" t="str">
        <v>Nariño</v>
      </c>
      <c r="F140" s="74" t="str">
        <v>Albán</v>
      </c>
      <c r="G140" s="74" t="str">
        <v>AGENCIA ESPAÑOLA DE COOPERACIÓN INTERNACIONAL PARA EL DESARROLLO</v>
      </c>
      <c r="H140" s="74" t="str">
        <v>1. Promover la lucha contra el cambio climatico, la justicia ambiental y la transformación productiva</v>
      </c>
      <c r="I140" s="74" t="str">
        <v>11.1.Para 2030, asegurar el acceso para todos a una vivienda adecuada, segura y asequible, y a los servicios básicos y mejorar los tugurios.</v>
      </c>
      <c r="J140" s="74" t="str">
        <v>ODS 11</v>
      </c>
      <c r="K140" s="74" t="str">
        <v>SIN ALINEAR</v>
      </c>
      <c r="L140" s="74" t="str">
        <v>Presidencia de la República</v>
      </c>
    </row>
    <row r="141" spans="1:12" x14ac:dyDescent="0.3">
      <c r="A141" s="74" t="str">
        <v xml:space="preserve">RISE UP, Acelerarla aplicación del Acuerdo de París aumentando la resiliencia climática de los pobres de las zonas urbanas - M1-32FOD-000243 </v>
      </c>
      <c r="B141" s="74" t="str">
        <v>Fortalecerlas capacidades hacia la resiliencia climática de las comunidades urbanas pobres en Bolivia, Colombia, Etiopía, Jordania y Túnez.</v>
      </c>
      <c r="C141" s="77">
        <v>45292</v>
      </c>
      <c r="D141" s="77">
        <v>46203</v>
      </c>
      <c r="E141" s="74" t="str">
        <v>Nariño</v>
      </c>
      <c r="F141" s="74" t="str">
        <v>Aldana</v>
      </c>
      <c r="G141" s="74" t="str">
        <v>AGENCIA ESPAÑOLA DE COOPERACIÓN INTERNACIONAL PARA EL DESARROLLO</v>
      </c>
      <c r="H141" s="74" t="str">
        <v>1. Promover la lucha contra el cambio climatico, la justicia ambiental y la transformación productiva</v>
      </c>
      <c r="I141" s="74" t="str">
        <v>11.1.Para 2030, asegurar el acceso para todos a una vivienda adecuada, segura y asequible, y a los servicios básicos y mejorar los tugurios.</v>
      </c>
      <c r="J141" s="74" t="str">
        <v>ODS 11</v>
      </c>
      <c r="K141" s="74" t="str">
        <v>SIN ALINEAR</v>
      </c>
      <c r="L141" s="74" t="str">
        <v>Presidencia de la República</v>
      </c>
    </row>
    <row r="142" spans="1:12" x14ac:dyDescent="0.3">
      <c r="A142" s="74" t="str">
        <v xml:space="preserve">RISE UP, Acelerarla aplicación del Acuerdo de París aumentando la resiliencia climática de los pobres de las zonas urbanas - M1-32FOD-000243 </v>
      </c>
      <c r="B142" s="74" t="str">
        <v>Fortalecerlas capacidades hacia la resiliencia climática de las comunidades urbanas pobres en Bolivia, Colombia, Etiopía, Jordania y Túnez.</v>
      </c>
      <c r="C142" s="77">
        <v>45292</v>
      </c>
      <c r="D142" s="77">
        <v>46203</v>
      </c>
      <c r="E142" s="74" t="str">
        <v>Nariño</v>
      </c>
      <c r="F142" s="74" t="str">
        <v>Ancuyá</v>
      </c>
      <c r="G142" s="74" t="str">
        <v>AGENCIA ESPAÑOLA DE COOPERACIÓN INTERNACIONAL PARA EL DESARROLLO</v>
      </c>
      <c r="H142" s="74" t="str">
        <v>1. Promover la lucha contra el cambio climatico, la justicia ambiental y la transformación productiva</v>
      </c>
      <c r="I142" s="74" t="str">
        <v>11.1.Para 2030, asegurar el acceso para todos a una vivienda adecuada, segura y asequible, y a los servicios básicos y mejorar los tugurios.</v>
      </c>
      <c r="J142" s="74" t="str">
        <v>ODS 11</v>
      </c>
      <c r="K142" s="74" t="str">
        <v>SIN ALINEAR</v>
      </c>
      <c r="L142" s="74" t="str">
        <v>Presidencia de la República</v>
      </c>
    </row>
    <row r="143" spans="1:12" x14ac:dyDescent="0.3">
      <c r="A143" s="74" t="str">
        <v xml:space="preserve">RISE UP, Acelerarla aplicación del Acuerdo de París aumentando la resiliencia climática de los pobres de las zonas urbanas - M1-32FOD-000243 </v>
      </c>
      <c r="B143" s="74" t="str">
        <v>Fortalecerlas capacidades hacia la resiliencia climática de las comunidades urbanas pobres en Bolivia, Colombia, Etiopía, Jordania y Túnez.</v>
      </c>
      <c r="C143" s="77">
        <v>45292</v>
      </c>
      <c r="D143" s="77">
        <v>46203</v>
      </c>
      <c r="E143" s="74" t="str">
        <v>Nariño</v>
      </c>
      <c r="F143" s="74" t="str">
        <v>Arboleda</v>
      </c>
      <c r="G143" s="74" t="str">
        <v>AGENCIA ESPAÑOLA DE COOPERACIÓN INTERNACIONAL PARA EL DESARROLLO</v>
      </c>
      <c r="H143" s="74" t="str">
        <v>1. Promover la lucha contra el cambio climatico, la justicia ambiental y la transformación productiva</v>
      </c>
      <c r="I143" s="74" t="str">
        <v>11.1.Para 2030, asegurar el acceso para todos a una vivienda adecuada, segura y asequible, y a los servicios básicos y mejorar los tugurios.</v>
      </c>
      <c r="J143" s="74" t="str">
        <v>ODS 11</v>
      </c>
      <c r="K143" s="74" t="str">
        <v>SIN ALINEAR</v>
      </c>
      <c r="L143" s="74" t="str">
        <v>Presidencia de la República</v>
      </c>
    </row>
    <row r="144" spans="1:12" x14ac:dyDescent="0.3">
      <c r="A144" s="74" t="str">
        <v xml:space="preserve">RISE UP, Acelerarla aplicación del Acuerdo de París aumentando la resiliencia climática de los pobres de las zonas urbanas - M1-32FOD-000243 </v>
      </c>
      <c r="B144" s="74" t="str">
        <v>Fortalecerlas capacidades hacia la resiliencia climática de las comunidades urbanas pobres en Bolivia, Colombia, Etiopía, Jordania y Túnez.</v>
      </c>
      <c r="C144" s="77">
        <v>45292</v>
      </c>
      <c r="D144" s="77">
        <v>46203</v>
      </c>
      <c r="E144" s="74" t="str">
        <v>Nariño</v>
      </c>
      <c r="F144" s="74" t="str">
        <v>Barbacoas</v>
      </c>
      <c r="G144" s="74" t="str">
        <v>AGENCIA ESPAÑOLA DE COOPERACIÓN INTERNACIONAL PARA EL DESARROLLO</v>
      </c>
      <c r="H144" s="74" t="str">
        <v>1. Promover la lucha contra el cambio climatico, la justicia ambiental y la transformación productiva</v>
      </c>
      <c r="I144" s="74" t="str">
        <v>11.1.Para 2030, asegurar el acceso para todos a una vivienda adecuada, segura y asequible, y a los servicios básicos y mejorar los tugurios.</v>
      </c>
      <c r="J144" s="74" t="str">
        <v>ODS 11</v>
      </c>
      <c r="K144" s="74" t="str">
        <v>SIN ALINEAR</v>
      </c>
      <c r="L144" s="74" t="str">
        <v>Presidencia de la República</v>
      </c>
    </row>
    <row r="145" spans="1:12" x14ac:dyDescent="0.3">
      <c r="A145" s="74" t="str">
        <v xml:space="preserve">RISE UP, Acelerarla aplicación del Acuerdo de París aumentando la resiliencia climática de los pobres de las zonas urbanas - M1-32FOD-000243 </v>
      </c>
      <c r="B145" s="74" t="str">
        <v>Fortalecerlas capacidades hacia la resiliencia climática de las comunidades urbanas pobres en Bolivia, Colombia, Etiopía, Jordania y Túnez.</v>
      </c>
      <c r="C145" s="77">
        <v>45292</v>
      </c>
      <c r="D145" s="77">
        <v>46203</v>
      </c>
      <c r="E145" s="74" t="str">
        <v>Nariño</v>
      </c>
      <c r="F145" s="74" t="str">
        <v>Belén</v>
      </c>
      <c r="G145" s="74" t="str">
        <v>AGENCIA ESPAÑOLA DE COOPERACIÓN INTERNACIONAL PARA EL DESARROLLO</v>
      </c>
      <c r="H145" s="74" t="str">
        <v>1. Promover la lucha contra el cambio climatico, la justicia ambiental y la transformación productiva</v>
      </c>
      <c r="I145" s="74" t="str">
        <v>11.1.Para 2030, asegurar el acceso para todos a una vivienda adecuada, segura y asequible, y a los servicios básicos y mejorar los tugurios.</v>
      </c>
      <c r="J145" s="74" t="str">
        <v>ODS 11</v>
      </c>
      <c r="K145" s="74" t="str">
        <v>SIN ALINEAR</v>
      </c>
      <c r="L145" s="74" t="str">
        <v>Presidencia de la República</v>
      </c>
    </row>
    <row r="146" spans="1:12" x14ac:dyDescent="0.3">
      <c r="A146" s="74" t="str">
        <v xml:space="preserve">RISE UP, Acelerarla aplicación del Acuerdo de París aumentando la resiliencia climática de los pobres de las zonas urbanas - M1-32FOD-000243 </v>
      </c>
      <c r="B146" s="74" t="str">
        <v>Fortalecerlas capacidades hacia la resiliencia climática de las comunidades urbanas pobres en Bolivia, Colombia, Etiopía, Jordania y Túnez.</v>
      </c>
      <c r="C146" s="77">
        <v>45292</v>
      </c>
      <c r="D146" s="77">
        <v>46203</v>
      </c>
      <c r="E146" s="74" t="str">
        <v>Nariño</v>
      </c>
      <c r="F146" s="74" t="str">
        <v>Buesaco</v>
      </c>
      <c r="G146" s="74" t="str">
        <v>AGENCIA ESPAÑOLA DE COOPERACIÓN INTERNACIONAL PARA EL DESARROLLO</v>
      </c>
      <c r="H146" s="74" t="str">
        <v>1. Promover la lucha contra el cambio climatico, la justicia ambiental y la transformación productiva</v>
      </c>
      <c r="I146" s="74" t="str">
        <v>11.1.Para 2030, asegurar el acceso para todos a una vivienda adecuada, segura y asequible, y a los servicios básicos y mejorar los tugurios.</v>
      </c>
      <c r="J146" s="74" t="str">
        <v>ODS 11</v>
      </c>
      <c r="K146" s="74" t="str">
        <v>SIN ALINEAR</v>
      </c>
      <c r="L146" s="74" t="str">
        <v>Presidencia de la República</v>
      </c>
    </row>
    <row r="147" spans="1:12" x14ac:dyDescent="0.3">
      <c r="A147" s="74" t="str">
        <v xml:space="preserve">RISE UP, Acelerarla aplicación del Acuerdo de París aumentando la resiliencia climática de los pobres de las zonas urbanas - M1-32FOD-000243 </v>
      </c>
      <c r="B147" s="74" t="str">
        <v>Fortalecerlas capacidades hacia la resiliencia climática de las comunidades urbanas pobres en Bolivia, Colombia, Etiopía, Jordania y Túnez.</v>
      </c>
      <c r="C147" s="77">
        <v>45292</v>
      </c>
      <c r="D147" s="77">
        <v>46203</v>
      </c>
      <c r="E147" s="74" t="str">
        <v>Nariño</v>
      </c>
      <c r="F147" s="74" t="str">
        <v>Chachagüí</v>
      </c>
      <c r="G147" s="74" t="str">
        <v>AGENCIA ESPAÑOLA DE COOPERACIÓN INTERNACIONAL PARA EL DESARROLLO</v>
      </c>
      <c r="H147" s="74" t="str">
        <v>1. Promover la lucha contra el cambio climatico, la justicia ambiental y la transformación productiva</v>
      </c>
      <c r="I147" s="74" t="str">
        <v>11.1.Para 2030, asegurar el acceso para todos a una vivienda adecuada, segura y asequible, y a los servicios básicos y mejorar los tugurios.</v>
      </c>
      <c r="J147" s="74" t="str">
        <v>ODS 11</v>
      </c>
      <c r="K147" s="74" t="str">
        <v>SIN ALINEAR</v>
      </c>
      <c r="L147" s="74" t="str">
        <v>Presidencia de la República</v>
      </c>
    </row>
    <row r="148" spans="1:12" x14ac:dyDescent="0.3">
      <c r="A148" s="74" t="str">
        <v xml:space="preserve">RISE UP, Acelerarla aplicación del Acuerdo de París aumentando la resiliencia climática de los pobres de las zonas urbanas - M1-32FOD-000243 </v>
      </c>
      <c r="B148" s="74" t="str">
        <v>Fortalecerlas capacidades hacia la resiliencia climática de las comunidades urbanas pobres en Bolivia, Colombia, Etiopía, Jordania y Túnez.</v>
      </c>
      <c r="C148" s="77">
        <v>45292</v>
      </c>
      <c r="D148" s="77">
        <v>46203</v>
      </c>
      <c r="E148" s="74" t="str">
        <v>Nariño</v>
      </c>
      <c r="F148" s="74" t="str">
        <v>Colón</v>
      </c>
      <c r="G148" s="74" t="str">
        <v>AGENCIA ESPAÑOLA DE COOPERACIÓN INTERNACIONAL PARA EL DESARROLLO</v>
      </c>
      <c r="H148" s="74" t="str">
        <v>1. Promover la lucha contra el cambio climatico, la justicia ambiental y la transformación productiva</v>
      </c>
      <c r="I148" s="74" t="str">
        <v>11.1.Para 2030, asegurar el acceso para todos a una vivienda adecuada, segura y asequible, y a los servicios básicos y mejorar los tugurios.</v>
      </c>
      <c r="J148" s="74" t="str">
        <v>ODS 11</v>
      </c>
      <c r="K148" s="74" t="str">
        <v>SIN ALINEAR</v>
      </c>
      <c r="L148" s="74" t="str">
        <v>Presidencia de la República</v>
      </c>
    </row>
    <row r="149" spans="1:12" x14ac:dyDescent="0.3">
      <c r="A149" s="74" t="str">
        <v xml:space="preserve">RISE UP, Acelerarla aplicación del Acuerdo de París aumentando la resiliencia climática de los pobres de las zonas urbanas - M1-32FOD-000243 </v>
      </c>
      <c r="B149" s="74" t="str">
        <v>Fortalecerlas capacidades hacia la resiliencia climática de las comunidades urbanas pobres en Bolivia, Colombia, Etiopía, Jordania y Túnez.</v>
      </c>
      <c r="C149" s="77">
        <v>45292</v>
      </c>
      <c r="D149" s="77">
        <v>46203</v>
      </c>
      <c r="E149" s="74" t="str">
        <v>Nariño</v>
      </c>
      <c r="F149" s="74" t="str">
        <v>Consacá</v>
      </c>
      <c r="G149" s="74" t="str">
        <v>AGENCIA ESPAÑOLA DE COOPERACIÓN INTERNACIONAL PARA EL DESARROLLO</v>
      </c>
      <c r="H149" s="74" t="str">
        <v>1. Promover la lucha contra el cambio climatico, la justicia ambiental y la transformación productiva</v>
      </c>
      <c r="I149" s="74" t="str">
        <v>11.1.Para 2030, asegurar el acceso para todos a una vivienda adecuada, segura y asequible, y a los servicios básicos y mejorar los tugurios.</v>
      </c>
      <c r="J149" s="74" t="str">
        <v>ODS 11</v>
      </c>
      <c r="K149" s="74" t="str">
        <v>SIN ALINEAR</v>
      </c>
      <c r="L149" s="74" t="str">
        <v>Presidencia de la República</v>
      </c>
    </row>
    <row r="150" spans="1:12" x14ac:dyDescent="0.3">
      <c r="A150" s="74" t="str">
        <v xml:space="preserve">RISE UP, Acelerarla aplicación del Acuerdo de París aumentando la resiliencia climática de los pobres de las zonas urbanas - M1-32FOD-000243 </v>
      </c>
      <c r="B150" s="74" t="str">
        <v>Fortalecerlas capacidades hacia la resiliencia climática de las comunidades urbanas pobres en Bolivia, Colombia, Etiopía, Jordania y Túnez.</v>
      </c>
      <c r="C150" s="77">
        <v>45292</v>
      </c>
      <c r="D150" s="77">
        <v>46203</v>
      </c>
      <c r="E150" s="74" t="str">
        <v>Nariño</v>
      </c>
      <c r="F150" s="74" t="str">
        <v>Contadero</v>
      </c>
      <c r="G150" s="74" t="str">
        <v>AGENCIA ESPAÑOLA DE COOPERACIÓN INTERNACIONAL PARA EL DESARROLLO</v>
      </c>
      <c r="H150" s="74" t="str">
        <v>1. Promover la lucha contra el cambio climatico, la justicia ambiental y la transformación productiva</v>
      </c>
      <c r="I150" s="74" t="str">
        <v>11.1.Para 2030, asegurar el acceso para todos a una vivienda adecuada, segura y asequible, y a los servicios básicos y mejorar los tugurios.</v>
      </c>
      <c r="J150" s="74" t="str">
        <v>ODS 11</v>
      </c>
      <c r="K150" s="74" t="str">
        <v>SIN ALINEAR</v>
      </c>
      <c r="L150" s="74" t="str">
        <v>Presidencia de la República</v>
      </c>
    </row>
    <row r="151" spans="1:12" x14ac:dyDescent="0.3">
      <c r="A151" s="74" t="str">
        <v xml:space="preserve">RISE UP, Acelerarla aplicación del Acuerdo de París aumentando la resiliencia climática de los pobres de las zonas urbanas - M1-32FOD-000243 </v>
      </c>
      <c r="B151" s="74" t="str">
        <v>Fortalecerlas capacidades hacia la resiliencia climática de las comunidades urbanas pobres en Bolivia, Colombia, Etiopía, Jordania y Túnez.</v>
      </c>
      <c r="C151" s="77">
        <v>45292</v>
      </c>
      <c r="D151" s="77">
        <v>46203</v>
      </c>
      <c r="E151" s="74" t="str">
        <v>Nariño</v>
      </c>
      <c r="F151" s="74" t="str">
        <v>Córdoba</v>
      </c>
      <c r="G151" s="74" t="str">
        <v>AGENCIA ESPAÑOLA DE COOPERACIÓN INTERNACIONAL PARA EL DESARROLLO</v>
      </c>
      <c r="H151" s="74" t="str">
        <v>1. Promover la lucha contra el cambio climatico, la justicia ambiental y la transformación productiva</v>
      </c>
      <c r="I151" s="74" t="str">
        <v>11.1.Para 2030, asegurar el acceso para todos a una vivienda adecuada, segura y asequible, y a los servicios básicos y mejorar los tugurios.</v>
      </c>
      <c r="J151" s="74" t="str">
        <v>ODS 11</v>
      </c>
      <c r="K151" s="74" t="str">
        <v>SIN ALINEAR</v>
      </c>
      <c r="L151" s="74" t="str">
        <v>Presidencia de la República</v>
      </c>
    </row>
    <row r="152" spans="1:12" x14ac:dyDescent="0.3">
      <c r="A152" s="74" t="str">
        <v xml:space="preserve">RISE UP, Acelerarla aplicación del Acuerdo de París aumentando la resiliencia climática de los pobres de las zonas urbanas - M1-32FOD-000243 </v>
      </c>
      <c r="B152" s="74" t="str">
        <v>Fortalecerlas capacidades hacia la resiliencia climática de las comunidades urbanas pobres en Bolivia, Colombia, Etiopía, Jordania y Túnez.</v>
      </c>
      <c r="C152" s="77">
        <v>45292</v>
      </c>
      <c r="D152" s="77">
        <v>46203</v>
      </c>
      <c r="E152" s="74" t="str">
        <v>Nariño</v>
      </c>
      <c r="F152" s="74" t="str">
        <v>Cuaspúd</v>
      </c>
      <c r="G152" s="74" t="str">
        <v>AGENCIA ESPAÑOLA DE COOPERACIÓN INTERNACIONAL PARA EL DESARROLLO</v>
      </c>
      <c r="H152" s="74" t="str">
        <v>1. Promover la lucha contra el cambio climatico, la justicia ambiental y la transformación productiva</v>
      </c>
      <c r="I152" s="74" t="str">
        <v>11.1.Para 2030, asegurar el acceso para todos a una vivienda adecuada, segura y asequible, y a los servicios básicos y mejorar los tugurios.</v>
      </c>
      <c r="J152" s="74" t="str">
        <v>ODS 11</v>
      </c>
      <c r="K152" s="74" t="str">
        <v>SIN ALINEAR</v>
      </c>
      <c r="L152" s="74" t="str">
        <v>Presidencia de la República</v>
      </c>
    </row>
    <row r="153" spans="1:12" x14ac:dyDescent="0.3">
      <c r="A153" s="74" t="str">
        <v xml:space="preserve">RISE UP, Acelerarla aplicación del Acuerdo de París aumentando la resiliencia climática de los pobres de las zonas urbanas - M1-32FOD-000243 </v>
      </c>
      <c r="B153" s="74" t="str">
        <v>Fortalecerlas capacidades hacia la resiliencia climática de las comunidades urbanas pobres en Bolivia, Colombia, Etiopía, Jordania y Túnez.</v>
      </c>
      <c r="C153" s="77">
        <v>45292</v>
      </c>
      <c r="D153" s="77">
        <v>46203</v>
      </c>
      <c r="E153" s="74" t="str">
        <v>Nariño</v>
      </c>
      <c r="F153" s="74" t="str">
        <v>Cumbal</v>
      </c>
      <c r="G153" s="74" t="str">
        <v>AGENCIA ESPAÑOLA DE COOPERACIÓN INTERNACIONAL PARA EL DESARROLLO</v>
      </c>
      <c r="H153" s="74" t="str">
        <v>1. Promover la lucha contra el cambio climatico, la justicia ambiental y la transformación productiva</v>
      </c>
      <c r="I153" s="74" t="str">
        <v>11.1.Para 2030, asegurar el acceso para todos a una vivienda adecuada, segura y asequible, y a los servicios básicos y mejorar los tugurios.</v>
      </c>
      <c r="J153" s="74" t="str">
        <v>ODS 11</v>
      </c>
      <c r="K153" s="74" t="str">
        <v>SIN ALINEAR</v>
      </c>
      <c r="L153" s="74" t="str">
        <v>Presidencia de la República</v>
      </c>
    </row>
    <row r="154" spans="1:12" x14ac:dyDescent="0.3">
      <c r="A154" s="74" t="str">
        <v xml:space="preserve">RISE UP, Acelerarla aplicación del Acuerdo de París aumentando la resiliencia climática de los pobres de las zonas urbanas - M1-32FOD-000243 </v>
      </c>
      <c r="B154" s="74" t="str">
        <v>Fortalecerlas capacidades hacia la resiliencia climática de las comunidades urbanas pobres en Bolivia, Colombia, Etiopía, Jordania y Túnez.</v>
      </c>
      <c r="C154" s="77">
        <v>45292</v>
      </c>
      <c r="D154" s="77">
        <v>46203</v>
      </c>
      <c r="E154" s="74" t="str">
        <v>Nariño</v>
      </c>
      <c r="F154" s="74" t="str">
        <v>Cumbitara</v>
      </c>
      <c r="G154" s="74" t="str">
        <v>AGENCIA ESPAÑOLA DE COOPERACIÓN INTERNACIONAL PARA EL DESARROLLO</v>
      </c>
      <c r="H154" s="74" t="str">
        <v>1. Promover la lucha contra el cambio climatico, la justicia ambiental y la transformación productiva</v>
      </c>
      <c r="I154" s="74" t="str">
        <v>11.1.Para 2030, asegurar el acceso para todos a una vivienda adecuada, segura y asequible, y a los servicios básicos y mejorar los tugurios.</v>
      </c>
      <c r="J154" s="74" t="str">
        <v>ODS 11</v>
      </c>
      <c r="K154" s="74" t="str">
        <v>SIN ALINEAR</v>
      </c>
      <c r="L154" s="74" t="str">
        <v>Presidencia de la República</v>
      </c>
    </row>
    <row r="155" spans="1:12" x14ac:dyDescent="0.3">
      <c r="A155" s="74" t="str">
        <v xml:space="preserve">RISE UP, Acelerarla aplicación del Acuerdo de París aumentando la resiliencia climática de los pobres de las zonas urbanas - M1-32FOD-000243 </v>
      </c>
      <c r="B155" s="74" t="str">
        <v>Fortalecerlas capacidades hacia la resiliencia climática de las comunidades urbanas pobres en Bolivia, Colombia, Etiopía, Jordania y Túnez.</v>
      </c>
      <c r="C155" s="77">
        <v>45292</v>
      </c>
      <c r="D155" s="77">
        <v>46203</v>
      </c>
      <c r="E155" s="74" t="str">
        <v>Nariño</v>
      </c>
      <c r="F155" s="74" t="str">
        <v>El Charco</v>
      </c>
      <c r="G155" s="74" t="str">
        <v>AGENCIA ESPAÑOLA DE COOPERACIÓN INTERNACIONAL PARA EL DESARROLLO</v>
      </c>
      <c r="H155" s="74" t="str">
        <v>1. Promover la lucha contra el cambio climatico, la justicia ambiental y la transformación productiva</v>
      </c>
      <c r="I155" s="74" t="str">
        <v>11.1.Para 2030, asegurar el acceso para todos a una vivienda adecuada, segura y asequible, y a los servicios básicos y mejorar los tugurios.</v>
      </c>
      <c r="J155" s="74" t="str">
        <v>ODS 11</v>
      </c>
      <c r="K155" s="74" t="str">
        <v>SIN ALINEAR</v>
      </c>
      <c r="L155" s="74" t="str">
        <v>Presidencia de la República</v>
      </c>
    </row>
    <row r="156" spans="1:12" ht="29.4" customHeight="1" x14ac:dyDescent="0.3">
      <c r="A156" s="74" t="str">
        <v xml:space="preserve">RISE UP, Acelerarla aplicación del Acuerdo de París aumentando la resiliencia climática de los pobres de las zonas urbanas - M1-32FOD-000243 </v>
      </c>
      <c r="B156" s="74" t="str">
        <v>Fortalecerlas capacidades hacia la resiliencia climática de las comunidades urbanas pobres en Bolivia, Colombia, Etiopía, Jordania y Túnez.</v>
      </c>
      <c r="C156" s="77">
        <v>45292</v>
      </c>
      <c r="D156" s="77">
        <v>46203</v>
      </c>
      <c r="E156" s="74" t="str">
        <v>Nariño</v>
      </c>
      <c r="F156" s="74" t="str">
        <v>El Peñol</v>
      </c>
      <c r="G156" s="74" t="str">
        <v>AGENCIA ESPAÑOLA DE COOPERACIÓN INTERNACIONAL PARA EL DESARROLLO</v>
      </c>
      <c r="H156" s="74" t="str">
        <v>1. Promover la lucha contra el cambio climatico, la justicia ambiental y la transformación productiva</v>
      </c>
      <c r="I156" s="74" t="str">
        <v>11.1.Para 2030, asegurar el acceso para todos a una vivienda adecuada, segura y asequible, y a los servicios básicos y mejorar los tugurios.</v>
      </c>
      <c r="J156" s="74" t="str">
        <v>ODS 11</v>
      </c>
      <c r="K156" s="74" t="str">
        <v>SIN ALINEAR</v>
      </c>
      <c r="L156" s="74" t="str">
        <v>Presidencia de la República</v>
      </c>
    </row>
    <row r="157" spans="1:12" x14ac:dyDescent="0.3">
      <c r="A157" s="74" t="str">
        <v xml:space="preserve">RISE UP, Acelerarla aplicación del Acuerdo de París aumentando la resiliencia climática de los pobres de las zonas urbanas - M1-32FOD-000243 </v>
      </c>
      <c r="B157" s="74" t="str">
        <v>Fortalecerlas capacidades hacia la resiliencia climática de las comunidades urbanas pobres en Bolivia, Colombia, Etiopía, Jordania y Túnez.</v>
      </c>
      <c r="C157" s="77">
        <v>45292</v>
      </c>
      <c r="D157" s="77">
        <v>46203</v>
      </c>
      <c r="E157" s="74" t="str">
        <v>Nariño</v>
      </c>
      <c r="F157" s="74" t="str">
        <v>El Rosario</v>
      </c>
      <c r="G157" s="74" t="str">
        <v>AGENCIA ESPAÑOLA DE COOPERACIÓN INTERNACIONAL PARA EL DESARROLLO</v>
      </c>
      <c r="H157" s="74" t="str">
        <v>1. Promover la lucha contra el cambio climatico, la justicia ambiental y la transformación productiva</v>
      </c>
      <c r="I157" s="74" t="str">
        <v>11.1.Para 2030, asegurar el acceso para todos a una vivienda adecuada, segura y asequible, y a los servicios básicos y mejorar los tugurios.</v>
      </c>
      <c r="J157" s="74" t="str">
        <v>ODS 11</v>
      </c>
      <c r="K157" s="74" t="str">
        <v>SIN ALINEAR</v>
      </c>
      <c r="L157" s="74" t="str">
        <v>Presidencia de la República</v>
      </c>
    </row>
    <row r="158" spans="1:12" x14ac:dyDescent="0.3">
      <c r="A158" s="74" t="str">
        <v xml:space="preserve">RISE UP, Acelerarla aplicación del Acuerdo de París aumentando la resiliencia climática de los pobres de las zonas urbanas - M1-32FOD-000243 </v>
      </c>
      <c r="B158" s="74" t="str">
        <v>Fortalecerlas capacidades hacia la resiliencia climática de las comunidades urbanas pobres en Bolivia, Colombia, Etiopía, Jordania y Túnez.</v>
      </c>
      <c r="C158" s="77">
        <v>45292</v>
      </c>
      <c r="D158" s="77">
        <v>46203</v>
      </c>
      <c r="E158" s="74" t="str">
        <v>Nariño</v>
      </c>
      <c r="F158" s="74" t="str">
        <v>El Tablón de Gómez</v>
      </c>
      <c r="G158" s="74" t="str">
        <v>AGENCIA ESPAÑOLA DE COOPERACIÓN INTERNACIONAL PARA EL DESARROLLO</v>
      </c>
      <c r="H158" s="74" t="str">
        <v>1. Promover la lucha contra el cambio climatico, la justicia ambiental y la transformación productiva</v>
      </c>
      <c r="I158" s="74" t="str">
        <v>11.1.Para 2030, asegurar el acceso para todos a una vivienda adecuada, segura y asequible, y a los servicios básicos y mejorar los tugurios.</v>
      </c>
      <c r="J158" s="74" t="str">
        <v>ODS 11</v>
      </c>
      <c r="K158" s="74" t="str">
        <v>SIN ALINEAR</v>
      </c>
      <c r="L158" s="74" t="str">
        <v>Presidencia de la República</v>
      </c>
    </row>
    <row r="159" spans="1:12" x14ac:dyDescent="0.3">
      <c r="A159" s="74" t="str">
        <v xml:space="preserve">RISE UP, Acelerarla aplicación del Acuerdo de París aumentando la resiliencia climática de los pobres de las zonas urbanas - M1-32FOD-000243 </v>
      </c>
      <c r="B159" s="74" t="str">
        <v>Fortalecerlas capacidades hacia la resiliencia climática de las comunidades urbanas pobres en Bolivia, Colombia, Etiopía, Jordania y Túnez.</v>
      </c>
      <c r="C159" s="77">
        <v>45292</v>
      </c>
      <c r="D159" s="77">
        <v>46203</v>
      </c>
      <c r="E159" s="74" t="str">
        <v>Nariño</v>
      </c>
      <c r="F159" s="74" t="str">
        <v>El Tambo</v>
      </c>
      <c r="G159" s="74" t="str">
        <v>AGENCIA ESPAÑOLA DE COOPERACIÓN INTERNACIONAL PARA EL DESARROLLO</v>
      </c>
      <c r="H159" s="74" t="str">
        <v>1. Promover la lucha contra el cambio climatico, la justicia ambiental y la transformación productiva</v>
      </c>
      <c r="I159" s="74" t="str">
        <v>11.1.Para 2030, asegurar el acceso para todos a una vivienda adecuada, segura y asequible, y a los servicios básicos y mejorar los tugurios.</v>
      </c>
      <c r="J159" s="74" t="str">
        <v>ODS 11</v>
      </c>
      <c r="K159" s="74" t="str">
        <v>SIN ALINEAR</v>
      </c>
      <c r="L159" s="74" t="str">
        <v>Presidencia de la República</v>
      </c>
    </row>
    <row r="160" spans="1:12" x14ac:dyDescent="0.3">
      <c r="A160" s="74" t="str">
        <v xml:space="preserve">RISE UP, Acelerarla aplicación del Acuerdo de París aumentando la resiliencia climática de los pobres de las zonas urbanas - M1-32FOD-000243 </v>
      </c>
      <c r="B160" s="74" t="str">
        <v>Fortalecerlas capacidades hacia la resiliencia climática de las comunidades urbanas pobres en Bolivia, Colombia, Etiopía, Jordania y Túnez.</v>
      </c>
      <c r="C160" s="77">
        <v>45292</v>
      </c>
      <c r="D160" s="77">
        <v>46203</v>
      </c>
      <c r="E160" s="74" t="str">
        <v>Nariño</v>
      </c>
      <c r="F160" s="74" t="str">
        <v>Francisco Pizarro</v>
      </c>
      <c r="G160" s="74" t="str">
        <v>AGENCIA ESPAÑOLA DE COOPERACIÓN INTERNACIONAL PARA EL DESARROLLO</v>
      </c>
      <c r="H160" s="74" t="str">
        <v>1. Promover la lucha contra el cambio climatico, la justicia ambiental y la transformación productiva</v>
      </c>
      <c r="I160" s="74" t="str">
        <v>11.1.Para 2030, asegurar el acceso para todos a una vivienda adecuada, segura y asequible, y a los servicios básicos y mejorar los tugurios.</v>
      </c>
      <c r="J160" s="74" t="str">
        <v>ODS 11</v>
      </c>
      <c r="K160" s="74" t="str">
        <v>SIN ALINEAR</v>
      </c>
      <c r="L160" s="74" t="str">
        <v>Presidencia de la República</v>
      </c>
    </row>
    <row r="161" spans="1:12" x14ac:dyDescent="0.3">
      <c r="A161" s="74" t="str">
        <v xml:space="preserve">RISE UP, Acelerarla aplicación del Acuerdo de París aumentando la resiliencia climática de los pobres de las zonas urbanas - M1-32FOD-000243 </v>
      </c>
      <c r="B161" s="74" t="str">
        <v>Fortalecerlas capacidades hacia la resiliencia climática de las comunidades urbanas pobres en Bolivia, Colombia, Etiopía, Jordania y Túnez.</v>
      </c>
      <c r="C161" s="77">
        <v>45292</v>
      </c>
      <c r="D161" s="77">
        <v>46203</v>
      </c>
      <c r="E161" s="74" t="str">
        <v>Nariño</v>
      </c>
      <c r="F161" s="74" t="str">
        <v>Funes</v>
      </c>
      <c r="G161" s="74" t="str">
        <v>AGENCIA ESPAÑOLA DE COOPERACIÓN INTERNACIONAL PARA EL DESARROLLO</v>
      </c>
      <c r="H161" s="74" t="str">
        <v>1. Promover la lucha contra el cambio climatico, la justicia ambiental y la transformación productiva</v>
      </c>
      <c r="I161" s="74" t="str">
        <v>11.1.Para 2030, asegurar el acceso para todos a una vivienda adecuada, segura y asequible, y a los servicios básicos y mejorar los tugurios.</v>
      </c>
      <c r="J161" s="74" t="str">
        <v>ODS 11</v>
      </c>
      <c r="K161" s="74" t="str">
        <v>SIN ALINEAR</v>
      </c>
      <c r="L161" s="74" t="str">
        <v>Presidencia de la República</v>
      </c>
    </row>
    <row r="162" spans="1:12" x14ac:dyDescent="0.3">
      <c r="A162" s="74" t="str">
        <v xml:space="preserve">RISE UP, Acelerarla aplicación del Acuerdo de París aumentando la resiliencia climática de los pobres de las zonas urbanas - M1-32FOD-000243 </v>
      </c>
      <c r="B162" s="74" t="str">
        <v>Fortalecerlas capacidades hacia la resiliencia climática de las comunidades urbanas pobres en Bolivia, Colombia, Etiopía, Jordania y Túnez.</v>
      </c>
      <c r="C162" s="77">
        <v>45292</v>
      </c>
      <c r="D162" s="77">
        <v>46203</v>
      </c>
      <c r="E162" s="74" t="str">
        <v>Nariño</v>
      </c>
      <c r="F162" s="74" t="str">
        <v>Guachucal</v>
      </c>
      <c r="G162" s="74" t="str">
        <v>AGENCIA ESPAÑOLA DE COOPERACIÓN INTERNACIONAL PARA EL DESARROLLO</v>
      </c>
      <c r="H162" s="74" t="str">
        <v>1. Promover la lucha contra el cambio climatico, la justicia ambiental y la transformación productiva</v>
      </c>
      <c r="I162" s="74" t="str">
        <v>11.1.Para 2030, asegurar el acceso para todos a una vivienda adecuada, segura y asequible, y a los servicios básicos y mejorar los tugurios.</v>
      </c>
      <c r="J162" s="74" t="str">
        <v>ODS 11</v>
      </c>
      <c r="K162" s="74" t="str">
        <v>SIN ALINEAR</v>
      </c>
      <c r="L162" s="74" t="str">
        <v>Presidencia de la República</v>
      </c>
    </row>
    <row r="163" spans="1:12" x14ac:dyDescent="0.3">
      <c r="A163" s="74" t="str">
        <v xml:space="preserve">RISE UP, Acelerarla aplicación del Acuerdo de París aumentando la resiliencia climática de los pobres de las zonas urbanas - M1-32FOD-000243 </v>
      </c>
      <c r="B163" s="74" t="str">
        <v>Fortalecerlas capacidades hacia la resiliencia climática de las comunidades urbanas pobres en Bolivia, Colombia, Etiopía, Jordania y Túnez.</v>
      </c>
      <c r="C163" s="77">
        <v>45292</v>
      </c>
      <c r="D163" s="77">
        <v>46203</v>
      </c>
      <c r="E163" s="74" t="str">
        <v>Nariño</v>
      </c>
      <c r="F163" s="74" t="str">
        <v>Guaitarilla</v>
      </c>
      <c r="G163" s="74" t="str">
        <v>AGENCIA ESPAÑOLA DE COOPERACIÓN INTERNACIONAL PARA EL DESARROLLO</v>
      </c>
      <c r="H163" s="74" t="str">
        <v>1. Promover la lucha contra el cambio climatico, la justicia ambiental y la transformación productiva</v>
      </c>
      <c r="I163" s="74" t="str">
        <v>11.1.Para 2030, asegurar el acceso para todos a una vivienda adecuada, segura y asequible, y a los servicios básicos y mejorar los tugurios.</v>
      </c>
      <c r="J163" s="74" t="str">
        <v>ODS 11</v>
      </c>
      <c r="K163" s="74" t="str">
        <v>SIN ALINEAR</v>
      </c>
      <c r="L163" s="74" t="str">
        <v>Presidencia de la República</v>
      </c>
    </row>
    <row r="164" spans="1:12" x14ac:dyDescent="0.3">
      <c r="A164" s="74" t="str">
        <v xml:space="preserve">RISE UP, Acelerarla aplicación del Acuerdo de París aumentando la resiliencia climática de los pobres de las zonas urbanas - M1-32FOD-000243 </v>
      </c>
      <c r="B164" s="74" t="str">
        <v>Fortalecerlas capacidades hacia la resiliencia climática de las comunidades urbanas pobres en Bolivia, Colombia, Etiopía, Jordania y Túnez.</v>
      </c>
      <c r="C164" s="77">
        <v>45292</v>
      </c>
      <c r="D164" s="77">
        <v>46203</v>
      </c>
      <c r="E164" s="74" t="str">
        <v>Nariño</v>
      </c>
      <c r="F164" s="74" t="str">
        <v>Gualmatán</v>
      </c>
      <c r="G164" s="74" t="str">
        <v>AGENCIA ESPAÑOLA DE COOPERACIÓN INTERNACIONAL PARA EL DESARROLLO</v>
      </c>
      <c r="H164" s="74" t="str">
        <v>1. Promover la lucha contra el cambio climatico, la justicia ambiental y la transformación productiva</v>
      </c>
      <c r="I164" s="74" t="str">
        <v>11.1.Para 2030, asegurar el acceso para todos a una vivienda adecuada, segura y asequible, y a los servicios básicos y mejorar los tugurios.</v>
      </c>
      <c r="J164" s="74" t="str">
        <v>ODS 11</v>
      </c>
      <c r="K164" s="74" t="str">
        <v>SIN ALINEAR</v>
      </c>
      <c r="L164" s="74" t="str">
        <v>Presidencia de la República</v>
      </c>
    </row>
    <row r="165" spans="1:12" x14ac:dyDescent="0.3">
      <c r="A165" s="74" t="str">
        <v xml:space="preserve">RISE UP, Acelerarla aplicación del Acuerdo de París aumentando la resiliencia climática de los pobres de las zonas urbanas - M1-32FOD-000243 </v>
      </c>
      <c r="B165" s="74" t="str">
        <v>Fortalecerlas capacidades hacia la resiliencia climática de las comunidades urbanas pobres en Bolivia, Colombia, Etiopía, Jordania y Túnez.</v>
      </c>
      <c r="C165" s="77">
        <v>45292</v>
      </c>
      <c r="D165" s="77">
        <v>46203</v>
      </c>
      <c r="E165" s="74" t="str">
        <v>Nariño</v>
      </c>
      <c r="F165" s="74" t="str">
        <v>Iles</v>
      </c>
      <c r="G165" s="74" t="str">
        <v>AGENCIA ESPAÑOLA DE COOPERACIÓN INTERNACIONAL PARA EL DESARROLLO</v>
      </c>
      <c r="H165" s="74" t="str">
        <v>1. Promover la lucha contra el cambio climatico, la justicia ambiental y la transformación productiva</v>
      </c>
      <c r="I165" s="74" t="str">
        <v>11.1.Para 2030, asegurar el acceso para todos a una vivienda adecuada, segura y asequible, y a los servicios básicos y mejorar los tugurios.</v>
      </c>
      <c r="J165" s="74" t="str">
        <v>ODS 11</v>
      </c>
      <c r="K165" s="74" t="str">
        <v>SIN ALINEAR</v>
      </c>
      <c r="L165" s="74" t="str">
        <v>Presidencia de la República</v>
      </c>
    </row>
    <row r="166" spans="1:12" x14ac:dyDescent="0.3">
      <c r="A166" s="74" t="str">
        <v xml:space="preserve">RISE UP, Acelerarla aplicación del Acuerdo de París aumentando la resiliencia climática de los pobres de las zonas urbanas - M1-32FOD-000243 </v>
      </c>
      <c r="B166" s="74" t="str">
        <v>Fortalecerlas capacidades hacia la resiliencia climática de las comunidades urbanas pobres en Bolivia, Colombia, Etiopía, Jordania y Túnez.</v>
      </c>
      <c r="C166" s="77">
        <v>45292</v>
      </c>
      <c r="D166" s="77">
        <v>46203</v>
      </c>
      <c r="E166" s="74" t="str">
        <v>Nariño</v>
      </c>
      <c r="F166" s="74" t="str">
        <v>Imués</v>
      </c>
      <c r="G166" s="74" t="str">
        <v>AGENCIA ESPAÑOLA DE COOPERACIÓN INTERNACIONAL PARA EL DESARROLLO</v>
      </c>
      <c r="H166" s="74" t="str">
        <v>1. Promover la lucha contra el cambio climatico, la justicia ambiental y la transformación productiva</v>
      </c>
      <c r="I166" s="74" t="str">
        <v>11.1.Para 2030, asegurar el acceso para todos a una vivienda adecuada, segura y asequible, y a los servicios básicos y mejorar los tugurios.</v>
      </c>
      <c r="J166" s="74" t="str">
        <v>ODS 11</v>
      </c>
      <c r="K166" s="74" t="str">
        <v>SIN ALINEAR</v>
      </c>
      <c r="L166" s="74" t="str">
        <v>Presidencia de la República</v>
      </c>
    </row>
    <row r="167" spans="1:12" x14ac:dyDescent="0.3">
      <c r="A167" s="74" t="str">
        <v xml:space="preserve">RISE UP, Acelerarla aplicación del Acuerdo de París aumentando la resiliencia climática de los pobres de las zonas urbanas - M1-32FOD-000243 </v>
      </c>
      <c r="B167" s="74" t="str">
        <v>Fortalecerlas capacidades hacia la resiliencia climática de las comunidades urbanas pobres en Bolivia, Colombia, Etiopía, Jordania y Túnez.</v>
      </c>
      <c r="C167" s="77">
        <v>45292</v>
      </c>
      <c r="D167" s="77">
        <v>46203</v>
      </c>
      <c r="E167" s="74" t="str">
        <v>Nariño</v>
      </c>
      <c r="F167" s="74" t="str">
        <v>Ipiales</v>
      </c>
      <c r="G167" s="74" t="str">
        <v>AGENCIA ESPAÑOLA DE COOPERACIÓN INTERNACIONAL PARA EL DESARROLLO</v>
      </c>
      <c r="H167" s="74" t="str">
        <v>1. Promover la lucha contra el cambio climatico, la justicia ambiental y la transformación productiva</v>
      </c>
      <c r="I167" s="74" t="str">
        <v>11.1.Para 2030, asegurar el acceso para todos a una vivienda adecuada, segura y asequible, y a los servicios básicos y mejorar los tugurios.</v>
      </c>
      <c r="J167" s="74" t="str">
        <v>ODS 11</v>
      </c>
      <c r="K167" s="74" t="str">
        <v>SIN ALINEAR</v>
      </c>
      <c r="L167" s="74" t="str">
        <v>Presidencia de la República</v>
      </c>
    </row>
    <row r="168" spans="1:12" x14ac:dyDescent="0.3">
      <c r="A168" s="74" t="str">
        <v xml:space="preserve">RISE UP, Acelerarla aplicación del Acuerdo de París aumentando la resiliencia climática de los pobres de las zonas urbanas - M1-32FOD-000243 </v>
      </c>
      <c r="B168" s="74" t="str">
        <v>Fortalecerlas capacidades hacia la resiliencia climática de las comunidades urbanas pobres en Bolivia, Colombia, Etiopía, Jordania y Túnez.</v>
      </c>
      <c r="C168" s="77">
        <v>45292</v>
      </c>
      <c r="D168" s="77">
        <v>46203</v>
      </c>
      <c r="E168" s="74" t="str">
        <v>Nariño</v>
      </c>
      <c r="F168" s="74" t="str">
        <v>La Cruz</v>
      </c>
      <c r="G168" s="74" t="str">
        <v>AGENCIA ESPAÑOLA DE COOPERACIÓN INTERNACIONAL PARA EL DESARROLLO</v>
      </c>
      <c r="H168" s="74" t="str">
        <v>1. Promover la lucha contra el cambio climatico, la justicia ambiental y la transformación productiva</v>
      </c>
      <c r="I168" s="74" t="str">
        <v>11.1.Para 2030, asegurar el acceso para todos a una vivienda adecuada, segura y asequible, y a los servicios básicos y mejorar los tugurios.</v>
      </c>
      <c r="J168" s="74" t="str">
        <v>ODS 11</v>
      </c>
      <c r="K168" s="74" t="str">
        <v>SIN ALINEAR</v>
      </c>
      <c r="L168" s="74" t="str">
        <v>Presidencia de la República</v>
      </c>
    </row>
    <row r="169" spans="1:12" x14ac:dyDescent="0.3">
      <c r="A169" s="74" t="str">
        <v xml:space="preserve">RISE UP, Acelerarla aplicación del Acuerdo de París aumentando la resiliencia climática de los pobres de las zonas urbanas - M1-32FOD-000243 </v>
      </c>
      <c r="B169" s="74" t="str">
        <v>Fortalecerlas capacidades hacia la resiliencia climática de las comunidades urbanas pobres en Bolivia, Colombia, Etiopía, Jordania y Túnez.</v>
      </c>
      <c r="C169" s="77">
        <v>45292</v>
      </c>
      <c r="D169" s="77">
        <v>46203</v>
      </c>
      <c r="E169" s="74" t="str">
        <v>Nariño</v>
      </c>
      <c r="F169" s="74" t="str">
        <v>La Florida</v>
      </c>
      <c r="G169" s="74" t="str">
        <v>AGENCIA ESPAÑOLA DE COOPERACIÓN INTERNACIONAL PARA EL DESARROLLO</v>
      </c>
      <c r="H169" s="74" t="str">
        <v>1. Promover la lucha contra el cambio climatico, la justicia ambiental y la transformación productiva</v>
      </c>
      <c r="I169" s="74" t="str">
        <v>11.1.Para 2030, asegurar el acceso para todos a una vivienda adecuada, segura y asequible, y a los servicios básicos y mejorar los tugurios.</v>
      </c>
      <c r="J169" s="74" t="str">
        <v>ODS 11</v>
      </c>
      <c r="K169" s="74" t="str">
        <v>SIN ALINEAR</v>
      </c>
      <c r="L169" s="74" t="str">
        <v>Presidencia de la República</v>
      </c>
    </row>
    <row r="170" spans="1:12" x14ac:dyDescent="0.3">
      <c r="A170" s="74" t="str">
        <v xml:space="preserve">RISE UP, Acelerarla aplicación del Acuerdo de París aumentando la resiliencia climática de los pobres de las zonas urbanas - M1-32FOD-000243 </v>
      </c>
      <c r="B170" s="74" t="str">
        <v>Fortalecerlas capacidades hacia la resiliencia climática de las comunidades urbanas pobres en Bolivia, Colombia, Etiopía, Jordania y Túnez.</v>
      </c>
      <c r="C170" s="77">
        <v>45292</v>
      </c>
      <c r="D170" s="77">
        <v>46203</v>
      </c>
      <c r="E170" s="74" t="str">
        <v>Nariño</v>
      </c>
      <c r="F170" s="74" t="str">
        <v>La Llanada</v>
      </c>
      <c r="G170" s="74" t="str">
        <v>AGENCIA ESPAÑOLA DE COOPERACIÓN INTERNACIONAL PARA EL DESARROLLO</v>
      </c>
      <c r="H170" s="74" t="str">
        <v>1. Promover la lucha contra el cambio climatico, la justicia ambiental y la transformación productiva</v>
      </c>
      <c r="I170" s="74" t="str">
        <v>11.1.Para 2030, asegurar el acceso para todos a una vivienda adecuada, segura y asequible, y a los servicios básicos y mejorar los tugurios.</v>
      </c>
      <c r="J170" s="74" t="str">
        <v>ODS 11</v>
      </c>
      <c r="K170" s="74" t="str">
        <v>SIN ALINEAR</v>
      </c>
      <c r="L170" s="74" t="str">
        <v>Presidencia de la República</v>
      </c>
    </row>
    <row r="171" spans="1:12" x14ac:dyDescent="0.3">
      <c r="A171" s="74" t="str">
        <v xml:space="preserve">RISE UP, Acelerarla aplicación del Acuerdo de París aumentando la resiliencia climática de los pobres de las zonas urbanas - M1-32FOD-000243 </v>
      </c>
      <c r="B171" s="74" t="str">
        <v>Fortalecerlas capacidades hacia la resiliencia climática de las comunidades urbanas pobres en Bolivia, Colombia, Etiopía, Jordania y Túnez.</v>
      </c>
      <c r="C171" s="77">
        <v>45292</v>
      </c>
      <c r="D171" s="77">
        <v>46203</v>
      </c>
      <c r="E171" s="74" t="str">
        <v>Nariño</v>
      </c>
      <c r="F171" s="74" t="str">
        <v>La Tola</v>
      </c>
      <c r="G171" s="74" t="str">
        <v>AGENCIA ESPAÑOLA DE COOPERACIÓN INTERNACIONAL PARA EL DESARROLLO</v>
      </c>
      <c r="H171" s="74" t="str">
        <v>1. Promover la lucha contra el cambio climatico, la justicia ambiental y la transformación productiva</v>
      </c>
      <c r="I171" s="74" t="str">
        <v>11.1.Para 2030, asegurar el acceso para todos a una vivienda adecuada, segura y asequible, y a los servicios básicos y mejorar los tugurios.</v>
      </c>
      <c r="J171" s="74" t="str">
        <v>ODS 11</v>
      </c>
      <c r="K171" s="74" t="str">
        <v>SIN ALINEAR</v>
      </c>
      <c r="L171" s="74" t="str">
        <v>Presidencia de la República</v>
      </c>
    </row>
    <row r="172" spans="1:12" x14ac:dyDescent="0.3">
      <c r="A172" s="74" t="str">
        <v xml:space="preserve">RISE UP, Acelerarla aplicación del Acuerdo de París aumentando la resiliencia climática de los pobres de las zonas urbanas - M1-32FOD-000243 </v>
      </c>
      <c r="B172" s="74" t="str">
        <v>Fortalecerlas capacidades hacia la resiliencia climática de las comunidades urbanas pobres en Bolivia, Colombia, Etiopía, Jordania y Túnez.</v>
      </c>
      <c r="C172" s="77">
        <v>45292</v>
      </c>
      <c r="D172" s="77">
        <v>46203</v>
      </c>
      <c r="E172" s="74" t="str">
        <v>Nariño</v>
      </c>
      <c r="F172" s="74" t="str">
        <v>La Unión</v>
      </c>
      <c r="G172" s="74" t="str">
        <v>AGENCIA ESPAÑOLA DE COOPERACIÓN INTERNACIONAL PARA EL DESARROLLO</v>
      </c>
      <c r="H172" s="74" t="str">
        <v>1. Promover la lucha contra el cambio climatico, la justicia ambiental y la transformación productiva</v>
      </c>
      <c r="I172" s="74" t="str">
        <v>11.1.Para 2030, asegurar el acceso para todos a una vivienda adecuada, segura y asequible, y a los servicios básicos y mejorar los tugurios.</v>
      </c>
      <c r="J172" s="74" t="str">
        <v>ODS 11</v>
      </c>
      <c r="K172" s="74" t="str">
        <v>SIN ALINEAR</v>
      </c>
      <c r="L172" s="74" t="str">
        <v>Presidencia de la República</v>
      </c>
    </row>
    <row r="173" spans="1:12" x14ac:dyDescent="0.3">
      <c r="A173" s="74" t="str">
        <v xml:space="preserve">RISE UP, Acelerarla aplicación del Acuerdo de París aumentando la resiliencia climática de los pobres de las zonas urbanas - M1-32FOD-000243 </v>
      </c>
      <c r="B173" s="74" t="str">
        <v>Fortalecerlas capacidades hacia la resiliencia climática de las comunidades urbanas pobres en Bolivia, Colombia, Etiopía, Jordania y Túnez.</v>
      </c>
      <c r="C173" s="77">
        <v>45292</v>
      </c>
      <c r="D173" s="77">
        <v>46203</v>
      </c>
      <c r="E173" s="74" t="str">
        <v>Nariño</v>
      </c>
      <c r="F173" s="74" t="str">
        <v>Leiva</v>
      </c>
      <c r="G173" s="74" t="str">
        <v>AGENCIA ESPAÑOLA DE COOPERACIÓN INTERNACIONAL PARA EL DESARROLLO</v>
      </c>
      <c r="H173" s="74" t="str">
        <v>1. Promover la lucha contra el cambio climatico, la justicia ambiental y la transformación productiva</v>
      </c>
      <c r="I173" s="74" t="str">
        <v>11.1.Para 2030, asegurar el acceso para todos a una vivienda adecuada, segura y asequible, y a los servicios básicos y mejorar los tugurios.</v>
      </c>
      <c r="J173" s="74" t="str">
        <v>ODS 11</v>
      </c>
      <c r="K173" s="74" t="str">
        <v>SIN ALINEAR</v>
      </c>
      <c r="L173" s="74" t="str">
        <v>Presidencia de la República</v>
      </c>
    </row>
    <row r="174" spans="1:12" x14ac:dyDescent="0.3">
      <c r="A174" s="74" t="str">
        <v xml:space="preserve">RISE UP, Acelerarla aplicación del Acuerdo de París aumentando la resiliencia climática de los pobres de las zonas urbanas - M1-32FOD-000243 </v>
      </c>
      <c r="B174" s="74" t="str">
        <v>Fortalecerlas capacidades hacia la resiliencia climática de las comunidades urbanas pobres en Bolivia, Colombia, Etiopía, Jordania y Túnez.</v>
      </c>
      <c r="C174" s="77">
        <v>45292</v>
      </c>
      <c r="D174" s="77">
        <v>46203</v>
      </c>
      <c r="E174" s="74" t="str">
        <v>Nariño</v>
      </c>
      <c r="F174" s="74" t="str">
        <v>Linares</v>
      </c>
      <c r="G174" s="74" t="str">
        <v>AGENCIA ESPAÑOLA DE COOPERACIÓN INTERNACIONAL PARA EL DESARROLLO</v>
      </c>
      <c r="H174" s="74" t="str">
        <v>1. Promover la lucha contra el cambio climatico, la justicia ambiental y la transformación productiva</v>
      </c>
      <c r="I174" s="74" t="str">
        <v>11.1.Para 2030, asegurar el acceso para todos a una vivienda adecuada, segura y asequible, y a los servicios básicos y mejorar los tugurios.</v>
      </c>
      <c r="J174" s="74" t="str">
        <v>ODS 11</v>
      </c>
      <c r="K174" s="74" t="str">
        <v>SIN ALINEAR</v>
      </c>
      <c r="L174" s="74" t="str">
        <v>Presidencia de la República</v>
      </c>
    </row>
    <row r="175" spans="1:12" x14ac:dyDescent="0.3">
      <c r="A175" s="74" t="str">
        <v xml:space="preserve">RISE UP, Acelerarla aplicación del Acuerdo de París aumentando la resiliencia climática de los pobres de las zonas urbanas - M1-32FOD-000243 </v>
      </c>
      <c r="B175" s="74" t="str">
        <v>Fortalecerlas capacidades hacia la resiliencia climática de las comunidades urbanas pobres en Bolivia, Colombia, Etiopía, Jordania y Túnez.</v>
      </c>
      <c r="C175" s="77">
        <v>45292</v>
      </c>
      <c r="D175" s="77">
        <v>46203</v>
      </c>
      <c r="E175" s="74" t="str">
        <v>Nariño</v>
      </c>
      <c r="F175" s="74" t="str">
        <v>Los Andes</v>
      </c>
      <c r="G175" s="74" t="str">
        <v>AGENCIA ESPAÑOLA DE COOPERACIÓN INTERNACIONAL PARA EL DESARROLLO</v>
      </c>
      <c r="H175" s="74" t="str">
        <v>1. Promover la lucha contra el cambio climatico, la justicia ambiental y la transformación productiva</v>
      </c>
      <c r="I175" s="74" t="str">
        <v>11.1.Para 2030, asegurar el acceso para todos a una vivienda adecuada, segura y asequible, y a los servicios básicos y mejorar los tugurios.</v>
      </c>
      <c r="J175" s="74" t="str">
        <v>ODS 11</v>
      </c>
      <c r="K175" s="74" t="str">
        <v>SIN ALINEAR</v>
      </c>
      <c r="L175" s="74" t="str">
        <v>Presidencia de la República</v>
      </c>
    </row>
    <row r="176" spans="1:12" x14ac:dyDescent="0.3">
      <c r="A176" s="74" t="str">
        <v xml:space="preserve">RISE UP, Acelerarla aplicación del Acuerdo de París aumentando la resiliencia climática de los pobres de las zonas urbanas - M1-32FOD-000243 </v>
      </c>
      <c r="B176" s="74" t="str">
        <v>Fortalecerlas capacidades hacia la resiliencia climática de las comunidades urbanas pobres en Bolivia, Colombia, Etiopía, Jordania y Túnez.</v>
      </c>
      <c r="C176" s="77">
        <v>45292</v>
      </c>
      <c r="D176" s="77">
        <v>46203</v>
      </c>
      <c r="E176" s="74" t="str">
        <v>Nariño</v>
      </c>
      <c r="F176" s="74" t="str">
        <v>Magüí</v>
      </c>
      <c r="G176" s="74" t="str">
        <v>AGENCIA ESPAÑOLA DE COOPERACIÓN INTERNACIONAL PARA EL DESARROLLO</v>
      </c>
      <c r="H176" s="74" t="str">
        <v>1. Promover la lucha contra el cambio climatico, la justicia ambiental y la transformación productiva</v>
      </c>
      <c r="I176" s="74" t="str">
        <v>11.1.Para 2030, asegurar el acceso para todos a una vivienda adecuada, segura y asequible, y a los servicios básicos y mejorar los tugurios.</v>
      </c>
      <c r="J176" s="74" t="str">
        <v>ODS 11</v>
      </c>
      <c r="K176" s="74" t="str">
        <v>SIN ALINEAR</v>
      </c>
      <c r="L176" s="74" t="str">
        <v>Presidencia de la República</v>
      </c>
    </row>
    <row r="177" spans="1:12" x14ac:dyDescent="0.3">
      <c r="A177" s="74" t="str">
        <v xml:space="preserve">RISE UP, Acelerarla aplicación del Acuerdo de París aumentando la resiliencia climática de los pobres de las zonas urbanas - M1-32FOD-000243 </v>
      </c>
      <c r="B177" s="74" t="str">
        <v>Fortalecerlas capacidades hacia la resiliencia climática de las comunidades urbanas pobres en Bolivia, Colombia, Etiopía, Jordania y Túnez.</v>
      </c>
      <c r="C177" s="77">
        <v>45292</v>
      </c>
      <c r="D177" s="77">
        <v>46203</v>
      </c>
      <c r="E177" s="74" t="str">
        <v>Nariño</v>
      </c>
      <c r="F177" s="74" t="str">
        <v>Mallama</v>
      </c>
      <c r="G177" s="74" t="str">
        <v>AGENCIA ESPAÑOLA DE COOPERACIÓN INTERNACIONAL PARA EL DESARROLLO</v>
      </c>
      <c r="H177" s="74" t="str">
        <v>1. Promover la lucha contra el cambio climatico, la justicia ambiental y la transformación productiva</v>
      </c>
      <c r="I177" s="74" t="str">
        <v>11.1.Para 2030, asegurar el acceso para todos a una vivienda adecuada, segura y asequible, y a los servicios básicos y mejorar los tugurios.</v>
      </c>
      <c r="J177" s="74" t="str">
        <v>ODS 11</v>
      </c>
      <c r="K177" s="74" t="str">
        <v>SIN ALINEAR</v>
      </c>
      <c r="L177" s="74" t="str">
        <v>Presidencia de la República</v>
      </c>
    </row>
    <row r="178" spans="1:12" x14ac:dyDescent="0.3">
      <c r="A178" s="74" t="str">
        <v xml:space="preserve">RISE UP, Acelerarla aplicación del Acuerdo de París aumentando la resiliencia climática de los pobres de las zonas urbanas - M1-32FOD-000243 </v>
      </c>
      <c r="B178" s="74" t="str">
        <v>Fortalecerlas capacidades hacia la resiliencia climática de las comunidades urbanas pobres en Bolivia, Colombia, Etiopía, Jordania y Túnez.</v>
      </c>
      <c r="C178" s="77">
        <v>45292</v>
      </c>
      <c r="D178" s="77">
        <v>46203</v>
      </c>
      <c r="E178" s="74" t="str">
        <v>Nariño</v>
      </c>
      <c r="F178" s="74" t="str">
        <v>Mosquera</v>
      </c>
      <c r="G178" s="74" t="str">
        <v>AGENCIA ESPAÑOLA DE COOPERACIÓN INTERNACIONAL PARA EL DESARROLLO</v>
      </c>
      <c r="H178" s="74" t="str">
        <v>1. Promover la lucha contra el cambio climatico, la justicia ambiental y la transformación productiva</v>
      </c>
      <c r="I178" s="74" t="str">
        <v>11.1.Para 2030, asegurar el acceso para todos a una vivienda adecuada, segura y asequible, y a los servicios básicos y mejorar los tugurios.</v>
      </c>
      <c r="J178" s="74" t="str">
        <v>ODS 11</v>
      </c>
      <c r="K178" s="74" t="str">
        <v>SIN ALINEAR</v>
      </c>
      <c r="L178" s="74" t="str">
        <v>Presidencia de la República</v>
      </c>
    </row>
    <row r="179" spans="1:12" x14ac:dyDescent="0.3">
      <c r="A179" s="74" t="str">
        <v xml:space="preserve">RISE UP, Acelerarla aplicación del Acuerdo de París aumentando la resiliencia climática de los pobres de las zonas urbanas - M1-32FOD-000243 </v>
      </c>
      <c r="B179" s="74" t="str">
        <v>Fortalecerlas capacidades hacia la resiliencia climática de las comunidades urbanas pobres en Bolivia, Colombia, Etiopía, Jordania y Túnez.</v>
      </c>
      <c r="C179" s="77">
        <v>45292</v>
      </c>
      <c r="D179" s="77">
        <v>46203</v>
      </c>
      <c r="E179" s="74" t="str">
        <v>Nariño</v>
      </c>
      <c r="F179" s="74" t="str">
        <v>Nariño</v>
      </c>
      <c r="G179" s="74" t="str">
        <v>AGENCIA ESPAÑOLA DE COOPERACIÓN INTERNACIONAL PARA EL DESARROLLO</v>
      </c>
      <c r="H179" s="74" t="str">
        <v>1. Promover la lucha contra el cambio climatico, la justicia ambiental y la transformación productiva</v>
      </c>
      <c r="I179" s="74" t="str">
        <v>11.1.Para 2030, asegurar el acceso para todos a una vivienda adecuada, segura y asequible, y a los servicios básicos y mejorar los tugurios.</v>
      </c>
      <c r="J179" s="74" t="str">
        <v>ODS 11</v>
      </c>
      <c r="K179" s="74" t="str">
        <v>SIN ALINEAR</v>
      </c>
      <c r="L179" s="74" t="str">
        <v>Presidencia de la República</v>
      </c>
    </row>
    <row r="180" spans="1:12" x14ac:dyDescent="0.3">
      <c r="A180" s="74" t="str">
        <v xml:space="preserve">RISE UP, Acelerarla aplicación del Acuerdo de París aumentando la resiliencia climática de los pobres de las zonas urbanas - M1-32FOD-000243 </v>
      </c>
      <c r="B180" s="74" t="str">
        <v>Fortalecerlas capacidades hacia la resiliencia climática de las comunidades urbanas pobres en Bolivia, Colombia, Etiopía, Jordania y Túnez.</v>
      </c>
      <c r="C180" s="77">
        <v>45292</v>
      </c>
      <c r="D180" s="77">
        <v>46203</v>
      </c>
      <c r="E180" s="74" t="str">
        <v>Nariño</v>
      </c>
      <c r="F180" s="74" t="str">
        <v>Olaya Herrera</v>
      </c>
      <c r="G180" s="74" t="str">
        <v>AGENCIA ESPAÑOLA DE COOPERACIÓN INTERNACIONAL PARA EL DESARROLLO</v>
      </c>
      <c r="H180" s="74" t="str">
        <v>1. Promover la lucha contra el cambio climatico, la justicia ambiental y la transformación productiva</v>
      </c>
      <c r="I180" s="74" t="str">
        <v>11.1.Para 2030, asegurar el acceso para todos a una vivienda adecuada, segura y asequible, y a los servicios básicos y mejorar los tugurios.</v>
      </c>
      <c r="J180" s="74" t="str">
        <v>ODS 11</v>
      </c>
      <c r="K180" s="74" t="str">
        <v>SIN ALINEAR</v>
      </c>
      <c r="L180" s="74" t="str">
        <v>Presidencia de la República</v>
      </c>
    </row>
    <row r="181" spans="1:12" x14ac:dyDescent="0.3">
      <c r="A181" s="74" t="str">
        <v xml:space="preserve">RISE UP, Acelerarla aplicación del Acuerdo de París aumentando la resiliencia climática de los pobres de las zonas urbanas - M1-32FOD-000243 </v>
      </c>
      <c r="B181" s="74" t="str">
        <v>Fortalecerlas capacidades hacia la resiliencia climática de las comunidades urbanas pobres en Bolivia, Colombia, Etiopía, Jordania y Túnez.</v>
      </c>
      <c r="C181" s="77">
        <v>45292</v>
      </c>
      <c r="D181" s="77">
        <v>46203</v>
      </c>
      <c r="E181" s="74" t="str">
        <v>Nariño</v>
      </c>
      <c r="F181" s="74" t="str">
        <v>Ospina</v>
      </c>
      <c r="G181" s="74" t="str">
        <v>AGENCIA ESPAÑOLA DE COOPERACIÓN INTERNACIONAL PARA EL DESARROLLO</v>
      </c>
      <c r="H181" s="74" t="str">
        <v>1. Promover la lucha contra el cambio climatico, la justicia ambiental y la transformación productiva</v>
      </c>
      <c r="I181" s="74" t="str">
        <v>11.1.Para 2030, asegurar el acceso para todos a una vivienda adecuada, segura y asequible, y a los servicios básicos y mejorar los tugurios.</v>
      </c>
      <c r="J181" s="74" t="str">
        <v>ODS 11</v>
      </c>
      <c r="K181" s="74" t="str">
        <v>SIN ALINEAR</v>
      </c>
      <c r="L181" s="74" t="str">
        <v>Presidencia de la República</v>
      </c>
    </row>
    <row r="182" spans="1:12" x14ac:dyDescent="0.3">
      <c r="A182" s="74" t="str">
        <v xml:space="preserve">RISE UP, Acelerarla aplicación del Acuerdo de París aumentando la resiliencia climática de los pobres de las zonas urbanas - M1-32FOD-000243 </v>
      </c>
      <c r="B182" s="74" t="str">
        <v>Fortalecerlas capacidades hacia la resiliencia climática de las comunidades urbanas pobres en Bolivia, Colombia, Etiopía, Jordania y Túnez.</v>
      </c>
      <c r="C182" s="77">
        <v>45292</v>
      </c>
      <c r="D182" s="77">
        <v>46203</v>
      </c>
      <c r="E182" s="74" t="str">
        <v>Nariño</v>
      </c>
      <c r="F182" s="74" t="str">
        <v>Pasto</v>
      </c>
      <c r="G182" s="74" t="str">
        <v>AGENCIA ESPAÑOLA DE COOPERACIÓN INTERNACIONAL PARA EL DESARROLLO</v>
      </c>
      <c r="H182" s="74" t="str">
        <v>1. Promover la lucha contra el cambio climatico, la justicia ambiental y la transformación productiva</v>
      </c>
      <c r="I182" s="74" t="str">
        <v>11.1.Para 2030, asegurar el acceso para todos a una vivienda adecuada, segura y asequible, y a los servicios básicos y mejorar los tugurios.</v>
      </c>
      <c r="J182" s="74" t="str">
        <v>ODS 11</v>
      </c>
      <c r="K182" s="74" t="str">
        <v>SIN ALINEAR</v>
      </c>
      <c r="L182" s="74" t="str">
        <v>Presidencia de la República</v>
      </c>
    </row>
    <row r="183" spans="1:12" x14ac:dyDescent="0.3">
      <c r="A183" s="74" t="str">
        <v xml:space="preserve">RISE UP, Acelerarla aplicación del Acuerdo de París aumentando la resiliencia climática de los pobres de las zonas urbanas - M1-32FOD-000243 </v>
      </c>
      <c r="B183" s="74" t="str">
        <v>Fortalecerlas capacidades hacia la resiliencia climática de las comunidades urbanas pobres en Bolivia, Colombia, Etiopía, Jordania y Túnez.</v>
      </c>
      <c r="C183" s="77">
        <v>45292</v>
      </c>
      <c r="D183" s="77">
        <v>46203</v>
      </c>
      <c r="E183" s="74" t="str">
        <v>Nariño</v>
      </c>
      <c r="F183" s="74" t="str">
        <v>Policarpa</v>
      </c>
      <c r="G183" s="74" t="str">
        <v>AGENCIA ESPAÑOLA DE COOPERACIÓN INTERNACIONAL PARA EL DESARROLLO</v>
      </c>
      <c r="H183" s="74" t="str">
        <v>1. Promover la lucha contra el cambio climatico, la justicia ambiental y la transformación productiva</v>
      </c>
      <c r="I183" s="74" t="str">
        <v>11.1.Para 2030, asegurar el acceso para todos a una vivienda adecuada, segura y asequible, y a los servicios básicos y mejorar los tugurios.</v>
      </c>
      <c r="J183" s="74" t="str">
        <v>ODS 11</v>
      </c>
      <c r="K183" s="74" t="str">
        <v>SIN ALINEAR</v>
      </c>
      <c r="L183" s="74" t="str">
        <v>Presidencia de la República</v>
      </c>
    </row>
    <row r="184" spans="1:12" x14ac:dyDescent="0.3">
      <c r="A184" s="74" t="str">
        <v xml:space="preserve">RISE UP, Acelerarla aplicación del Acuerdo de París aumentando la resiliencia climática de los pobres de las zonas urbanas - M1-32FOD-000243 </v>
      </c>
      <c r="B184" s="74" t="str">
        <v>Fortalecerlas capacidades hacia la resiliencia climática de las comunidades urbanas pobres en Bolivia, Colombia, Etiopía, Jordania y Túnez.</v>
      </c>
      <c r="C184" s="77">
        <v>45292</v>
      </c>
      <c r="D184" s="77">
        <v>46203</v>
      </c>
      <c r="E184" s="74" t="str">
        <v>Nariño</v>
      </c>
      <c r="F184" s="74" t="str">
        <v>Potosí</v>
      </c>
      <c r="G184" s="74" t="str">
        <v>AGENCIA ESPAÑOLA DE COOPERACIÓN INTERNACIONAL PARA EL DESARROLLO</v>
      </c>
      <c r="H184" s="74" t="str">
        <v>1. Promover la lucha contra el cambio climatico, la justicia ambiental y la transformación productiva</v>
      </c>
      <c r="I184" s="74" t="str">
        <v>11.1.Para 2030, asegurar el acceso para todos a una vivienda adecuada, segura y asequible, y a los servicios básicos y mejorar los tugurios.</v>
      </c>
      <c r="J184" s="74" t="str">
        <v>ODS 11</v>
      </c>
      <c r="K184" s="74" t="str">
        <v>SIN ALINEAR</v>
      </c>
      <c r="L184" s="74" t="str">
        <v>Presidencia de la República</v>
      </c>
    </row>
    <row r="185" spans="1:12" x14ac:dyDescent="0.3">
      <c r="A185" s="74" t="str">
        <v xml:space="preserve">RISE UP, Acelerarla aplicación del Acuerdo de París aumentando la resiliencia climática de los pobres de las zonas urbanas - M1-32FOD-000243 </v>
      </c>
      <c r="B185" s="74" t="str">
        <v>Fortalecerlas capacidades hacia la resiliencia climática de las comunidades urbanas pobres en Bolivia, Colombia, Etiopía, Jordania y Túnez.</v>
      </c>
      <c r="C185" s="77">
        <v>45292</v>
      </c>
      <c r="D185" s="77">
        <v>46203</v>
      </c>
      <c r="E185" s="74" t="str">
        <v>Nariño</v>
      </c>
      <c r="F185" s="74" t="str">
        <v>Providencia</v>
      </c>
      <c r="G185" s="74" t="str">
        <v>AGENCIA ESPAÑOLA DE COOPERACIÓN INTERNACIONAL PARA EL DESARROLLO</v>
      </c>
      <c r="H185" s="74" t="str">
        <v>1. Promover la lucha contra el cambio climatico, la justicia ambiental y la transformación productiva</v>
      </c>
      <c r="I185" s="74" t="str">
        <v>11.1.Para 2030, asegurar el acceso para todos a una vivienda adecuada, segura y asequible, y a los servicios básicos y mejorar los tugurios.</v>
      </c>
      <c r="J185" s="74" t="str">
        <v>ODS 11</v>
      </c>
      <c r="K185" s="74" t="str">
        <v>SIN ALINEAR</v>
      </c>
      <c r="L185" s="74" t="str">
        <v>Presidencia de la República</v>
      </c>
    </row>
    <row r="186" spans="1:12" x14ac:dyDescent="0.3">
      <c r="A186" s="74" t="str">
        <v xml:space="preserve">RISE UP, Acelerarla aplicación del Acuerdo de París aumentando la resiliencia climática de los pobres de las zonas urbanas - M1-32FOD-000243 </v>
      </c>
      <c r="B186" s="74" t="str">
        <v>Fortalecerlas capacidades hacia la resiliencia climática de las comunidades urbanas pobres en Bolivia, Colombia, Etiopía, Jordania y Túnez.</v>
      </c>
      <c r="C186" s="77">
        <v>45292</v>
      </c>
      <c r="D186" s="77">
        <v>46203</v>
      </c>
      <c r="E186" s="74" t="str">
        <v>Nariño</v>
      </c>
      <c r="F186" s="74" t="str">
        <v>Puerres</v>
      </c>
      <c r="G186" s="74" t="str">
        <v>AGENCIA ESPAÑOLA DE COOPERACIÓN INTERNACIONAL PARA EL DESARROLLO</v>
      </c>
      <c r="H186" s="74" t="str">
        <v>1. Promover la lucha contra el cambio climatico, la justicia ambiental y la transformación productiva</v>
      </c>
      <c r="I186" s="74" t="str">
        <v>11.1.Para 2030, asegurar el acceso para todos a una vivienda adecuada, segura y asequible, y a los servicios básicos y mejorar los tugurios.</v>
      </c>
      <c r="J186" s="74" t="str">
        <v>ODS 11</v>
      </c>
      <c r="K186" s="74" t="str">
        <v>SIN ALINEAR</v>
      </c>
      <c r="L186" s="74" t="str">
        <v>Presidencia de la República</v>
      </c>
    </row>
    <row r="187" spans="1:12" x14ac:dyDescent="0.3">
      <c r="A187" s="74" t="str">
        <v xml:space="preserve">RISE UP, Acelerarla aplicación del Acuerdo de París aumentando la resiliencia climática de los pobres de las zonas urbanas - M1-32FOD-000243 </v>
      </c>
      <c r="B187" s="74" t="str">
        <v>Fortalecerlas capacidades hacia la resiliencia climática de las comunidades urbanas pobres en Bolivia, Colombia, Etiopía, Jordania y Túnez.</v>
      </c>
      <c r="C187" s="77">
        <v>45292</v>
      </c>
      <c r="D187" s="77">
        <v>46203</v>
      </c>
      <c r="E187" s="74" t="str">
        <v>Nariño</v>
      </c>
      <c r="F187" s="74" t="str">
        <v>Pupiales</v>
      </c>
      <c r="G187" s="74" t="str">
        <v>AGENCIA ESPAÑOLA DE COOPERACIÓN INTERNACIONAL PARA EL DESARROLLO</v>
      </c>
      <c r="H187" s="74" t="str">
        <v>1. Promover la lucha contra el cambio climatico, la justicia ambiental y la transformación productiva</v>
      </c>
      <c r="I187" s="74" t="str">
        <v>11.1.Para 2030, asegurar el acceso para todos a una vivienda adecuada, segura y asequible, y a los servicios básicos y mejorar los tugurios.</v>
      </c>
      <c r="J187" s="74" t="str">
        <v>ODS 11</v>
      </c>
      <c r="K187" s="74" t="str">
        <v>SIN ALINEAR</v>
      </c>
      <c r="L187" s="74" t="str">
        <v>Presidencia de la República</v>
      </c>
    </row>
    <row r="188" spans="1:12" x14ac:dyDescent="0.3">
      <c r="A188" s="74" t="str">
        <v xml:space="preserve">RISE UP, Acelerarla aplicación del Acuerdo de París aumentando la resiliencia climática de los pobres de las zonas urbanas - M1-32FOD-000243 </v>
      </c>
      <c r="B188" s="74" t="str">
        <v>Fortalecerlas capacidades hacia la resiliencia climática de las comunidades urbanas pobres en Bolivia, Colombia, Etiopía, Jordania y Túnez.</v>
      </c>
      <c r="C188" s="77">
        <v>45292</v>
      </c>
      <c r="D188" s="77">
        <v>46203</v>
      </c>
      <c r="E188" s="74" t="str">
        <v>Nariño</v>
      </c>
      <c r="F188" s="74" t="str">
        <v>Ricaurte</v>
      </c>
      <c r="G188" s="74" t="str">
        <v>AGENCIA ESPAÑOLA DE COOPERACIÓN INTERNACIONAL PARA EL DESARROLLO</v>
      </c>
      <c r="H188" s="74" t="str">
        <v>1. Promover la lucha contra el cambio climatico, la justicia ambiental y la transformación productiva</v>
      </c>
      <c r="I188" s="74" t="str">
        <v>11.1.Para 2030, asegurar el acceso para todos a una vivienda adecuada, segura y asequible, y a los servicios básicos y mejorar los tugurios.</v>
      </c>
      <c r="J188" s="74" t="str">
        <v>ODS 11</v>
      </c>
      <c r="K188" s="74" t="str">
        <v>SIN ALINEAR</v>
      </c>
      <c r="L188" s="74" t="str">
        <v>Presidencia de la República</v>
      </c>
    </row>
    <row r="189" spans="1:12" x14ac:dyDescent="0.3">
      <c r="A189" s="74" t="str">
        <v xml:space="preserve">RISE UP, Acelerarla aplicación del Acuerdo de París aumentando la resiliencia climática de los pobres de las zonas urbanas - M1-32FOD-000243 </v>
      </c>
      <c r="B189" s="74" t="str">
        <v>Fortalecerlas capacidades hacia la resiliencia climática de las comunidades urbanas pobres en Bolivia, Colombia, Etiopía, Jordania y Túnez.</v>
      </c>
      <c r="C189" s="77">
        <v>45292</v>
      </c>
      <c r="D189" s="77">
        <v>46203</v>
      </c>
      <c r="E189" s="74" t="str">
        <v>Nariño</v>
      </c>
      <c r="F189" s="74" t="str">
        <v>Roberto Payán</v>
      </c>
      <c r="G189" s="74" t="str">
        <v>AGENCIA ESPAÑOLA DE COOPERACIÓN INTERNACIONAL PARA EL DESARROLLO</v>
      </c>
      <c r="H189" s="74" t="str">
        <v>1. Promover la lucha contra el cambio climatico, la justicia ambiental y la transformación productiva</v>
      </c>
      <c r="I189" s="74" t="str">
        <v>11.1.Para 2030, asegurar el acceso para todos a una vivienda adecuada, segura y asequible, y a los servicios básicos y mejorar los tugurios.</v>
      </c>
      <c r="J189" s="74" t="str">
        <v>ODS 11</v>
      </c>
      <c r="K189" s="74" t="str">
        <v>SIN ALINEAR</v>
      </c>
      <c r="L189" s="74" t="str">
        <v>Presidencia de la República</v>
      </c>
    </row>
    <row r="190" spans="1:12" x14ac:dyDescent="0.3">
      <c r="A190" s="74" t="str">
        <v xml:space="preserve">RISE UP, Acelerarla aplicación del Acuerdo de París aumentando la resiliencia climática de los pobres de las zonas urbanas - M1-32FOD-000243 </v>
      </c>
      <c r="B190" s="74" t="str">
        <v>Fortalecerlas capacidades hacia la resiliencia climática de las comunidades urbanas pobres en Bolivia, Colombia, Etiopía, Jordania y Túnez.</v>
      </c>
      <c r="C190" s="77">
        <v>45292</v>
      </c>
      <c r="D190" s="77">
        <v>46203</v>
      </c>
      <c r="E190" s="74" t="str">
        <v>Nariño</v>
      </c>
      <c r="F190" s="74" t="str">
        <v>Samaniego</v>
      </c>
      <c r="G190" s="74" t="str">
        <v>AGENCIA ESPAÑOLA DE COOPERACIÓN INTERNACIONAL PARA EL DESARROLLO</v>
      </c>
      <c r="H190" s="74" t="str">
        <v>1. Promover la lucha contra el cambio climatico, la justicia ambiental y la transformación productiva</v>
      </c>
      <c r="I190" s="74" t="str">
        <v>11.1.Para 2030, asegurar el acceso para todos a una vivienda adecuada, segura y asequible, y a los servicios básicos y mejorar los tugurios.</v>
      </c>
      <c r="J190" s="74" t="str">
        <v>ODS 11</v>
      </c>
      <c r="K190" s="74" t="str">
        <v>SIN ALINEAR</v>
      </c>
      <c r="L190" s="74" t="str">
        <v>Presidencia de la República</v>
      </c>
    </row>
    <row r="191" spans="1:12" x14ac:dyDescent="0.3">
      <c r="A191" s="74" t="str">
        <v xml:space="preserve">RISE UP, Acelerarla aplicación del Acuerdo de París aumentando la resiliencia climática de los pobres de las zonas urbanas - M1-32FOD-000243 </v>
      </c>
      <c r="B191" s="74" t="str">
        <v>Fortalecerlas capacidades hacia la resiliencia climática de las comunidades urbanas pobres en Bolivia, Colombia, Etiopía, Jordania y Túnez.</v>
      </c>
      <c r="C191" s="77">
        <v>45292</v>
      </c>
      <c r="D191" s="77">
        <v>46203</v>
      </c>
      <c r="E191" s="74" t="str">
        <v>Nariño</v>
      </c>
      <c r="F191" s="74" t="str">
        <v>San Andrés de Tumaco</v>
      </c>
      <c r="G191" s="74" t="str">
        <v>AGENCIA ESPAÑOLA DE COOPERACIÓN INTERNACIONAL PARA EL DESARROLLO</v>
      </c>
      <c r="H191" s="74" t="str">
        <v>1. Promover la lucha contra el cambio climatico, la justicia ambiental y la transformación productiva</v>
      </c>
      <c r="I191" s="74" t="str">
        <v>11.1.Para 2030, asegurar el acceso para todos a una vivienda adecuada, segura y asequible, y a los servicios básicos y mejorar los tugurios.</v>
      </c>
      <c r="J191" s="74" t="str">
        <v>ODS 11</v>
      </c>
      <c r="K191" s="74" t="str">
        <v>SIN ALINEAR</v>
      </c>
      <c r="L191" s="74" t="str">
        <v>Presidencia de la República</v>
      </c>
    </row>
    <row r="192" spans="1:12" x14ac:dyDescent="0.3">
      <c r="A192" s="74" t="str">
        <v xml:space="preserve">RISE UP, Acelerarla aplicación del Acuerdo de París aumentando la resiliencia climática de los pobres de las zonas urbanas - M1-32FOD-000243 </v>
      </c>
      <c r="B192" s="74" t="str">
        <v>Fortalecerlas capacidades hacia la resiliencia climática de las comunidades urbanas pobres en Bolivia, Colombia, Etiopía, Jordania y Túnez.</v>
      </c>
      <c r="C192" s="77">
        <v>45292</v>
      </c>
      <c r="D192" s="77">
        <v>46203</v>
      </c>
      <c r="E192" s="74" t="str">
        <v>Nariño</v>
      </c>
      <c r="F192" s="74" t="str">
        <v>San Bernardo</v>
      </c>
      <c r="G192" s="74" t="str">
        <v>AGENCIA ESPAÑOLA DE COOPERACIÓN INTERNACIONAL PARA EL DESARROLLO</v>
      </c>
      <c r="H192" s="74" t="str">
        <v>1. Promover la lucha contra el cambio climatico, la justicia ambiental y la transformación productiva</v>
      </c>
      <c r="I192" s="74" t="str">
        <v>11.1.Para 2030, asegurar el acceso para todos a una vivienda adecuada, segura y asequible, y a los servicios básicos y mejorar los tugurios.</v>
      </c>
      <c r="J192" s="74" t="str">
        <v>ODS 11</v>
      </c>
      <c r="K192" s="74" t="str">
        <v>SIN ALINEAR</v>
      </c>
      <c r="L192" s="74" t="str">
        <v>Presidencia de la República</v>
      </c>
    </row>
    <row r="193" spans="1:12" x14ac:dyDescent="0.3">
      <c r="A193" s="74" t="str">
        <v xml:space="preserve">RISE UP, Acelerarla aplicación del Acuerdo de París aumentando la resiliencia climática de los pobres de las zonas urbanas - M1-32FOD-000243 </v>
      </c>
      <c r="B193" s="74" t="str">
        <v>Fortalecerlas capacidades hacia la resiliencia climática de las comunidades urbanas pobres en Bolivia, Colombia, Etiopía, Jordania y Túnez.</v>
      </c>
      <c r="C193" s="77">
        <v>45292</v>
      </c>
      <c r="D193" s="77">
        <v>46203</v>
      </c>
      <c r="E193" s="74" t="str">
        <v>Nariño</v>
      </c>
      <c r="F193" s="74" t="str">
        <v>San Lorenzo</v>
      </c>
      <c r="G193" s="74" t="str">
        <v>AGENCIA ESPAÑOLA DE COOPERACIÓN INTERNACIONAL PARA EL DESARROLLO</v>
      </c>
      <c r="H193" s="74" t="str">
        <v>1. Promover la lucha contra el cambio climatico, la justicia ambiental y la transformación productiva</v>
      </c>
      <c r="I193" s="74" t="str">
        <v>11.1.Para 2030, asegurar el acceso para todos a una vivienda adecuada, segura y asequible, y a los servicios básicos y mejorar los tugurios.</v>
      </c>
      <c r="J193" s="74" t="str">
        <v>ODS 11</v>
      </c>
      <c r="K193" s="74" t="str">
        <v>SIN ALINEAR</v>
      </c>
      <c r="L193" s="74" t="str">
        <v>Presidencia de la República</v>
      </c>
    </row>
    <row r="194" spans="1:12" x14ac:dyDescent="0.3">
      <c r="A194" s="74" t="str">
        <v xml:space="preserve">RISE UP, Acelerarla aplicación del Acuerdo de París aumentando la resiliencia climática de los pobres de las zonas urbanas - M1-32FOD-000243 </v>
      </c>
      <c r="B194" s="74" t="str">
        <v>Fortalecerlas capacidades hacia la resiliencia climática de las comunidades urbanas pobres en Bolivia, Colombia, Etiopía, Jordania y Túnez.</v>
      </c>
      <c r="C194" s="77">
        <v>45292</v>
      </c>
      <c r="D194" s="77">
        <v>46203</v>
      </c>
      <c r="E194" s="74" t="str">
        <v>Nariño</v>
      </c>
      <c r="F194" s="74" t="str">
        <v>San Pablo</v>
      </c>
      <c r="G194" s="74" t="str">
        <v>AGENCIA ESPAÑOLA DE COOPERACIÓN INTERNACIONAL PARA EL DESARROLLO</v>
      </c>
      <c r="H194" s="74" t="str">
        <v>1. Promover la lucha contra el cambio climatico, la justicia ambiental y la transformación productiva</v>
      </c>
      <c r="I194" s="74" t="str">
        <v>11.1.Para 2030, asegurar el acceso para todos a una vivienda adecuada, segura y asequible, y a los servicios básicos y mejorar los tugurios.</v>
      </c>
      <c r="J194" s="74" t="str">
        <v>ODS 11</v>
      </c>
      <c r="K194" s="74" t="str">
        <v>SIN ALINEAR</v>
      </c>
      <c r="L194" s="74" t="str">
        <v>Presidencia de la República</v>
      </c>
    </row>
    <row r="195" spans="1:12" x14ac:dyDescent="0.3">
      <c r="A195" s="74" t="str">
        <v xml:space="preserve">RISE UP, Acelerarla aplicación del Acuerdo de París aumentando la resiliencia climática de los pobres de las zonas urbanas - M1-32FOD-000243 </v>
      </c>
      <c r="B195" s="74" t="str">
        <v>Fortalecerlas capacidades hacia la resiliencia climática de las comunidades urbanas pobres en Bolivia, Colombia, Etiopía, Jordania y Túnez.</v>
      </c>
      <c r="C195" s="77">
        <v>45292</v>
      </c>
      <c r="D195" s="77">
        <v>46203</v>
      </c>
      <c r="E195" s="74" t="str">
        <v>Nariño</v>
      </c>
      <c r="F195" s="74" t="str">
        <v>San Pedro de Cartago</v>
      </c>
      <c r="G195" s="74" t="str">
        <v>AGENCIA ESPAÑOLA DE COOPERACIÓN INTERNACIONAL PARA EL DESARROLLO</v>
      </c>
      <c r="H195" s="74" t="str">
        <v>1. Promover la lucha contra el cambio climatico, la justicia ambiental y la transformación productiva</v>
      </c>
      <c r="I195" s="74" t="str">
        <v>11.1.Para 2030, asegurar el acceso para todos a una vivienda adecuada, segura y asequible, y a los servicios básicos y mejorar los tugurios.</v>
      </c>
      <c r="J195" s="74" t="str">
        <v>ODS 11</v>
      </c>
      <c r="K195" s="74" t="str">
        <v>SIN ALINEAR</v>
      </c>
      <c r="L195" s="74" t="str">
        <v>Presidencia de la República</v>
      </c>
    </row>
    <row r="196" spans="1:12" x14ac:dyDescent="0.3">
      <c r="A196" s="74" t="str">
        <v xml:space="preserve">RISE UP, Acelerarla aplicación del Acuerdo de París aumentando la resiliencia climática de los pobres de las zonas urbanas - M1-32FOD-000243 </v>
      </c>
      <c r="B196" s="74" t="str">
        <v>Fortalecerlas capacidades hacia la resiliencia climática de las comunidades urbanas pobres en Bolivia, Colombia, Etiopía, Jordania y Túnez.</v>
      </c>
      <c r="C196" s="77">
        <v>45292</v>
      </c>
      <c r="D196" s="77">
        <v>46203</v>
      </c>
      <c r="E196" s="74" t="str">
        <v>Nariño</v>
      </c>
      <c r="F196" s="74" t="str">
        <v>Sandoná</v>
      </c>
      <c r="G196" s="74" t="str">
        <v>AGENCIA ESPAÑOLA DE COOPERACIÓN INTERNACIONAL PARA EL DESARROLLO</v>
      </c>
      <c r="H196" s="74" t="str">
        <v>1. Promover la lucha contra el cambio climatico, la justicia ambiental y la transformación productiva</v>
      </c>
      <c r="I196" s="74" t="str">
        <v>11.1.Para 2030, asegurar el acceso para todos a una vivienda adecuada, segura y asequible, y a los servicios básicos y mejorar los tugurios.</v>
      </c>
      <c r="J196" s="74" t="str">
        <v>ODS 11</v>
      </c>
      <c r="K196" s="74" t="str">
        <v>SIN ALINEAR</v>
      </c>
      <c r="L196" s="74" t="str">
        <v>Presidencia de la República</v>
      </c>
    </row>
    <row r="197" spans="1:12" x14ac:dyDescent="0.3">
      <c r="A197" s="74" t="str">
        <v xml:space="preserve">RISE UP, Acelerarla aplicación del Acuerdo de París aumentando la resiliencia climática de los pobres de las zonas urbanas - M1-32FOD-000243 </v>
      </c>
      <c r="B197" s="74" t="str">
        <v>Fortalecerlas capacidades hacia la resiliencia climática de las comunidades urbanas pobres en Bolivia, Colombia, Etiopía, Jordania y Túnez.</v>
      </c>
      <c r="C197" s="77">
        <v>45292</v>
      </c>
      <c r="D197" s="77">
        <v>46203</v>
      </c>
      <c r="E197" s="74" t="str">
        <v>Nariño</v>
      </c>
      <c r="F197" s="74" t="str">
        <v>Santa Bárbara</v>
      </c>
      <c r="G197" s="74" t="str">
        <v>AGENCIA ESPAÑOLA DE COOPERACIÓN INTERNACIONAL PARA EL DESARROLLO</v>
      </c>
      <c r="H197" s="74" t="str">
        <v>1. Promover la lucha contra el cambio climatico, la justicia ambiental y la transformación productiva</v>
      </c>
      <c r="I197" s="74" t="str">
        <v>11.1.Para 2030, asegurar el acceso para todos a una vivienda adecuada, segura y asequible, y a los servicios básicos y mejorar los tugurios.</v>
      </c>
      <c r="J197" s="74" t="str">
        <v>ODS 11</v>
      </c>
      <c r="K197" s="74" t="str">
        <v>SIN ALINEAR</v>
      </c>
      <c r="L197" s="74" t="str">
        <v>Presidencia de la República</v>
      </c>
    </row>
    <row r="198" spans="1:12" x14ac:dyDescent="0.3">
      <c r="A198" s="74" t="str">
        <v xml:space="preserve">RISE UP, Acelerarla aplicación del Acuerdo de París aumentando la resiliencia climática de los pobres de las zonas urbanas - M1-32FOD-000243 </v>
      </c>
      <c r="B198" s="74" t="str">
        <v>Fortalecerlas capacidades hacia la resiliencia climática de las comunidades urbanas pobres en Bolivia, Colombia, Etiopía, Jordania y Túnez.</v>
      </c>
      <c r="C198" s="77">
        <v>45292</v>
      </c>
      <c r="D198" s="77">
        <v>46203</v>
      </c>
      <c r="E198" s="74" t="str">
        <v>Nariño</v>
      </c>
      <c r="F198" s="74" t="str">
        <v>Santacruz</v>
      </c>
      <c r="G198" s="74" t="str">
        <v>AGENCIA ESPAÑOLA DE COOPERACIÓN INTERNACIONAL PARA EL DESARROLLO</v>
      </c>
      <c r="H198" s="74" t="str">
        <v>1. Promover la lucha contra el cambio climatico, la justicia ambiental y la transformación productiva</v>
      </c>
      <c r="I198" s="74" t="str">
        <v>11.1.Para 2030, asegurar el acceso para todos a una vivienda adecuada, segura y asequible, y a los servicios básicos y mejorar los tugurios.</v>
      </c>
      <c r="J198" s="74" t="str">
        <v>ODS 11</v>
      </c>
      <c r="K198" s="74" t="str">
        <v>SIN ALINEAR</v>
      </c>
      <c r="L198" s="74" t="str">
        <v>Presidencia de la República</v>
      </c>
    </row>
    <row r="199" spans="1:12" x14ac:dyDescent="0.3">
      <c r="A199" s="74" t="str">
        <v xml:space="preserve">RISE UP, Acelerarla aplicación del Acuerdo de París aumentando la resiliencia climática de los pobres de las zonas urbanas - M1-32FOD-000243 </v>
      </c>
      <c r="B199" s="74" t="str">
        <v>Fortalecerlas capacidades hacia la resiliencia climática de las comunidades urbanas pobres en Bolivia, Colombia, Etiopía, Jordania y Túnez.</v>
      </c>
      <c r="C199" s="77">
        <v>45292</v>
      </c>
      <c r="D199" s="77">
        <v>46203</v>
      </c>
      <c r="E199" s="74" t="str">
        <v>Nariño</v>
      </c>
      <c r="F199" s="74" t="str">
        <v>Sapuyes</v>
      </c>
      <c r="G199" s="74" t="str">
        <v>AGENCIA ESPAÑOLA DE COOPERACIÓN INTERNACIONAL PARA EL DESARROLLO</v>
      </c>
      <c r="H199" s="74" t="str">
        <v>1. Promover la lucha contra el cambio climatico, la justicia ambiental y la transformación productiva</v>
      </c>
      <c r="I199" s="74" t="str">
        <v>11.1.Para 2030, asegurar el acceso para todos a una vivienda adecuada, segura y asequible, y a los servicios básicos y mejorar los tugurios.</v>
      </c>
      <c r="J199" s="74" t="str">
        <v>ODS 11</v>
      </c>
      <c r="K199" s="74" t="str">
        <v>SIN ALINEAR</v>
      </c>
      <c r="L199" s="74" t="str">
        <v>Presidencia de la República</v>
      </c>
    </row>
    <row r="200" spans="1:12" x14ac:dyDescent="0.3">
      <c r="A200" s="74" t="str">
        <v xml:space="preserve">RISE UP, Acelerarla aplicación del Acuerdo de París aumentando la resiliencia climática de los pobres de las zonas urbanas - M1-32FOD-000243 </v>
      </c>
      <c r="B200" s="74" t="str">
        <v>Fortalecerlas capacidades hacia la resiliencia climática de las comunidades urbanas pobres en Bolivia, Colombia, Etiopía, Jordania y Túnez.</v>
      </c>
      <c r="C200" s="77">
        <v>45292</v>
      </c>
      <c r="D200" s="77">
        <v>46203</v>
      </c>
      <c r="E200" s="74" t="str">
        <v>Nariño</v>
      </c>
      <c r="F200" s="74" t="str">
        <v>Taminango</v>
      </c>
      <c r="G200" s="74" t="str">
        <v>AGENCIA ESPAÑOLA DE COOPERACIÓN INTERNACIONAL PARA EL DESARROLLO</v>
      </c>
      <c r="H200" s="74" t="str">
        <v>1. Promover la lucha contra el cambio climatico, la justicia ambiental y la transformación productiva</v>
      </c>
      <c r="I200" s="74" t="str">
        <v>11.1.Para 2030, asegurar el acceso para todos a una vivienda adecuada, segura y asequible, y a los servicios básicos y mejorar los tugurios.</v>
      </c>
      <c r="J200" s="74" t="str">
        <v>ODS 11</v>
      </c>
      <c r="K200" s="74" t="str">
        <v>SIN ALINEAR</v>
      </c>
      <c r="L200" s="74" t="str">
        <v>Presidencia de la República</v>
      </c>
    </row>
    <row r="201" spans="1:12" x14ac:dyDescent="0.3">
      <c r="A201" s="74" t="str">
        <v xml:space="preserve">RISE UP, Acelerarla aplicación del Acuerdo de París aumentando la resiliencia climática de los pobres de las zonas urbanas - M1-32FOD-000243 </v>
      </c>
      <c r="B201" s="74" t="str">
        <v>Fortalecerlas capacidades hacia la resiliencia climática de las comunidades urbanas pobres en Bolivia, Colombia, Etiopía, Jordania y Túnez.</v>
      </c>
      <c r="C201" s="77">
        <v>45292</v>
      </c>
      <c r="D201" s="77">
        <v>46203</v>
      </c>
      <c r="E201" s="74" t="str">
        <v>Nariño</v>
      </c>
      <c r="F201" s="74" t="str">
        <v>Tangua</v>
      </c>
      <c r="G201" s="74" t="str">
        <v>AGENCIA ESPAÑOLA DE COOPERACIÓN INTERNACIONAL PARA EL DESARROLLO</v>
      </c>
      <c r="H201" s="74" t="str">
        <v>1. Promover la lucha contra el cambio climatico, la justicia ambiental y la transformación productiva</v>
      </c>
      <c r="I201" s="74" t="str">
        <v>11.1.Para 2030, asegurar el acceso para todos a una vivienda adecuada, segura y asequible, y a los servicios básicos y mejorar los tugurios.</v>
      </c>
      <c r="J201" s="74" t="str">
        <v>ODS 11</v>
      </c>
      <c r="K201" s="74" t="str">
        <v>SIN ALINEAR</v>
      </c>
      <c r="L201" s="74" t="str">
        <v>Presidencia de la República</v>
      </c>
    </row>
    <row r="202" spans="1:12" x14ac:dyDescent="0.3">
      <c r="A202" s="74" t="str">
        <v xml:space="preserve">RISE UP, Acelerarla aplicación del Acuerdo de París aumentando la resiliencia climática de los pobres de las zonas urbanas - M1-32FOD-000243 </v>
      </c>
      <c r="B202" s="74" t="str">
        <v>Fortalecerlas capacidades hacia la resiliencia climática de las comunidades urbanas pobres en Bolivia, Colombia, Etiopía, Jordania y Túnez.</v>
      </c>
      <c r="C202" s="77">
        <v>45292</v>
      </c>
      <c r="D202" s="77">
        <v>46203</v>
      </c>
      <c r="E202" s="74" t="str">
        <v>Nariño</v>
      </c>
      <c r="F202" s="74" t="str">
        <v>Túquerres</v>
      </c>
      <c r="G202" s="74" t="str">
        <v>AGENCIA ESPAÑOLA DE COOPERACIÓN INTERNACIONAL PARA EL DESARROLLO</v>
      </c>
      <c r="H202" s="74" t="str">
        <v>1. Promover la lucha contra el cambio climatico, la justicia ambiental y la transformación productiva</v>
      </c>
      <c r="I202" s="74" t="str">
        <v>11.1.Para 2030, asegurar el acceso para todos a una vivienda adecuada, segura y asequible, y a los servicios básicos y mejorar los tugurios.</v>
      </c>
      <c r="J202" s="74" t="str">
        <v>ODS 11</v>
      </c>
      <c r="K202" s="74" t="str">
        <v>SIN ALINEAR</v>
      </c>
      <c r="L202" s="74" t="str">
        <v>Presidencia de la República</v>
      </c>
    </row>
    <row r="203" spans="1:12" x14ac:dyDescent="0.3">
      <c r="A203" s="74" t="str">
        <v xml:space="preserve">RISE UP, Acelerarla aplicación del Acuerdo de París aumentando la resiliencia climática de los pobres de las zonas urbanas - M1-32FOD-000243 </v>
      </c>
      <c r="B203" s="74" t="str">
        <v>Fortalecerlas capacidades hacia la resiliencia climática de las comunidades urbanas pobres en Bolivia, Colombia, Etiopía, Jordania y Túnez.</v>
      </c>
      <c r="C203" s="77">
        <v>45292</v>
      </c>
      <c r="D203" s="77">
        <v>46203</v>
      </c>
      <c r="E203" s="74" t="str">
        <v>Nariño</v>
      </c>
      <c r="F203" s="74" t="str">
        <v>Yacuanquer</v>
      </c>
      <c r="G203" s="74" t="str">
        <v>AGENCIA ESPAÑOLA DE COOPERACIÓN INTERNACIONAL PARA EL DESARROLLO</v>
      </c>
      <c r="H203" s="74" t="str">
        <v>1. Promover la lucha contra el cambio climatico, la justicia ambiental y la transformación productiva</v>
      </c>
      <c r="I203" s="74" t="str">
        <v>11.1.Para 2030, asegurar el acceso para todos a una vivienda adecuada, segura y asequible, y a los servicios básicos y mejorar los tugurios.</v>
      </c>
      <c r="J203" s="74" t="str">
        <v>ODS 11</v>
      </c>
      <c r="K203" s="74" t="str">
        <v>SIN ALINEAR</v>
      </c>
      <c r="L203" s="74" t="str">
        <v>Presidencia de la República</v>
      </c>
    </row>
    <row r="204" spans="1:12" x14ac:dyDescent="0.3">
      <c r="A204" s="74" t="str">
        <v>CO-G1051 Fortalecimiento productivo y comercial del proceso artesanal de tejido en lana de las mujeres tejedoras de Cumbal, Nariño</v>
      </c>
      <c r="B204" s="74" t="str">
        <v>Fortalecer la capacidad productiva y comercial de las mujeres tejedoras de la etnia Pastos, del Resguardo Cumbal, ubicado en el Departamento de Nariño, Colombia, para promover su empoderamiento e inclusión socioeconómica</v>
      </c>
      <c r="C204" s="77">
        <v>45303</v>
      </c>
      <c r="D204" s="77">
        <v>46149</v>
      </c>
      <c r="E204" s="74" t="str">
        <v>Nariño</v>
      </c>
      <c r="F204" s="74" t="str">
        <v>Cumbal</v>
      </c>
      <c r="G204" s="74" t="str">
        <v>BANCO INTERAMERICANO DE DESARROLLO - BID</v>
      </c>
      <c r="H204" s="74" t="str">
        <v>3. Promover una cultura de paz, justicia y lucha contra la desigualdad</v>
      </c>
      <c r="I204" s="74" t="str">
        <v>5.c.Adoptar y reforzar políticas sólidas y una legislación aplicable para la promoción de la igualdad de género y el empoderamiento de las mujeres y las niñas en todos los niveles.</v>
      </c>
      <c r="J204" s="74" t="str">
        <v>ODS 5</v>
      </c>
      <c r="K204" s="74" t="str">
        <v>SIN ALINEAR</v>
      </c>
      <c r="L204" s="74" t="str">
        <v>Igualdad y Equidad</v>
      </c>
    </row>
    <row r="205" spans="1:12" x14ac:dyDescent="0.3">
      <c r="A205" s="74" t="str">
        <v>Igualmente Justas: Puerta hacia el reconocimiento - Innovaciones desde la justicia feminista interseccional para el fin de la impunidad - NDICI HR INTPA/2024/460-759</v>
      </c>
      <c r="B205" s="74" t="str">
        <v>Contribuir a lograr una justicia más eficaz en casos de violencia contra las mujeres y las personas LGTBIQ+ en el marco de los procesos de paz en Colombia.</v>
      </c>
      <c r="C205" s="77">
        <v>45658</v>
      </c>
      <c r="D205" s="77">
        <v>46874</v>
      </c>
      <c r="E205" s="74" t="str">
        <v>Nariño</v>
      </c>
      <c r="F205" s="74" t="str">
        <v>No Reporta</v>
      </c>
      <c r="G205" s="74" t="str">
        <v>Unión Europea</v>
      </c>
      <c r="H205" s="74" t="str">
        <v>3. Promover una cultura de paz, justicia y lucha contra la desigualdad</v>
      </c>
      <c r="I205" s="74" t="str">
        <v>5.c.Adoptar y reforzar políticas sólidas y una legislación aplicable para la promoción de la igualdad de género y el empoderamiento de las mujeres y las niñas en todos los niveles.</v>
      </c>
      <c r="J205" s="74" t="str">
        <v>ODS 5</v>
      </c>
      <c r="K205" s="74" t="str">
        <v>SIN ALINEAR</v>
      </c>
      <c r="L205" s="74" t="str">
        <v>Presidencia de la República</v>
      </c>
    </row>
    <row r="206" spans="1:12" x14ac:dyDescent="0.3">
      <c r="A206" s="74" t="str">
        <v>2000144-Entornos que cuidan: Compartir  responsabilidades de cuidado para avanzar la  igualdad de género (Caring Cities: sharing care responsibilities to advance gender equality)</v>
      </c>
      <c r="B206" s="74" t="str">
        <v>Apoyo a la incorporación del enfoque de género en la acción humanitaria.</v>
      </c>
      <c r="C206" s="77">
        <v>45141</v>
      </c>
      <c r="D206" s="77">
        <v>46752</v>
      </c>
      <c r="E206" s="74" t="str">
        <v>Nariño</v>
      </c>
      <c r="F206" s="74" t="str">
        <v>No Reporta</v>
      </c>
      <c r="G206" s="74" t="str">
        <v>DEPARTAMENTO DE RELACIONES EXTERIORES Y COMERCIO DE IRLANDA -DFAT/ DEPARTMENT OF FOREIGN AFFAIIRS AN TRADE OF IRELAND - DFAT</v>
      </c>
      <c r="H206" s="74" t="str">
        <v>3. Promover una cultura de paz, justicia y lucha contra la desigualdad</v>
      </c>
      <c r="I206" s="74" t="str">
        <v>5.2.Eliminar todas las formas de violencia contra las mujeres y las niñas en las esferas públicas y privadas, incluyendo el tráfico sexual y otros tipos de explotación.</v>
      </c>
      <c r="J206" s="74" t="str">
        <v>ODS 5</v>
      </c>
      <c r="K206" s="74" t="str">
        <v>SIN ALINEAR</v>
      </c>
      <c r="L206" s="74" t="str">
        <v>Igualdad y Equidad</v>
      </c>
    </row>
    <row r="207" spans="1:12" x14ac:dyDescent="0.3">
      <c r="A207" s="74" t="str">
        <v>2000557-Nota estratégica sobre contribuciones no asignadas 2024-2027-SUECIA II</v>
      </c>
      <c r="B207" s="74" t="str">
        <v>Sin datos</v>
      </c>
      <c r="C207" s="77">
        <v>45271</v>
      </c>
      <c r="D207" s="77">
        <v>47118</v>
      </c>
      <c r="E207" s="74" t="str">
        <v>Nariño</v>
      </c>
      <c r="F207" s="74" t="str">
        <v>No Reporta</v>
      </c>
      <c r="G207" s="74" t="str">
        <v>AGENCIA SUECA PARA EL DESARROLLO INTERNACIONAL - ASDI/ SWEDISH INTERNATIONAL DEVELOPMENT COOPERATION AGENCY -SIDA/ SWEDISH INT'L DEVELOPMENT COOPERATION</v>
      </c>
      <c r="H207" s="74" t="str">
        <v>3. Promover una cultura de paz, justicia y lucha contra la desigualdad</v>
      </c>
      <c r="I207" s="74" t="str">
        <v>5.5.Garantizar la participación plena y efectiva de las mujeres y la igualdad de oportunidades para el liderazgo en todos los niveles de toma de decisiones en la vida política, económica y
pública.</v>
      </c>
      <c r="J207" s="74" t="str">
        <v>ODS 5</v>
      </c>
      <c r="K207" s="74" t="str">
        <v>SIN ALINEAR</v>
      </c>
      <c r="L207" s="74" t="str">
        <v>Igualdad y Equidad</v>
      </c>
    </row>
    <row r="208" spans="1:12" x14ac:dyDescent="0.3">
      <c r="A208" s="74" t="str">
        <v>2000579-Tejiendo Dignidad: justicia, protección y participación en la Jurisdicción Especial para la Paz para sobrevivientes de violencia sexual y de género en el marco del conflicto armado colombiano</v>
      </c>
      <c r="B208" s="74" t="str">
        <v>Sin datos</v>
      </c>
      <c r="C208" s="77">
        <v>45273</v>
      </c>
      <c r="D208" s="77">
        <v>46284</v>
      </c>
      <c r="E208" s="74" t="str">
        <v>Nariño</v>
      </c>
      <c r="F208" s="74" t="str">
        <v>No Reporta</v>
      </c>
      <c r="G208" s="74" t="str">
        <v>PBF</v>
      </c>
      <c r="H208" s="74" t="str">
        <v>3. Promover una cultura de paz, justicia y lucha contra la desigualdad</v>
      </c>
      <c r="I208" s="74" t="str">
        <v>5.1.Acabar todas las formas de discriminación contra todas las mujeres y niñas en todas partes.</v>
      </c>
      <c r="J208" s="74" t="str">
        <v>ODS 5</v>
      </c>
      <c r="K208" s="74" t="str">
        <v>SIN ALINEAR</v>
      </c>
      <c r="L208" s="74" t="str">
        <v>Igualdad y Equidad</v>
      </c>
    </row>
    <row r="209" spans="1:12" x14ac:dyDescent="0.3">
      <c r="A209" s="74" t="str">
        <v>COLOC4-Fortalecimiento de las políticas de prevención del delito, seguridad ciudadana y lucha contra el crimen organizado en Colombia</v>
      </c>
      <c r="B209" s="74" t="str">
        <v xml:space="preserve">Apoyar al Estado colombiano en la implementación de estrategias de seguridad, prevención del delito y lucha contra el crimen organizado
</v>
      </c>
      <c r="C209" s="77">
        <v>45413</v>
      </c>
      <c r="D209" s="77">
        <v>46752</v>
      </c>
      <c r="E209" s="74" t="str">
        <v>Nariño</v>
      </c>
      <c r="F209" s="74" t="str">
        <v>San Andrés de Tumaco</v>
      </c>
      <c r="G209" s="74" t="str">
        <v>MINISTERIO DE JUSTICIA</v>
      </c>
      <c r="H209" s="74" t="str">
        <v>3. Promover una cultura de paz, justicia y lucha contra la desigualdad</v>
      </c>
      <c r="I209" s="74" t="str">
        <v>Sin datos</v>
      </c>
      <c r="J209" s="74" t="str">
        <v>ODS 16</v>
      </c>
      <c r="K209" s="74" t="str">
        <v>SIN ALINEAR</v>
      </c>
      <c r="L209" s="74" t="str">
        <v>Inclusión Social y Reconciliación</v>
      </c>
    </row>
    <row r="210" spans="1:12" x14ac:dyDescent="0.3">
      <c r="A210" s="74" t="str">
        <v>COLOC4-Fortalecimiento de las políticas de prevención del delito, seguridad ciudadana y lucha contra el crimen organizado en Colombia</v>
      </c>
      <c r="B210" s="74" t="str">
        <v xml:space="preserve">Apoyar al Estado colombiano en la implementación de estrategias de seguridad, prevención del delito y lucha contra el crimen organizado
</v>
      </c>
      <c r="C210" s="77">
        <v>45413</v>
      </c>
      <c r="D210" s="77">
        <v>46752</v>
      </c>
      <c r="E210" s="74" t="str">
        <v>Nariño</v>
      </c>
      <c r="F210" s="74" t="str">
        <v>San Andrés de Tumaco</v>
      </c>
      <c r="G210" s="74" t="str">
        <v>UNTFHS</v>
      </c>
      <c r="H210" s="74" t="str">
        <v>3. Promover una cultura de paz, justicia y lucha contra la desigualdad</v>
      </c>
      <c r="I210" s="74" t="str">
        <v>Sin datos</v>
      </c>
      <c r="J210" s="74" t="str">
        <v>ODS 16</v>
      </c>
      <c r="K210" s="74" t="str">
        <v>SIN ALINEAR</v>
      </c>
      <c r="L210" s="74" t="str">
        <v>Inclusión Social y Reconciliación</v>
      </c>
    </row>
    <row r="211" spans="1:12" x14ac:dyDescent="0.3">
      <c r="A211" s="74" t="str">
        <v>COLAB7- Fortalecimiento de las capacidades de instituciones colombianas en la lucha contra la deforestación ilegal</v>
      </c>
      <c r="B211" s="74" t="str">
        <v>Fortalecer las capacidades de instituciones colombianas en la lucha contra la deforestación ilegal.</v>
      </c>
      <c r="C211" s="77">
        <v>43770</v>
      </c>
      <c r="D211" s="77">
        <v>46387</v>
      </c>
      <c r="E211" s="74" t="str">
        <v>Nariño</v>
      </c>
      <c r="F211" s="74" t="str">
        <v>Barbacoas</v>
      </c>
      <c r="G211" s="74" t="str">
        <v>INICIATIVA INTERNACIONAL SOBRE CLIMA Y BOSQUES DE NORUEGA (NICFI) / NORWAYS INTERNATIONAL CLIMATE AND FOREST INITIATIVE</v>
      </c>
      <c r="H211" s="74" t="str">
        <v>C. Conservación y Sostenibilidad Ambiental</v>
      </c>
      <c r="I211" s="74" t="str">
        <v>15.2.Para 2020, promover la implementación de la gestión sostenible de todos los tipos de bosques, detener la deforestación, restaurar los bosques degradados y aumentar la forestación y reforestación en un x% a nivel global.</v>
      </c>
      <c r="J211" s="74" t="str">
        <v>ODS 15</v>
      </c>
      <c r="K211" s="74" t="str">
        <v>SIN ALINEAR</v>
      </c>
      <c r="L211" s="74" t="str">
        <v>Corporaciones Autónomas Regionales y de Desarrollo Sostenible</v>
      </c>
    </row>
    <row r="212" spans="1:12" x14ac:dyDescent="0.3">
      <c r="A212" s="74" t="str">
        <v>COLAB7- Fortalecimiento de las capacidades de instituciones colombianas en la lucha contra la deforestación ilegal</v>
      </c>
      <c r="B212" s="74" t="str">
        <v>Fortalecer las capacidades de instituciones colombianas en la lucha contra la deforestación ilegal.</v>
      </c>
      <c r="C212" s="77">
        <v>43770</v>
      </c>
      <c r="D212" s="77">
        <v>46387</v>
      </c>
      <c r="E212" s="74" t="str">
        <v>Nariño</v>
      </c>
      <c r="F212" s="74" t="str">
        <v>Cumbal</v>
      </c>
      <c r="G212" s="74" t="str">
        <v>INICIATIVA INTERNACIONAL SOBRE CLIMA Y BOSQUES DE NORUEGA (NICFI) / NORWAYS INTERNATIONAL CLIMATE AND FOREST INITIATIVE</v>
      </c>
      <c r="H212" s="74" t="str">
        <v>C. Conservación y Sostenibilidad Ambiental</v>
      </c>
      <c r="I212" s="74" t="str">
        <v>15.2.Para 2020, promover la implementación de la gestión sostenible de todos los tipos de bosques, detener la deforestación, restaurar los bosques degradados y aumentar la forestación y reforestación en un x% a nivel global.</v>
      </c>
      <c r="J212" s="74" t="str">
        <v>ODS 15</v>
      </c>
      <c r="K212" s="74" t="str">
        <v>SIN ALINEAR</v>
      </c>
      <c r="L212" s="74" t="str">
        <v>Corporaciones Autónomas Regionales y de Desarrollo Sostenible</v>
      </c>
    </row>
    <row r="213" spans="1:12" x14ac:dyDescent="0.3">
      <c r="A213" s="74" t="str">
        <v>COLAB7- Fortalecimiento de las capacidades de instituciones colombianas en la lucha contra la deforestación ilegal</v>
      </c>
      <c r="B213" s="74" t="str">
        <v>Fortalecer las capacidades de instituciones colombianas en la lucha contra la deforestación ilegal.</v>
      </c>
      <c r="C213" s="77">
        <v>43770</v>
      </c>
      <c r="D213" s="77">
        <v>46387</v>
      </c>
      <c r="E213" s="74" t="str">
        <v>Nariño</v>
      </c>
      <c r="F213" s="74" t="str">
        <v>Francisco Pizarro</v>
      </c>
      <c r="G213" s="74" t="str">
        <v>INICIATIVA INTERNACIONAL SOBRE CLIMA Y BOSQUES DE NORUEGA (NICFI) / NORWAYS INTERNATIONAL CLIMATE AND FOREST INITIATIVE</v>
      </c>
      <c r="H213" s="74" t="str">
        <v>C. Conservación y Sostenibilidad Ambiental</v>
      </c>
      <c r="I213" s="74" t="str">
        <v>15.2.Para 2020, promover la implementación de la gestión sostenible de todos los tipos de bosques, detener la deforestación, restaurar los bosques degradados y aumentar la forestación y reforestación en un x% a nivel global.</v>
      </c>
      <c r="J213" s="74" t="str">
        <v>ODS 15</v>
      </c>
      <c r="K213" s="74" t="str">
        <v>SIN ALINEAR</v>
      </c>
      <c r="L213" s="74" t="str">
        <v>Corporaciones Autónomas Regionales y de Desarrollo Sostenible</v>
      </c>
    </row>
    <row r="214" spans="1:12" x14ac:dyDescent="0.3">
      <c r="A214" s="74" t="str">
        <v>COLAB7- Fortalecimiento de las capacidades de instituciones colombianas en la lucha contra la deforestación ilegal</v>
      </c>
      <c r="B214" s="74" t="str">
        <v>Fortalecer las capacidades de instituciones colombianas en la lucha contra la deforestación ilegal.</v>
      </c>
      <c r="C214" s="77">
        <v>43770</v>
      </c>
      <c r="D214" s="77">
        <v>46387</v>
      </c>
      <c r="E214" s="74" t="str">
        <v>Nariño</v>
      </c>
      <c r="F214" s="74" t="str">
        <v>Guachucal</v>
      </c>
      <c r="G214" s="74" t="str">
        <v>INICIATIVA INTERNACIONAL SOBRE CLIMA Y BOSQUES DE NORUEGA (NICFI) / NORWAYS INTERNATIONAL CLIMATE AND FOREST INITIATIVE</v>
      </c>
      <c r="H214" s="74" t="str">
        <v>C. Conservación y Sostenibilidad Ambiental</v>
      </c>
      <c r="I214" s="74" t="str">
        <v>15.2.Para 2020, promover la implementación de la gestión sostenible de todos los tipos de bosques, detener la deforestación, restaurar los bosques degradados y aumentar la forestación y reforestación en un x% a nivel global.</v>
      </c>
      <c r="J214" s="74" t="str">
        <v>ODS 15</v>
      </c>
      <c r="K214" s="74" t="str">
        <v>SIN ALINEAR</v>
      </c>
      <c r="L214" s="74" t="str">
        <v>Corporaciones Autónomas Regionales y de Desarrollo Sostenible</v>
      </c>
    </row>
    <row r="215" spans="1:12" x14ac:dyDescent="0.3">
      <c r="A215" s="74" t="str">
        <v>COLAB7- Fortalecimiento de las capacidades de instituciones colombianas en la lucha contra la deforestación ilegal</v>
      </c>
      <c r="B215" s="74" t="str">
        <v>Fortalecer las capacidades de instituciones colombianas en la lucha contra la deforestación ilegal.</v>
      </c>
      <c r="C215" s="77">
        <v>43770</v>
      </c>
      <c r="D215" s="77">
        <v>46387</v>
      </c>
      <c r="E215" s="74" t="str">
        <v>Nariño</v>
      </c>
      <c r="F215" s="74" t="str">
        <v>La Llanada</v>
      </c>
      <c r="G215" s="74" t="str">
        <v>INICIATIVA INTERNACIONAL SOBRE CLIMA Y BOSQUES DE NORUEGA (NICFI) / NORWAYS INTERNATIONAL CLIMATE AND FOREST INITIATIVE</v>
      </c>
      <c r="H215" s="74" t="str">
        <v>C. Conservación y Sostenibilidad Ambiental</v>
      </c>
      <c r="I215" s="74" t="str">
        <v>15.2.Para 2020, promover la implementación de la gestión sostenible de todos los tipos de bosques, detener la deforestación, restaurar los bosques degradados y aumentar la forestación y reforestación en un x% a nivel global.</v>
      </c>
      <c r="J215" s="74" t="str">
        <v>ODS 15</v>
      </c>
      <c r="K215" s="74" t="str">
        <v>SIN ALINEAR</v>
      </c>
      <c r="L215" s="74" t="str">
        <v>Corporaciones Autónomas Regionales y de Desarrollo Sostenible</v>
      </c>
    </row>
    <row r="216" spans="1:12" x14ac:dyDescent="0.3">
      <c r="A216" s="74" t="str">
        <v>COLAB7- Fortalecimiento de las capacidades de instituciones colombianas en la lucha contra la deforestación ilegal</v>
      </c>
      <c r="B216" s="74" t="str">
        <v>Fortalecer las capacidades de instituciones colombianas en la lucha contra la deforestación ilegal.</v>
      </c>
      <c r="C216" s="77">
        <v>43770</v>
      </c>
      <c r="D216" s="77">
        <v>46387</v>
      </c>
      <c r="E216" s="74" t="str">
        <v>Nariño</v>
      </c>
      <c r="F216" s="74" t="str">
        <v>La Tola</v>
      </c>
      <c r="G216" s="74" t="str">
        <v>INICIATIVA INTERNACIONAL SOBRE CLIMA Y BOSQUES DE NORUEGA (NICFI) / NORWAYS INTERNATIONAL CLIMATE AND FOREST INITIATIVE</v>
      </c>
      <c r="H216" s="74" t="str">
        <v>C. Conservación y Sostenibilidad Ambiental</v>
      </c>
      <c r="I216" s="74" t="str">
        <v>15.2.Para 2020, promover la implementación de la gestión sostenible de todos los tipos de bosques, detener la deforestación, restaurar los bosques degradados y aumentar la forestación y reforestación en un x% a nivel global.</v>
      </c>
      <c r="J216" s="74" t="str">
        <v>ODS 15</v>
      </c>
      <c r="K216" s="74" t="str">
        <v>SIN ALINEAR</v>
      </c>
      <c r="L216" s="74" t="str">
        <v>Corporaciones Autónomas Regionales y de Desarrollo Sostenible</v>
      </c>
    </row>
    <row r="217" spans="1:12" x14ac:dyDescent="0.3">
      <c r="A217" s="74" t="str">
        <v>COLAB7- Fortalecimiento de las capacidades de instituciones colombianas en la lucha contra la deforestación ilegal</v>
      </c>
      <c r="B217" s="74" t="str">
        <v>Fortalecer las capacidades de instituciones colombianas en la lucha contra la deforestación ilegal.</v>
      </c>
      <c r="C217" s="77">
        <v>43770</v>
      </c>
      <c r="D217" s="77">
        <v>46387</v>
      </c>
      <c r="E217" s="74" t="str">
        <v>Nariño</v>
      </c>
      <c r="F217" s="74" t="str">
        <v>Los Andes</v>
      </c>
      <c r="G217" s="74" t="str">
        <v>INICIATIVA INTERNACIONAL SOBRE CLIMA Y BOSQUES DE NORUEGA (NICFI) / NORWAYS INTERNATIONAL CLIMATE AND FOREST INITIATIVE</v>
      </c>
      <c r="H217" s="74" t="str">
        <v>C. Conservación y Sostenibilidad Ambiental</v>
      </c>
      <c r="I217" s="74" t="str">
        <v>15.2.Para 2020, promover la implementación de la gestión sostenible de todos los tipos de bosques, detener la deforestación, restaurar los bosques degradados y aumentar la forestación y reforestación en un x% a nivel global.</v>
      </c>
      <c r="J217" s="74" t="str">
        <v>ODS 15</v>
      </c>
      <c r="K217" s="74" t="str">
        <v>SIN ALINEAR</v>
      </c>
      <c r="L217" s="74" t="str">
        <v>Corporaciones Autónomas Regionales y de Desarrollo Sostenible</v>
      </c>
    </row>
    <row r="218" spans="1:12" x14ac:dyDescent="0.3">
      <c r="A218" s="74" t="str">
        <v>COLAB7- Fortalecimiento de las capacidades de instituciones colombianas en la lucha contra la deforestación ilegal</v>
      </c>
      <c r="B218" s="74" t="str">
        <v>Fortalecer las capacidades de instituciones colombianas en la lucha contra la deforestación ilegal.</v>
      </c>
      <c r="C218" s="77">
        <v>43770</v>
      </c>
      <c r="D218" s="77">
        <v>46387</v>
      </c>
      <c r="E218" s="74" t="str">
        <v>Nariño</v>
      </c>
      <c r="F218" s="74" t="str">
        <v>Magüí</v>
      </c>
      <c r="G218" s="74" t="str">
        <v>INICIATIVA INTERNACIONAL SOBRE CLIMA Y BOSQUES DE NORUEGA (NICFI) / NORWAYS INTERNATIONAL CLIMATE AND FOREST INITIATIVE</v>
      </c>
      <c r="H218" s="74" t="str">
        <v>C. Conservación y Sostenibilidad Ambiental</v>
      </c>
      <c r="I218" s="74" t="str">
        <v>15.2.Para 2020, promover la implementación de la gestión sostenible de todos los tipos de bosques, detener la deforestación, restaurar los bosques degradados y aumentar la forestación y reforestación en un x% a nivel global.</v>
      </c>
      <c r="J218" s="74" t="str">
        <v>ODS 15</v>
      </c>
      <c r="K218" s="74" t="str">
        <v>SIN ALINEAR</v>
      </c>
      <c r="L218" s="74" t="str">
        <v>Corporaciones Autónomas Regionales y de Desarrollo Sostenible</v>
      </c>
    </row>
    <row r="219" spans="1:12" x14ac:dyDescent="0.3">
      <c r="A219" s="74" t="str">
        <v>COLAB7- Fortalecimiento de las capacidades de instituciones colombianas en la lucha contra la deforestación ilegal</v>
      </c>
      <c r="B219" s="74" t="str">
        <v>Fortalecer las capacidades de instituciones colombianas en la lucha contra la deforestación ilegal.</v>
      </c>
      <c r="C219" s="77">
        <v>43770</v>
      </c>
      <c r="D219" s="77">
        <v>46387</v>
      </c>
      <c r="E219" s="74" t="str">
        <v>Nariño</v>
      </c>
      <c r="F219" s="74" t="str">
        <v>Mallama</v>
      </c>
      <c r="G219" s="74" t="str">
        <v>INICIATIVA INTERNACIONAL SOBRE CLIMA Y BOSQUES DE NORUEGA (NICFI) / NORWAYS INTERNATIONAL CLIMATE AND FOREST INITIATIVE</v>
      </c>
      <c r="H219" s="74" t="str">
        <v>C. Conservación y Sostenibilidad Ambiental</v>
      </c>
      <c r="I219" s="74" t="str">
        <v>15.2.Para 2020, promover la implementación de la gestión sostenible de todos los tipos de bosques, detener la deforestación, restaurar los bosques degradados y aumentar la forestación y reforestación en un x% a nivel global.</v>
      </c>
      <c r="J219" s="74" t="str">
        <v>ODS 15</v>
      </c>
      <c r="K219" s="74" t="str">
        <v>SIN ALINEAR</v>
      </c>
      <c r="L219" s="74" t="str">
        <v>Corporaciones Autónomas Regionales y de Desarrollo Sostenible</v>
      </c>
    </row>
    <row r="220" spans="1:12" x14ac:dyDescent="0.3">
      <c r="A220" s="74" t="str">
        <v>COLAB7- Fortalecimiento de las capacidades de instituciones colombianas en la lucha contra la deforestación ilegal</v>
      </c>
      <c r="B220" s="74" t="str">
        <v>Fortalecer las capacidades de instituciones colombianas en la lucha contra la deforestación ilegal.</v>
      </c>
      <c r="C220" s="77">
        <v>43770</v>
      </c>
      <c r="D220" s="77">
        <v>46387</v>
      </c>
      <c r="E220" s="74" t="str">
        <v>Nariño</v>
      </c>
      <c r="F220" s="74" t="str">
        <v>Mosquera</v>
      </c>
      <c r="G220" s="74" t="str">
        <v>INICIATIVA INTERNACIONAL SOBRE CLIMA Y BOSQUES DE NORUEGA (NICFI) / NORWAYS INTERNATIONAL CLIMATE AND FOREST INITIATIVE</v>
      </c>
      <c r="H220" s="74" t="str">
        <v>C. Conservación y Sostenibilidad Ambiental</v>
      </c>
      <c r="I220" s="74" t="str">
        <v>15.2.Para 2020, promover la implementación de la gestión sostenible de todos los tipos de bosques, detener la deforestación, restaurar los bosques degradados y aumentar la forestación y reforestación en un x% a nivel global.</v>
      </c>
      <c r="J220" s="74" t="str">
        <v>ODS 15</v>
      </c>
      <c r="K220" s="74" t="str">
        <v>SIN ALINEAR</v>
      </c>
      <c r="L220" s="74" t="str">
        <v>Corporaciones Autónomas Regionales y de Desarrollo Sostenible</v>
      </c>
    </row>
    <row r="221" spans="1:12" x14ac:dyDescent="0.3">
      <c r="A221" s="74" t="str">
        <v>COLAB7- Fortalecimiento de las capacidades de instituciones colombianas en la lucha contra la deforestación ilegal</v>
      </c>
      <c r="B221" s="74" t="str">
        <v>Fortalecer las capacidades de instituciones colombianas en la lucha contra la deforestación ilegal.</v>
      </c>
      <c r="C221" s="77">
        <v>43770</v>
      </c>
      <c r="D221" s="77">
        <v>46387</v>
      </c>
      <c r="E221" s="74" t="str">
        <v>Nariño</v>
      </c>
      <c r="F221" s="74" t="str">
        <v>Providencia</v>
      </c>
      <c r="G221" s="74" t="str">
        <v>INICIATIVA INTERNACIONAL SOBRE CLIMA Y BOSQUES DE NORUEGA (NICFI) / NORWAYS INTERNATIONAL CLIMATE AND FOREST INITIATIVE</v>
      </c>
      <c r="H221" s="74" t="str">
        <v>C. Conservación y Sostenibilidad Ambiental</v>
      </c>
      <c r="I221" s="74" t="str">
        <v>15.2.Para 2020, promover la implementación de la gestión sostenible de todos los tipos de bosques, detener la deforestación, restaurar los bosques degradados y aumentar la forestación y reforestación en un x% a nivel global.</v>
      </c>
      <c r="J221" s="74" t="str">
        <v>ODS 15</v>
      </c>
      <c r="K221" s="74" t="str">
        <v>SIN ALINEAR</v>
      </c>
      <c r="L221" s="74" t="str">
        <v>Corporaciones Autónomas Regionales y de Desarrollo Sostenible</v>
      </c>
    </row>
    <row r="222" spans="1:12" x14ac:dyDescent="0.3">
      <c r="A222" s="74" t="str">
        <v>COLAB7- Fortalecimiento de las capacidades de instituciones colombianas en la lucha contra la deforestación ilegal</v>
      </c>
      <c r="B222" s="74" t="str">
        <v>Fortalecer las capacidades de instituciones colombianas en la lucha contra la deforestación ilegal.</v>
      </c>
      <c r="C222" s="77">
        <v>43770</v>
      </c>
      <c r="D222" s="77">
        <v>46387</v>
      </c>
      <c r="E222" s="74" t="str">
        <v>Nariño</v>
      </c>
      <c r="F222" s="74" t="str">
        <v>Ricaurte</v>
      </c>
      <c r="G222" s="74" t="str">
        <v>INICIATIVA INTERNACIONAL SOBRE CLIMA Y BOSQUES DE NORUEGA (NICFI) / NORWAYS INTERNATIONAL CLIMATE AND FOREST INITIATIVE</v>
      </c>
      <c r="H222" s="74" t="str">
        <v>C. Conservación y Sostenibilidad Ambiental</v>
      </c>
      <c r="I222" s="74" t="str">
        <v>15.2.Para 2020, promover la implementación de la gestión sostenible de todos los tipos de bosques, detener la deforestación, restaurar los bosques degradados y aumentar la forestación y reforestación en un x% a nivel global.</v>
      </c>
      <c r="J222" s="74" t="str">
        <v>ODS 15</v>
      </c>
      <c r="K222" s="74" t="str">
        <v>SIN ALINEAR</v>
      </c>
      <c r="L222" s="74" t="str">
        <v>Corporaciones Autónomas Regionales y de Desarrollo Sostenible</v>
      </c>
    </row>
    <row r="223" spans="1:12" x14ac:dyDescent="0.3">
      <c r="A223" s="74" t="str">
        <v>COLAB7- Fortalecimiento de las capacidades de instituciones colombianas en la lucha contra la deforestación ilegal</v>
      </c>
      <c r="B223" s="74" t="str">
        <v>Fortalecer las capacidades de instituciones colombianas en la lucha contra la deforestación ilegal.</v>
      </c>
      <c r="C223" s="77">
        <v>43770</v>
      </c>
      <c r="D223" s="77">
        <v>46387</v>
      </c>
      <c r="E223" s="74" t="str">
        <v>Nariño</v>
      </c>
      <c r="F223" s="74" t="str">
        <v>Roberto Payán</v>
      </c>
      <c r="G223" s="74" t="str">
        <v>INICIATIVA INTERNACIONAL SOBRE CLIMA Y BOSQUES DE NORUEGA (NICFI) / NORWAYS INTERNATIONAL CLIMATE AND FOREST INITIATIVE</v>
      </c>
      <c r="H223" s="74" t="str">
        <v>C. Conservación y Sostenibilidad Ambiental</v>
      </c>
      <c r="I223" s="74" t="str">
        <v>15.2.Para 2020, promover la implementación de la gestión sostenible de todos los tipos de bosques, detener la deforestación, restaurar los bosques degradados y aumentar la forestación y reforestación en un x% a nivel global.</v>
      </c>
      <c r="J223" s="74" t="str">
        <v>ODS 15</v>
      </c>
      <c r="K223" s="74" t="str">
        <v>SIN ALINEAR</v>
      </c>
      <c r="L223" s="74" t="str">
        <v>Corporaciones Autónomas Regionales y de Desarrollo Sostenible</v>
      </c>
    </row>
    <row r="224" spans="1:12" x14ac:dyDescent="0.3">
      <c r="A224" s="74" t="str">
        <v>COLAB7- Fortalecimiento de las capacidades de instituciones colombianas en la lucha contra la deforestación ilegal</v>
      </c>
      <c r="B224" s="74" t="str">
        <v>Fortalecer las capacidades de instituciones colombianas en la lucha contra la deforestación ilegal.</v>
      </c>
      <c r="C224" s="77">
        <v>43770</v>
      </c>
      <c r="D224" s="77">
        <v>46387</v>
      </c>
      <c r="E224" s="74" t="str">
        <v>Nariño</v>
      </c>
      <c r="F224" s="74" t="str">
        <v>Samaniego</v>
      </c>
      <c r="G224" s="74" t="str">
        <v>INICIATIVA INTERNACIONAL SOBRE CLIMA Y BOSQUES DE NORUEGA (NICFI) / NORWAYS INTERNATIONAL CLIMATE AND FOREST INITIATIVE</v>
      </c>
      <c r="H224" s="74" t="str">
        <v>C. Conservación y Sostenibilidad Ambiental</v>
      </c>
      <c r="I224" s="74" t="str">
        <v>15.2.Para 2020, promover la implementación de la gestión sostenible de todos los tipos de bosques, detener la deforestación, restaurar los bosques degradados y aumentar la forestación y reforestación en un x% a nivel global.</v>
      </c>
      <c r="J224" s="74" t="str">
        <v>ODS 15</v>
      </c>
      <c r="K224" s="74" t="str">
        <v>SIN ALINEAR</v>
      </c>
      <c r="L224" s="74" t="str">
        <v>Corporaciones Autónomas Regionales y de Desarrollo Sostenible</v>
      </c>
    </row>
    <row r="225" spans="1:12" x14ac:dyDescent="0.3">
      <c r="A225" s="74" t="str">
        <v>COLAB7- Fortalecimiento de las capacidades de instituciones colombianas en la lucha contra la deforestación ilegal</v>
      </c>
      <c r="B225" s="74" t="str">
        <v>Fortalecer las capacidades de instituciones colombianas en la lucha contra la deforestación ilegal.</v>
      </c>
      <c r="C225" s="77">
        <v>43770</v>
      </c>
      <c r="D225" s="77">
        <v>46387</v>
      </c>
      <c r="E225" s="74" t="str">
        <v>Nariño</v>
      </c>
      <c r="F225" s="74" t="str">
        <v>San Andrés de Tumaco</v>
      </c>
      <c r="G225" s="74" t="str">
        <v>INICIATIVA INTERNACIONAL SOBRE CLIMA Y BOSQUES DE NORUEGA (NICFI) / NORWAYS INTERNATIONAL CLIMATE AND FOREST INITIATIVE</v>
      </c>
      <c r="H225" s="74" t="str">
        <v>C. Conservación y Sostenibilidad Ambiental</v>
      </c>
      <c r="I225" s="74" t="str">
        <v>15.2.Para 2020, promover la implementación de la gestión sostenible de todos los tipos de bosques, detener la deforestación, restaurar los bosques degradados y aumentar la forestación y reforestación en un x% a nivel global.</v>
      </c>
      <c r="J225" s="74" t="str">
        <v>ODS 15</v>
      </c>
      <c r="K225" s="74" t="str">
        <v>SIN ALINEAR</v>
      </c>
      <c r="L225" s="74" t="str">
        <v>Corporaciones Autónomas Regionales y de Desarrollo Sostenible</v>
      </c>
    </row>
    <row r="226" spans="1:12" x14ac:dyDescent="0.3">
      <c r="A226" s="74" t="str">
        <v>COLAB7- Fortalecimiento de las capacidades de instituciones colombianas en la lucha contra la deforestación ilegal</v>
      </c>
      <c r="B226" s="74" t="str">
        <v>Fortalecer las capacidades de instituciones colombianas en la lucha contra la deforestación ilegal.</v>
      </c>
      <c r="C226" s="77">
        <v>43770</v>
      </c>
      <c r="D226" s="77">
        <v>46387</v>
      </c>
      <c r="E226" s="74" t="str">
        <v>Nariño</v>
      </c>
      <c r="F226" s="74" t="str">
        <v>Santa Bárbara</v>
      </c>
      <c r="G226" s="74" t="str">
        <v>INICIATIVA INTERNACIONAL SOBRE CLIMA Y BOSQUES DE NORUEGA (NICFI) / NORWAYS INTERNATIONAL CLIMATE AND FOREST INITIATIVE</v>
      </c>
      <c r="H226" s="74" t="str">
        <v>C. Conservación y Sostenibilidad Ambiental</v>
      </c>
      <c r="I226" s="74" t="str">
        <v>15.2.Para 2020, promover la implementación de la gestión sostenible de todos los tipos de bosques, detener la deforestación, restaurar los bosques degradados y aumentar la forestación y reforestación en un x% a nivel global.</v>
      </c>
      <c r="J226" s="74" t="str">
        <v>ODS 15</v>
      </c>
      <c r="K226" s="74" t="str">
        <v>SIN ALINEAR</v>
      </c>
      <c r="L226" s="74" t="str">
        <v>Corporaciones Autónomas Regionales y de Desarrollo Sostenible</v>
      </c>
    </row>
    <row r="227" spans="1:12" x14ac:dyDescent="0.3">
      <c r="A227" s="74" t="str">
        <v>COLAB7- Fortalecimiento de las capacidades de instituciones colombianas en la lucha contra la deforestación ilegal</v>
      </c>
      <c r="B227" s="74" t="str">
        <v>Fortalecer las capacidades de instituciones colombianas en la lucha contra la deforestación ilegal.</v>
      </c>
      <c r="C227" s="77">
        <v>43770</v>
      </c>
      <c r="D227" s="77">
        <v>46387</v>
      </c>
      <c r="E227" s="74" t="str">
        <v>Nariño</v>
      </c>
      <c r="F227" s="74" t="str">
        <v>Santacruz</v>
      </c>
      <c r="G227" s="74" t="str">
        <v>INICIATIVA INTERNACIONAL SOBRE CLIMA Y BOSQUES DE NORUEGA (NICFI) / NORWAYS INTERNATIONAL CLIMATE AND FOREST INITIATIVE</v>
      </c>
      <c r="H227" s="74" t="str">
        <v>C. Conservación y Sostenibilidad Ambiental</v>
      </c>
      <c r="I227" s="74" t="str">
        <v>15.2.Para 2020, promover la implementación de la gestión sostenible de todos los tipos de bosques, detener la deforestación, restaurar los bosques degradados y aumentar la forestación y reforestación en un x% a nivel global.</v>
      </c>
      <c r="J227" s="74" t="str">
        <v>ODS 15</v>
      </c>
      <c r="K227" s="74" t="str">
        <v>SIN ALINEAR</v>
      </c>
      <c r="L227" s="74" t="str">
        <v>Corporaciones Autónomas Regionales y de Desarrollo Sostenible</v>
      </c>
    </row>
    <row r="228" spans="1:12" x14ac:dyDescent="0.3">
      <c r="A228" s="74" t="str">
        <v>COLAD3 - Desarrollo, implementación y monitoreo de las estrategias de reducción de cultivos ilícitos, desarrollo alternativo y fortalecimiento integral de los territorios priorizados por el Gobierno de Colombia</v>
      </c>
      <c r="B228" s="74" t="str">
        <v>Apoyar el desarrollo, implementación y monitoreo de las estrategias de reducción de cultivos ilícitos, desarrollo alternativo y fortalecimiento integral de los territorios priorizados por el Gobierno de Colombia.</v>
      </c>
      <c r="C228" s="77">
        <v>43469</v>
      </c>
      <c r="D228" s="77">
        <v>46387</v>
      </c>
      <c r="E228" s="74" t="str">
        <v>Nariño</v>
      </c>
      <c r="F228" s="74" t="str">
        <v>Pasto</v>
      </c>
      <c r="G228" s="74" t="str">
        <v>AGENCIA DE COOPERACIÓN INTERNACIONAL DE KOREA</v>
      </c>
      <c r="H228" s="74" t="str">
        <v>C. Conservación y Sostenibilidad Ambiental</v>
      </c>
      <c r="I228" s="74" t="str">
        <v>Sin datos</v>
      </c>
      <c r="J228" s="74" t="str">
        <v>ODS 2</v>
      </c>
      <c r="K228" s="74" t="str">
        <v>SIN ALINEAR</v>
      </c>
      <c r="L228" s="74" t="str">
        <v>Agricultura y Desarrollo Rural</v>
      </c>
    </row>
    <row r="229" spans="1:12" x14ac:dyDescent="0.3">
      <c r="A229" s="74" t="str">
        <v>COLAD3 - Desarrollo, implementación y monitoreo de las estrategias de reducción de cultivos ilícitos, desarrollo alternativo y fortalecimiento integral de los territorios priorizados por el Gobierno de Colombia</v>
      </c>
      <c r="B229" s="74" t="str">
        <v>Apoyar el desarrollo, implementación y monitoreo de las estrategias de reducción de cultivos ilícitos, desarrollo alternativo y fortalecimiento integral de los territorios priorizados por el Gobierno de Colombia.</v>
      </c>
      <c r="C229" s="77">
        <v>43469</v>
      </c>
      <c r="D229" s="77">
        <v>46387</v>
      </c>
      <c r="E229" s="74" t="str">
        <v>Nariño</v>
      </c>
      <c r="F229" s="74" t="str">
        <v>San Andrés de Tumaco</v>
      </c>
      <c r="G229" s="74" t="str">
        <v>AGENCIA DE COOPERACIÓN INTERNACIONAL DE KOREA</v>
      </c>
      <c r="H229" s="74" t="str">
        <v>C. Conservación y Sostenibilidad Ambiental</v>
      </c>
      <c r="I229" s="74" t="str">
        <v>Sin datos</v>
      </c>
      <c r="J229" s="74" t="str">
        <v>ODS 2</v>
      </c>
      <c r="K229" s="74" t="str">
        <v>SIN ALINEAR</v>
      </c>
      <c r="L229" s="74" t="str">
        <v>Agricultura y Desarrollo Rural</v>
      </c>
    </row>
    <row r="230" spans="1:12" x14ac:dyDescent="0.3">
      <c r="A230" s="74" t="str">
        <v>COLAD3 - Desarrollo, implementación y monitoreo de las estrategias de reducción de cultivos ilícitos, desarrollo alternativo y fortalecimiento integral de los territorios priorizados por el Gobierno de Colombia</v>
      </c>
      <c r="B230" s="74" t="str">
        <v>Apoyar el desarrollo, implementación y monitoreo de las estrategias de reducción de cultivos ilícitos, desarrollo alternativo y fortalecimiento integral de los territorios priorizados por el Gobierno de Colombia.</v>
      </c>
      <c r="C230" s="77">
        <v>43469</v>
      </c>
      <c r="D230" s="77">
        <v>46387</v>
      </c>
      <c r="E230" s="74" t="str">
        <v>Nariño</v>
      </c>
      <c r="F230" s="74" t="str">
        <v>Tangua</v>
      </c>
      <c r="G230" s="74" t="str">
        <v>AGENCIA DE COOPERACIÓN INTERNACIONAL DE KOREA</v>
      </c>
      <c r="H230" s="74" t="str">
        <v>C. Conservación y Sostenibilidad Ambiental</v>
      </c>
      <c r="I230" s="74" t="str">
        <v>Sin datos</v>
      </c>
      <c r="J230" s="74" t="str">
        <v>ODS 2</v>
      </c>
      <c r="K230" s="74" t="str">
        <v>SIN ALINEAR</v>
      </c>
      <c r="L230" s="74" t="str">
        <v>Agricultura y Desarrollo Rural</v>
      </c>
    </row>
    <row r="231" spans="1:12" x14ac:dyDescent="0.3">
      <c r="A231" s="74" t="str">
        <v>16464 - FONDO ACCIÓN: Bioeconomía y Acción Climática en Colombia / 16464 - FONDO ACCION: Bioeconomy &amp; Climate Action in Colombia. (desembolso 2024)</v>
      </c>
      <c r="B231" s="74" t="str">
        <v>Sin datos</v>
      </c>
      <c r="C231" s="77">
        <v>45292</v>
      </c>
      <c r="D231" s="77">
        <v>46904</v>
      </c>
      <c r="E231" s="74" t="str">
        <v>Nariño</v>
      </c>
      <c r="F231" s="74" t="str">
        <v>No Reporta</v>
      </c>
      <c r="G231" s="74" t="str">
        <v>AGENCIA SUECA PARA EL DESARROLLO INTERNACIONAL - ASDI/ SWEDISH INTERNATIONAL DEVELOPMENT COOPERATION AGENCY -SIDA/ SWEDISH INT'L DEVELOPMENT COOPERATION</v>
      </c>
      <c r="H231" s="74" t="str">
        <v>1. Promover la lucha contra el cambio climatico, la justicia ambiental y la transformación productiva</v>
      </c>
      <c r="I231" s="74" t="str">
        <v>13.3.Mejorar la educación, la sensibilización y la capacidad humana e institucional en la mitigación del cambio climático, la adaptación, la reducción del impacto y de alerta temprana.</v>
      </c>
      <c r="J231" s="74" t="str">
        <v>ODS 13</v>
      </c>
      <c r="K231" s="74" t="str">
        <v>SIN ALINEAR</v>
      </c>
      <c r="L231" s="74" t="str">
        <v>Ambiente y Desarrollo Sostenible</v>
      </c>
    </row>
    <row r="232" spans="1:12" x14ac:dyDescent="0.3">
      <c r="A232" s="74" t="str">
        <v>Asistencia técnica al programa de Aeródromo de Servicios Esenciales (ASAE) de Colombia - FASE 2</v>
      </c>
      <c r="B232" s="74" t="str">
        <v>Apoyar al Gobierno de Colombia (GoCo) en la implementación del Programa de Aeródromos de Servicios Esenciales (ASAE) – 2ª Fase</v>
      </c>
      <c r="C232" s="77">
        <v>45580</v>
      </c>
      <c r="D232" s="77">
        <v>46127</v>
      </c>
      <c r="E232" s="74" t="str">
        <v>Nariño</v>
      </c>
      <c r="F232" s="74" t="str">
        <v>No Reporta</v>
      </c>
      <c r="G232" s="74" t="str">
        <v>BANCO DE DESARROLLO DE AMÉRICA LATINA - CAF</v>
      </c>
      <c r="H232" s="74" t="str">
        <v>4. Fortalecimiento institucional para la gestión de la cooperación internacional</v>
      </c>
      <c r="I232" s="74" t="str">
        <v>Sin datos</v>
      </c>
      <c r="J232" s="74" t="str">
        <v>ODS 11</v>
      </c>
      <c r="K232" s="74" t="str">
        <v>SIN ALINEAR</v>
      </c>
      <c r="L232" s="74" t="str">
        <v>Transporte</v>
      </c>
    </row>
    <row r="233" spans="1:12" x14ac:dyDescent="0.3">
      <c r="A233" s="74" t="str">
        <v> Respuesta Integral y Acceso a Servicios en Contextos de Emergencia (RIASCE) - ECHO/-AM/BUD/2025/91005</v>
      </c>
      <c r="B233" s="74" t="str">
        <v>Ofrecer una respuesta de emergencia en zonas de difícil acceso controladas por actores armados, afectadas por múltiples crisis prolongadas (conflicto, migración, desplazamiento).</v>
      </c>
      <c r="C233" s="77">
        <v>45809</v>
      </c>
      <c r="D233" s="77">
        <v>46173</v>
      </c>
      <c r="E233" s="74" t="str">
        <v>Nariño</v>
      </c>
      <c r="F233" s="74" t="str">
        <v>Barbacoas</v>
      </c>
      <c r="G233" s="74" t="str">
        <v>Unión Europea</v>
      </c>
      <c r="H233" s="74" t="str">
        <v>3. Promover una cultura de paz, justicia y lucha contra la desigualdad</v>
      </c>
      <c r="I233" s="74" t="str">
        <v>3.7.De aquí a 2030, garantizar el acceso universal a los servicios de salud sexual y reproductiva, incluidos los de planificación familiar, información y educación, y la integración de la salud reproductiva en las estrategias y los programas nacionales</v>
      </c>
      <c r="J233" s="74" t="str">
        <v>ODS 3</v>
      </c>
      <c r="K233" s="74" t="str">
        <v>SIN ALINEAR</v>
      </c>
      <c r="L233" s="74" t="str">
        <v>Presidencia de la República</v>
      </c>
    </row>
    <row r="234" spans="1:12" x14ac:dyDescent="0.3">
      <c r="A234" s="74" t="str">
        <v> Respuesta Integral y Acceso a Servicios en Contextos de Emergencia (RIASCE) - ECHO/-AM/BUD/2025/91005</v>
      </c>
      <c r="B234" s="74" t="str">
        <v>Ofrecer una respuesta de emergencia en zonas de difícil acceso controladas por actores armados, afectadas por múltiples crisis prolongadas (conflicto, migración, desplazamiento).</v>
      </c>
      <c r="C234" s="77">
        <v>45809</v>
      </c>
      <c r="D234" s="77">
        <v>46173</v>
      </c>
      <c r="E234" s="74" t="str">
        <v>Nariño</v>
      </c>
      <c r="F234" s="74" t="str">
        <v>Cumbal</v>
      </c>
      <c r="G234" s="74" t="str">
        <v>Unión Europea</v>
      </c>
      <c r="H234" s="74" t="str">
        <v>3. Promover una cultura de paz, justicia y lucha contra la desigualdad</v>
      </c>
      <c r="I234" s="74" t="str">
        <v>3.7.De aquí a 2030, garantizar el acceso universal a los servicios de salud sexual y reproductiva, incluidos los de planificación familiar, información y educación, y la integración de la salud reproductiva en las estrategias y los programas nacionales</v>
      </c>
      <c r="J234" s="74" t="str">
        <v>ODS 3</v>
      </c>
      <c r="K234" s="74" t="str">
        <v>SIN ALINEAR</v>
      </c>
      <c r="L234" s="74" t="str">
        <v>Presidencia de la República</v>
      </c>
    </row>
    <row r="235" spans="1:12" x14ac:dyDescent="0.3">
      <c r="A235" s="74" t="str">
        <v> Respuesta Integral y Acceso a Servicios en Contextos de Emergencia (RIASCE) - ECHO/-AM/BUD/2025/91005</v>
      </c>
      <c r="B235" s="74" t="str">
        <v>Ofrecer una respuesta de emergencia en zonas de difícil acceso controladas por actores armados, afectadas por múltiples crisis prolongadas (conflicto, migración, desplazamiento).</v>
      </c>
      <c r="C235" s="77">
        <v>45809</v>
      </c>
      <c r="D235" s="77">
        <v>46173</v>
      </c>
      <c r="E235" s="74" t="str">
        <v>Nariño</v>
      </c>
      <c r="F235" s="74" t="str">
        <v>Los Andes</v>
      </c>
      <c r="G235" s="74" t="str">
        <v>Unión Europea</v>
      </c>
      <c r="H235" s="74" t="str">
        <v>3. Promover una cultura de paz, justicia y lucha contra la desigualdad</v>
      </c>
      <c r="I235" s="74" t="str">
        <v>3.7.De aquí a 2030, garantizar el acceso universal a los servicios de salud sexual y reproductiva, incluidos los de planificación familiar, información y educación, y la integración de la salud reproductiva en las estrategias y los programas nacionales</v>
      </c>
      <c r="J235" s="74" t="str">
        <v>ODS 3</v>
      </c>
      <c r="K235" s="74" t="str">
        <v>SIN ALINEAR</v>
      </c>
      <c r="L235" s="74" t="str">
        <v>Presidencia de la República</v>
      </c>
    </row>
    <row r="236" spans="1:12" x14ac:dyDescent="0.3">
      <c r="A236" s="74" t="str">
        <v> Respuesta Integral y Acceso a Servicios en Contextos de Emergencia (RIASCE) - ECHO/-AM/BUD/2025/91005</v>
      </c>
      <c r="B236" s="74" t="str">
        <v>Ofrecer una respuesta de emergencia en zonas de difícil acceso controladas por actores armados, afectadas por múltiples crisis prolongadas (conflicto, migración, desplazamiento).</v>
      </c>
      <c r="C236" s="77">
        <v>45809</v>
      </c>
      <c r="D236" s="77">
        <v>46173</v>
      </c>
      <c r="E236" s="74" t="str">
        <v>Nariño</v>
      </c>
      <c r="F236" s="74" t="str">
        <v>Ricaurte</v>
      </c>
      <c r="G236" s="74" t="str">
        <v>Unión Europea</v>
      </c>
      <c r="H236" s="74" t="str">
        <v>3. Promover una cultura de paz, justicia y lucha contra la desigualdad</v>
      </c>
      <c r="I236" s="74" t="str">
        <v>3.7.De aquí a 2030, garantizar el acceso universal a los servicios de salud sexual y reproductiva, incluidos los de planificación familiar, información y educación, y la integración de la salud reproductiva en las estrategias y los programas nacionales</v>
      </c>
      <c r="J236" s="74" t="str">
        <v>ODS 3</v>
      </c>
      <c r="K236" s="74" t="str">
        <v>SIN ALINEAR</v>
      </c>
      <c r="L236" s="74" t="str">
        <v>Presidencia de la República</v>
      </c>
    </row>
    <row r="237" spans="1:12" x14ac:dyDescent="0.3">
      <c r="A237" s="74" t="str">
        <v> Respuesta Integral y Acceso a Servicios en Contextos de Emergencia (RIASCE) - ECHO/-AM/BUD/2025/91005</v>
      </c>
      <c r="B237" s="74" t="str">
        <v>Ofrecer una respuesta de emergencia en zonas de difícil acceso controladas por actores armados, afectadas por múltiples crisis prolongadas (conflicto, migración, desplazamiento).</v>
      </c>
      <c r="C237" s="77">
        <v>45809</v>
      </c>
      <c r="D237" s="77">
        <v>46173</v>
      </c>
      <c r="E237" s="74" t="str">
        <v>Nariño</v>
      </c>
      <c r="F237" s="74" t="str">
        <v>Samaniego</v>
      </c>
      <c r="G237" s="74" t="str">
        <v>Unión Europea</v>
      </c>
      <c r="H237" s="74" t="str">
        <v>3. Promover una cultura de paz, justicia y lucha contra la desigualdad</v>
      </c>
      <c r="I237" s="74" t="str">
        <v>3.7.De aquí a 2030, garantizar el acceso universal a los servicios de salud sexual y reproductiva, incluidos los de planificación familiar, información y educación, y la integración de la salud reproductiva en las estrategias y los programas nacionales</v>
      </c>
      <c r="J237" s="74" t="str">
        <v>ODS 3</v>
      </c>
      <c r="K237" s="74" t="str">
        <v>SIN ALINEAR</v>
      </c>
      <c r="L237" s="74" t="str">
        <v>Presidencia de la República</v>
      </c>
    </row>
    <row r="238" spans="1:12" x14ac:dyDescent="0.3">
      <c r="A238" s="74" t="str">
        <v>Economía para la vida: Una apuesta solidaria y sostenible de organizaciones campesinas e indígenas del suroccidente de Colombia FASE II - DESEMBOLSO 2024</v>
      </c>
      <c r="B238" s="74" t="str">
        <v>Sin datos</v>
      </c>
      <c r="C238" s="77">
        <v>45569</v>
      </c>
      <c r="D238" s="77">
        <v>47090</v>
      </c>
      <c r="E238" s="74" t="str">
        <v>Nariño</v>
      </c>
      <c r="F238" s="74" t="str">
        <v>Chachagüí</v>
      </c>
      <c r="G238" s="74" t="str">
        <v>FUNDACION ALBOAN</v>
      </c>
      <c r="H238" s="74" t="str">
        <v>2. Contribuir a la lucha contra el hambre y la atención humanitaria a la poblacion</v>
      </c>
      <c r="I238" s="74" t="str">
        <v>Sin datos</v>
      </c>
      <c r="J238" s="74" t="str">
        <v>ODS 2</v>
      </c>
      <c r="K238" s="74" t="str">
        <v>SIN ALINEAR</v>
      </c>
      <c r="L238" s="74" t="str">
        <v>Agricultura y Desarrollo Rural</v>
      </c>
    </row>
    <row r="239" spans="1:12" x14ac:dyDescent="0.3">
      <c r="A239" s="74" t="str">
        <v>Economía para la vida: Una apuesta solidaria y sostenible de organizaciones campesinas e indígenas del suroccidente de Colombia FASE II - DESEMBOLSO 2024</v>
      </c>
      <c r="B239" s="74" t="str">
        <v>Sin datos</v>
      </c>
      <c r="C239" s="77">
        <v>45569</v>
      </c>
      <c r="D239" s="77">
        <v>47090</v>
      </c>
      <c r="E239" s="74" t="str">
        <v>Nariño</v>
      </c>
      <c r="F239" s="74" t="str">
        <v>La Unión</v>
      </c>
      <c r="G239" s="74" t="str">
        <v>FUNDACION ALBOAN</v>
      </c>
      <c r="H239" s="74" t="str">
        <v>2. Contribuir a la lucha contra el hambre y la atención humanitaria a la poblacion</v>
      </c>
      <c r="I239" s="74" t="str">
        <v>Sin datos</v>
      </c>
      <c r="J239" s="74" t="str">
        <v>ODS 2</v>
      </c>
      <c r="K239" s="74" t="str">
        <v>SIN ALINEAR</v>
      </c>
      <c r="L239" s="74" t="str">
        <v>Agricultura y Desarrollo Rural</v>
      </c>
    </row>
    <row r="240" spans="1:12" x14ac:dyDescent="0.3">
      <c r="A240" s="74" t="str">
        <v>Economía para la vida: Una apuesta solidaria y sostenible de organizaciones campesinas e indígenas del suroccidente de Colombia FASE II - DESEMBOLSO 2024</v>
      </c>
      <c r="B240" s="74" t="str">
        <v>Sin datos</v>
      </c>
      <c r="C240" s="77">
        <v>45569</v>
      </c>
      <c r="D240" s="77">
        <v>47090</v>
      </c>
      <c r="E240" s="74" t="str">
        <v>Nariño</v>
      </c>
      <c r="F240" s="74" t="str">
        <v>San Lorenzo</v>
      </c>
      <c r="G240" s="74" t="str">
        <v>FUNDACION ALBOAN</v>
      </c>
      <c r="H240" s="74" t="str">
        <v>2. Contribuir a la lucha contra el hambre y la atención humanitaria a la poblacion</v>
      </c>
      <c r="I240" s="74" t="str">
        <v>Sin datos</v>
      </c>
      <c r="J240" s="74" t="str">
        <v>ODS 2</v>
      </c>
      <c r="K240" s="74" t="str">
        <v>SIN ALINEAR</v>
      </c>
      <c r="L240" s="74" t="str">
        <v>Agricultura y Desarrollo Rural</v>
      </c>
    </row>
    <row r="241" spans="1:12" x14ac:dyDescent="0.3">
      <c r="A241" s="74" t="str">
        <v>Economía para la vida: Una apuesta solidaria y sostenible de organizaciones campesinas e indígenas del suroccidente de Colombia FASE II - DESEMBOLSO 2024</v>
      </c>
      <c r="B241" s="74" t="str">
        <v>Sin datos</v>
      </c>
      <c r="C241" s="77">
        <v>45569</v>
      </c>
      <c r="D241" s="77">
        <v>47090</v>
      </c>
      <c r="E241" s="74" t="str">
        <v>Nariño</v>
      </c>
      <c r="F241" s="74" t="str">
        <v>Taminango</v>
      </c>
      <c r="G241" s="74" t="str">
        <v>FUNDACION ALBOAN</v>
      </c>
      <c r="H241" s="74" t="str">
        <v>2. Contribuir a la lucha contra el hambre y la atención humanitaria a la poblacion</v>
      </c>
      <c r="I241" s="74" t="str">
        <v>Sin datos</v>
      </c>
      <c r="J241" s="74" t="str">
        <v>ODS 2</v>
      </c>
      <c r="K241" s="74" t="str">
        <v>SIN ALINEAR</v>
      </c>
      <c r="L241" s="74" t="str">
        <v>Agricultura y Desarrollo Rural</v>
      </c>
    </row>
    <row r="242" spans="1:12" x14ac:dyDescent="0.3">
      <c r="A242" s="74" t="str">
        <v>Economía para la vida: Una apuesta solidaria y sostenible de organizaciones campesinas e indígenas del suroccidente de Colombia FASE II - DESEMBOLSO 2024</v>
      </c>
      <c r="B242" s="74" t="str">
        <v>Sin datos</v>
      </c>
      <c r="C242" s="77">
        <v>45569</v>
      </c>
      <c r="D242" s="77">
        <v>47090</v>
      </c>
      <c r="E242" s="74" t="str">
        <v>Nariño</v>
      </c>
      <c r="F242" s="74" t="str">
        <v>Chachagüí</v>
      </c>
      <c r="G242" s="74" t="str">
        <v>FUNDACIÓN SUYUSAMA</v>
      </c>
      <c r="H242" s="74" t="str">
        <v>2. Contribuir a la lucha contra el hambre y la atención humanitaria a la poblacion</v>
      </c>
      <c r="I242" s="74" t="str">
        <v>Sin datos</v>
      </c>
      <c r="J242" s="74" t="str">
        <v>ODS 2</v>
      </c>
      <c r="K242" s="74" t="str">
        <v>SIN ALINEAR</v>
      </c>
      <c r="L242" s="74" t="str">
        <v>Agricultura y Desarrollo Rural</v>
      </c>
    </row>
    <row r="243" spans="1:12" x14ac:dyDescent="0.3">
      <c r="A243" s="74" t="str">
        <v>Economía para la vida: Una apuesta solidaria y sostenible de organizaciones campesinas e indígenas del suroccidente de Colombia FASE II - DESEMBOLSO 2024</v>
      </c>
      <c r="B243" s="74" t="str">
        <v>Sin datos</v>
      </c>
      <c r="C243" s="77">
        <v>45569</v>
      </c>
      <c r="D243" s="77">
        <v>47090</v>
      </c>
      <c r="E243" s="74" t="str">
        <v>Nariño</v>
      </c>
      <c r="F243" s="74" t="str">
        <v>La Unión</v>
      </c>
      <c r="G243" s="74" t="str">
        <v>FUNDACIÓN SUYUSAMA</v>
      </c>
      <c r="H243" s="74" t="str">
        <v>2. Contribuir a la lucha contra el hambre y la atención humanitaria a la poblacion</v>
      </c>
      <c r="I243" s="74" t="str">
        <v>Sin datos</v>
      </c>
      <c r="J243" s="74" t="str">
        <v>ODS 2</v>
      </c>
      <c r="K243" s="74" t="str">
        <v>SIN ALINEAR</v>
      </c>
      <c r="L243" s="74" t="str">
        <v>Agricultura y Desarrollo Rural</v>
      </c>
    </row>
    <row r="244" spans="1:12" x14ac:dyDescent="0.3">
      <c r="A244" s="74" t="str">
        <v>Economía para la vida: Una apuesta solidaria y sostenible de organizaciones campesinas e indígenas del suroccidente de Colombia FASE II - DESEMBOLSO 2024</v>
      </c>
      <c r="B244" s="74" t="str">
        <v>Sin datos</v>
      </c>
      <c r="C244" s="77">
        <v>45569</v>
      </c>
      <c r="D244" s="77">
        <v>47090</v>
      </c>
      <c r="E244" s="74" t="str">
        <v>Nariño</v>
      </c>
      <c r="F244" s="74" t="str">
        <v>San Lorenzo</v>
      </c>
      <c r="G244" s="74" t="str">
        <v>FUNDACIÓN SUYUSAMA</v>
      </c>
      <c r="H244" s="74" t="str">
        <v>2. Contribuir a la lucha contra el hambre y la atención humanitaria a la poblacion</v>
      </c>
      <c r="I244" s="74" t="str">
        <v>Sin datos</v>
      </c>
      <c r="J244" s="74" t="str">
        <v>ODS 2</v>
      </c>
      <c r="K244" s="74" t="str">
        <v>SIN ALINEAR</v>
      </c>
      <c r="L244" s="74" t="str">
        <v>Agricultura y Desarrollo Rural</v>
      </c>
    </row>
    <row r="245" spans="1:12" x14ac:dyDescent="0.3">
      <c r="A245" s="74" t="str">
        <v>Economía para la vida: Una apuesta solidaria y sostenible de organizaciones campesinas e indígenas del suroccidente de Colombia FASE II - DESEMBOLSO 2024</v>
      </c>
      <c r="B245" s="74" t="str">
        <v>Sin datos</v>
      </c>
      <c r="C245" s="77">
        <v>45569</v>
      </c>
      <c r="D245" s="77">
        <v>47090</v>
      </c>
      <c r="E245" s="74" t="str">
        <v>Nariño</v>
      </c>
      <c r="F245" s="74" t="str">
        <v>Taminango</v>
      </c>
      <c r="G245" s="74" t="str">
        <v>FUNDACIÓN SUYUSAMA</v>
      </c>
      <c r="H245" s="74" t="str">
        <v>2. Contribuir a la lucha contra el hambre y la atención humanitaria a la poblacion</v>
      </c>
      <c r="I245" s="74" t="str">
        <v>Sin datos</v>
      </c>
      <c r="J245" s="74" t="str">
        <v>ODS 2</v>
      </c>
      <c r="K245" s="74" t="str">
        <v>SIN ALINEAR</v>
      </c>
      <c r="L245" s="74" t="str">
        <v>Agricultura y Desarrollo Rural</v>
      </c>
    </row>
    <row r="246" spans="1:12" x14ac:dyDescent="0.3">
      <c r="A246" s="75" t="str">
        <v>Economía para la vida: Una apuesta solidaria y sostenible de organizaciones campesinas e indígenas del suroccidente de Colombia FASE II - DESEMBOLSO 2024</v>
      </c>
      <c r="B246" s="75" t="str">
        <v>Sin datos</v>
      </c>
      <c r="C246" s="79">
        <v>45569</v>
      </c>
      <c r="D246" s="79">
        <v>47090</v>
      </c>
      <c r="E246" s="75" t="str">
        <v>Nariño</v>
      </c>
      <c r="F246" s="75" t="str">
        <v>Chachagüí</v>
      </c>
      <c r="G246" s="75" t="str">
        <v>GOBIERNO DE NAVARRA</v>
      </c>
      <c r="H246" s="75" t="str">
        <v>2. Contribuir a la lucha contra el hambre y la atención humanitaria a la poblacion</v>
      </c>
      <c r="I246" s="75" t="str">
        <v>Sin datos</v>
      </c>
      <c r="J246" s="75" t="str">
        <v>ODS 2</v>
      </c>
      <c r="K246" s="75" t="str">
        <v>SIN ALINEAR</v>
      </c>
      <c r="L246" s="75" t="str">
        <v>Agricultura y Desarrollo Rural</v>
      </c>
    </row>
    <row r="247" spans="1:12" x14ac:dyDescent="0.3">
      <c r="A247" s="75" t="str">
        <v>Economía para la vida: Una apuesta solidaria y sostenible de organizaciones campesinas e indígenas del suroccidente de Colombia FASE II - DESEMBOLSO 2024</v>
      </c>
      <c r="B247" s="75" t="str">
        <v>Sin datos</v>
      </c>
      <c r="C247" s="79">
        <v>45569</v>
      </c>
      <c r="D247" s="79">
        <v>47090</v>
      </c>
      <c r="E247" s="75" t="str">
        <v>Nariño</v>
      </c>
      <c r="F247" s="75" t="str">
        <v>La Unión</v>
      </c>
      <c r="G247" s="75" t="str">
        <v>GOBIERNO DE NAVARRA</v>
      </c>
      <c r="H247" s="75" t="str">
        <v>2. Contribuir a la lucha contra el hambre y la atención humanitaria a la poblacion</v>
      </c>
      <c r="I247" s="75" t="str">
        <v>Sin datos</v>
      </c>
      <c r="J247" s="75" t="str">
        <v>ODS 2</v>
      </c>
      <c r="K247" s="75" t="str">
        <v>SIN ALINEAR</v>
      </c>
      <c r="L247" s="75" t="str">
        <v>Agricultura y Desarrollo Rural</v>
      </c>
    </row>
    <row r="248" spans="1:12" x14ac:dyDescent="0.3">
      <c r="A248" s="75" t="str">
        <v>Economía para la vida: Una apuesta solidaria y sostenible de organizaciones campesinas e indígenas del suroccidente de Colombia FASE II - DESEMBOLSO 2024</v>
      </c>
      <c r="B248" s="75" t="str">
        <v>Sin datos</v>
      </c>
      <c r="C248" s="79">
        <v>45569</v>
      </c>
      <c r="D248" s="79">
        <v>47090</v>
      </c>
      <c r="E248" s="75" t="str">
        <v>Nariño</v>
      </c>
      <c r="F248" s="75" t="str">
        <v>San Lorenzo</v>
      </c>
      <c r="G248" s="75" t="str">
        <v>GOBIERNO DE NAVARRA</v>
      </c>
      <c r="H248" s="75" t="str">
        <v>2. Contribuir a la lucha contra el hambre y la atención humanitaria a la poblacion</v>
      </c>
      <c r="I248" s="75" t="str">
        <v>Sin datos</v>
      </c>
      <c r="J248" s="75" t="str">
        <v>ODS 2</v>
      </c>
      <c r="K248" s="75" t="str">
        <v>SIN ALINEAR</v>
      </c>
      <c r="L248" s="75" t="str">
        <v>Agricultura y Desarrollo Rural</v>
      </c>
    </row>
    <row r="249" spans="1:12" x14ac:dyDescent="0.3">
      <c r="A249" s="75" t="str">
        <v>Economía para la vida: Una apuesta solidaria y sostenible de organizaciones campesinas e indígenas del suroccidente de Colombia FASE II - DESEMBOLSO 2024</v>
      </c>
      <c r="B249" s="75" t="str">
        <v>Sin datos</v>
      </c>
      <c r="C249" s="79">
        <v>45569</v>
      </c>
      <c r="D249" s="79">
        <v>47090</v>
      </c>
      <c r="E249" s="75" t="str">
        <v>Nariño</v>
      </c>
      <c r="F249" s="75" t="str">
        <v>Taminango</v>
      </c>
      <c r="G249" s="75" t="str">
        <v>GOBIERNO DE NAVARRA</v>
      </c>
      <c r="H249" s="75" t="str">
        <v>2. Contribuir a la lucha contra el hambre y la atención humanitaria a la poblacion</v>
      </c>
      <c r="I249" s="75" t="str">
        <v>Sin datos</v>
      </c>
      <c r="J249" s="75" t="str">
        <v>ODS 2</v>
      </c>
      <c r="K249" s="75" t="str">
        <v>SIN ALINEAR</v>
      </c>
      <c r="L249" s="75" t="str">
        <v>Agricultura y Desarrollo Rural</v>
      </c>
    </row>
    <row r="250" spans="1:12" x14ac:dyDescent="0.3">
      <c r="A250" s="75" t="str">
        <v>Economía para la vida: Una apuesta solidaria y sostenible de organizaciones campesinas e indígenas del suroccidente de Colombia FASE II - DESEMBOLSO 2025</v>
      </c>
      <c r="B250" s="75" t="str">
        <v>Sin datos</v>
      </c>
      <c r="C250" s="79">
        <v>45934</v>
      </c>
      <c r="D250" s="79">
        <v>47090</v>
      </c>
      <c r="E250" s="75" t="str">
        <v>Nariño</v>
      </c>
      <c r="F250" s="75" t="str">
        <v>Chachagüí</v>
      </c>
      <c r="G250" s="75" t="str">
        <v>FUNDACIÓN SUYUSAMA</v>
      </c>
      <c r="H250" s="75" t="str">
        <v>2. Contribuir a la lucha contra el hambre y la atención humanitaria a la poblacion</v>
      </c>
      <c r="I250" s="75" t="str">
        <v>Sin datos</v>
      </c>
      <c r="J250" s="75" t="str">
        <v>ODS 2</v>
      </c>
      <c r="K250" s="75" t="str">
        <v>SIN ALINEAR</v>
      </c>
      <c r="L250" s="75" t="str">
        <v>Agricultura y Desarrollo Rural</v>
      </c>
    </row>
    <row r="251" spans="1:12" x14ac:dyDescent="0.3">
      <c r="A251" s="75" t="str">
        <v>Economía para la vida: Una apuesta solidaria y sostenible de organizaciones campesinas e indígenas del suroccidente de Colombia FASE II - DESEMBOLSO 2025</v>
      </c>
      <c r="B251" s="75" t="str">
        <v>Sin datos</v>
      </c>
      <c r="C251" s="79">
        <v>45934</v>
      </c>
      <c r="D251" s="79">
        <v>47090</v>
      </c>
      <c r="E251" s="75" t="str">
        <v>Nariño</v>
      </c>
      <c r="F251" s="75" t="str">
        <v>La Unión</v>
      </c>
      <c r="G251" s="75" t="str">
        <v>FUNDACIÓN SUYUSAMA</v>
      </c>
      <c r="H251" s="75" t="str">
        <v>2. Contribuir a la lucha contra el hambre y la atención humanitaria a la poblacion</v>
      </c>
      <c r="I251" s="75" t="str">
        <v>Sin datos</v>
      </c>
      <c r="J251" s="75" t="str">
        <v>ODS 2</v>
      </c>
      <c r="K251" s="75" t="str">
        <v>SIN ALINEAR</v>
      </c>
      <c r="L251" s="75" t="str">
        <v>Agricultura y Desarrollo Rural</v>
      </c>
    </row>
    <row r="252" spans="1:12" x14ac:dyDescent="0.3">
      <c r="A252" s="75" t="str">
        <v>Economía para la vida: Una apuesta solidaria y sostenible de organizaciones campesinas e indígenas del suroccidente de Colombia FASE II - DESEMBOLSO 2025</v>
      </c>
      <c r="B252" s="75" t="str">
        <v>Sin datos</v>
      </c>
      <c r="C252" s="79">
        <v>45934</v>
      </c>
      <c r="D252" s="79">
        <v>47090</v>
      </c>
      <c r="E252" s="75" t="str">
        <v>Nariño</v>
      </c>
      <c r="F252" s="75" t="str">
        <v>San Lorenzo</v>
      </c>
      <c r="G252" s="75" t="str">
        <v>FUNDACIÓN SUYUSAMA</v>
      </c>
      <c r="H252" s="75" t="str">
        <v>2. Contribuir a la lucha contra el hambre y la atención humanitaria a la poblacion</v>
      </c>
      <c r="I252" s="75" t="str">
        <v>Sin datos</v>
      </c>
      <c r="J252" s="75" t="str">
        <v>ODS 2</v>
      </c>
      <c r="K252" s="75" t="str">
        <v>SIN ALINEAR</v>
      </c>
      <c r="L252" s="75" t="str">
        <v>Agricultura y Desarrollo Rural</v>
      </c>
    </row>
    <row r="253" spans="1:12" x14ac:dyDescent="0.3">
      <c r="A253" s="75" t="str">
        <v>Economía para la vida: Una apuesta solidaria y sostenible de organizaciones campesinas e indígenas del suroccidente de Colombia FASE II - DESEMBOLSO 2025</v>
      </c>
      <c r="B253" s="75" t="str">
        <v>Sin datos</v>
      </c>
      <c r="C253" s="79">
        <v>45934</v>
      </c>
      <c r="D253" s="79">
        <v>47090</v>
      </c>
      <c r="E253" s="75" t="str">
        <v>Nariño</v>
      </c>
      <c r="F253" s="75" t="str">
        <v>Taminango</v>
      </c>
      <c r="G253" s="75" t="str">
        <v>FUNDACIÓN SUYUSAMA</v>
      </c>
      <c r="H253" s="75" t="str">
        <v>2. Contribuir a la lucha contra el hambre y la atención humanitaria a la poblacion</v>
      </c>
      <c r="I253" s="75" t="str">
        <v>Sin datos</v>
      </c>
      <c r="J253" s="75" t="str">
        <v>ODS 2</v>
      </c>
      <c r="K253" s="75" t="str">
        <v>SIN ALINEAR</v>
      </c>
      <c r="L253" s="75" t="str">
        <v>Agricultura y Desarrollo Rural</v>
      </c>
    </row>
    <row r="254" spans="1:12" x14ac:dyDescent="0.3">
      <c r="A254" s="75" t="str">
        <v>Economía para la vida: Una apuesta solidaria y sostenible de organizaciones campesinas e indígenas del suroccidente de Colombia FASE II - DESEMBOLSO 2025</v>
      </c>
      <c r="B254" s="75" t="str">
        <v>Sin datos</v>
      </c>
      <c r="C254" s="79">
        <v>45934</v>
      </c>
      <c r="D254" s="79">
        <v>47090</v>
      </c>
      <c r="E254" s="75" t="str">
        <v>Nariño</v>
      </c>
      <c r="F254" s="75" t="str">
        <v>Chachagüí</v>
      </c>
      <c r="G254" s="75" t="str">
        <v>GOBIERNO DE NAVARRA</v>
      </c>
      <c r="H254" s="75" t="str">
        <v>2. Contribuir a la lucha contra el hambre y la atención humanitaria a la poblacion</v>
      </c>
      <c r="I254" s="75" t="str">
        <v>Sin datos</v>
      </c>
      <c r="J254" s="75" t="str">
        <v>ODS 2</v>
      </c>
      <c r="K254" s="75" t="str">
        <v>SIN ALINEAR</v>
      </c>
      <c r="L254" s="75" t="str">
        <v>Agricultura y Desarrollo Rural</v>
      </c>
    </row>
    <row r="255" spans="1:12" x14ac:dyDescent="0.3">
      <c r="A255" s="75" t="str">
        <v>Economía para la vida: Una apuesta solidaria y sostenible de organizaciones campesinas e indígenas del suroccidente de Colombia FASE II - DESEMBOLSO 2025</v>
      </c>
      <c r="B255" s="75" t="str">
        <v>Sin datos</v>
      </c>
      <c r="C255" s="79">
        <v>45934</v>
      </c>
      <c r="D255" s="79">
        <v>47090</v>
      </c>
      <c r="E255" s="75" t="str">
        <v>Nariño</v>
      </c>
      <c r="F255" s="75" t="str">
        <v>La Unión</v>
      </c>
      <c r="G255" s="75" t="str">
        <v>GOBIERNO DE NAVARRA</v>
      </c>
      <c r="H255" s="75" t="str">
        <v>2. Contribuir a la lucha contra el hambre y la atención humanitaria a la poblacion</v>
      </c>
      <c r="I255" s="75" t="str">
        <v>Sin datos</v>
      </c>
      <c r="J255" s="75" t="str">
        <v>ODS 2</v>
      </c>
      <c r="K255" s="75" t="str">
        <v>SIN ALINEAR</v>
      </c>
      <c r="L255" s="75" t="str">
        <v>Agricultura y Desarrollo Rural</v>
      </c>
    </row>
    <row r="256" spans="1:12" x14ac:dyDescent="0.3">
      <c r="A256" s="75" t="str">
        <v>Economía para la vida: Una apuesta solidaria y sostenible de organizaciones campesinas e indígenas del suroccidente de Colombia FASE II - DESEMBOLSO 2025</v>
      </c>
      <c r="B256" s="75" t="str">
        <v>Sin datos</v>
      </c>
      <c r="C256" s="79">
        <v>45934</v>
      </c>
      <c r="D256" s="79">
        <v>47090</v>
      </c>
      <c r="E256" s="75" t="str">
        <v>Nariño</v>
      </c>
      <c r="F256" s="75" t="str">
        <v>San Lorenzo</v>
      </c>
      <c r="G256" s="75" t="str">
        <v>GOBIERNO DE NAVARRA</v>
      </c>
      <c r="H256" s="75" t="str">
        <v>2. Contribuir a la lucha contra el hambre y la atención humanitaria a la poblacion</v>
      </c>
      <c r="I256" s="75" t="str">
        <v>Sin datos</v>
      </c>
      <c r="J256" s="75" t="str">
        <v>ODS 2</v>
      </c>
      <c r="K256" s="75" t="str">
        <v>SIN ALINEAR</v>
      </c>
      <c r="L256" s="75" t="str">
        <v>Agricultura y Desarrollo Rural</v>
      </c>
    </row>
    <row r="257" spans="1:12" x14ac:dyDescent="0.3">
      <c r="A257" s="75" t="str">
        <v>Economía para la vida: Una apuesta solidaria y sostenible de organizaciones campesinas e indígenas del suroccidente de Colombia FASE II - DESEMBOLSO 2025</v>
      </c>
      <c r="B257" s="75" t="str">
        <v>Sin datos</v>
      </c>
      <c r="C257" s="79">
        <v>45934</v>
      </c>
      <c r="D257" s="79">
        <v>47090</v>
      </c>
      <c r="E257" s="75" t="str">
        <v>Nariño</v>
      </c>
      <c r="F257" s="75" t="str">
        <v>Taminango</v>
      </c>
      <c r="G257" s="75" t="str">
        <v>GOBIERNO DE NAVARRA</v>
      </c>
      <c r="H257" s="75" t="str">
        <v>2. Contribuir a la lucha contra el hambre y la atención humanitaria a la poblacion</v>
      </c>
      <c r="I257" s="75" t="str">
        <v>Sin datos</v>
      </c>
      <c r="J257" s="75" t="str">
        <v>ODS 2</v>
      </c>
      <c r="K257" s="75" t="str">
        <v>SIN ALINEAR</v>
      </c>
      <c r="L257" s="75" t="str">
        <v>Agricultura y Desarrollo Rural</v>
      </c>
    </row>
    <row r="258" spans="1:12" x14ac:dyDescent="0.3">
      <c r="A258" s="75" t="str">
        <v>Economía para la vida: Una apuesta solidaria y sostenible de organizaciones campesinas e indígenas del suroccidente de Colombia FASE II - DESEMBOLSO 2026</v>
      </c>
      <c r="B258" s="75" t="str">
        <v>Sin datos</v>
      </c>
      <c r="C258" s="79">
        <v>46299</v>
      </c>
      <c r="D258" s="79">
        <v>47090</v>
      </c>
      <c r="E258" s="75" t="str">
        <v>Nariño</v>
      </c>
      <c r="F258" s="75" t="str">
        <v>Chachagüí</v>
      </c>
      <c r="G258" s="75" t="str">
        <v>FUNDACIÓN SUYUSAMA</v>
      </c>
      <c r="H258" s="75" t="str">
        <v>2. Contribuir a la lucha contra el hambre y la atención humanitaria a la poblacion</v>
      </c>
      <c r="I258" s="75" t="str">
        <v>Sin datos</v>
      </c>
      <c r="J258" s="75" t="str">
        <v>ODS 2</v>
      </c>
      <c r="K258" s="75" t="str">
        <v>SIN ALINEAR</v>
      </c>
      <c r="L258" s="75" t="str">
        <v>Agricultura y Desarrollo Rural</v>
      </c>
    </row>
    <row r="259" spans="1:12" x14ac:dyDescent="0.3">
      <c r="A259" s="75" t="str">
        <v>Economía para la vida: Una apuesta solidaria y sostenible de organizaciones campesinas e indígenas del suroccidente de Colombia FASE II - DESEMBOLSO 2026</v>
      </c>
      <c r="B259" s="75" t="str">
        <v>Sin datos</v>
      </c>
      <c r="C259" s="79">
        <v>46299</v>
      </c>
      <c r="D259" s="79">
        <v>47090</v>
      </c>
      <c r="E259" s="75" t="str">
        <v>Nariño</v>
      </c>
      <c r="F259" s="75" t="str">
        <v>La Unión</v>
      </c>
      <c r="G259" s="75" t="str">
        <v>FUNDACIÓN SUYUSAMA</v>
      </c>
      <c r="H259" s="75" t="str">
        <v>2. Contribuir a la lucha contra el hambre y la atención humanitaria a la poblacion</v>
      </c>
      <c r="I259" s="75" t="str">
        <v>Sin datos</v>
      </c>
      <c r="J259" s="75" t="str">
        <v>ODS 2</v>
      </c>
      <c r="K259" s="75" t="str">
        <v>SIN ALINEAR</v>
      </c>
      <c r="L259" s="75" t="str">
        <v>Agricultura y Desarrollo Rural</v>
      </c>
    </row>
    <row r="260" spans="1:12" x14ac:dyDescent="0.3">
      <c r="A260" s="75" t="str">
        <v>Economía para la vida: Una apuesta solidaria y sostenible de organizaciones campesinas e indígenas del suroccidente de Colombia FASE II - DESEMBOLSO 2026</v>
      </c>
      <c r="B260" s="75" t="str">
        <v>Sin datos</v>
      </c>
      <c r="C260" s="79">
        <v>46299</v>
      </c>
      <c r="D260" s="79">
        <v>47090</v>
      </c>
      <c r="E260" s="75" t="str">
        <v>Nariño</v>
      </c>
      <c r="F260" s="75" t="str">
        <v>San Lorenzo</v>
      </c>
      <c r="G260" s="75" t="str">
        <v>FUNDACIÓN SUYUSAMA</v>
      </c>
      <c r="H260" s="75" t="str">
        <v>2. Contribuir a la lucha contra el hambre y la atención humanitaria a la poblacion</v>
      </c>
      <c r="I260" s="75" t="str">
        <v>Sin datos</v>
      </c>
      <c r="J260" s="75" t="str">
        <v>ODS 2</v>
      </c>
      <c r="K260" s="75" t="str">
        <v>SIN ALINEAR</v>
      </c>
      <c r="L260" s="75" t="str">
        <v>Agricultura y Desarrollo Rural</v>
      </c>
    </row>
    <row r="261" spans="1:12" x14ac:dyDescent="0.3">
      <c r="A261" s="75" t="str">
        <v>Economía para la vida: Una apuesta solidaria y sostenible de organizaciones campesinas e indígenas del suroccidente de Colombia FASE II - DESEMBOLSO 2026</v>
      </c>
      <c r="B261" s="75" t="str">
        <v>Sin datos</v>
      </c>
      <c r="C261" s="79">
        <v>46299</v>
      </c>
      <c r="D261" s="79">
        <v>47090</v>
      </c>
      <c r="E261" s="75" t="str">
        <v>Nariño</v>
      </c>
      <c r="F261" s="75" t="str">
        <v>Taminango</v>
      </c>
      <c r="G261" s="75" t="str">
        <v>FUNDACIÓN SUYUSAMA</v>
      </c>
      <c r="H261" s="75" t="str">
        <v>2. Contribuir a la lucha contra el hambre y la atención humanitaria a la poblacion</v>
      </c>
      <c r="I261" s="75" t="str">
        <v>Sin datos</v>
      </c>
      <c r="J261" s="75" t="str">
        <v>ODS 2</v>
      </c>
      <c r="K261" s="75" t="str">
        <v>SIN ALINEAR</v>
      </c>
      <c r="L261" s="75" t="str">
        <v>Agricultura y Desarrollo Rural</v>
      </c>
    </row>
    <row r="262" spans="1:12" x14ac:dyDescent="0.3">
      <c r="A262" s="75" t="str">
        <v>Economía para la vida: Una apuesta solidaria y sostenible de organizaciones campesinas e indígenas del suroccidente de Colombia FASE II - DESEMBOLSO 2026</v>
      </c>
      <c r="B262" s="75" t="str">
        <v>Sin datos</v>
      </c>
      <c r="C262" s="79">
        <v>46299</v>
      </c>
      <c r="D262" s="79">
        <v>47090</v>
      </c>
      <c r="E262" s="75" t="str">
        <v>Nariño</v>
      </c>
      <c r="F262" s="75" t="str">
        <v>Chachagüí</v>
      </c>
      <c r="G262" s="75" t="str">
        <v>GOBIERNO DE NAVARRA</v>
      </c>
      <c r="H262" s="75" t="str">
        <v>2. Contribuir a la lucha contra el hambre y la atención humanitaria a la poblacion</v>
      </c>
      <c r="I262" s="75" t="str">
        <v>Sin datos</v>
      </c>
      <c r="J262" s="75" t="str">
        <v>ODS 2</v>
      </c>
      <c r="K262" s="75" t="str">
        <v>SIN ALINEAR</v>
      </c>
      <c r="L262" s="75" t="str">
        <v>Agricultura y Desarrollo Rural</v>
      </c>
    </row>
    <row r="263" spans="1:12" x14ac:dyDescent="0.3">
      <c r="A263" s="75" t="str">
        <v>Economía para la vida: Una apuesta solidaria y sostenible de organizaciones campesinas e indígenas del suroccidente de Colombia FASE II - DESEMBOLSO 2026</v>
      </c>
      <c r="B263" s="75" t="str">
        <v>Sin datos</v>
      </c>
      <c r="C263" s="79">
        <v>46299</v>
      </c>
      <c r="D263" s="79">
        <v>47090</v>
      </c>
      <c r="E263" s="75" t="str">
        <v>Nariño</v>
      </c>
      <c r="F263" s="75" t="str">
        <v>La Unión</v>
      </c>
      <c r="G263" s="75" t="str">
        <v>GOBIERNO DE NAVARRA</v>
      </c>
      <c r="H263" s="75" t="str">
        <v>2. Contribuir a la lucha contra el hambre y la atención humanitaria a la poblacion</v>
      </c>
      <c r="I263" s="75" t="str">
        <v>Sin datos</v>
      </c>
      <c r="J263" s="75" t="str">
        <v>ODS 2</v>
      </c>
      <c r="K263" s="75" t="str">
        <v>SIN ALINEAR</v>
      </c>
      <c r="L263" s="75" t="str">
        <v>Agricultura y Desarrollo Rural</v>
      </c>
    </row>
    <row r="264" spans="1:12" x14ac:dyDescent="0.3">
      <c r="A264" s="75" t="str">
        <v>Economía para la vida: Una apuesta solidaria y sostenible de organizaciones campesinas e indígenas del suroccidente de Colombia FASE II - DESEMBOLSO 2026</v>
      </c>
      <c r="B264" s="75" t="str">
        <v>Sin datos</v>
      </c>
      <c r="C264" s="79">
        <v>46299</v>
      </c>
      <c r="D264" s="79">
        <v>47090</v>
      </c>
      <c r="E264" s="75" t="str">
        <v>Nariño</v>
      </c>
      <c r="F264" s="75" t="str">
        <v>San Lorenzo</v>
      </c>
      <c r="G264" s="75" t="str">
        <v>GOBIERNO DE NAVARRA</v>
      </c>
      <c r="H264" s="75" t="str">
        <v>2. Contribuir a la lucha contra el hambre y la atención humanitaria a la poblacion</v>
      </c>
      <c r="I264" s="75" t="str">
        <v>Sin datos</v>
      </c>
      <c r="J264" s="75" t="str">
        <v>ODS 2</v>
      </c>
      <c r="K264" s="75" t="str">
        <v>SIN ALINEAR</v>
      </c>
      <c r="L264" s="75" t="str">
        <v>Agricultura y Desarrollo Rural</v>
      </c>
    </row>
    <row r="265" spans="1:12" x14ac:dyDescent="0.3">
      <c r="A265" s="75" t="str">
        <v>Economía para la vida: Una apuesta solidaria y sostenible de organizaciones campesinas e indígenas del suroccidente de Colombia FASE II - DESEMBOLSO 2026</v>
      </c>
      <c r="B265" s="75" t="str">
        <v>Sin datos</v>
      </c>
      <c r="C265" s="79">
        <v>46299</v>
      </c>
      <c r="D265" s="79">
        <v>47090</v>
      </c>
      <c r="E265" s="75" t="str">
        <v>Nariño</v>
      </c>
      <c r="F265" s="75" t="str">
        <v>Taminango</v>
      </c>
      <c r="G265" s="75" t="str">
        <v>GOBIERNO DE NAVARRA</v>
      </c>
      <c r="H265" s="75" t="str">
        <v>2. Contribuir a la lucha contra el hambre y la atención humanitaria a la poblacion</v>
      </c>
      <c r="I265" s="75" t="str">
        <v>Sin datos</v>
      </c>
      <c r="J265" s="75" t="str">
        <v>ODS 2</v>
      </c>
      <c r="K265" s="75" t="str">
        <v>SIN ALINEAR</v>
      </c>
      <c r="L265" s="75" t="str">
        <v>Agricultura y Desarrollo Rural</v>
      </c>
    </row>
    <row r="266" spans="1:12" x14ac:dyDescent="0.3">
      <c r="A266" s="75" t="str">
        <v>Fortalecimiento gremial y de derechos para mujeres recicladoras de base - SUBV/COOP/DESA/0017/2024 (FASE II)</v>
      </c>
      <c r="B266" s="75" t="str">
        <v>Sin datos</v>
      </c>
      <c r="C266" s="79">
        <v>45657</v>
      </c>
      <c r="D266" s="79">
        <v>46386</v>
      </c>
      <c r="E266" s="75" t="str">
        <v>Nariño</v>
      </c>
      <c r="F266" s="75" t="str">
        <v>Pasto</v>
      </c>
      <c r="G266" s="75" t="str">
        <v>AGENCIA VASCA DE COOPERACIÓN PARA EL DESARROLLO</v>
      </c>
      <c r="H266" s="75" t="str">
        <v>3. Promover una cultura de paz, justicia y lucha contra la desigualdad</v>
      </c>
      <c r="I266" s="75" t="str">
        <v>Sin datos</v>
      </c>
      <c r="J266" s="75" t="str">
        <v>ODS 8</v>
      </c>
      <c r="K266" s="75" t="str">
        <v>SIN ALINEAR</v>
      </c>
      <c r="L266" s="75" t="str">
        <v>Trabajo</v>
      </c>
    </row>
    <row r="267" spans="1:12" x14ac:dyDescent="0.3">
      <c r="A267" s="75" t="str">
        <v>Fortalecimiento gremial y de derechos para mujeres recicladoras de base - SUBV/COOP/DESA/0017/2024 (FASE II)</v>
      </c>
      <c r="B267" s="75" t="str">
        <v>Sin datos</v>
      </c>
      <c r="C267" s="79">
        <v>45657</v>
      </c>
      <c r="D267" s="79">
        <v>46386</v>
      </c>
      <c r="E267" s="75" t="str">
        <v>Nariño</v>
      </c>
      <c r="F267" s="75" t="str">
        <v>Pasto</v>
      </c>
      <c r="G267" s="75" t="str">
        <v>DIPUTACIÓN FORAL DE BIZKAIA</v>
      </c>
      <c r="H267" s="75" t="str">
        <v>3. Promover una cultura de paz, justicia y lucha contra la desigualdad</v>
      </c>
      <c r="I267" s="75" t="str">
        <v>Sin datos</v>
      </c>
      <c r="J267" s="75" t="str">
        <v>ODS 8</v>
      </c>
      <c r="K267" s="75" t="str">
        <v>SIN ALINEAR</v>
      </c>
      <c r="L267" s="75" t="str">
        <v>Trabajo</v>
      </c>
    </row>
    <row r="268" spans="1:12" x14ac:dyDescent="0.3">
      <c r="A268" s="75" t="str">
        <v>Fortalecimiento gremial y de derechos para mujeres recicladoras de base - SUBV/COOP/DESA/0017/2024 (FASE II)</v>
      </c>
      <c r="B268" s="75" t="str">
        <v>Sin datos</v>
      </c>
      <c r="C268" s="79">
        <v>45657</v>
      </c>
      <c r="D268" s="79">
        <v>46386</v>
      </c>
      <c r="E268" s="75" t="str">
        <v>Nariño</v>
      </c>
      <c r="F268" s="75" t="str">
        <v>Pasto</v>
      </c>
      <c r="G268" s="75" t="str">
        <v>MUNDUKIDE FUNDAZIOA</v>
      </c>
      <c r="H268" s="75" t="str">
        <v>3. Promover una cultura de paz, justicia y lucha contra la desigualdad</v>
      </c>
      <c r="I268" s="75" t="str">
        <v>Sin datos</v>
      </c>
      <c r="J268" s="75" t="str">
        <v>ODS 8</v>
      </c>
      <c r="K268" s="75" t="str">
        <v>SIN ALINEAR</v>
      </c>
      <c r="L268" s="75" t="str">
        <v>Trabajo</v>
      </c>
    </row>
    <row r="269" spans="1:12" x14ac:dyDescent="0.3">
      <c r="A269" s="75" t="str">
        <v>EUROPANA -PROMOCIÓN GLOBAL DE LA RESPUESTA HUMANITARIA TRANSFRONTERIZA Y LOCALIZADA Y DE LA PROTECCIÓN DE LOS MIGRANTES, LOS REFUGIADOS Y LAS VÍCTIMAS DE LA VIOLENCIA EN SITUACIONES DE EMERGENCIA CONTEXTOS DE EMERGENCIA - ECHO/-AM/BUD/2024/91020 (ADENDA)</v>
      </c>
      <c r="B269" s="75" t="str">
        <v>Sin datos</v>
      </c>
      <c r="C269" s="79">
        <v>45776</v>
      </c>
      <c r="D269" s="79">
        <v>46173</v>
      </c>
      <c r="E269" s="75" t="str">
        <v>Nariño</v>
      </c>
      <c r="F269" s="75" t="str">
        <v>Ipiales</v>
      </c>
      <c r="G269" s="75" t="str">
        <v>Unión Europea</v>
      </c>
      <c r="H269" s="75" t="str">
        <v>2. Contribuir a la lucha contra el hambre y la atención humanitaria a la poblacion</v>
      </c>
      <c r="I269" s="75" t="str">
        <v>10.7.Facilitar una migración y movimiento de personas ordenada, segura, regular y responsable, a través de la implementación de políticas migratorias planificadas y bien gestionadas.</v>
      </c>
      <c r="J269" s="75" t="str">
        <v>ODS 10</v>
      </c>
      <c r="K269" s="75" t="str">
        <v>SIN ALINEAR</v>
      </c>
      <c r="L269" s="75" t="str">
        <v>Protección Social</v>
      </c>
    </row>
    <row r="270" spans="1:12" x14ac:dyDescent="0.3">
      <c r="A270" s="75" t="str">
        <v>EUROPANA -PROMOCIÓN GLOBAL DE LA RESPUESTA HUMANITARIA TRANSFRONTERIZA Y LOCALIZADA Y DE LA PROTECCIÓN DE LOS MIGRANTES, LOS REFUGIADOS Y LAS VÍCTIMAS DE LA VIOLENCIA EN SITUACIONES DE EMERGENCIA CONTEXTOS DE EMERGENCIA - ECHO/-AM/BUD/2024/91020 (ADENDA)</v>
      </c>
      <c r="B270" s="75" t="str">
        <v>Sin datos</v>
      </c>
      <c r="C270" s="79">
        <v>45776</v>
      </c>
      <c r="D270" s="79">
        <v>46173</v>
      </c>
      <c r="E270" s="75" t="str">
        <v>Nariño</v>
      </c>
      <c r="F270" s="75" t="str">
        <v>Samaniego</v>
      </c>
      <c r="G270" s="75" t="str">
        <v>Unión Europea</v>
      </c>
      <c r="H270" s="75" t="str">
        <v>2. Contribuir a la lucha contra el hambre y la atención humanitaria a la poblacion</v>
      </c>
      <c r="I270" s="75" t="str">
        <v>10.7.Facilitar una migración y movimiento de personas ordenada, segura, regular y responsable, a través de la implementación de políticas migratorias planificadas y bien gestionadas.</v>
      </c>
      <c r="J270" s="75" t="str">
        <v>ODS 10</v>
      </c>
      <c r="K270" s="75" t="str">
        <v>SIN ALINEAR</v>
      </c>
      <c r="L270" s="75" t="str">
        <v>Protección Social</v>
      </c>
    </row>
    <row r="271" spans="1:12" x14ac:dyDescent="0.3">
      <c r="A271" s="75" t="str">
        <v xml:space="preserve">ALIANZA PARA ACELARAR LA TRANSICIÓN CLIMATICA (UK PACT) </v>
      </c>
      <c r="B271" s="75" t="str">
        <v xml:space="preserve">aliviar la pobreza, trabajando principalmente a través de la reducción de las emisiones de gases de efecto invernadero. </v>
      </c>
      <c r="C271" s="79">
        <v>45331</v>
      </c>
      <c r="D271" s="79">
        <v>46477</v>
      </c>
      <c r="E271" s="75" t="str">
        <v>Nariño</v>
      </c>
      <c r="F271" s="75" t="str">
        <v>Pasto</v>
      </c>
      <c r="G271" s="75" t="str">
        <v xml:space="preserve">OFICINA DE ASUNTOS EXTERIORES, COMMONWEALTH Y DESARROLLO DE REINO UNIDO </v>
      </c>
      <c r="H271" s="75" t="str">
        <v>1. Promover la lucha contra el cambio climatico, la justicia ambiental y la transformación productiva</v>
      </c>
      <c r="I271" s="75" t="str">
        <v>13.2.Integrar medidas de cambio climático en las políticas, estrategias y planificación nacional.</v>
      </c>
      <c r="J271" s="75" t="str">
        <v>ODS 13</v>
      </c>
      <c r="K271" s="75" t="str">
        <v>SIN ALINEAR</v>
      </c>
      <c r="L271" s="75" t="str">
        <v>Ambiente y Desarrollo Sostenible</v>
      </c>
    </row>
    <row r="272" spans="1:12" x14ac:dyDescent="0.3">
      <c r="A272" s="75" t="str">
        <v>Un Proceso de Paz Incluyente en Nariño - actividad N° 25-0000617</v>
      </c>
      <c r="B272" s="75" t="str">
        <v>Sin datos</v>
      </c>
      <c r="C272" s="79">
        <v>45809</v>
      </c>
      <c r="D272" s="79">
        <v>46266</v>
      </c>
      <c r="E272" s="75" t="str">
        <v>Nariño</v>
      </c>
      <c r="F272" s="75" t="str">
        <v>Barbacoas</v>
      </c>
      <c r="G272" s="75" t="str">
        <v xml:space="preserve">MINISTERIO DE RELACIONES EXTERIORES DE PAISES BAJOS </v>
      </c>
      <c r="H272" s="75" t="str">
        <v>3. Promover una cultura de paz, justicia y lucha contra la desigualdad</v>
      </c>
      <c r="I272" s="75" t="str">
        <v>Sin datos</v>
      </c>
      <c r="J272" s="75" t="str">
        <v>ODS 16</v>
      </c>
      <c r="K272" s="75" t="str">
        <v>SIN ALINEAR</v>
      </c>
      <c r="L272" s="75" t="str">
        <v>Presidencia de la República</v>
      </c>
    </row>
    <row r="273" spans="1:12" x14ac:dyDescent="0.3">
      <c r="A273" s="75" t="str">
        <v>Un Proceso de Paz Incluyente en Nariño - actividad N° 25-0000617</v>
      </c>
      <c r="B273" s="75" t="str">
        <v>Sin datos</v>
      </c>
      <c r="C273" s="79">
        <v>45809</v>
      </c>
      <c r="D273" s="79">
        <v>46266</v>
      </c>
      <c r="E273" s="75" t="str">
        <v>Nariño</v>
      </c>
      <c r="F273" s="75" t="str">
        <v>Cumbal</v>
      </c>
      <c r="G273" s="75" t="str">
        <v xml:space="preserve">MINISTERIO DE RELACIONES EXTERIORES DE PAISES BAJOS </v>
      </c>
      <c r="H273" s="75" t="str">
        <v>3. Promover una cultura de paz, justicia y lucha contra la desigualdad</v>
      </c>
      <c r="I273" s="75" t="str">
        <v>Sin datos</v>
      </c>
      <c r="J273" s="75" t="str">
        <v>ODS 16</v>
      </c>
      <c r="K273" s="75" t="str">
        <v>SIN ALINEAR</v>
      </c>
      <c r="L273" s="75" t="str">
        <v>Presidencia de la República</v>
      </c>
    </row>
    <row r="274" spans="1:12" x14ac:dyDescent="0.3">
      <c r="A274" s="75" t="str">
        <v>Un Proceso de Paz Incluyente en Nariño - actividad N° 25-0000617</v>
      </c>
      <c r="B274" s="75" t="str">
        <v>Sin datos</v>
      </c>
      <c r="C274" s="79">
        <v>45809</v>
      </c>
      <c r="D274" s="79">
        <v>46266</v>
      </c>
      <c r="E274" s="75" t="str">
        <v>Nariño</v>
      </c>
      <c r="F274" s="75" t="str">
        <v>Guachucal</v>
      </c>
      <c r="G274" s="75" t="str">
        <v xml:space="preserve">MINISTERIO DE RELACIONES EXTERIORES DE PAISES BAJOS </v>
      </c>
      <c r="H274" s="75" t="str">
        <v>3. Promover una cultura de paz, justicia y lucha contra la desigualdad</v>
      </c>
      <c r="I274" s="75" t="str">
        <v>Sin datos</v>
      </c>
      <c r="J274" s="75" t="str">
        <v>ODS 16</v>
      </c>
      <c r="K274" s="75" t="str">
        <v>SIN ALINEAR</v>
      </c>
      <c r="L274" s="75" t="str">
        <v>Presidencia de la República</v>
      </c>
    </row>
    <row r="275" spans="1:12" x14ac:dyDescent="0.3">
      <c r="A275" s="75" t="str">
        <v>Un Proceso de Paz Incluyente en Nariño - actividad N° 25-0000617</v>
      </c>
      <c r="B275" s="75" t="str">
        <v>Sin datos</v>
      </c>
      <c r="C275" s="79">
        <v>45809</v>
      </c>
      <c r="D275" s="79">
        <v>46266</v>
      </c>
      <c r="E275" s="75" t="str">
        <v>Nariño</v>
      </c>
      <c r="F275" s="75" t="str">
        <v>La Llanada</v>
      </c>
      <c r="G275" s="75" t="str">
        <v xml:space="preserve">MINISTERIO DE RELACIONES EXTERIORES DE PAISES BAJOS </v>
      </c>
      <c r="H275" s="75" t="str">
        <v>3. Promover una cultura de paz, justicia y lucha contra la desigualdad</v>
      </c>
      <c r="I275" s="75" t="str">
        <v>Sin datos</v>
      </c>
      <c r="J275" s="75" t="str">
        <v>ODS 16</v>
      </c>
      <c r="K275" s="75" t="str">
        <v>SIN ALINEAR</v>
      </c>
      <c r="L275" s="75" t="str">
        <v>Presidencia de la República</v>
      </c>
    </row>
    <row r="276" spans="1:12" x14ac:dyDescent="0.3">
      <c r="A276" s="75" t="str">
        <v>Un Proceso de Paz Incluyente en Nariño - actividad N° 25-0000617</v>
      </c>
      <c r="B276" s="75" t="str">
        <v>Sin datos</v>
      </c>
      <c r="C276" s="79">
        <v>45809</v>
      </c>
      <c r="D276" s="79">
        <v>46266</v>
      </c>
      <c r="E276" s="75" t="str">
        <v>Nariño</v>
      </c>
      <c r="F276" s="75" t="str">
        <v>Los Andes</v>
      </c>
      <c r="G276" s="75" t="str">
        <v xml:space="preserve">MINISTERIO DE RELACIONES EXTERIORES DE PAISES BAJOS </v>
      </c>
      <c r="H276" s="75" t="str">
        <v>3. Promover una cultura de paz, justicia y lucha contra la desigualdad</v>
      </c>
      <c r="I276" s="75" t="str">
        <v>Sin datos</v>
      </c>
      <c r="J276" s="75" t="str">
        <v>ODS 16</v>
      </c>
      <c r="K276" s="75" t="str">
        <v>SIN ALINEAR</v>
      </c>
      <c r="L276" s="75" t="str">
        <v>Presidencia de la República</v>
      </c>
    </row>
    <row r="277" spans="1:12" x14ac:dyDescent="0.3">
      <c r="A277" s="75" t="str">
        <v>Un Proceso de Paz Incluyente en Nariño - actividad N° 25-0000617</v>
      </c>
      <c r="B277" s="75" t="str">
        <v>Sin datos</v>
      </c>
      <c r="C277" s="79">
        <v>45809</v>
      </c>
      <c r="D277" s="79">
        <v>46266</v>
      </c>
      <c r="E277" s="75" t="str">
        <v>Nariño</v>
      </c>
      <c r="F277" s="75" t="str">
        <v>Mallama</v>
      </c>
      <c r="G277" s="75" t="str">
        <v xml:space="preserve">MINISTERIO DE RELACIONES EXTERIORES DE PAISES BAJOS </v>
      </c>
      <c r="H277" s="75" t="str">
        <v>3. Promover una cultura de paz, justicia y lucha contra la desigualdad</v>
      </c>
      <c r="I277" s="75" t="str">
        <v>Sin datos</v>
      </c>
      <c r="J277" s="75" t="str">
        <v>ODS 16</v>
      </c>
      <c r="K277" s="75" t="str">
        <v>SIN ALINEAR</v>
      </c>
      <c r="L277" s="75" t="str">
        <v>Presidencia de la República</v>
      </c>
    </row>
    <row r="278" spans="1:12" x14ac:dyDescent="0.3">
      <c r="A278" s="75" t="str">
        <v>Un Proceso de Paz Incluyente en Nariño - actividad N° 25-0000617</v>
      </c>
      <c r="B278" s="75" t="str">
        <v>Sin datos</v>
      </c>
      <c r="C278" s="79">
        <v>45809</v>
      </c>
      <c r="D278" s="79">
        <v>46266</v>
      </c>
      <c r="E278" s="75" t="str">
        <v>Nariño</v>
      </c>
      <c r="F278" s="75" t="str">
        <v>Providencia</v>
      </c>
      <c r="G278" s="75" t="str">
        <v xml:space="preserve">MINISTERIO DE RELACIONES EXTERIORES DE PAISES BAJOS </v>
      </c>
      <c r="H278" s="75" t="str">
        <v>3. Promover una cultura de paz, justicia y lucha contra la desigualdad</v>
      </c>
      <c r="I278" s="75" t="str">
        <v>Sin datos</v>
      </c>
      <c r="J278" s="75" t="str">
        <v>ODS 16</v>
      </c>
      <c r="K278" s="75" t="str">
        <v>SIN ALINEAR</v>
      </c>
      <c r="L278" s="75" t="str">
        <v>Presidencia de la República</v>
      </c>
    </row>
    <row r="279" spans="1:12" x14ac:dyDescent="0.3">
      <c r="A279" s="75" t="str">
        <v>Un Proceso de Paz Incluyente en Nariño - actividad N° 25-0000617</v>
      </c>
      <c r="B279" s="75" t="str">
        <v>Sin datos</v>
      </c>
      <c r="C279" s="79">
        <v>45809</v>
      </c>
      <c r="D279" s="79">
        <v>46266</v>
      </c>
      <c r="E279" s="75" t="str">
        <v>Nariño</v>
      </c>
      <c r="F279" s="75" t="str">
        <v>Ricaurte</v>
      </c>
      <c r="G279" s="75" t="str">
        <v xml:space="preserve">MINISTERIO DE RELACIONES EXTERIORES DE PAISES BAJOS </v>
      </c>
      <c r="H279" s="75" t="str">
        <v>3. Promover una cultura de paz, justicia y lucha contra la desigualdad</v>
      </c>
      <c r="I279" s="75" t="str">
        <v>Sin datos</v>
      </c>
      <c r="J279" s="75" t="str">
        <v>ODS 16</v>
      </c>
      <c r="K279" s="75" t="str">
        <v>SIN ALINEAR</v>
      </c>
      <c r="L279" s="75" t="str">
        <v>Presidencia de la República</v>
      </c>
    </row>
    <row r="280" spans="1:12" x14ac:dyDescent="0.3">
      <c r="A280" s="75" t="str">
        <v>Un Proceso de Paz Incluyente en Nariño - actividad N° 25-0000617</v>
      </c>
      <c r="B280" s="75" t="str">
        <v>Sin datos</v>
      </c>
      <c r="C280" s="79">
        <v>45809</v>
      </c>
      <c r="D280" s="79">
        <v>46266</v>
      </c>
      <c r="E280" s="75" t="str">
        <v>Nariño</v>
      </c>
      <c r="F280" s="75" t="str">
        <v>Samaniego</v>
      </c>
      <c r="G280" s="75" t="str">
        <v xml:space="preserve">MINISTERIO DE RELACIONES EXTERIORES DE PAISES BAJOS </v>
      </c>
      <c r="H280" s="75" t="str">
        <v>3. Promover una cultura de paz, justicia y lucha contra la desigualdad</v>
      </c>
      <c r="I280" s="75" t="str">
        <v>Sin datos</v>
      </c>
      <c r="J280" s="75" t="str">
        <v>ODS 16</v>
      </c>
      <c r="K280" s="75" t="str">
        <v>SIN ALINEAR</v>
      </c>
      <c r="L280" s="75" t="str">
        <v>Presidencia de la República</v>
      </c>
    </row>
    <row r="281" spans="1:12" x14ac:dyDescent="0.3">
      <c r="A281" s="75" t="str">
        <v>Un Proceso de Paz Incluyente en Nariño - actividad N° 25-0000617</v>
      </c>
      <c r="B281" s="75" t="str">
        <v>Sin datos</v>
      </c>
      <c r="C281" s="79">
        <v>45809</v>
      </c>
      <c r="D281" s="79">
        <v>46266</v>
      </c>
      <c r="E281" s="75" t="str">
        <v>Nariño</v>
      </c>
      <c r="F281" s="75" t="str">
        <v>Santacruz</v>
      </c>
      <c r="G281" s="75" t="str">
        <v xml:space="preserve">MINISTERIO DE RELACIONES EXTERIORES DE PAISES BAJOS </v>
      </c>
      <c r="H281" s="75" t="str">
        <v>3. Promover una cultura de paz, justicia y lucha contra la desigualdad</v>
      </c>
      <c r="I281" s="75" t="str">
        <v>Sin datos</v>
      </c>
      <c r="J281" s="75" t="str">
        <v>ODS 16</v>
      </c>
      <c r="K281" s="75" t="str">
        <v>SIN ALINEAR</v>
      </c>
      <c r="L281" s="75" t="str">
        <v>Presidencia de la República</v>
      </c>
    </row>
    <row r="282" spans="1:12" x14ac:dyDescent="0.3">
      <c r="A282" s="75" t="str">
        <v>Las mujeres afrodescendientes y defensoras de DDHH del Cauca lideran la cons-trucción de paz en de una sociedad más justa – Fase 2025</v>
      </c>
      <c r="B282" s="75" t="str">
        <v xml:space="preserve">Construir la paz y defender el derecho a una vida libre de discriminaciones y violencias </v>
      </c>
      <c r="C282" s="79">
        <v>45582</v>
      </c>
      <c r="D282" s="79">
        <v>46312</v>
      </c>
      <c r="E282" s="75" t="str">
        <v>Nariño</v>
      </c>
      <c r="F282" s="75" t="str">
        <v>San Andrés de Tumaco</v>
      </c>
      <c r="G282" s="75" t="str">
        <v>AYUNTAMIENTO DE MADRID</v>
      </c>
      <c r="H282" s="75" t="str">
        <v>3. Promover una cultura de paz, justicia y lucha contra la desigualdad</v>
      </c>
      <c r="I282" s="75" t="str">
        <v>5.2.Eliminar todas las formas de violencia contra las mujeres y las niñas en las esferas públicas y privadas, incluyendo el tráfico sexual y otros tipos de explotación.</v>
      </c>
      <c r="J282" s="75" t="str">
        <v>ODS 5</v>
      </c>
      <c r="K282" s="75" t="str">
        <v>SIN ALINEAR</v>
      </c>
      <c r="L282" s="75" t="str">
        <v>Igualdad y Equidad</v>
      </c>
    </row>
    <row r="283" spans="1:12" x14ac:dyDescent="0.3">
      <c r="A283" s="75" t="str">
        <v>Prevención de Riesgos por Artefactos Explosivos y Acceso Seguro a la Tierra con Enfoque Diferencial en Tumaco, Nariño -  01001365 - 01004468</v>
      </c>
      <c r="B283" s="75" t="str">
        <v>Sin datos</v>
      </c>
      <c r="C283" s="79">
        <v>45870</v>
      </c>
      <c r="D283" s="79">
        <v>46232</v>
      </c>
      <c r="E283" s="75" t="str">
        <v>Nariño</v>
      </c>
      <c r="F283" s="75" t="str">
        <v>San Andrés de Tumaco</v>
      </c>
      <c r="G283" s="75" t="str">
        <v>MPTF</v>
      </c>
      <c r="H283" s="75" t="str">
        <v>3. Promover una cultura de paz, justicia y lucha contra la desigualdad</v>
      </c>
      <c r="I283" s="75" t="str">
        <v>16.1.Reducir significativamente todas las formas de violencia y las tasas de mortalidad relacionadas en todas partes.</v>
      </c>
      <c r="J283" s="75" t="str">
        <v>ODS 16</v>
      </c>
      <c r="K283" s="75" t="str">
        <v>SIN ALINEAR</v>
      </c>
      <c r="L283" s="75" t="str">
        <v>Presidencia de la República</v>
      </c>
    </row>
    <row r="284" spans="1:12" x14ac:dyDescent="0.3">
      <c r="A284" s="75" t="str">
        <v>Impulso Colectivo: Acelerando la Paz Productiva - 01001365 – 01002882</v>
      </c>
      <c r="B284" s="75" t="str">
        <v>Sin datos</v>
      </c>
      <c r="C284" s="79">
        <v>45867</v>
      </c>
      <c r="D284" s="79">
        <v>46597</v>
      </c>
      <c r="E284" s="75" t="str">
        <v>Nariño</v>
      </c>
      <c r="F284" s="75" t="str">
        <v>Pasto</v>
      </c>
      <c r="G284" s="75" t="str">
        <v>MPTF</v>
      </c>
      <c r="H284" s="75" t="str">
        <v>3. Promover una cultura de paz, justicia y lucha contra la desigualdad</v>
      </c>
      <c r="I284" s="75" t="str">
        <v>16.b.Promover y hacer cumplir leyes y políticas no discriminatorias para el desarrollo sostenible.</v>
      </c>
      <c r="J284" s="75" t="str">
        <v>ODS 16</v>
      </c>
      <c r="K284" s="75" t="str">
        <v>SIN ALINEAR</v>
      </c>
      <c r="L284" s="75" t="str">
        <v>Presidencia de la República</v>
      </c>
    </row>
    <row r="285" spans="1:12" x14ac:dyDescent="0.3">
      <c r="A285" s="75" t="str">
        <v>Apoyo a la Construcción de Paz a través de actividades AICMA en Nariño, Zona 4 Barbacoas y San Andrés de Tumaco, resguardos de Kuejuambí, Feliciana, Santa Rosita y Hojal la Turbia - CONVENIO 01001365 – 01004468</v>
      </c>
      <c r="B285" s="75" t="str">
        <v>Sin datos</v>
      </c>
      <c r="C285" s="79">
        <v>45868</v>
      </c>
      <c r="D285" s="79">
        <v>46232</v>
      </c>
      <c r="E285" s="75" t="str">
        <v>Nariño</v>
      </c>
      <c r="F285" s="75" t="str">
        <v>Barbacoas</v>
      </c>
      <c r="G285" s="75" t="str">
        <v>MPTF</v>
      </c>
      <c r="H285" s="75" t="str">
        <v>3. Promover una cultura de paz, justicia y lucha contra la desigualdad</v>
      </c>
      <c r="I285" s="75" t="str">
        <v>16.1.Reducir significativamente todas las formas de violencia y las tasas de mortalidad relacionadas en todas partes.</v>
      </c>
      <c r="J285" s="75" t="str">
        <v>ODS 16</v>
      </c>
      <c r="K285" s="75" t="str">
        <v>SIN ALINEAR</v>
      </c>
      <c r="L285" s="75" t="str">
        <v>Presidencia de la República</v>
      </c>
    </row>
    <row r="286" spans="1:12" x14ac:dyDescent="0.3">
      <c r="A286" s="75" t="str">
        <v>Apoyo a la Construcción de Paz a través de actividades AICMA en Nariño, Zona 4 Barbacoas y San Andrés de Tumaco, resguardos de Kuejuambí, Feliciana, Santa Rosita y Hojal la Turbia - CONVENIO 01001365 – 01004468</v>
      </c>
      <c r="B286" s="75" t="str">
        <v>Sin datos</v>
      </c>
      <c r="C286" s="79">
        <v>45868</v>
      </c>
      <c r="D286" s="79">
        <v>46232</v>
      </c>
      <c r="E286" s="75" t="str">
        <v>Nariño</v>
      </c>
      <c r="F286" s="75" t="str">
        <v>San Andrés de Tumaco</v>
      </c>
      <c r="G286" s="75" t="str">
        <v>MPTF</v>
      </c>
      <c r="H286" s="75" t="str">
        <v>3. Promover una cultura de paz, justicia y lucha contra la desigualdad</v>
      </c>
      <c r="I286" s="75" t="str">
        <v>16.1.Reducir significativamente todas las formas de violencia y las tasas de mortalidad relacionadas en todas partes.</v>
      </c>
      <c r="J286" s="75" t="str">
        <v>ODS 16</v>
      </c>
      <c r="K286" s="75" t="str">
        <v>SIN ALINEAR</v>
      </c>
      <c r="L286" s="75" t="str">
        <v>Presidencia de la República</v>
      </c>
    </row>
    <row r="287" spans="1:12" x14ac:dyDescent="0.3">
      <c r="A287" s="75" t="str">
        <v>AICMA ACCION INTEGRAL PARA LA REDUCCION DE LA VIOLENCIA ARMADA EN LOS DEPARTAMENTOS DE ANTIOQUIA, CAUCA, CORDOBA Y NARIÑO -  FL-0001.526.038-3</v>
      </c>
      <c r="B287" s="75" t="str">
        <v>Sin datos</v>
      </c>
      <c r="C287" s="79">
        <v>45658</v>
      </c>
      <c r="D287" s="79">
        <v>46752</v>
      </c>
      <c r="E287" s="75" t="str">
        <v>Nariño</v>
      </c>
      <c r="F287" s="75" t="str">
        <v>No Reporta</v>
      </c>
      <c r="G287" s="75" t="str">
        <v>MEDICOR FOUNDATION</v>
      </c>
      <c r="H287" s="75" t="str">
        <v>No Aplica</v>
      </c>
      <c r="I287" s="75" t="str">
        <v>1.3.Implementar a nivel nacional sistemas y medidas apropiados de protección social para todos, incluidos niveles mínimos, y, de aquí a 2030, lograr una amplia cobertura de las personas pobres y vulnerables</v>
      </c>
      <c r="J287" s="75" t="str">
        <v>ODS 1</v>
      </c>
      <c r="K287" s="75" t="str">
        <v>SIN ALINEAR</v>
      </c>
      <c r="L287" s="75" t="str">
        <v>Presidencia de la República</v>
      </c>
    </row>
    <row r="288" spans="1:12" x14ac:dyDescent="0.3">
      <c r="A288" s="75" t="str">
        <v xml:space="preserve">ALIANZAS QUE TRANSFORMAN: IMPULSANDO LA  PARTICIPACIÓN DEL SECTOR EMPRESARIAL EN LA TRANSFORMACIÓN TERRITORIAL - 01004470 </v>
      </c>
      <c r="B288" s="75" t="str">
        <v>Sin datos</v>
      </c>
      <c r="C288" s="79">
        <v>45880</v>
      </c>
      <c r="D288" s="79">
        <v>46334</v>
      </c>
      <c r="E288" s="75" t="str">
        <v>Nariño</v>
      </c>
      <c r="F288" s="75" t="str">
        <v>No Reporta</v>
      </c>
      <c r="G288" s="75" t="str">
        <v>MPTF</v>
      </c>
      <c r="H288" s="75" t="str">
        <v>3. Promover una cultura de paz, justicia y lucha contra la desigualdad</v>
      </c>
      <c r="I288" s="75" t="str">
        <v>Sin datos</v>
      </c>
      <c r="J288" s="75" t="str">
        <v>ODS 16</v>
      </c>
      <c r="K288" s="75" t="str">
        <v>SIN ALINEAR</v>
      </c>
      <c r="L288" s="75" t="str">
        <v>Presidencia de la República</v>
      </c>
    </row>
    <row r="289" spans="1:12" x14ac:dyDescent="0.3">
      <c r="A289" s="75" t="str">
        <v xml:space="preserve"> Conservacion; fortalecimiento de capacidades NCI</v>
      </c>
      <c r="B289" s="75" t="str">
        <v>Sin datos</v>
      </c>
      <c r="C289" s="79">
        <v>45856</v>
      </c>
      <c r="D289" s="79">
        <v>46221</v>
      </c>
      <c r="E289" s="75" t="str">
        <v>Nariño</v>
      </c>
      <c r="F289" s="75" t="str">
        <v>No Reporta</v>
      </c>
      <c r="G289" s="75" t="str">
        <v>NATURE AND CULTURE INTERNATIONAL</v>
      </c>
      <c r="H289" s="75" t="str">
        <v>1. Promover la lucha contra el cambio climatico, la justicia ambiental y la transformación productiva</v>
      </c>
      <c r="I289" s="75" t="str">
        <v>15.a.Movilizar y aumentar significativamente los recursos financieros de todas las fuentes para conservar y utilizar la biodiversidad y los ecosistemas de forma sostenible</v>
      </c>
      <c r="J289" s="75" t="str">
        <v>ODS 15</v>
      </c>
      <c r="K289" s="75" t="str">
        <v>SIN ALINEAR</v>
      </c>
      <c r="L289" s="75" t="str">
        <v>Ambiente y Desarrollo Sostenible</v>
      </c>
    </row>
    <row r="290" spans="1:12" x14ac:dyDescent="0.3">
      <c r="A290" s="75" t="str">
        <v>Armonización de las acciones de atención humanitaria y de protección a la población migrante y local en la frontera del Darién</v>
      </c>
      <c r="B290" s="75" t="str">
        <v>Atender las necesidades humanitarias y de protección asociadas a la
crisis migratoria en el Darién</v>
      </c>
      <c r="C290" s="79">
        <v>45525</v>
      </c>
      <c r="D290" s="79">
        <v>46255</v>
      </c>
      <c r="E290" s="75" t="str">
        <v>Nariño</v>
      </c>
      <c r="F290" s="75" t="str">
        <v>Ipiales</v>
      </c>
      <c r="G290" s="75" t="str">
        <v>AGENCIA ESPAÑOLA DE COOPERACIÓN INTERNACIONAL PARA EL DESARROLLO</v>
      </c>
      <c r="H290" s="75" t="str">
        <v>2. Contribuir a la lucha contra el hambre y la atención humanitaria a la poblacion</v>
      </c>
      <c r="I290" s="75" t="str">
        <v>Sin datos</v>
      </c>
      <c r="J290" s="75" t="str">
        <v>ODS 1</v>
      </c>
      <c r="K290" s="75" t="str">
        <v>SIN ALINEAR</v>
      </c>
      <c r="L290" s="75" t="str">
        <v>Igualdad y Equidad</v>
      </c>
    </row>
    <row r="291" spans="1:12" x14ac:dyDescent="0.3">
      <c r="A291" s="75" t="str">
        <v>Armonización de las acciones de atención humanitaria y de protección a la población migrante y local en la frontera del Darién</v>
      </c>
      <c r="B291" s="75" t="str">
        <v>Atender las necesidades humanitarias y de protección asociadas a la
crisis migratoria en el Darién</v>
      </c>
      <c r="C291" s="79">
        <v>45525</v>
      </c>
      <c r="D291" s="79">
        <v>46255</v>
      </c>
      <c r="E291" s="75" t="str">
        <v>Nariño</v>
      </c>
      <c r="F291" s="75" t="str">
        <v>Ipiales</v>
      </c>
      <c r="G291" s="75" t="str">
        <v>CRUZ ROJA ESPAÑOLA - CRE</v>
      </c>
      <c r="H291" s="75" t="str">
        <v>2. Contribuir a la lucha contra el hambre y la atención humanitaria a la poblacion</v>
      </c>
      <c r="I291" s="75" t="str">
        <v>Sin datos</v>
      </c>
      <c r="J291" s="75" t="str">
        <v>ODS 1</v>
      </c>
      <c r="K291" s="75" t="str">
        <v>SIN ALINEAR</v>
      </c>
      <c r="L291" s="75" t="str">
        <v>Igualdad y Equidad</v>
      </c>
    </row>
    <row r="292" spans="1:12" x14ac:dyDescent="0.3">
      <c r="A292" s="75" t="str">
        <v>Armonización de las acciones de atención humanitaria y de protección a la población migrante y local en la frontera del Darién</v>
      </c>
      <c r="B292" s="75" t="str">
        <v>Atender las necesidades humanitarias y de protección asociadas a la
crisis migratoria en el Darién</v>
      </c>
      <c r="C292" s="79">
        <v>45525</v>
      </c>
      <c r="D292" s="79">
        <v>46255</v>
      </c>
      <c r="E292" s="75" t="str">
        <v>Nariño</v>
      </c>
      <c r="F292" s="75" t="str">
        <v>Ipiales</v>
      </c>
      <c r="G292" s="75" t="str">
        <v>GENERALITAT DE VALENCIA</v>
      </c>
      <c r="H292" s="75" t="str">
        <v>2. Contribuir a la lucha contra el hambre y la atención humanitaria a la poblacion</v>
      </c>
      <c r="I292" s="75" t="str">
        <v>Sin datos</v>
      </c>
      <c r="J292" s="75" t="str">
        <v>ODS 1</v>
      </c>
      <c r="K292" s="75" t="str">
        <v>SIN ALINEAR</v>
      </c>
      <c r="L292" s="75" t="str">
        <v>Igualdad y Equidad</v>
      </c>
    </row>
    <row r="293" spans="1:12" x14ac:dyDescent="0.3">
      <c r="A293" s="75" t="str">
        <v>SHARP - FORTALECIMIENTO DE LA RESPUESTA Y LA PROTECCION DE LA ACCION HUMANITARIA EN SITUACIONES DE DESPLAZAMIENTO - ECHO/-AM/BUD/2023/91007</v>
      </c>
      <c r="B293" s="75" t="str">
        <v xml:space="preserve">Contribuir a reforzar la respuesta comunitaria e individual ante las amenazas a la protección, las violaciones de derechos y las necesidades básicas insatisfechas de las poblaciones afectadas por el conflicto armado y desplazamientos. </v>
      </c>
      <c r="C293" s="79">
        <v>45884</v>
      </c>
      <c r="D293" s="79">
        <v>46142</v>
      </c>
      <c r="E293" s="75" t="str">
        <v>Nariño</v>
      </c>
      <c r="F293" s="75" t="str">
        <v>Barbacoas</v>
      </c>
      <c r="G293" s="75" t="str">
        <v>Unión Europea</v>
      </c>
      <c r="H293" s="75" t="str">
        <v>2. Contribuir a la lucha contra el hambre y la atención humanitaria a la poblacion</v>
      </c>
      <c r="I293" s="75" t="str">
        <v>10.7.Facilitar una migración y movimiento de personas ordenada, segura, regular y responsable, a través de la implementación de políticas migratorias planificadas y bien gestionadas.</v>
      </c>
      <c r="J293" s="75" t="str">
        <v>ODS 10</v>
      </c>
      <c r="K293" s="75" t="str">
        <v>SIN ALINEAR</v>
      </c>
      <c r="L293" s="75" t="str">
        <v>Presidencia de la República</v>
      </c>
    </row>
    <row r="294" spans="1:12" x14ac:dyDescent="0.3">
      <c r="A294" s="75" t="str">
        <v>SHARP - FORTALECIMIENTO DE LA RESPUESTA Y LA PROTECCION DE LA ACCION HUMANITARIA EN SITUACIONES DE DESPLAZAMIENTO - ECHO/-AM/BUD/2023/91007</v>
      </c>
      <c r="B294" s="75" t="str">
        <v xml:space="preserve">Contribuir a reforzar la respuesta comunitaria e individual ante las amenazas a la protección, las violaciones de derechos y las necesidades básicas insatisfechas de las poblaciones afectadas por el conflicto armado y desplazamientos. </v>
      </c>
      <c r="C294" s="79">
        <v>45884</v>
      </c>
      <c r="D294" s="79">
        <v>46142</v>
      </c>
      <c r="E294" s="75" t="str">
        <v>Nariño</v>
      </c>
      <c r="F294" s="75" t="str">
        <v>El Charco</v>
      </c>
      <c r="G294" s="75" t="str">
        <v>Unión Europea</v>
      </c>
      <c r="H294" s="75" t="str">
        <v>2. Contribuir a la lucha contra el hambre y la atención humanitaria a la poblacion</v>
      </c>
      <c r="I294" s="75" t="str">
        <v>10.7.Facilitar una migración y movimiento de personas ordenada, segura, regular y responsable, a través de la implementación de políticas migratorias planificadas y bien gestionadas.</v>
      </c>
      <c r="J294" s="75" t="str">
        <v>ODS 10</v>
      </c>
      <c r="K294" s="75" t="str">
        <v>SIN ALINEAR</v>
      </c>
      <c r="L294" s="75" t="str">
        <v>Presidencia de la República</v>
      </c>
    </row>
    <row r="295" spans="1:12" x14ac:dyDescent="0.3">
      <c r="A295" s="75" t="str">
        <v>SHARP - FORTALECIMIENTO DE LA RESPUESTA Y LA PROTECCION DE LA ACCION HUMANITARIA EN SITUACIONES DE DESPLAZAMIENTO - ECHO/-AM/BUD/2023/91007</v>
      </c>
      <c r="B295" s="75" t="str">
        <v xml:space="preserve">Contribuir a reforzar la respuesta comunitaria e individual ante las amenazas a la protección, las violaciones de derechos y las necesidades básicas insatisfechas de las poblaciones afectadas por el conflicto armado y desplazamientos. </v>
      </c>
      <c r="C295" s="79">
        <v>45884</v>
      </c>
      <c r="D295" s="79">
        <v>46142</v>
      </c>
      <c r="E295" s="75" t="str">
        <v>Nariño</v>
      </c>
      <c r="F295" s="75" t="str">
        <v>La Tola</v>
      </c>
      <c r="G295" s="75" t="str">
        <v>Unión Europea</v>
      </c>
      <c r="H295" s="75" t="str">
        <v>2. Contribuir a la lucha contra el hambre y la atención humanitaria a la poblacion</v>
      </c>
      <c r="I295" s="75" t="str">
        <v>10.7.Facilitar una migración y movimiento de personas ordenada, segura, regular y responsable, a través de la implementación de políticas migratorias planificadas y bien gestionadas.</v>
      </c>
      <c r="J295" s="75" t="str">
        <v>ODS 10</v>
      </c>
      <c r="K295" s="75" t="str">
        <v>SIN ALINEAR</v>
      </c>
      <c r="L295" s="75" t="str">
        <v>Presidencia de la República</v>
      </c>
    </row>
    <row r="296" spans="1:12" x14ac:dyDescent="0.3">
      <c r="A296" s="75" t="str">
        <v>SHARP - FORTALECIMIENTO DE LA RESPUESTA Y LA PROTECCION DE LA ACCION HUMANITARIA EN SITUACIONES DE DESPLAZAMIENTO - ECHO/-AM/BUD/2023/91007</v>
      </c>
      <c r="B296" s="75" t="str">
        <v xml:space="preserve">Contribuir a reforzar la respuesta comunitaria e individual ante las amenazas a la protección, las violaciones de derechos y las necesidades básicas insatisfechas de las poblaciones afectadas por el conflicto armado y desplazamientos. </v>
      </c>
      <c r="C296" s="79">
        <v>45884</v>
      </c>
      <c r="D296" s="79">
        <v>46142</v>
      </c>
      <c r="E296" s="75" t="str">
        <v>Nariño</v>
      </c>
      <c r="F296" s="75" t="str">
        <v>Magüí</v>
      </c>
      <c r="G296" s="75" t="str">
        <v>Unión Europea</v>
      </c>
      <c r="H296" s="75" t="str">
        <v>2. Contribuir a la lucha contra el hambre y la atención humanitaria a la poblacion</v>
      </c>
      <c r="I296" s="75" t="str">
        <v>10.7.Facilitar una migración y movimiento de personas ordenada, segura, regular y responsable, a través de la implementación de políticas migratorias planificadas y bien gestionadas.</v>
      </c>
      <c r="J296" s="75" t="str">
        <v>ODS 10</v>
      </c>
      <c r="K296" s="75" t="str">
        <v>SIN ALINEAR</v>
      </c>
      <c r="L296" s="75" t="str">
        <v>Presidencia de la República</v>
      </c>
    </row>
    <row r="297" spans="1:12" x14ac:dyDescent="0.3">
      <c r="A297" s="75" t="str">
        <v>SHARP - FORTALECIMIENTO DE LA RESPUESTA Y LA PROTECCION DE LA ACCION HUMANITARIA EN SITUACIONES DE DESPLAZAMIENTO - ECHO/-AM/BUD/2023/91007</v>
      </c>
      <c r="B297" s="75" t="str">
        <v xml:space="preserve">Contribuir a reforzar la respuesta comunitaria e individual ante las amenazas a la protección, las violaciones de derechos y las necesidades básicas insatisfechas de las poblaciones afectadas por el conflicto armado y desplazamientos. </v>
      </c>
      <c r="C297" s="79">
        <v>45884</v>
      </c>
      <c r="D297" s="79">
        <v>46142</v>
      </c>
      <c r="E297" s="75" t="str">
        <v>Nariño</v>
      </c>
      <c r="F297" s="75" t="str">
        <v>Olaya Herrera</v>
      </c>
      <c r="G297" s="75" t="str">
        <v>Unión Europea</v>
      </c>
      <c r="H297" s="75" t="str">
        <v>2. Contribuir a la lucha contra el hambre y la atención humanitaria a la poblacion</v>
      </c>
      <c r="I297" s="75" t="str">
        <v>10.7.Facilitar una migración y movimiento de personas ordenada, segura, regular y responsable, a través de la implementación de políticas migratorias planificadas y bien gestionadas.</v>
      </c>
      <c r="J297" s="75" t="str">
        <v>ODS 10</v>
      </c>
      <c r="K297" s="75" t="str">
        <v>SIN ALINEAR</v>
      </c>
      <c r="L297" s="75" t="str">
        <v>Presidencia de la República</v>
      </c>
    </row>
    <row r="298" spans="1:12" x14ac:dyDescent="0.3">
      <c r="A298" s="75" t="str">
        <v>SHARP - FORTALECIMIENTO DE LA RESPUESTA Y LA PROTECCION DE LA ACCION HUMANITARIA EN SITUACIONES DE DESPLAZAMIENTO - ECHO/-AM/BUD/2023/91007</v>
      </c>
      <c r="B298" s="75" t="str">
        <v xml:space="preserve">Contribuir a reforzar la respuesta comunitaria e individual ante las amenazas a la protección, las violaciones de derechos y las necesidades básicas insatisfechas de las poblaciones afectadas por el conflicto armado y desplazamientos. </v>
      </c>
      <c r="C298" s="79">
        <v>45884</v>
      </c>
      <c r="D298" s="79">
        <v>46142</v>
      </c>
      <c r="E298" s="75" t="str">
        <v>Nariño</v>
      </c>
      <c r="F298" s="75" t="str">
        <v>Roberto Payán</v>
      </c>
      <c r="G298" s="75" t="str">
        <v>Unión Europea</v>
      </c>
      <c r="H298" s="75" t="str">
        <v>2. Contribuir a la lucha contra el hambre y la atención humanitaria a la poblacion</v>
      </c>
      <c r="I298" s="75" t="str">
        <v>10.7.Facilitar una migración y movimiento de personas ordenada, segura, regular y responsable, a través de la implementación de políticas migratorias planificadas y bien gestionadas.</v>
      </c>
      <c r="J298" s="75" t="str">
        <v>ODS 10</v>
      </c>
      <c r="K298" s="75" t="str">
        <v>SIN ALINEAR</v>
      </c>
      <c r="L298" s="75" t="str">
        <v>Presidencia de la República</v>
      </c>
    </row>
    <row r="299" spans="1:12" x14ac:dyDescent="0.3">
      <c r="A299" s="75" t="str">
        <v>SHARP - FORTALECIMIENTO DE LA RESPUESTA Y LA PROTECCION DE LA ACCION HUMANITARIA EN SITUACIONES DE DESPLAZAMIENTO - ECHO/-AM/BUD/2023/91007</v>
      </c>
      <c r="B299" s="75" t="str">
        <v xml:space="preserve">Contribuir a reforzar la respuesta comunitaria e individual ante las amenazas a la protección, las violaciones de derechos y las necesidades básicas insatisfechas de las poblaciones afectadas por el conflicto armado y desplazamientos. </v>
      </c>
      <c r="C299" s="79">
        <v>45884</v>
      </c>
      <c r="D299" s="79">
        <v>46142</v>
      </c>
      <c r="E299" s="75" t="str">
        <v>Nariño</v>
      </c>
      <c r="F299" s="75" t="str">
        <v>San Andrés de Tumaco</v>
      </c>
      <c r="G299" s="75" t="str">
        <v>Unión Europea</v>
      </c>
      <c r="H299" s="75" t="str">
        <v>2. Contribuir a la lucha contra el hambre y la atención humanitaria a la poblacion</v>
      </c>
      <c r="I299" s="75" t="str">
        <v>10.7.Facilitar una migración y movimiento de personas ordenada, segura, regular y responsable, a través de la implementación de políticas migratorias planificadas y bien gestionadas.</v>
      </c>
      <c r="J299" s="75" t="str">
        <v>ODS 10</v>
      </c>
      <c r="K299" s="75" t="str">
        <v>SIN ALINEAR</v>
      </c>
      <c r="L299" s="75" t="str">
        <v>Presidencia de la República</v>
      </c>
    </row>
    <row r="300" spans="1:12" x14ac:dyDescent="0.3">
      <c r="A300" s="75" t="str">
        <v>LIDERA PAZCIFICO: Una agenda de paz renovada desde y para las juventudes del PacIfico</v>
      </c>
      <c r="B300" s="75" t="str">
        <v>Sin datos</v>
      </c>
      <c r="C300" s="79">
        <v>45953</v>
      </c>
      <c r="D300" s="79">
        <v>46866</v>
      </c>
      <c r="E300" s="75" t="str">
        <v>Nariño</v>
      </c>
      <c r="F300" s="75" t="str">
        <v>San Andrés de Tumaco</v>
      </c>
      <c r="G300" s="75" t="str">
        <v>AGENCIA ESPAÑOLA DE COOPERACIÓN INTERNACIONAL PARA EL DESARROLLO</v>
      </c>
      <c r="H300" s="75" t="str">
        <v>3. Promover una cultura de paz, justicia y lucha contra la desigualdad</v>
      </c>
      <c r="I300" s="75" t="str">
        <v>16.3.Promover el estado de derecho en los planos nacional e internacional, y garantizar la igualdad en el acceso a la justicia para todos.</v>
      </c>
      <c r="J300" s="75" t="str">
        <v>ODS 16</v>
      </c>
      <c r="K300" s="75" t="str">
        <v>SIN ALINEAR</v>
      </c>
      <c r="L300" s="75" t="str">
        <v>Igualdad y Equidad</v>
      </c>
    </row>
    <row r="301" spans="1:12" x14ac:dyDescent="0.3">
      <c r="A301" s="75" t="str">
        <v>LIDERA PAZCIFICO: Una agenda de paz renovada desde y para las juventudes del PacIfico</v>
      </c>
      <c r="B301" s="75" t="str">
        <v>Sin datos</v>
      </c>
      <c r="C301" s="79">
        <v>45953</v>
      </c>
      <c r="D301" s="79">
        <v>46866</v>
      </c>
      <c r="E301" s="75" t="str">
        <v>Nariño</v>
      </c>
      <c r="F301" s="75" t="str">
        <v>San Andrés de Tumaco</v>
      </c>
      <c r="G301" s="75" t="str">
        <v>CORPORACIÓN MANOS VISIBLES</v>
      </c>
      <c r="H301" s="75" t="str">
        <v>3. Promover una cultura de paz, justicia y lucha contra la desigualdad</v>
      </c>
      <c r="I301" s="75" t="str">
        <v>16.3.Promover el estado de derecho en los planos nacional e internacional, y garantizar la igualdad en el acceso a la justicia para todos.</v>
      </c>
      <c r="J301" s="75" t="str">
        <v>ODS 16</v>
      </c>
      <c r="K301" s="75" t="str">
        <v>SIN ALINEAR</v>
      </c>
      <c r="L301" s="75" t="str">
        <v>Igualdad y Equidad</v>
      </c>
    </row>
    <row r="302" spans="1:12" x14ac:dyDescent="0.3">
      <c r="A302" s="75" t="str">
        <v>Atención humanitaria en salud a la poblaciín vulnerable que enfrenta multiples afectaciones por el conflicto, moigración o desastres naturales en Colombia ECHO/-AM/BUD/2023/91006 FASE iiI</v>
      </c>
      <c r="B302" s="75" t="str">
        <v>CONTRIBUIR AL MEJORAMIENTO DE LA SALUD DE POBLACIONES VULNERABLES QUE SUFREN AFECTACIÓN MÚLTIPLE POR CAUSA DEL CONFLICTO AMADO, MIGRACIÓN Y DESASTRES NATURALES EN LA REGIÓN PACIFICA COLOMBIANA.</v>
      </c>
      <c r="C302" s="79">
        <v>45784</v>
      </c>
      <c r="D302" s="79">
        <v>46142</v>
      </c>
      <c r="E302" s="75" t="str">
        <v>Nariño</v>
      </c>
      <c r="F302" s="75" t="str">
        <v>El Charco</v>
      </c>
      <c r="G302" s="75" t="str">
        <v>Unión Europea</v>
      </c>
      <c r="H302" s="75" t="str">
        <v>2. Contribuir a la lucha contra el hambre y la atención humanitaria a la poblacion</v>
      </c>
      <c r="I302" s="75" t="str">
        <v>Sin datos</v>
      </c>
      <c r="J302" s="75" t="str">
        <v>ODS 1</v>
      </c>
      <c r="K302" s="75" t="str">
        <v>SIN ALINEAR</v>
      </c>
      <c r="L302" s="75" t="str">
        <v>Igualdad y Equidad</v>
      </c>
    </row>
    <row r="303" spans="1:12" x14ac:dyDescent="0.3">
      <c r="A303" s="75" t="str">
        <v>Atención humanitaria en salud a la poblaciín vulnerable que enfrenta multiples afectaciones por el conflicto, moigración o desastres naturales en Colombia ECHO/-AM/BUD/2023/91006 FASE iiI</v>
      </c>
      <c r="B303" s="75" t="str">
        <v>CONTRIBUIR AL MEJORAMIENTO DE LA SALUD DE POBLACIONES VULNERABLES QUE SUFREN AFECTACIÓN MÚLTIPLE POR CAUSA DEL CONFLICTO AMADO, MIGRACIÓN Y DESASTRES NATURALES EN LA REGIÓN PACIFICA COLOMBIANA.</v>
      </c>
      <c r="C303" s="79">
        <v>45784</v>
      </c>
      <c r="D303" s="79">
        <v>46142</v>
      </c>
      <c r="E303" s="75" t="str">
        <v>Nariño</v>
      </c>
      <c r="F303" s="75" t="str">
        <v>La Tola</v>
      </c>
      <c r="G303" s="75" t="str">
        <v>Unión Europea</v>
      </c>
      <c r="H303" s="75" t="str">
        <v>2. Contribuir a la lucha contra el hambre y la atención humanitaria a la poblacion</v>
      </c>
      <c r="I303" s="75" t="str">
        <v>Sin datos</v>
      </c>
      <c r="J303" s="75" t="str">
        <v>ODS 1</v>
      </c>
      <c r="K303" s="75" t="str">
        <v>SIN ALINEAR</v>
      </c>
      <c r="L303" s="75" t="str">
        <v>Igualdad y Equidad</v>
      </c>
    </row>
    <row r="304" spans="1:12" x14ac:dyDescent="0.3">
      <c r="A304" s="75" t="str">
        <v>Atención humanitaria en salud a la poblaciín vulnerable que enfrenta multiples afectaciones por el conflicto, moigración o desastres naturales en Colombia ECHO/-AM/BUD/2023/91006 FASE iiI</v>
      </c>
      <c r="B304" s="75" t="str">
        <v>CONTRIBUIR AL MEJORAMIENTO DE LA SALUD DE POBLACIONES VULNERABLES QUE SUFREN AFECTACIÓN MÚLTIPLE POR CAUSA DEL CONFLICTO AMADO, MIGRACIÓN Y DESASTRES NATURALES EN LA REGIÓN PACIFICA COLOMBIANA.</v>
      </c>
      <c r="C304" s="79">
        <v>45784</v>
      </c>
      <c r="D304" s="79">
        <v>46142</v>
      </c>
      <c r="E304" s="75" t="str">
        <v>Nariño</v>
      </c>
      <c r="F304" s="75" t="str">
        <v>Samaniego</v>
      </c>
      <c r="G304" s="75" t="str">
        <v>Unión Europea</v>
      </c>
      <c r="H304" s="75" t="str">
        <v>2. Contribuir a la lucha contra el hambre y la atención humanitaria a la poblacion</v>
      </c>
      <c r="I304" s="75" t="str">
        <v>Sin datos</v>
      </c>
      <c r="J304" s="75" t="str">
        <v>ODS 1</v>
      </c>
      <c r="K304" s="75" t="str">
        <v>SIN ALINEAR</v>
      </c>
      <c r="L304" s="75" t="str">
        <v>Igualdad y Equidad</v>
      </c>
    </row>
    <row r="305" spans="1:12" x14ac:dyDescent="0.3">
      <c r="A305" s="75" t="str">
        <v>Atención humanitaria en salud a la poblaciín vulnerable que enfrenta multiples afectaciones por el conflicto, moigración o desastres naturales en Colombia ECHO/-AM/BUD/2023/91006 FASE iiI</v>
      </c>
      <c r="B305" s="75" t="str">
        <v>CONTRIBUIR AL MEJORAMIENTO DE LA SALUD DE POBLACIONES VULNERABLES QUE SUFREN AFECTACIÓN MÚLTIPLE POR CAUSA DEL CONFLICTO AMADO, MIGRACIÓN Y DESASTRES NATURALES EN LA REGIÓN PACIFICA COLOMBIANA.</v>
      </c>
      <c r="C305" s="79">
        <v>45784</v>
      </c>
      <c r="D305" s="79">
        <v>46142</v>
      </c>
      <c r="E305" s="75" t="str">
        <v>Nariño</v>
      </c>
      <c r="F305" s="75" t="str">
        <v>San Andrés de Tumaco</v>
      </c>
      <c r="G305" s="75" t="str">
        <v>Unión Europea</v>
      </c>
      <c r="H305" s="75" t="str">
        <v>2. Contribuir a la lucha contra el hambre y la atención humanitaria a la poblacion</v>
      </c>
      <c r="I305" s="75" t="str">
        <v>Sin datos</v>
      </c>
      <c r="J305" s="75" t="str">
        <v>ODS 1</v>
      </c>
      <c r="K305" s="75" t="str">
        <v>SIN ALINEAR</v>
      </c>
      <c r="L305" s="75" t="str">
        <v>Igualdad y Equidad</v>
      </c>
    </row>
    <row r="306" spans="1:12" x14ac:dyDescent="0.3">
      <c r="A306" s="75" t="str">
        <v>Atención humanitaria en salud a la poblaciín vulnerable que enfrenta multiples afectaciones por el conflicto, moigración o desastres naturales en Colombia ECHO/-AM/BUD/2023/91006 FASE iiI</v>
      </c>
      <c r="B306" s="75" t="str">
        <v>CONTRIBUIR AL MEJORAMIENTO DE LA SALUD DE POBLACIONES VULNERABLES QUE SUFREN AFECTACIÓN MÚLTIPLE POR CAUSA DEL CONFLICTO AMADO, MIGRACIÓN Y DESASTRES NATURALES EN LA REGIÓN PACIFICA COLOMBIANA.</v>
      </c>
      <c r="C306" s="79">
        <v>45784</v>
      </c>
      <c r="D306" s="79">
        <v>46142</v>
      </c>
      <c r="E306" s="75" t="str">
        <v>Nariño</v>
      </c>
      <c r="F306" s="75" t="str">
        <v>Santa Bárbara</v>
      </c>
      <c r="G306" s="75" t="str">
        <v>Unión Europea</v>
      </c>
      <c r="H306" s="75" t="str">
        <v>2. Contribuir a la lucha contra el hambre y la atención humanitaria a la poblacion</v>
      </c>
      <c r="I306" s="75" t="str">
        <v>Sin datos</v>
      </c>
      <c r="J306" s="75" t="str">
        <v>ODS 1</v>
      </c>
      <c r="K306" s="75" t="str">
        <v>SIN ALINEAR</v>
      </c>
      <c r="L306" s="75" t="str">
        <v>Igualdad y Equidad</v>
      </c>
    </row>
    <row r="307" spans="1:12" x14ac:dyDescent="0.3">
      <c r="A307" s="75" t="str">
        <v>Fortalecimiento del programa RedSerPaz -2025QdV00212</v>
      </c>
      <c r="B307" s="75" t="str">
        <v>Apoyo a la conservación de los  ecosistemas estratégicos, la estabilización y cierre de fronteras agrícolas, y fortalecidas las reservas naturales de la sociedad civil.</v>
      </c>
      <c r="C307" s="79">
        <v>45952</v>
      </c>
      <c r="D307" s="79">
        <v>46774</v>
      </c>
      <c r="E307" s="75" t="str">
        <v>Nariño</v>
      </c>
      <c r="F307" s="75" t="str">
        <v>Consacá</v>
      </c>
      <c r="G307" s="75" t="str">
        <v>AGENCIA ESPAÑOLA DE COOPERACIÓN INTERNACIONAL PARA EL DESARROLLO</v>
      </c>
      <c r="H307" s="75" t="str">
        <v>No Aplica</v>
      </c>
      <c r="I307" s="75" t="str">
        <v>Sin datos</v>
      </c>
      <c r="J307" s="75" t="str">
        <v>ODS 15</v>
      </c>
      <c r="K307" s="75" t="str">
        <v>SIN ALINEAR</v>
      </c>
      <c r="L307" s="75" t="str">
        <v>Ambiente y Desarrollo Sostenible</v>
      </c>
    </row>
    <row r="308" spans="1:12" x14ac:dyDescent="0.3">
      <c r="A308" s="75" t="str">
        <v>Fortalecimiento del programa RedSerPaz -2025QdV00212</v>
      </c>
      <c r="B308" s="75" t="str">
        <v>Apoyo a la conservación de los  ecosistemas estratégicos, la estabilización y cierre de fronteras agrícolas, y fortalecidas las reservas naturales de la sociedad civil.</v>
      </c>
      <c r="C308" s="79">
        <v>45952</v>
      </c>
      <c r="D308" s="79">
        <v>46774</v>
      </c>
      <c r="E308" s="75" t="str">
        <v>Nariño</v>
      </c>
      <c r="F308" s="75" t="str">
        <v>La Florida</v>
      </c>
      <c r="G308" s="75" t="str">
        <v>AGENCIA ESPAÑOLA DE COOPERACIÓN INTERNACIONAL PARA EL DESARROLLO</v>
      </c>
      <c r="H308" s="75" t="str">
        <v>No Aplica</v>
      </c>
      <c r="I308" s="75" t="str">
        <v>Sin datos</v>
      </c>
      <c r="J308" s="75" t="str">
        <v>ODS 15</v>
      </c>
      <c r="K308" s="75" t="str">
        <v>SIN ALINEAR</v>
      </c>
      <c r="L308" s="75" t="str">
        <v>Ambiente y Desarrollo Sostenible</v>
      </c>
    </row>
    <row r="309" spans="1:12" x14ac:dyDescent="0.3">
      <c r="A309" s="75" t="str">
        <v>Fortalecimiento del programa RedSerPaz -2025QdV00212</v>
      </c>
      <c r="B309" s="75" t="str">
        <v>Apoyo a la conservación de los  ecosistemas estratégicos, la estabilización y cierre de fronteras agrícolas, y fortalecidas las reservas naturales de la sociedad civil.</v>
      </c>
      <c r="C309" s="79">
        <v>45952</v>
      </c>
      <c r="D309" s="79">
        <v>46774</v>
      </c>
      <c r="E309" s="75" t="str">
        <v>Nariño</v>
      </c>
      <c r="F309" s="75" t="str">
        <v>Nariño</v>
      </c>
      <c r="G309" s="75" t="str">
        <v>AGENCIA ESPAÑOLA DE COOPERACIÓN INTERNACIONAL PARA EL DESARROLLO</v>
      </c>
      <c r="H309" s="75" t="str">
        <v>No Aplica</v>
      </c>
      <c r="I309" s="75" t="str">
        <v>Sin datos</v>
      </c>
      <c r="J309" s="75" t="str">
        <v>ODS 15</v>
      </c>
      <c r="K309" s="75" t="str">
        <v>SIN ALINEAR</v>
      </c>
      <c r="L309" s="75" t="str">
        <v>Ambiente y Desarrollo Sostenible</v>
      </c>
    </row>
    <row r="310" spans="1:12" x14ac:dyDescent="0.3">
      <c r="A310" s="75" t="str">
        <v>Fortalecimiento del programa RedSerPaz -2025QdV00212</v>
      </c>
      <c r="B310" s="75" t="str">
        <v>Apoyo a la conservación de los  ecosistemas estratégicos, la estabilización y cierre de fronteras agrícolas, y fortalecidas las reservas naturales de la sociedad civil.</v>
      </c>
      <c r="C310" s="79">
        <v>45952</v>
      </c>
      <c r="D310" s="79">
        <v>46774</v>
      </c>
      <c r="E310" s="75" t="str">
        <v>Nariño</v>
      </c>
      <c r="F310" s="75" t="str">
        <v>Pasto</v>
      </c>
      <c r="G310" s="75" t="str">
        <v>AGENCIA ESPAÑOLA DE COOPERACIÓN INTERNACIONAL PARA EL DESARROLLO</v>
      </c>
      <c r="H310" s="75" t="str">
        <v>No Aplica</v>
      </c>
      <c r="I310" s="75" t="str">
        <v>Sin datos</v>
      </c>
      <c r="J310" s="75" t="str">
        <v>ODS 15</v>
      </c>
      <c r="K310" s="75" t="str">
        <v>SIN ALINEAR</v>
      </c>
      <c r="L310" s="75" t="str">
        <v>Ambiente y Desarrollo Sostenible</v>
      </c>
    </row>
    <row r="311" spans="1:12" x14ac:dyDescent="0.3">
      <c r="A311" s="75" t="str">
        <v>Fortalecimiento del programa RedSerPaz -2025QdV00212</v>
      </c>
      <c r="B311" s="75" t="str">
        <v>Apoyo a la conservación de los  ecosistemas estratégicos, la estabilización y cierre de fronteras agrícolas, y fortalecidas las reservas naturales de la sociedad civil.</v>
      </c>
      <c r="C311" s="79">
        <v>45952</v>
      </c>
      <c r="D311" s="79">
        <v>46774</v>
      </c>
      <c r="E311" s="75" t="str">
        <v>Nariño</v>
      </c>
      <c r="F311" s="75" t="str">
        <v>Sandoná</v>
      </c>
      <c r="G311" s="75" t="str">
        <v>AGENCIA ESPAÑOLA DE COOPERACIÓN INTERNACIONAL PARA EL DESARROLLO</v>
      </c>
      <c r="H311" s="75" t="str">
        <v>No Aplica</v>
      </c>
      <c r="I311" s="75" t="str">
        <v>Sin datos</v>
      </c>
      <c r="J311" s="75" t="str">
        <v>ODS 15</v>
      </c>
      <c r="K311" s="75" t="str">
        <v>SIN ALINEAR</v>
      </c>
      <c r="L311" s="75" t="str">
        <v>Ambiente y Desarrollo Sostenible</v>
      </c>
    </row>
    <row r="312" spans="1:12" x14ac:dyDescent="0.3">
      <c r="A312" s="75" t="str">
        <v>Fortalecimiento del programa RedSerPaz -2025QdV00212</v>
      </c>
      <c r="B312" s="75" t="str">
        <v>Apoyo a la conservación de los  ecosistemas estratégicos, la estabilización y cierre de fronteras agrícolas, y fortalecidas las reservas naturales de la sociedad civil.</v>
      </c>
      <c r="C312" s="79">
        <v>45952</v>
      </c>
      <c r="D312" s="79">
        <v>46774</v>
      </c>
      <c r="E312" s="75" t="str">
        <v>Nariño</v>
      </c>
      <c r="F312" s="75" t="str">
        <v>Tangua</v>
      </c>
      <c r="G312" s="75" t="str">
        <v>AGENCIA ESPAÑOLA DE COOPERACIÓN INTERNACIONAL PARA EL DESARROLLO</v>
      </c>
      <c r="H312" s="75" t="str">
        <v>No Aplica</v>
      </c>
      <c r="I312" s="75" t="str">
        <v>Sin datos</v>
      </c>
      <c r="J312" s="75" t="str">
        <v>ODS 15</v>
      </c>
      <c r="K312" s="75" t="str">
        <v>SIN ALINEAR</v>
      </c>
      <c r="L312" s="75" t="str">
        <v>Ambiente y Desarrollo Sostenible</v>
      </c>
    </row>
    <row r="313" spans="1:12" x14ac:dyDescent="0.3">
      <c r="A313" s="75" t="str">
        <v>Fortalecimiento del programa RedSerPaz -2025QdV00212</v>
      </c>
      <c r="B313" s="75" t="str">
        <v>Apoyo a la conservación de los  ecosistemas estratégicos, la estabilización y cierre de fronteras agrícolas, y fortalecidas las reservas naturales de la sociedad civil.</v>
      </c>
      <c r="C313" s="79">
        <v>45952</v>
      </c>
      <c r="D313" s="79">
        <v>46774</v>
      </c>
      <c r="E313" s="75" t="str">
        <v>Nariño</v>
      </c>
      <c r="F313" s="75" t="str">
        <v>Yacuanquer</v>
      </c>
      <c r="G313" s="75" t="str">
        <v>AGENCIA ESPAÑOLA DE COOPERACIÓN INTERNACIONAL PARA EL DESARROLLO</v>
      </c>
      <c r="H313" s="75" t="str">
        <v>No Aplica</v>
      </c>
      <c r="I313" s="75" t="str">
        <v>Sin datos</v>
      </c>
      <c r="J313" s="75" t="str">
        <v>ODS 15</v>
      </c>
      <c r="K313" s="75" t="str">
        <v>SIN ALINEAR</v>
      </c>
      <c r="L313" s="75" t="str">
        <v>Ambiente y Desarrollo Sostenible</v>
      </c>
    </row>
    <row r="314" spans="1:12" x14ac:dyDescent="0.3">
      <c r="A314" s="75" t="str">
        <v>Fortalecimiento de la respuesta de asistencia humanitaria a situaciones de migración y conflicto armado en Sudamérica-ECHO/-AM/BUD/2025/91026</v>
      </c>
      <c r="B314" s="75" t="str">
        <v>Reducir el impacto de las consecuencias humanitarias provocadas por las múltiples afectaciones en Colombia.</v>
      </c>
      <c r="C314" s="79">
        <v>45839</v>
      </c>
      <c r="D314" s="79">
        <v>46203</v>
      </c>
      <c r="E314" s="75" t="str">
        <v>Nariño</v>
      </c>
      <c r="F314" s="75" t="str">
        <v>Ipiales</v>
      </c>
      <c r="G314" s="75" t="str">
        <v>CRUZ ROJA ALEMANA</v>
      </c>
      <c r="H314" s="75" t="str">
        <v>No Aplica</v>
      </c>
      <c r="I314" s="75" t="str">
        <v>Sin datos</v>
      </c>
      <c r="J314" s="75" t="str">
        <v>ODS 1</v>
      </c>
      <c r="K314" s="75" t="str">
        <v>SIN ALINEAR</v>
      </c>
      <c r="L314" s="75" t="str">
        <v>Presidencia de la República</v>
      </c>
    </row>
    <row r="315" spans="1:12" x14ac:dyDescent="0.3">
      <c r="A315" s="75" t="str">
        <v>Fortalecimiento de la respuesta de asistencia humanitaria a situaciones de migración y conflicto armado en Sudamérica-ECHO/-AM/BUD/2025/91026</v>
      </c>
      <c r="B315" s="75" t="str">
        <v>Reducir el impacto de las consecuencias humanitarias provocadas por las múltiples afectaciones en Colombia.</v>
      </c>
      <c r="C315" s="79">
        <v>45839</v>
      </c>
      <c r="D315" s="79">
        <v>46203</v>
      </c>
      <c r="E315" s="75" t="str">
        <v>Nariño</v>
      </c>
      <c r="F315" s="75" t="str">
        <v>Pasto</v>
      </c>
      <c r="G315" s="75" t="str">
        <v>CRUZ ROJA ALEMANA</v>
      </c>
      <c r="H315" s="75" t="str">
        <v>No Aplica</v>
      </c>
      <c r="I315" s="75" t="str">
        <v>Sin datos</v>
      </c>
      <c r="J315" s="75" t="str">
        <v>ODS 1</v>
      </c>
      <c r="K315" s="75" t="str">
        <v>SIN ALINEAR</v>
      </c>
      <c r="L315" s="75" t="str">
        <v>Presidencia de la República</v>
      </c>
    </row>
    <row r="316" spans="1:12" x14ac:dyDescent="0.3">
      <c r="A316" s="75" t="str">
        <v>Fortalecimiento de la respuesta de asistencia humanitaria a situaciones de migración y conflicto armado en Sudamérica-ECHO/-AM/BUD/2025/91026</v>
      </c>
      <c r="B316" s="75" t="str">
        <v>Reducir el impacto de las consecuencias humanitarias provocadas por las múltiples afectaciones en Colombia.</v>
      </c>
      <c r="C316" s="79">
        <v>45839</v>
      </c>
      <c r="D316" s="79">
        <v>46203</v>
      </c>
      <c r="E316" s="75" t="str">
        <v>Nariño</v>
      </c>
      <c r="F316" s="75" t="str">
        <v>Ipiales</v>
      </c>
      <c r="G316" s="75" t="str">
        <v>Unión Europea</v>
      </c>
      <c r="H316" s="75" t="str">
        <v>No Aplica</v>
      </c>
      <c r="I316" s="75" t="str">
        <v>Sin datos</v>
      </c>
      <c r="J316" s="75" t="str">
        <v>ODS 1</v>
      </c>
      <c r="K316" s="75" t="str">
        <v>SIN ALINEAR</v>
      </c>
      <c r="L316" s="75" t="str">
        <v>Presidencia de la República</v>
      </c>
    </row>
    <row r="317" spans="1:12" x14ac:dyDescent="0.3">
      <c r="A317" s="75" t="str">
        <v>Fortalecimiento de la respuesta de asistencia humanitaria a situaciones de migración y conflicto armado en Sudamérica-ECHO/-AM/BUD/2025/91026</v>
      </c>
      <c r="B317" s="75" t="str">
        <v>Reducir el impacto de las consecuencias humanitarias provocadas por las múltiples afectaciones en Colombia.</v>
      </c>
      <c r="C317" s="79">
        <v>45839</v>
      </c>
      <c r="D317" s="79">
        <v>46203</v>
      </c>
      <c r="E317" s="75" t="str">
        <v>Nariño</v>
      </c>
      <c r="F317" s="75" t="str">
        <v>Pasto</v>
      </c>
      <c r="G317" s="75" t="str">
        <v>Unión Europea</v>
      </c>
      <c r="H317" s="75" t="str">
        <v>No Aplica</v>
      </c>
      <c r="I317" s="75" t="str">
        <v>Sin datos</v>
      </c>
      <c r="J317" s="75" t="str">
        <v>ODS 1</v>
      </c>
      <c r="K317" s="75" t="str">
        <v>SIN ALINEAR</v>
      </c>
      <c r="L317" s="75" t="str">
        <v>Presidencia de la República</v>
      </c>
    </row>
  </sheetData>
  <printOptions horizontalCentered="1"/>
  <pageMargins left="0.7" right="0.7" top="0.75" bottom="0.75" header="0.3" footer="0.3"/>
  <pageSetup scale="29" fitToHeight="0"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7EA017-DDB4-477F-A146-B862ADA36F49}">
  <dimension ref="A1:J6"/>
  <sheetViews>
    <sheetView workbookViewId="0">
      <selection activeCell="A17" sqref="A17"/>
    </sheetView>
  </sheetViews>
  <sheetFormatPr baseColWidth="10" defaultRowHeight="14.4" x14ac:dyDescent="0.3"/>
  <cols>
    <col min="1" max="1" width="35.5546875" customWidth="1"/>
    <col min="2" max="2" width="37.33203125" customWidth="1"/>
    <col min="3" max="4" width="23.5546875" customWidth="1"/>
    <col min="5" max="5" width="24.88671875" bestFit="1" customWidth="1"/>
    <col min="6" max="6" width="27.88671875" bestFit="1" customWidth="1"/>
    <col min="7" max="8" width="27.88671875" customWidth="1"/>
    <col min="9" max="9" width="35.44140625" customWidth="1"/>
    <col min="10" max="10" width="28.6640625" customWidth="1"/>
  </cols>
  <sheetData>
    <row r="1" spans="1:10" s="12" customFormat="1" ht="12" x14ac:dyDescent="0.3">
      <c r="A1" s="52"/>
      <c r="B1" s="52"/>
      <c r="C1" s="53"/>
      <c r="D1" s="52"/>
      <c r="E1" s="52"/>
      <c r="F1" s="52"/>
      <c r="G1" s="52"/>
      <c r="H1" s="52"/>
      <c r="I1" s="52"/>
      <c r="J1" s="52"/>
    </row>
    <row r="2" spans="1:10" s="12" customFormat="1" ht="12" x14ac:dyDescent="0.3">
      <c r="A2" s="52"/>
      <c r="B2" s="52"/>
      <c r="C2" s="53"/>
      <c r="D2" s="52"/>
      <c r="E2" s="52"/>
      <c r="F2" s="52"/>
      <c r="G2" s="52"/>
      <c r="H2" s="52"/>
      <c r="I2" s="52"/>
      <c r="J2" s="52"/>
    </row>
    <row r="3" spans="1:10" s="12" customFormat="1" ht="12" x14ac:dyDescent="0.3">
      <c r="A3" s="52"/>
      <c r="B3" s="52"/>
      <c r="C3" s="53"/>
      <c r="D3" s="52"/>
      <c r="E3" s="52"/>
      <c r="F3" s="52"/>
      <c r="G3" s="52"/>
      <c r="H3" s="52"/>
      <c r="I3" s="52"/>
      <c r="J3" s="52"/>
    </row>
    <row r="4" spans="1:10" s="12" customFormat="1" ht="12" x14ac:dyDescent="0.3">
      <c r="A4" s="52"/>
      <c r="B4" s="52"/>
      <c r="C4" s="53"/>
      <c r="D4" s="52"/>
      <c r="E4" s="52"/>
      <c r="F4" s="52"/>
      <c r="G4" s="52"/>
      <c r="H4" s="52"/>
      <c r="I4" s="52"/>
      <c r="J4" s="52"/>
    </row>
    <row r="5" spans="1:10" s="12" customFormat="1" ht="12" x14ac:dyDescent="0.3">
      <c r="A5" s="52"/>
      <c r="B5" s="52"/>
      <c r="C5" s="53"/>
      <c r="D5" s="52"/>
      <c r="E5" s="52"/>
      <c r="F5" s="52"/>
      <c r="G5" s="52"/>
      <c r="H5" s="52"/>
      <c r="I5" s="52"/>
      <c r="J5" s="52"/>
    </row>
    <row r="6" spans="1:10" s="12" customFormat="1" ht="12" x14ac:dyDescent="0.25">
      <c r="A6" s="55" t="s">
        <v>290</v>
      </c>
      <c r="B6" s="55" t="s">
        <v>291</v>
      </c>
      <c r="C6" s="56" t="s">
        <v>1953</v>
      </c>
      <c r="D6" s="56" t="s">
        <v>292</v>
      </c>
      <c r="E6" s="55" t="s">
        <v>2415</v>
      </c>
      <c r="F6" s="55" t="s">
        <v>2416</v>
      </c>
      <c r="G6" s="55" t="s">
        <v>2417</v>
      </c>
      <c r="H6" s="55" t="s">
        <v>2418</v>
      </c>
      <c r="I6" s="55" t="s">
        <v>2419</v>
      </c>
      <c r="J6" s="55" t="s">
        <v>301</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27929-47FD-46BC-8007-285DCADC774A}">
  <sheetPr codeName="Hoja3"/>
  <dimension ref="A1:U71"/>
  <sheetViews>
    <sheetView workbookViewId="0">
      <selection activeCell="R1" sqref="R1"/>
    </sheetView>
  </sheetViews>
  <sheetFormatPr baseColWidth="10" defaultRowHeight="14.4" x14ac:dyDescent="0.3"/>
  <cols>
    <col min="1" max="1" width="10.109375" bestFit="1" customWidth="1"/>
    <col min="2" max="2" width="55.6640625" bestFit="1" customWidth="1"/>
    <col min="3" max="3" width="21.21875" bestFit="1" customWidth="1"/>
    <col min="4" max="4" width="21.88671875" bestFit="1" customWidth="1"/>
    <col min="6" max="6" width="23.77734375" bestFit="1" customWidth="1"/>
    <col min="7" max="7" width="27.77734375" bestFit="1" customWidth="1"/>
    <col min="8" max="8" width="56.5546875" bestFit="1" customWidth="1"/>
    <col min="9" max="9" width="94.33203125" customWidth="1"/>
    <col min="10" max="10" width="56.5546875" customWidth="1"/>
    <col min="11" max="11" width="94.33203125" bestFit="1" customWidth="1"/>
    <col min="12" max="12" width="32.33203125" customWidth="1"/>
    <col min="13" max="13" width="75.33203125" bestFit="1" customWidth="1"/>
    <col min="14" max="14" width="27.21875" bestFit="1" customWidth="1"/>
    <col min="15" max="15" width="17.77734375" bestFit="1" customWidth="1"/>
    <col min="17" max="17" width="18.33203125" bestFit="1" customWidth="1"/>
    <col min="18" max="18" width="21" bestFit="1" customWidth="1"/>
    <col min="20" max="20" width="16.44140625" customWidth="1"/>
    <col min="21" max="21" width="16.5546875" customWidth="1"/>
    <col min="22" max="22" width="55.6640625" bestFit="1" customWidth="1"/>
  </cols>
  <sheetData>
    <row r="1" spans="1:21" x14ac:dyDescent="0.3">
      <c r="A1" t="s">
        <v>0</v>
      </c>
      <c r="B1" t="s">
        <v>1</v>
      </c>
      <c r="C1" t="s">
        <v>2</v>
      </c>
      <c r="D1" t="s">
        <v>3</v>
      </c>
      <c r="E1" t="s">
        <v>4</v>
      </c>
      <c r="F1" t="s">
        <v>5</v>
      </c>
      <c r="G1" t="s">
        <v>6</v>
      </c>
      <c r="H1" t="s">
        <v>206</v>
      </c>
      <c r="I1" t="s">
        <v>7</v>
      </c>
      <c r="J1" t="s">
        <v>8</v>
      </c>
      <c r="K1" t="s">
        <v>9</v>
      </c>
      <c r="L1" t="s">
        <v>241</v>
      </c>
      <c r="M1" t="s">
        <v>10</v>
      </c>
      <c r="N1" t="s">
        <v>267</v>
      </c>
      <c r="O1" s="8" t="s">
        <v>274</v>
      </c>
      <c r="P1" s="8" t="s">
        <v>275</v>
      </c>
      <c r="Q1" s="7" t="s">
        <v>2728</v>
      </c>
    </row>
    <row r="2" spans="1:21" x14ac:dyDescent="0.3">
      <c r="A2">
        <v>91</v>
      </c>
      <c r="B2" s="6" t="s">
        <v>169</v>
      </c>
      <c r="C2" t="s">
        <v>170</v>
      </c>
      <c r="D2">
        <v>11</v>
      </c>
      <c r="E2" s="4">
        <v>76589</v>
      </c>
      <c r="F2" t="s">
        <v>47</v>
      </c>
      <c r="G2" t="s">
        <v>48</v>
      </c>
      <c r="H2" t="s">
        <v>200</v>
      </c>
      <c r="I2" t="s">
        <v>171</v>
      </c>
      <c r="J2" t="s">
        <v>172</v>
      </c>
      <c r="K2" t="s">
        <v>173</v>
      </c>
      <c r="L2" t="s">
        <v>174</v>
      </c>
      <c r="M2" t="s">
        <v>228</v>
      </c>
      <c r="N2" t="str" cm="1">
        <f t="array" ref="N2">+_xlfn.XLOOKUP(infogeneral[[#This Row],[Departamento]],plan[[#All],[Departamento]],plan[[#All],[Plan de trabajo]],na,0)</f>
        <v>no</v>
      </c>
      <c r="O2" t="str" cm="1">
        <f t="array" ref="O2">+_xlfn.XLOOKUP(infogeneral[[#This Row],[Departamento]],plan[[#All],[Departamento]],plan[[#All],[Capítulo especial]],na,0)</f>
        <v>No</v>
      </c>
      <c r="P2" t="str" cm="1">
        <f t="array" ref="P2">+_xlfn.XLOOKUP(infogeneral[[#This Row],[Departamento]],plan[[#All],[Departamento]],plan[[#All],[Cuál]],na,0)</f>
        <v>n/a</v>
      </c>
      <c r="Q2" t="str" cm="1">
        <f t="array" ref="Q2">+_xlfn.XLOOKUP(infogeneral[[#This Row],[Departamento]],Tabla4[[#All],[Nombre del espacio]],Tabla4[[#All],[Fecha de inicio ]],"n/a",0)</f>
        <v>n/a</v>
      </c>
    </row>
    <row r="3" spans="1:21" x14ac:dyDescent="0.3">
      <c r="A3">
        <v>5</v>
      </c>
      <c r="B3" s="6" t="s">
        <v>11</v>
      </c>
      <c r="C3" t="s">
        <v>12</v>
      </c>
      <c r="D3">
        <v>125</v>
      </c>
      <c r="E3" s="4">
        <v>6407102</v>
      </c>
      <c r="F3" t="s">
        <v>13</v>
      </c>
      <c r="G3" t="s">
        <v>14</v>
      </c>
      <c r="H3" s="1" t="s">
        <v>249</v>
      </c>
      <c r="I3" t="s">
        <v>237</v>
      </c>
      <c r="J3" t="s">
        <v>15</v>
      </c>
      <c r="K3" t="s">
        <v>16</v>
      </c>
      <c r="L3" t="s">
        <v>17</v>
      </c>
      <c r="M3" t="s">
        <v>16</v>
      </c>
      <c r="N3" t="str" cm="1">
        <f t="array" ref="N3">+_xlfn.XLOOKUP(infogeneral[[#This Row],[Departamento]],plan[[#All],[Departamento]],plan[[#All],[Plan de trabajo]],na,0)</f>
        <v>sí</v>
      </c>
      <c r="O3" t="str" cm="1">
        <f t="array" ref="O3">+_xlfn.XLOOKUP(infogeneral[[#This Row],[Departamento]],plan[[#All],[Departamento]],plan[[#All],[Capítulo especial]],na,0)</f>
        <v>No</v>
      </c>
      <c r="P3" t="str" cm="1">
        <f t="array" ref="P3">+_xlfn.XLOOKUP(infogeneral[[#This Row],[Departamento]],plan[[#All],[Departamento]],plan[[#All],[Cuál]],na,0)</f>
        <v>n/a</v>
      </c>
      <c r="Q3" cm="1">
        <f t="array" ref="Q3">+_xlfn.XLOOKUP(infogeneral[[#This Row],[Departamento]],Tabla4[[#All],[Nombre del espacio]],Tabla4[[#All],[Fecha de inicio ]],"n/a",0)</f>
        <v>2024</v>
      </c>
      <c r="S3" s="86" t="s">
        <v>2729</v>
      </c>
      <c r="T3" s="87" t="s">
        <v>2730</v>
      </c>
      <c r="U3" s="87" t="s">
        <v>2731</v>
      </c>
    </row>
    <row r="4" spans="1:21" x14ac:dyDescent="0.3">
      <c r="A4">
        <v>81</v>
      </c>
      <c r="B4" s="6" t="s">
        <v>151</v>
      </c>
      <c r="C4" t="s">
        <v>151</v>
      </c>
      <c r="D4">
        <v>7</v>
      </c>
      <c r="E4" s="4">
        <v>262174</v>
      </c>
      <c r="F4" t="s">
        <v>104</v>
      </c>
      <c r="G4" t="s">
        <v>48</v>
      </c>
      <c r="H4" t="s">
        <v>152</v>
      </c>
      <c r="I4" t="s">
        <v>217</v>
      </c>
      <c r="J4" t="s">
        <v>153</v>
      </c>
      <c r="K4" s="1" t="s">
        <v>231</v>
      </c>
      <c r="L4" t="s">
        <v>154</v>
      </c>
      <c r="M4" t="s">
        <v>218</v>
      </c>
      <c r="N4" t="str" cm="1">
        <f t="array" ref="N4">+_xlfn.XLOOKUP(infogeneral[[#This Row],[Departamento]],plan[[#All],[Departamento]],plan[[#All],[Plan de trabajo]],na,0)</f>
        <v>no</v>
      </c>
      <c r="O4" t="str" cm="1">
        <f t="array" ref="O4">+_xlfn.XLOOKUP(infogeneral[[#This Row],[Departamento]],plan[[#All],[Departamento]],plan[[#All],[Capítulo especial]],na,0)</f>
        <v>No</v>
      </c>
      <c r="P4" t="str" cm="1">
        <f t="array" ref="P4">+_xlfn.XLOOKUP(infogeneral[[#This Row],[Departamento]],plan[[#All],[Departamento]],plan[[#All],[Cuál]],na,0)</f>
        <v>n/a</v>
      </c>
      <c r="Q4" t="str" cm="1">
        <f t="array" ref="Q4">+_xlfn.XLOOKUP(infogeneral[[#This Row],[Departamento]],Tabla4[[#All],[Nombre del espacio]],Tabla4[[#All],[Fecha de inicio ]],"n/a",0)</f>
        <v>n/a</v>
      </c>
      <c r="S4" s="80">
        <v>2024</v>
      </c>
      <c r="T4" s="80" t="s">
        <v>2732</v>
      </c>
      <c r="U4" s="80" t="s">
        <v>11</v>
      </c>
    </row>
    <row r="5" spans="1:21" x14ac:dyDescent="0.3">
      <c r="A5">
        <v>88</v>
      </c>
      <c r="B5" s="6" t="s">
        <v>166</v>
      </c>
      <c r="C5" t="s">
        <v>230</v>
      </c>
      <c r="D5">
        <v>2</v>
      </c>
      <c r="E5" s="4">
        <v>61280</v>
      </c>
      <c r="F5" t="s">
        <v>20</v>
      </c>
      <c r="G5" t="s">
        <v>48</v>
      </c>
      <c r="H5" t="s">
        <v>167</v>
      </c>
      <c r="I5" t="s">
        <v>227</v>
      </c>
      <c r="J5" t="s">
        <v>29</v>
      </c>
      <c r="K5" t="s">
        <v>29</v>
      </c>
      <c r="L5" t="s">
        <v>246</v>
      </c>
      <c r="M5" t="s">
        <v>168</v>
      </c>
      <c r="N5" t="str" cm="1">
        <f t="array" ref="N5">+_xlfn.XLOOKUP(infogeneral[[#This Row],[Departamento]],plan[[#All],[Departamento]],plan[[#All],[Plan de trabajo]],na,0)</f>
        <v>sí</v>
      </c>
      <c r="O5" t="str" cm="1">
        <f t="array" ref="O5">+_xlfn.XLOOKUP(infogeneral[[#This Row],[Departamento]],plan[[#All],[Departamento]],plan[[#All],[Capítulo especial]],na,0)</f>
        <v>No</v>
      </c>
      <c r="P5" t="str" cm="1">
        <f t="array" ref="P5">+_xlfn.XLOOKUP(infogeneral[[#This Row],[Departamento]],plan[[#All],[Departamento]],plan[[#All],[Cuál]],na,0)</f>
        <v>n/a</v>
      </c>
      <c r="Q5" cm="1">
        <f t="array" ref="Q5">+_xlfn.XLOOKUP(infogeneral[[#This Row],[Departamento]],Tabla4[[#All],[Nombre del espacio]],Tabla4[[#All],[Fecha de inicio ]],"n/a",0)</f>
        <v>2024</v>
      </c>
      <c r="S5" s="81">
        <v>2024</v>
      </c>
      <c r="T5" s="81" t="s">
        <v>2732</v>
      </c>
      <c r="U5" s="81" t="s">
        <v>2733</v>
      </c>
    </row>
    <row r="6" spans="1:21" x14ac:dyDescent="0.3">
      <c r="A6">
        <v>8</v>
      </c>
      <c r="B6" s="6" t="s">
        <v>18</v>
      </c>
      <c r="C6" t="s">
        <v>19</v>
      </c>
      <c r="D6">
        <v>23</v>
      </c>
      <c r="E6" s="4">
        <v>2535517</v>
      </c>
      <c r="F6" t="s">
        <v>20</v>
      </c>
      <c r="G6" t="s">
        <v>14</v>
      </c>
      <c r="H6" t="s">
        <v>21</v>
      </c>
      <c r="I6" t="s">
        <v>22</v>
      </c>
      <c r="J6" t="s">
        <v>23</v>
      </c>
      <c r="K6" t="s">
        <v>24</v>
      </c>
      <c r="L6" t="s">
        <v>238</v>
      </c>
      <c r="M6" t="s">
        <v>25</v>
      </c>
      <c r="N6" t="str" cm="1">
        <f t="array" ref="N6">+_xlfn.XLOOKUP(infogeneral[[#This Row],[Departamento]],plan[[#All],[Departamento]],plan[[#All],[Plan de trabajo]],na,0)</f>
        <v>sí</v>
      </c>
      <c r="O6" t="str" cm="1">
        <f t="array" ref="O6">+_xlfn.XLOOKUP(infogeneral[[#This Row],[Departamento]],plan[[#All],[Departamento]],plan[[#All],[Capítulo especial]],na,0)</f>
        <v>sí</v>
      </c>
      <c r="P6" t="str" cm="1">
        <f t="array" ref="P6">+_xlfn.XLOOKUP(infogeneral[[#This Row],[Departamento]],plan[[#All],[Departamento]],plan[[#All],[Cuál]],na,0)</f>
        <v>Barranquilla</v>
      </c>
      <c r="Q6" cm="1">
        <f t="array" ref="Q6">+_xlfn.XLOOKUP(infogeneral[[#This Row],[Departamento]],Tabla4[[#All],[Nombre del espacio]],Tabla4[[#All],[Fecha de inicio ]],"n/a",0)</f>
        <v>2025</v>
      </c>
      <c r="S6" s="80">
        <v>2024</v>
      </c>
      <c r="T6" s="80" t="s">
        <v>2732</v>
      </c>
      <c r="U6" s="84" t="s">
        <v>26</v>
      </c>
    </row>
    <row r="7" spans="1:21" x14ac:dyDescent="0.3">
      <c r="A7">
        <v>11</v>
      </c>
      <c r="B7" s="6" t="s">
        <v>26</v>
      </c>
      <c r="C7" t="s">
        <v>26</v>
      </c>
      <c r="D7">
        <v>1</v>
      </c>
      <c r="E7" s="4">
        <v>7412566</v>
      </c>
      <c r="F7" t="s">
        <v>27</v>
      </c>
      <c r="G7" t="s">
        <v>14</v>
      </c>
      <c r="H7" t="s">
        <v>255</v>
      </c>
      <c r="I7" s="5" t="s">
        <v>211</v>
      </c>
      <c r="J7" t="s">
        <v>28</v>
      </c>
      <c r="K7" t="s">
        <v>16</v>
      </c>
      <c r="L7" t="s">
        <v>29</v>
      </c>
      <c r="M7" t="s">
        <v>29</v>
      </c>
      <c r="N7" t="str" cm="1">
        <f t="array" ref="N7">+_xlfn.XLOOKUP(infogeneral[[#This Row],[Departamento]],plan[[#All],[Departamento]],plan[[#All],[Plan de trabajo]],na,0)</f>
        <v>sí</v>
      </c>
      <c r="O7" t="str" cm="1">
        <f t="array" ref="O7">+_xlfn.XLOOKUP(infogeneral[[#This Row],[Departamento]],plan[[#All],[Departamento]],plan[[#All],[Capítulo especial]],na,0)</f>
        <v>No</v>
      </c>
      <c r="P7" t="str" cm="1">
        <f t="array" ref="P7">+_xlfn.XLOOKUP(infogeneral[[#This Row],[Departamento]],plan[[#All],[Departamento]],plan[[#All],[Cuál]],na,0)</f>
        <v>n/a</v>
      </c>
      <c r="Q7" cm="1">
        <f t="array" ref="Q7">+_xlfn.XLOOKUP(infogeneral[[#This Row],[Departamento]],Tabla4[[#All],[Nombre del espacio]],Tabla4[[#All],[Fecha de inicio ]],"n/a",0)</f>
        <v>2024</v>
      </c>
      <c r="S7" s="81">
        <v>2024</v>
      </c>
      <c r="T7" s="81" t="s">
        <v>2732</v>
      </c>
      <c r="U7" s="81" t="s">
        <v>37</v>
      </c>
    </row>
    <row r="8" spans="1:21" x14ac:dyDescent="0.3">
      <c r="A8">
        <v>13</v>
      </c>
      <c r="B8" s="6" t="s">
        <v>30</v>
      </c>
      <c r="C8" s="1" t="s">
        <v>229</v>
      </c>
      <c r="D8">
        <v>45</v>
      </c>
      <c r="E8" s="4">
        <v>2070110</v>
      </c>
      <c r="F8" t="s">
        <v>20</v>
      </c>
      <c r="G8" t="s">
        <v>14</v>
      </c>
      <c r="H8" t="s">
        <v>31</v>
      </c>
      <c r="I8" t="s">
        <v>32</v>
      </c>
      <c r="J8" t="s">
        <v>33</v>
      </c>
      <c r="K8" t="s">
        <v>34</v>
      </c>
      <c r="L8" t="s">
        <v>35</v>
      </c>
      <c r="M8" t="s">
        <v>36</v>
      </c>
      <c r="N8" t="str" cm="1">
        <f t="array" ref="N8">+_xlfn.XLOOKUP(infogeneral[[#This Row],[Departamento]],plan[[#All],[Departamento]],plan[[#All],[Plan de trabajo]],na,0)</f>
        <v>sí</v>
      </c>
      <c r="O8" t="str" cm="1">
        <f t="array" ref="O8">+_xlfn.XLOOKUP(infogeneral[[#This Row],[Departamento]],plan[[#All],[Departamento]],plan[[#All],[Capítulo especial]],na,0)</f>
        <v>sí</v>
      </c>
      <c r="P8" t="str" cm="1">
        <f t="array" ref="P8">+_xlfn.XLOOKUP(infogeneral[[#This Row],[Departamento]],plan[[#All],[Departamento]],plan[[#All],[Cuál]],na,0)</f>
        <v>Cartagena</v>
      </c>
      <c r="Q8" cm="1">
        <f t="array" ref="Q8">+_xlfn.XLOOKUP(infogeneral[[#This Row],[Departamento]],Tabla4[[#All],[Nombre del espacio]],Tabla4[[#All],[Fecha de inicio ]],"n/a",0)</f>
        <v>2025</v>
      </c>
      <c r="S8" s="80">
        <v>2024</v>
      </c>
      <c r="T8" s="80" t="s">
        <v>2732</v>
      </c>
      <c r="U8" s="80" t="s">
        <v>45</v>
      </c>
    </row>
    <row r="9" spans="1:21" x14ac:dyDescent="0.3">
      <c r="A9">
        <v>15</v>
      </c>
      <c r="B9" s="6" t="s">
        <v>37</v>
      </c>
      <c r="C9" t="s">
        <v>38</v>
      </c>
      <c r="D9">
        <v>123</v>
      </c>
      <c r="E9" s="4">
        <v>1217376</v>
      </c>
      <c r="F9" t="s">
        <v>27</v>
      </c>
      <c r="G9" t="s">
        <v>14</v>
      </c>
      <c r="H9" t="s">
        <v>250</v>
      </c>
      <c r="I9" t="s">
        <v>207</v>
      </c>
      <c r="J9" t="s">
        <v>39</v>
      </c>
      <c r="K9" t="s">
        <v>16</v>
      </c>
      <c r="L9" t="s">
        <v>243</v>
      </c>
      <c r="M9" t="s">
        <v>16</v>
      </c>
      <c r="N9" t="str" cm="1">
        <f t="array" ref="N9">+_xlfn.XLOOKUP(infogeneral[[#This Row],[Departamento]],plan[[#All],[Departamento]],plan[[#All],[Plan de trabajo]],na,0)</f>
        <v>sí</v>
      </c>
      <c r="O9" t="str" cm="1">
        <f t="array" ref="O9">+_xlfn.XLOOKUP(infogeneral[[#This Row],[Departamento]],plan[[#All],[Departamento]],plan[[#All],[Capítulo especial]],na,0)</f>
        <v>No</v>
      </c>
      <c r="P9" t="str" cm="1">
        <f t="array" ref="P9">+_xlfn.XLOOKUP(infogeneral[[#This Row],[Departamento]],plan[[#All],[Departamento]],plan[[#All],[Cuál]],na,0)</f>
        <v>n/a</v>
      </c>
      <c r="Q9" cm="1">
        <f t="array" ref="Q9">+_xlfn.XLOOKUP(infogeneral[[#This Row],[Departamento]],Tabla4[[#All],[Nombre del espacio]],Tabla4[[#All],[Fecha de inicio ]],"n/a",0)</f>
        <v>2024</v>
      </c>
      <c r="S9" s="81">
        <v>2025</v>
      </c>
      <c r="T9" s="81" t="s">
        <v>2732</v>
      </c>
      <c r="U9" s="81" t="s">
        <v>18</v>
      </c>
    </row>
    <row r="10" spans="1:21" x14ac:dyDescent="0.3">
      <c r="A10">
        <v>17</v>
      </c>
      <c r="B10" s="6" t="s">
        <v>40</v>
      </c>
      <c r="C10" t="s">
        <v>41</v>
      </c>
      <c r="D10">
        <v>27</v>
      </c>
      <c r="E10" s="4">
        <v>998255</v>
      </c>
      <c r="F10" t="s">
        <v>13</v>
      </c>
      <c r="G10" t="s">
        <v>14</v>
      </c>
      <c r="H10" t="s">
        <v>235</v>
      </c>
      <c r="I10" t="s">
        <v>42</v>
      </c>
      <c r="J10" t="s">
        <v>43</v>
      </c>
      <c r="K10" t="s">
        <v>16</v>
      </c>
      <c r="L10" t="s">
        <v>44</v>
      </c>
      <c r="M10" t="s">
        <v>16</v>
      </c>
      <c r="N10" t="str" cm="1">
        <f t="array" ref="N10">+_xlfn.XLOOKUP(infogeneral[[#This Row],[Departamento]],plan[[#All],[Departamento]],plan[[#All],[Plan de trabajo]],na,0)</f>
        <v>sí</v>
      </c>
      <c r="O10" t="str" cm="1">
        <f t="array" ref="O10">+_xlfn.XLOOKUP(infogeneral[[#This Row],[Departamento]],plan[[#All],[Departamento]],plan[[#All],[Capítulo especial]],na,0)</f>
        <v>sí</v>
      </c>
      <c r="P10" t="str" cm="1">
        <f t="array" ref="P10">+_xlfn.XLOOKUP(infogeneral[[#This Row],[Departamento]],plan[[#All],[Departamento]],plan[[#All],[Cuál]],na,0)</f>
        <v>Manizales</v>
      </c>
      <c r="Q10" t="str" cm="1">
        <f t="array" ref="Q10">+_xlfn.XLOOKUP(infogeneral[[#This Row],[Departamento]],Tabla4[[#All],[Nombre del espacio]],Tabla4[[#All],[Fecha de inicio ]],"n/a",0)</f>
        <v>n/a</v>
      </c>
      <c r="S10" s="80">
        <v>2025</v>
      </c>
      <c r="T10" s="82" t="s">
        <v>2732</v>
      </c>
      <c r="U10" s="82" t="s">
        <v>30</v>
      </c>
    </row>
    <row r="11" spans="1:21" x14ac:dyDescent="0.3">
      <c r="A11">
        <v>18</v>
      </c>
      <c r="B11" s="6" t="s">
        <v>45</v>
      </c>
      <c r="C11" t="s">
        <v>46</v>
      </c>
      <c r="D11">
        <v>16</v>
      </c>
      <c r="E11" s="4">
        <v>401849</v>
      </c>
      <c r="F11" t="s">
        <v>47</v>
      </c>
      <c r="G11" t="s">
        <v>48</v>
      </c>
      <c r="H11" t="s">
        <v>49</v>
      </c>
      <c r="I11" t="s">
        <v>50</v>
      </c>
      <c r="J11" t="s">
        <v>51</v>
      </c>
      <c r="K11" t="s">
        <v>52</v>
      </c>
      <c r="L11" t="s">
        <v>53</v>
      </c>
      <c r="M11" t="s">
        <v>54</v>
      </c>
      <c r="N11" t="str" cm="1">
        <f t="array" ref="N11">+_xlfn.XLOOKUP(infogeneral[[#This Row],[Departamento]],plan[[#All],[Departamento]],plan[[#All],[Plan de trabajo]],na,0)</f>
        <v>sí</v>
      </c>
      <c r="O11" t="str" cm="1">
        <f t="array" ref="O11">+_xlfn.XLOOKUP(infogeneral[[#This Row],[Departamento]],plan[[#All],[Departamento]],plan[[#All],[Capítulo especial]],na,0)</f>
        <v>No</v>
      </c>
      <c r="P11" t="str" cm="1">
        <f t="array" ref="P11">+_xlfn.XLOOKUP(infogeneral[[#This Row],[Departamento]],plan[[#All],[Departamento]],plan[[#All],[Cuál]],na,0)</f>
        <v>n/a</v>
      </c>
      <c r="Q11" cm="1">
        <f t="array" ref="Q11">+_xlfn.XLOOKUP(infogeneral[[#This Row],[Departamento]],Tabla4[[#All],[Nombre del espacio]],Tabla4[[#All],[Fecha de inicio ]],"n/a",0)</f>
        <v>2024</v>
      </c>
      <c r="S11" s="81">
        <v>2024</v>
      </c>
      <c r="T11" s="81" t="s">
        <v>2732</v>
      </c>
      <c r="U11" s="81" t="s">
        <v>55</v>
      </c>
    </row>
    <row r="12" spans="1:21" x14ac:dyDescent="0.3">
      <c r="A12">
        <v>85</v>
      </c>
      <c r="B12" s="6" t="s">
        <v>155</v>
      </c>
      <c r="C12" t="s">
        <v>156</v>
      </c>
      <c r="D12">
        <v>19</v>
      </c>
      <c r="E12" s="4">
        <v>420504</v>
      </c>
      <c r="F12" t="s">
        <v>104</v>
      </c>
      <c r="G12" t="s">
        <v>14</v>
      </c>
      <c r="H12" t="s">
        <v>157</v>
      </c>
      <c r="I12" t="s">
        <v>219</v>
      </c>
      <c r="J12" t="s">
        <v>158</v>
      </c>
      <c r="K12" t="s">
        <v>159</v>
      </c>
      <c r="L12" t="s">
        <v>160</v>
      </c>
      <c r="M12" t="s">
        <v>258</v>
      </c>
      <c r="N12" t="str" cm="1">
        <f t="array" ref="N12">+_xlfn.XLOOKUP(infogeneral[[#This Row],[Departamento]],plan[[#All],[Departamento]],plan[[#All],[Plan de trabajo]],na,0)</f>
        <v>no</v>
      </c>
      <c r="O12" t="str" cm="1">
        <f t="array" ref="O12">+_xlfn.XLOOKUP(infogeneral[[#This Row],[Departamento]],plan[[#All],[Departamento]],plan[[#All],[Capítulo especial]],na,0)</f>
        <v>No</v>
      </c>
      <c r="P12" t="str" cm="1">
        <f t="array" ref="P12">+_xlfn.XLOOKUP(infogeneral[[#This Row],[Departamento]],plan[[#All],[Departamento]],plan[[#All],[Cuál]],na,0)</f>
        <v>n/a</v>
      </c>
      <c r="Q12" t="str" cm="1">
        <f t="array" ref="Q12">+_xlfn.XLOOKUP(infogeneral[[#This Row],[Departamento]],Tabla4[[#All],[Nombre del espacio]],Tabla4[[#All],[Fecha de inicio ]],"n/a",0)</f>
        <v>n/a</v>
      </c>
      <c r="S12" s="80">
        <v>2024</v>
      </c>
      <c r="T12" s="80" t="s">
        <v>2732</v>
      </c>
      <c r="U12" s="80" t="s">
        <v>61</v>
      </c>
    </row>
    <row r="13" spans="1:21" x14ac:dyDescent="0.3">
      <c r="A13">
        <v>19</v>
      </c>
      <c r="B13" s="6" t="s">
        <v>55</v>
      </c>
      <c r="C13" t="s">
        <v>56</v>
      </c>
      <c r="D13">
        <v>41</v>
      </c>
      <c r="E13" s="4">
        <v>1464488</v>
      </c>
      <c r="F13" t="s">
        <v>57</v>
      </c>
      <c r="G13" t="s">
        <v>14</v>
      </c>
      <c r="H13" t="s">
        <v>58</v>
      </c>
      <c r="I13" t="s">
        <v>59</v>
      </c>
      <c r="J13" t="s">
        <v>60</v>
      </c>
      <c r="K13" t="s">
        <v>16</v>
      </c>
      <c r="L13" t="s">
        <v>244</v>
      </c>
      <c r="M13" t="s">
        <v>16</v>
      </c>
      <c r="N13" t="str" cm="1">
        <f t="array" ref="N13">+_xlfn.XLOOKUP(infogeneral[[#This Row],[Departamento]],plan[[#All],[Departamento]],plan[[#All],[Plan de trabajo]],na,0)</f>
        <v>sí</v>
      </c>
      <c r="O13" t="str" cm="1">
        <f t="array" ref="O13">+_xlfn.XLOOKUP(infogeneral[[#This Row],[Departamento]],plan[[#All],[Departamento]],plan[[#All],[Capítulo especial]],na,0)</f>
        <v>No</v>
      </c>
      <c r="P13" t="str" cm="1">
        <f t="array" ref="P13">+_xlfn.XLOOKUP(infogeneral[[#This Row],[Departamento]],plan[[#All],[Departamento]],plan[[#All],[Cuál]],na,0)</f>
        <v>n/a</v>
      </c>
      <c r="Q13" cm="1">
        <f t="array" ref="Q13">+_xlfn.XLOOKUP(infogeneral[[#This Row],[Departamento]],Tabla4[[#All],[Nombre del espacio]],Tabla4[[#All],[Fecha de inicio ]],"n/a",0)</f>
        <v>2024</v>
      </c>
      <c r="S13" s="81">
        <v>2024</v>
      </c>
      <c r="T13" s="81" t="s">
        <v>2732</v>
      </c>
      <c r="U13" s="81" t="s">
        <v>76</v>
      </c>
    </row>
    <row r="14" spans="1:21" x14ac:dyDescent="0.3">
      <c r="A14">
        <v>20</v>
      </c>
      <c r="B14" s="6" t="s">
        <v>61</v>
      </c>
      <c r="C14" s="1" t="s">
        <v>233</v>
      </c>
      <c r="D14">
        <v>25</v>
      </c>
      <c r="E14" s="4">
        <v>1200574</v>
      </c>
      <c r="F14" t="s">
        <v>20</v>
      </c>
      <c r="G14" t="s">
        <v>14</v>
      </c>
      <c r="H14" t="s">
        <v>62</v>
      </c>
      <c r="I14" s="5" t="s">
        <v>212</v>
      </c>
      <c r="J14" t="s">
        <v>63</v>
      </c>
      <c r="K14" t="s">
        <v>64</v>
      </c>
      <c r="L14" t="s">
        <v>65</v>
      </c>
      <c r="M14" t="s">
        <v>256</v>
      </c>
      <c r="N14" t="str" cm="1">
        <f t="array" ref="N14">+_xlfn.XLOOKUP(infogeneral[[#This Row],[Departamento]],plan[[#All],[Departamento]],plan[[#All],[Plan de trabajo]],na,0)</f>
        <v>sí</v>
      </c>
      <c r="O14" t="str" cm="1">
        <f t="array" ref="O14">+_xlfn.XLOOKUP(infogeneral[[#This Row],[Departamento]],plan[[#All],[Departamento]],plan[[#All],[Capítulo especial]],na,0)</f>
        <v>No</v>
      </c>
      <c r="P14" t="str" cm="1">
        <f t="array" ref="P14">+_xlfn.XLOOKUP(infogeneral[[#This Row],[Departamento]],plan[[#All],[Departamento]],plan[[#All],[Cuál]],na,0)</f>
        <v>n/a</v>
      </c>
      <c r="Q14" cm="1">
        <f t="array" ref="Q14">+_xlfn.XLOOKUP(infogeneral[[#This Row],[Departamento]],Tabla4[[#All],[Nombre del espacio]],Tabla4[[#All],[Fecha de inicio ]],"n/a",0)</f>
        <v>2024</v>
      </c>
      <c r="S14" s="80">
        <v>2024</v>
      </c>
      <c r="T14" s="82" t="s">
        <v>2732</v>
      </c>
      <c r="U14" s="82" t="s">
        <v>181</v>
      </c>
    </row>
    <row r="15" spans="1:21" x14ac:dyDescent="0.3">
      <c r="A15">
        <v>27</v>
      </c>
      <c r="B15" s="6" t="s">
        <v>76</v>
      </c>
      <c r="C15" t="s">
        <v>77</v>
      </c>
      <c r="D15">
        <v>31</v>
      </c>
      <c r="E15" s="4">
        <v>534826</v>
      </c>
      <c r="F15" t="s">
        <v>57</v>
      </c>
      <c r="G15" t="s">
        <v>14</v>
      </c>
      <c r="H15" t="s">
        <v>78</v>
      </c>
      <c r="I15" t="s">
        <v>213</v>
      </c>
      <c r="J15" t="s">
        <v>79</v>
      </c>
      <c r="K15" t="s">
        <v>16</v>
      </c>
      <c r="L15" t="s">
        <v>80</v>
      </c>
      <c r="M15" t="s">
        <v>81</v>
      </c>
      <c r="N15" t="str" cm="1">
        <f t="array" ref="N15">+_xlfn.XLOOKUP(infogeneral[[#This Row],[Departamento]],plan[[#All],[Departamento]],plan[[#All],[Plan de trabajo]],na,0)</f>
        <v>sí</v>
      </c>
      <c r="O15" t="str" cm="1">
        <f t="array" ref="O15">+_xlfn.XLOOKUP(infogeneral[[#This Row],[Departamento]],plan[[#All],[Departamento]],plan[[#All],[Capítulo especial]],na,0)</f>
        <v>No</v>
      </c>
      <c r="P15" t="str" cm="1">
        <f t="array" ref="P15">+_xlfn.XLOOKUP(infogeneral[[#This Row],[Departamento]],plan[[#All],[Departamento]],plan[[#All],[Cuál]],na,0)</f>
        <v>n/a</v>
      </c>
      <c r="Q15" cm="1">
        <f t="array" ref="Q15">+_xlfn.XLOOKUP(infogeneral[[#This Row],[Departamento]],Tabla4[[#All],[Nombre del espacio]],Tabla4[[#All],[Fecha de inicio ]],"n/a",0)</f>
        <v>2024</v>
      </c>
      <c r="S15" s="81">
        <v>2024</v>
      </c>
      <c r="T15" s="81" t="s">
        <v>2732</v>
      </c>
      <c r="U15" s="81" t="s">
        <v>66</v>
      </c>
    </row>
    <row r="16" spans="1:21" x14ac:dyDescent="0.3">
      <c r="A16">
        <v>23</v>
      </c>
      <c r="B16" s="6" t="s">
        <v>66</v>
      </c>
      <c r="C16" t="s">
        <v>67</v>
      </c>
      <c r="D16">
        <v>28</v>
      </c>
      <c r="E16" s="4">
        <v>1784783</v>
      </c>
      <c r="F16" t="s">
        <v>20</v>
      </c>
      <c r="G16" t="s">
        <v>48</v>
      </c>
      <c r="H16" t="s">
        <v>68</v>
      </c>
      <c r="I16" t="s">
        <v>69</v>
      </c>
      <c r="J16" t="s">
        <v>70</v>
      </c>
      <c r="K16" t="s">
        <v>71</v>
      </c>
      <c r="L16" t="s">
        <v>72</v>
      </c>
      <c r="M16" t="s">
        <v>73</v>
      </c>
      <c r="N16" t="str" cm="1">
        <f t="array" ref="N16">+_xlfn.XLOOKUP(infogeneral[[#This Row],[Departamento]],plan[[#All],[Departamento]],plan[[#All],[Plan de trabajo]],na,0)</f>
        <v>sí</v>
      </c>
      <c r="O16" t="str" cm="1">
        <f t="array" ref="O16">+_xlfn.XLOOKUP(infogeneral[[#This Row],[Departamento]],plan[[#All],[Departamento]],plan[[#All],[Capítulo especial]],na,0)</f>
        <v>No</v>
      </c>
      <c r="P16" t="str" cm="1">
        <f t="array" ref="P16">+_xlfn.XLOOKUP(infogeneral[[#This Row],[Departamento]],plan[[#All],[Departamento]],plan[[#All],[Cuál]],na,0)</f>
        <v>n/a</v>
      </c>
      <c r="Q16" cm="1">
        <f t="array" ref="Q16">+_xlfn.XLOOKUP(infogeneral[[#This Row],[Departamento]],Tabla4[[#All],[Nombre del espacio]],Tabla4[[#All],[Fecha de inicio ]],"n/a",0)</f>
        <v>2024</v>
      </c>
      <c r="S16" s="80">
        <v>2024</v>
      </c>
      <c r="T16" s="80" t="s">
        <v>2732</v>
      </c>
      <c r="U16" s="80" t="s">
        <v>82</v>
      </c>
    </row>
    <row r="17" spans="1:21" x14ac:dyDescent="0.3">
      <c r="A17">
        <v>25</v>
      </c>
      <c r="B17" s="6" t="s">
        <v>74</v>
      </c>
      <c r="C17" t="s">
        <v>26</v>
      </c>
      <c r="D17">
        <v>116</v>
      </c>
      <c r="E17" s="4">
        <v>2919060</v>
      </c>
      <c r="F17" t="s">
        <v>27</v>
      </c>
      <c r="G17" t="s">
        <v>48</v>
      </c>
      <c r="H17" t="s">
        <v>251</v>
      </c>
      <c r="I17" t="s">
        <v>75</v>
      </c>
      <c r="J17" t="s">
        <v>29</v>
      </c>
      <c r="K17" t="s">
        <v>29</v>
      </c>
      <c r="L17" t="s">
        <v>245</v>
      </c>
      <c r="M17" t="s">
        <v>16</v>
      </c>
      <c r="N17" t="str" cm="1">
        <f t="array" ref="N17">+_xlfn.XLOOKUP(infogeneral[[#This Row],[Departamento]],plan[[#All],[Departamento]],plan[[#All],[Plan de trabajo]],na,0)</f>
        <v>sí</v>
      </c>
      <c r="O17" t="str" cm="1">
        <f t="array" ref="O17">+_xlfn.XLOOKUP(infogeneral[[#This Row],[Departamento]],plan[[#All],[Departamento]],plan[[#All],[Capítulo especial]],na,0)</f>
        <v>No</v>
      </c>
      <c r="P17" t="str" cm="1">
        <f t="array" ref="P17">+_xlfn.XLOOKUP(infogeneral[[#This Row],[Departamento]],plan[[#All],[Departamento]],plan[[#All],[Cuál]],na,0)</f>
        <v>n/a</v>
      </c>
      <c r="Q17" t="str" cm="1">
        <f t="array" ref="Q17">+_xlfn.XLOOKUP(infogeneral[[#This Row],[Departamento]],Tabla4[[#All],[Nombre del espacio]],Tabla4[[#All],[Fecha de inicio ]],"n/a",0)</f>
        <v>n/a</v>
      </c>
      <c r="S17" s="81">
        <v>2024</v>
      </c>
      <c r="T17" s="81" t="s">
        <v>2732</v>
      </c>
      <c r="U17" s="81" t="s">
        <v>89</v>
      </c>
    </row>
    <row r="18" spans="1:21" x14ac:dyDescent="0.3">
      <c r="A18">
        <v>94</v>
      </c>
      <c r="B18" s="6" t="s">
        <v>175</v>
      </c>
      <c r="C18" t="s">
        <v>176</v>
      </c>
      <c r="D18">
        <v>9</v>
      </c>
      <c r="E18" s="4">
        <v>48114</v>
      </c>
      <c r="F18" t="s">
        <v>47</v>
      </c>
      <c r="G18" t="s">
        <v>48</v>
      </c>
      <c r="H18" t="s">
        <v>199</v>
      </c>
      <c r="I18" t="s">
        <v>220</v>
      </c>
      <c r="J18" t="s">
        <v>177</v>
      </c>
      <c r="K18" t="s">
        <v>178</v>
      </c>
      <c r="L18" t="s">
        <v>179</v>
      </c>
      <c r="M18" t="s">
        <v>180</v>
      </c>
      <c r="N18" t="str" cm="1">
        <f t="array" ref="N18">+_xlfn.XLOOKUP(infogeneral[[#This Row],[Departamento]],plan[[#All],[Departamento]],plan[[#All],[Plan de trabajo]],na,0)</f>
        <v>no</v>
      </c>
      <c r="O18" t="str" cm="1">
        <f t="array" ref="O18">+_xlfn.XLOOKUP(infogeneral[[#This Row],[Departamento]],plan[[#All],[Departamento]],plan[[#All],[Capítulo especial]],na,0)</f>
        <v>No</v>
      </c>
      <c r="P18" t="str" cm="1">
        <f t="array" ref="P18">+_xlfn.XLOOKUP(infogeneral[[#This Row],[Departamento]],plan[[#All],[Departamento]],plan[[#All],[Cuál]],na,0)</f>
        <v>n/a</v>
      </c>
      <c r="Q18" t="str" cm="1">
        <f t="array" ref="Q18">+_xlfn.XLOOKUP(infogeneral[[#This Row],[Departamento]],Tabla4[[#All],[Nombre del espacio]],Tabla4[[#All],[Fecha de inicio ]],"n/a",0)</f>
        <v>n/a</v>
      </c>
      <c r="S18" s="80">
        <v>2025</v>
      </c>
      <c r="T18" s="80" t="s">
        <v>2732</v>
      </c>
      <c r="U18" s="80" t="s">
        <v>116</v>
      </c>
    </row>
    <row r="19" spans="1:21" x14ac:dyDescent="0.3">
      <c r="A19">
        <v>95</v>
      </c>
      <c r="B19" s="6" t="s">
        <v>181</v>
      </c>
      <c r="C19" t="s">
        <v>182</v>
      </c>
      <c r="D19">
        <v>4</v>
      </c>
      <c r="E19" s="4">
        <v>82767</v>
      </c>
      <c r="F19" t="s">
        <v>47</v>
      </c>
      <c r="G19" t="s">
        <v>48</v>
      </c>
      <c r="H19" t="s">
        <v>198</v>
      </c>
      <c r="I19" t="s">
        <v>210</v>
      </c>
      <c r="J19" t="s">
        <v>183</v>
      </c>
      <c r="K19" t="s">
        <v>184</v>
      </c>
      <c r="L19" t="s">
        <v>185</v>
      </c>
      <c r="M19" t="s">
        <v>186</v>
      </c>
      <c r="N19" t="str" cm="1">
        <f t="array" ref="N19">+_xlfn.XLOOKUP(infogeneral[[#This Row],[Departamento]],plan[[#All],[Departamento]],plan[[#All],[Plan de trabajo]],na,0)</f>
        <v>sí</v>
      </c>
      <c r="O19" t="str" cm="1">
        <f t="array" ref="O19">+_xlfn.XLOOKUP(infogeneral[[#This Row],[Departamento]],plan[[#All],[Departamento]],plan[[#All],[Capítulo especial]],na,0)</f>
        <v>No</v>
      </c>
      <c r="P19" t="str" cm="1">
        <f t="array" ref="P19">+_xlfn.XLOOKUP(infogeneral[[#This Row],[Departamento]],plan[[#All],[Departamento]],plan[[#All],[Cuál]],na,0)</f>
        <v>n/a</v>
      </c>
      <c r="Q19" cm="1">
        <f t="array" ref="Q19">+_xlfn.XLOOKUP(infogeneral[[#This Row],[Departamento]],Tabla4[[#All],[Nombre del espacio]],Tabla4[[#All],[Fecha de inicio ]],"n/a",0)</f>
        <v>2024</v>
      </c>
      <c r="S19" s="81">
        <v>2025</v>
      </c>
      <c r="T19" s="83" t="s">
        <v>2732</v>
      </c>
      <c r="U19" s="83" t="s">
        <v>125</v>
      </c>
    </row>
    <row r="20" spans="1:21" x14ac:dyDescent="0.3">
      <c r="A20">
        <v>41</v>
      </c>
      <c r="B20" s="6" t="s">
        <v>82</v>
      </c>
      <c r="C20" t="s">
        <v>83</v>
      </c>
      <c r="D20">
        <v>37</v>
      </c>
      <c r="E20" s="4">
        <v>1100386</v>
      </c>
      <c r="F20" t="s">
        <v>27</v>
      </c>
      <c r="G20" t="s">
        <v>48</v>
      </c>
      <c r="H20" t="s">
        <v>252</v>
      </c>
      <c r="I20" t="s">
        <v>84</v>
      </c>
      <c r="J20" t="s">
        <v>85</v>
      </c>
      <c r="K20" t="s">
        <v>86</v>
      </c>
      <c r="L20" t="s">
        <v>87</v>
      </c>
      <c r="M20" t="s">
        <v>88</v>
      </c>
      <c r="N20" t="str" cm="1">
        <f t="array" ref="N20">+_xlfn.XLOOKUP(infogeneral[[#This Row],[Departamento]],plan[[#All],[Departamento]],plan[[#All],[Plan de trabajo]],na,0)</f>
        <v>sí</v>
      </c>
      <c r="O20" t="str" cm="1">
        <f t="array" ref="O20">+_xlfn.XLOOKUP(infogeneral[[#This Row],[Departamento]],plan[[#All],[Departamento]],plan[[#All],[Capítulo especial]],na,0)</f>
        <v>No</v>
      </c>
      <c r="P20" t="str" cm="1">
        <f t="array" ref="P20">+_xlfn.XLOOKUP(infogeneral[[#This Row],[Departamento]],plan[[#All],[Departamento]],plan[[#All],[Cuál]],na,0)</f>
        <v>n/a</v>
      </c>
      <c r="Q20" cm="1">
        <f t="array" ref="Q20">+_xlfn.XLOOKUP(infogeneral[[#This Row],[Departamento]],Tabla4[[#All],[Nombre del espacio]],Tabla4[[#All],[Fecha de inicio ]],"n/a",0)</f>
        <v>2024</v>
      </c>
      <c r="S20" s="80">
        <v>2024</v>
      </c>
      <c r="T20" s="82" t="s">
        <v>2732</v>
      </c>
      <c r="U20" s="82" t="s">
        <v>110</v>
      </c>
    </row>
    <row r="21" spans="1:21" x14ac:dyDescent="0.3">
      <c r="A21">
        <v>44</v>
      </c>
      <c r="B21" s="6" t="s">
        <v>89</v>
      </c>
      <c r="C21" t="s">
        <v>90</v>
      </c>
      <c r="D21">
        <v>15</v>
      </c>
      <c r="E21" s="4">
        <v>880560</v>
      </c>
      <c r="F21" t="s">
        <v>20</v>
      </c>
      <c r="G21" t="s">
        <v>14</v>
      </c>
      <c r="H21" t="s">
        <v>204</v>
      </c>
      <c r="I21" s="5" t="s">
        <v>214</v>
      </c>
      <c r="J21" t="s">
        <v>91</v>
      </c>
      <c r="K21" t="s">
        <v>92</v>
      </c>
      <c r="L21" t="s">
        <v>93</v>
      </c>
      <c r="M21" t="s">
        <v>94</v>
      </c>
      <c r="N21" t="str" cm="1">
        <f t="array" ref="N21">+_xlfn.XLOOKUP(infogeneral[[#This Row],[Departamento]],plan[[#All],[Departamento]],plan[[#All],[Plan de trabajo]],na,0)</f>
        <v>sí</v>
      </c>
      <c r="O21" t="str" cm="1">
        <f t="array" ref="O21">+_xlfn.XLOOKUP(infogeneral[[#This Row],[Departamento]],plan[[#All],[Departamento]],plan[[#All],[Capítulo especial]],na,0)</f>
        <v>No</v>
      </c>
      <c r="P21" t="str" cm="1">
        <f t="array" ref="P21">+_xlfn.XLOOKUP(infogeneral[[#This Row],[Departamento]],plan[[#All],[Departamento]],plan[[#All],[Cuál]],na,0)</f>
        <v>n/a</v>
      </c>
      <c r="Q21" cm="1">
        <f t="array" ref="Q21">+_xlfn.XLOOKUP(infogeneral[[#This Row],[Departamento]],Tabla4[[#All],[Nombre del espacio]],Tabla4[[#All],[Fecha de inicio ]],"n/a",0)</f>
        <v>2024</v>
      </c>
      <c r="S21" s="81">
        <v>2024</v>
      </c>
      <c r="T21" s="81" t="s">
        <v>2732</v>
      </c>
      <c r="U21" s="84" t="s">
        <v>166</v>
      </c>
    </row>
    <row r="22" spans="1:21" x14ac:dyDescent="0.3">
      <c r="A22">
        <v>47</v>
      </c>
      <c r="B22" s="6" t="s">
        <v>95</v>
      </c>
      <c r="C22" t="s">
        <v>96</v>
      </c>
      <c r="D22">
        <v>30</v>
      </c>
      <c r="E22" s="4">
        <v>1341746</v>
      </c>
      <c r="F22" t="s">
        <v>20</v>
      </c>
      <c r="G22" t="s">
        <v>14</v>
      </c>
      <c r="H22" t="s">
        <v>97</v>
      </c>
      <c r="I22" t="s">
        <v>98</v>
      </c>
      <c r="J22" t="s">
        <v>99</v>
      </c>
      <c r="K22" t="s">
        <v>100</v>
      </c>
      <c r="L22" t="s">
        <v>101</v>
      </c>
      <c r="M22" t="s">
        <v>98</v>
      </c>
      <c r="N22" t="str" cm="1">
        <f t="array" ref="N22">+_xlfn.XLOOKUP(infogeneral[[#This Row],[Departamento]],plan[[#All],[Departamento]],plan[[#All],[Plan de trabajo]],na,0)</f>
        <v>no</v>
      </c>
      <c r="O22" t="str" cm="1">
        <f t="array" ref="O22">+_xlfn.XLOOKUP(infogeneral[[#This Row],[Departamento]],plan[[#All],[Departamento]],plan[[#All],[Capítulo especial]],na,0)</f>
        <v>No</v>
      </c>
      <c r="P22" t="str" cm="1">
        <f t="array" ref="P22">+_xlfn.XLOOKUP(infogeneral[[#This Row],[Departamento]],plan[[#All],[Departamento]],plan[[#All],[Cuál]],na,0)</f>
        <v>n/a</v>
      </c>
      <c r="Q22" t="str" cm="1">
        <f t="array" ref="Q22">+_xlfn.XLOOKUP(infogeneral[[#This Row],[Departamento]],Tabla4[[#All],[Nombre del espacio]],Tabla4[[#All],[Fecha de inicio ]],"n/a",0)</f>
        <v>n/a</v>
      </c>
      <c r="S22" s="80">
        <v>2025</v>
      </c>
      <c r="T22" s="80" t="s">
        <v>2732</v>
      </c>
      <c r="U22" s="80" t="s">
        <v>129</v>
      </c>
    </row>
    <row r="23" spans="1:21" x14ac:dyDescent="0.3">
      <c r="A23">
        <v>50</v>
      </c>
      <c r="B23" s="6" t="s">
        <v>102</v>
      </c>
      <c r="C23" t="s">
        <v>103</v>
      </c>
      <c r="D23">
        <v>29</v>
      </c>
      <c r="E23" s="4">
        <v>1039722</v>
      </c>
      <c r="F23" t="s">
        <v>104</v>
      </c>
      <c r="G23" t="s">
        <v>14</v>
      </c>
      <c r="H23" t="s">
        <v>105</v>
      </c>
      <c r="I23" t="s">
        <v>106</v>
      </c>
      <c r="J23" t="s">
        <v>107</v>
      </c>
      <c r="K23" t="s">
        <v>108</v>
      </c>
      <c r="L23" t="s">
        <v>109</v>
      </c>
      <c r="M23" t="s">
        <v>257</v>
      </c>
      <c r="N23" t="str" cm="1">
        <f t="array" ref="N23">+_xlfn.XLOOKUP(infogeneral[[#This Row],[Departamento]],plan[[#All],[Departamento]],plan[[#All],[Plan de trabajo]],na,0)</f>
        <v>no</v>
      </c>
      <c r="O23" t="str" cm="1">
        <f t="array" ref="O23">+_xlfn.XLOOKUP(infogeneral[[#This Row],[Departamento]],plan[[#All],[Departamento]],plan[[#All],[Capítulo especial]],na,0)</f>
        <v>No</v>
      </c>
      <c r="P23" t="str" cm="1">
        <f t="array" ref="P23">+_xlfn.XLOOKUP(infogeneral[[#This Row],[Departamento]],plan[[#All],[Departamento]],plan[[#All],[Cuál]],na,0)</f>
        <v>n/a</v>
      </c>
      <c r="Q23" cm="1">
        <f t="array" ref="Q23">+_xlfn.XLOOKUP(infogeneral[[#This Row],[Departamento]],Tabla4[[#All],[Nombre del espacio]],Tabla4[[#All],[Fecha de inicio ]],"n/a",0)</f>
        <v>2025</v>
      </c>
      <c r="S23" s="81">
        <v>2024</v>
      </c>
      <c r="T23" s="81" t="s">
        <v>2732</v>
      </c>
      <c r="U23" s="81" t="s">
        <v>2734</v>
      </c>
    </row>
    <row r="24" spans="1:21" x14ac:dyDescent="0.3">
      <c r="A24">
        <v>52</v>
      </c>
      <c r="B24" s="6" t="s">
        <v>110</v>
      </c>
      <c r="C24" t="s">
        <v>111</v>
      </c>
      <c r="D24">
        <v>64</v>
      </c>
      <c r="E24" s="4">
        <v>1630592</v>
      </c>
      <c r="F24" t="s">
        <v>57</v>
      </c>
      <c r="G24" t="s">
        <v>14</v>
      </c>
      <c r="H24" t="s">
        <v>236</v>
      </c>
      <c r="I24" t="s">
        <v>112</v>
      </c>
      <c r="J24" t="s">
        <v>113</v>
      </c>
      <c r="K24" t="s">
        <v>16</v>
      </c>
      <c r="L24" t="s">
        <v>114</v>
      </c>
      <c r="M24" t="s">
        <v>115</v>
      </c>
      <c r="N24" t="str" cm="1">
        <f t="array" ref="N24">+_xlfn.XLOOKUP(infogeneral[[#This Row],[Departamento]],plan[[#All],[Departamento]],plan[[#All],[Plan de trabajo]],na,0)</f>
        <v>sí</v>
      </c>
      <c r="O24" t="str" cm="1">
        <f t="array" ref="O24">+_xlfn.XLOOKUP(infogeneral[[#This Row],[Departamento]],plan[[#All],[Departamento]],plan[[#All],[Capítulo especial]],na,0)</f>
        <v>No</v>
      </c>
      <c r="P24" t="str" cm="1">
        <f t="array" ref="P24">+_xlfn.XLOOKUP(infogeneral[[#This Row],[Departamento]],plan[[#All],[Departamento]],plan[[#All],[Cuál]],na,0)</f>
        <v>n/a</v>
      </c>
      <c r="Q24" cm="1">
        <f t="array" ref="Q24">+_xlfn.XLOOKUP(infogeneral[[#This Row],[Departamento]],Tabla4[[#All],[Nombre del espacio]],Tabla4[[#All],[Fecha de inicio ]],"n/a",0)</f>
        <v>2024</v>
      </c>
      <c r="S24" s="80">
        <v>2024</v>
      </c>
      <c r="T24" s="80" t="s">
        <v>2732</v>
      </c>
      <c r="U24" s="80" t="s">
        <v>134</v>
      </c>
    </row>
    <row r="25" spans="1:21" x14ac:dyDescent="0.3">
      <c r="A25">
        <v>54</v>
      </c>
      <c r="B25" s="6" t="s">
        <v>116</v>
      </c>
      <c r="C25" t="s">
        <v>117</v>
      </c>
      <c r="D25">
        <v>40</v>
      </c>
      <c r="E25" s="4">
        <v>1491689</v>
      </c>
      <c r="F25" t="s">
        <v>27</v>
      </c>
      <c r="G25" t="s">
        <v>14</v>
      </c>
      <c r="H25" s="1" t="s">
        <v>242</v>
      </c>
      <c r="I25" t="s">
        <v>215</v>
      </c>
      <c r="J25" t="s">
        <v>118</v>
      </c>
      <c r="K25" t="s">
        <v>119</v>
      </c>
      <c r="L25" t="s">
        <v>239</v>
      </c>
      <c r="M25" t="s">
        <v>120</v>
      </c>
      <c r="N25" t="str" cm="1">
        <f t="array" ref="N25">+_xlfn.XLOOKUP(infogeneral[[#This Row],[Departamento]],plan[[#All],[Departamento]],plan[[#All],[Plan de trabajo]],na,0)</f>
        <v>sí</v>
      </c>
      <c r="O25" t="str" cm="1">
        <f t="array" ref="O25">+_xlfn.XLOOKUP(infogeneral[[#This Row],[Departamento]],plan[[#All],[Departamento]],plan[[#All],[Capítulo especial]],na,0)</f>
        <v>sí</v>
      </c>
      <c r="P25" t="str" cm="1">
        <f t="array" ref="P25">+_xlfn.XLOOKUP(infogeneral[[#This Row],[Departamento]],plan[[#All],[Departamento]],plan[[#All],[Cuál]],na,0)</f>
        <v>n/a</v>
      </c>
      <c r="Q25" cm="1">
        <f t="array" ref="Q25">+_xlfn.XLOOKUP(infogeneral[[#This Row],[Departamento]],Tabla4[[#All],[Nombre del espacio]],Tabla4[[#All],[Fecha de inicio ]],"n/a",0)</f>
        <v>2025</v>
      </c>
      <c r="S25" s="81">
        <v>2024</v>
      </c>
      <c r="T25" s="81" t="s">
        <v>2732</v>
      </c>
      <c r="U25" s="81" t="s">
        <v>140</v>
      </c>
    </row>
    <row r="26" spans="1:21" x14ac:dyDescent="0.3">
      <c r="A26">
        <v>86</v>
      </c>
      <c r="B26" s="6" t="s">
        <v>161</v>
      </c>
      <c r="C26" t="s">
        <v>162</v>
      </c>
      <c r="D26">
        <v>13</v>
      </c>
      <c r="E26" s="4">
        <v>348182</v>
      </c>
      <c r="F26" t="s">
        <v>47</v>
      </c>
      <c r="G26" t="s">
        <v>48</v>
      </c>
      <c r="H26" s="1" t="s">
        <v>201</v>
      </c>
      <c r="I26" t="s">
        <v>209</v>
      </c>
      <c r="J26" t="s">
        <v>163</v>
      </c>
      <c r="K26" t="s">
        <v>164</v>
      </c>
      <c r="L26" t="s">
        <v>165</v>
      </c>
      <c r="M26" t="s">
        <v>16</v>
      </c>
      <c r="N26" t="str" cm="1">
        <f t="array" ref="N26">+_xlfn.XLOOKUP(infogeneral[[#This Row],[Departamento]],plan[[#All],[Departamento]],plan[[#All],[Plan de trabajo]],na,0)</f>
        <v>no</v>
      </c>
      <c r="O26" t="str" cm="1">
        <f t="array" ref="O26">+_xlfn.XLOOKUP(infogeneral[[#This Row],[Departamento]],plan[[#All],[Departamento]],plan[[#All],[Capítulo especial]],na,0)</f>
        <v>No</v>
      </c>
      <c r="P26" t="str" cm="1">
        <f t="array" ref="P26">+_xlfn.XLOOKUP(infogeneral[[#This Row],[Departamento]],plan[[#All],[Departamento]],plan[[#All],[Cuál]],na,0)</f>
        <v>n/a</v>
      </c>
      <c r="Q26" t="str" cm="1">
        <f t="array" ref="Q26">+_xlfn.XLOOKUP(infogeneral[[#This Row],[Departamento]],Tabla4[[#All],[Nombre del espacio]],Tabla4[[#All],[Fecha de inicio ]],"n/a",0)</f>
        <v>n/a</v>
      </c>
      <c r="S26" s="80">
        <v>2024</v>
      </c>
      <c r="T26" s="82" t="s">
        <v>2732</v>
      </c>
      <c r="U26" s="85" t="s">
        <v>145</v>
      </c>
    </row>
    <row r="27" spans="1:21" x14ac:dyDescent="0.3">
      <c r="A27">
        <v>63</v>
      </c>
      <c r="B27" s="6" t="s">
        <v>121</v>
      </c>
      <c r="C27" t="s">
        <v>122</v>
      </c>
      <c r="D27">
        <v>12</v>
      </c>
      <c r="E27" s="4">
        <v>539904</v>
      </c>
      <c r="F27" t="s">
        <v>13</v>
      </c>
      <c r="G27" t="s">
        <v>14</v>
      </c>
      <c r="H27" t="s">
        <v>203</v>
      </c>
      <c r="I27" t="s">
        <v>216</v>
      </c>
      <c r="J27" t="s">
        <v>123</v>
      </c>
      <c r="K27" t="s">
        <v>16</v>
      </c>
      <c r="L27" t="s">
        <v>124</v>
      </c>
      <c r="M27" t="s">
        <v>16</v>
      </c>
      <c r="N27" t="str" cm="1">
        <f t="array" ref="N27">+_xlfn.XLOOKUP(infogeneral[[#This Row],[Departamento]],plan[[#All],[Departamento]],plan[[#All],[Plan de trabajo]],na,0)</f>
        <v>no</v>
      </c>
      <c r="O27" t="str" cm="1">
        <f t="array" ref="O27">+_xlfn.XLOOKUP(infogeneral[[#This Row],[Departamento]],plan[[#All],[Departamento]],plan[[#All],[Capítulo especial]],na,0)</f>
        <v>No</v>
      </c>
      <c r="P27" t="str" cm="1">
        <f t="array" ref="P27">+_xlfn.XLOOKUP(infogeneral[[#This Row],[Departamento]],plan[[#All],[Departamento]],plan[[#All],[Cuál]],na,0)</f>
        <v>n/a</v>
      </c>
      <c r="Q27" t="str" cm="1">
        <f t="array" ref="Q27">+_xlfn.XLOOKUP(infogeneral[[#This Row],[Departamento]],Tabla4[[#All],[Nombre del espacio]],Tabla4[[#All],[Fecha de inicio ]],"n/a",0)</f>
        <v>n/a</v>
      </c>
      <c r="S27" s="81">
        <v>2024</v>
      </c>
      <c r="T27" s="81" t="s">
        <v>2732</v>
      </c>
      <c r="U27" s="81" t="s">
        <v>41</v>
      </c>
    </row>
    <row r="28" spans="1:21" x14ac:dyDescent="0.3">
      <c r="A28">
        <v>66</v>
      </c>
      <c r="B28" s="6" t="s">
        <v>125</v>
      </c>
      <c r="C28" t="s">
        <v>126</v>
      </c>
      <c r="D28">
        <v>14</v>
      </c>
      <c r="E28" s="4">
        <v>943401</v>
      </c>
      <c r="F28" t="s">
        <v>13</v>
      </c>
      <c r="G28" t="s">
        <v>14</v>
      </c>
      <c r="H28" t="s">
        <v>253</v>
      </c>
      <c r="I28" t="s">
        <v>224</v>
      </c>
      <c r="J28" t="s">
        <v>127</v>
      </c>
      <c r="K28" t="s">
        <v>16</v>
      </c>
      <c r="L28" t="s">
        <v>128</v>
      </c>
      <c r="M28" t="s">
        <v>16</v>
      </c>
      <c r="N28" t="str" cm="1">
        <f t="array" ref="N28">+_xlfn.XLOOKUP(infogeneral[[#This Row],[Departamento]],plan[[#All],[Departamento]],plan[[#All],[Plan de trabajo]],na,0)</f>
        <v>sí</v>
      </c>
      <c r="O28" t="str" cm="1">
        <f t="array" ref="O28">+_xlfn.XLOOKUP(infogeneral[[#This Row],[Departamento]],plan[[#All],[Departamento]],plan[[#All],[Capítulo especial]],na,0)</f>
        <v>No</v>
      </c>
      <c r="P28" t="str" cm="1">
        <f t="array" ref="P28">+_xlfn.XLOOKUP(infogeneral[[#This Row],[Departamento]],plan[[#All],[Departamento]],plan[[#All],[Cuál]],na,0)</f>
        <v>n/a</v>
      </c>
      <c r="Q28" cm="1">
        <f t="array" ref="Q28">+_xlfn.XLOOKUP(infogeneral[[#This Row],[Departamento]],Tabla4[[#All],[Nombre del espacio]],Tabla4[[#All],[Fecha de inicio ]],"n/a",0)</f>
        <v>2025</v>
      </c>
      <c r="S28" s="88">
        <v>2025</v>
      </c>
      <c r="T28" s="88" t="s">
        <v>2732</v>
      </c>
      <c r="U28" s="88" t="s">
        <v>102</v>
      </c>
    </row>
    <row r="29" spans="1:21" x14ac:dyDescent="0.3">
      <c r="A29">
        <v>68</v>
      </c>
      <c r="B29" s="6" t="s">
        <v>129</v>
      </c>
      <c r="C29" t="s">
        <v>130</v>
      </c>
      <c r="D29">
        <v>87</v>
      </c>
      <c r="E29" s="4">
        <v>2184837</v>
      </c>
      <c r="F29" t="s">
        <v>27</v>
      </c>
      <c r="G29" t="s">
        <v>14</v>
      </c>
      <c r="H29" t="s">
        <v>234</v>
      </c>
      <c r="I29" t="s">
        <v>222</v>
      </c>
      <c r="J29" t="s">
        <v>131</v>
      </c>
      <c r="K29" t="s">
        <v>132</v>
      </c>
      <c r="L29" t="s">
        <v>240</v>
      </c>
      <c r="M29" t="s">
        <v>133</v>
      </c>
      <c r="N29" t="str" cm="1">
        <f t="array" ref="N29">+_xlfn.XLOOKUP(infogeneral[[#This Row],[Departamento]],plan[[#All],[Departamento]],plan[[#All],[Plan de trabajo]],na,0)</f>
        <v>sí</v>
      </c>
      <c r="O29" t="str" cm="1">
        <f t="array" ref="O29">+_xlfn.XLOOKUP(infogeneral[[#This Row],[Departamento]],plan[[#All],[Departamento]],plan[[#All],[Capítulo especial]],na,0)</f>
        <v>No</v>
      </c>
      <c r="P29" t="str" cm="1">
        <f t="array" ref="P29">+_xlfn.XLOOKUP(infogeneral[[#This Row],[Departamento]],plan[[#All],[Departamento]],plan[[#All],[Cuál]],na,0)</f>
        <v>n/a</v>
      </c>
      <c r="Q29" cm="1">
        <f t="array" ref="Q29">+_xlfn.XLOOKUP(infogeneral[[#This Row],[Departamento]],Tabla4[[#All],[Nombre del espacio]],Tabla4[[#All],[Fecha de inicio ]],"n/a",0)</f>
        <v>2025</v>
      </c>
    </row>
    <row r="30" spans="1:21" x14ac:dyDescent="0.3">
      <c r="A30">
        <v>70</v>
      </c>
      <c r="B30" s="6" t="s">
        <v>134</v>
      </c>
      <c r="C30" t="s">
        <v>135</v>
      </c>
      <c r="D30">
        <v>26</v>
      </c>
      <c r="E30" s="4">
        <v>904863</v>
      </c>
      <c r="F30" t="s">
        <v>20</v>
      </c>
      <c r="G30" t="s">
        <v>48</v>
      </c>
      <c r="H30" t="s">
        <v>205</v>
      </c>
      <c r="I30" t="s">
        <v>223</v>
      </c>
      <c r="J30" t="s">
        <v>136</v>
      </c>
      <c r="K30" t="s">
        <v>137</v>
      </c>
      <c r="L30" t="s">
        <v>138</v>
      </c>
      <c r="M30" t="s">
        <v>139</v>
      </c>
      <c r="N30" t="str" cm="1">
        <f t="array" ref="N30">+_xlfn.XLOOKUP(infogeneral[[#This Row],[Departamento]],plan[[#All],[Departamento]],plan[[#All],[Plan de trabajo]],na,0)</f>
        <v>sí</v>
      </c>
      <c r="O30" t="str" cm="1">
        <f t="array" ref="O30">+_xlfn.XLOOKUP(infogeneral[[#This Row],[Departamento]],plan[[#All],[Departamento]],plan[[#All],[Capítulo especial]],na,0)</f>
        <v>No</v>
      </c>
      <c r="P30" t="str" cm="1">
        <f t="array" ref="P30">+_xlfn.XLOOKUP(infogeneral[[#This Row],[Departamento]],plan[[#All],[Departamento]],plan[[#All],[Cuál]],na,0)</f>
        <v>n/a</v>
      </c>
      <c r="Q30" cm="1">
        <f t="array" ref="Q30">+_xlfn.XLOOKUP(infogeneral[[#This Row],[Departamento]],Tabla4[[#All],[Nombre del espacio]],Tabla4[[#All],[Fecha de inicio ]],"n/a",0)</f>
        <v>2024</v>
      </c>
    </row>
    <row r="31" spans="1:21" x14ac:dyDescent="0.3">
      <c r="A31">
        <v>73</v>
      </c>
      <c r="B31" s="6" t="s">
        <v>140</v>
      </c>
      <c r="C31" t="s">
        <v>141</v>
      </c>
      <c r="D31">
        <v>47</v>
      </c>
      <c r="E31" s="4">
        <v>1330187</v>
      </c>
      <c r="F31" t="s">
        <v>27</v>
      </c>
      <c r="G31" t="s">
        <v>48</v>
      </c>
      <c r="H31" t="s">
        <v>202</v>
      </c>
      <c r="I31" t="s">
        <v>208</v>
      </c>
      <c r="J31" t="s">
        <v>142</v>
      </c>
      <c r="K31" t="s">
        <v>143</v>
      </c>
      <c r="L31" t="s">
        <v>144</v>
      </c>
      <c r="M31" t="s">
        <v>225</v>
      </c>
      <c r="N31" t="str" cm="1">
        <f t="array" ref="N31">+_xlfn.XLOOKUP(infogeneral[[#This Row],[Departamento]],plan[[#All],[Departamento]],plan[[#All],[Plan de trabajo]],na,0)</f>
        <v>sí</v>
      </c>
      <c r="O31" t="str" cm="1">
        <f t="array" ref="O31">+_xlfn.XLOOKUP(infogeneral[[#This Row],[Departamento]],plan[[#All],[Departamento]],plan[[#All],[Capítulo especial]],na,0)</f>
        <v>No</v>
      </c>
      <c r="P31" t="str" cm="1">
        <f t="array" ref="P31">+_xlfn.XLOOKUP(infogeneral[[#This Row],[Departamento]],plan[[#All],[Departamento]],plan[[#All],[Cuál]],na,0)</f>
        <v>n/a</v>
      </c>
      <c r="Q31" cm="1">
        <f t="array" ref="Q31">+_xlfn.XLOOKUP(infogeneral[[#This Row],[Departamento]],Tabla4[[#All],[Nombre del espacio]],Tabla4[[#All],[Fecha de inicio ]],"n/a",0)</f>
        <v>2024</v>
      </c>
    </row>
    <row r="32" spans="1:21" x14ac:dyDescent="0.3">
      <c r="A32">
        <v>76</v>
      </c>
      <c r="B32" s="6" t="s">
        <v>145</v>
      </c>
      <c r="C32" t="s">
        <v>146</v>
      </c>
      <c r="D32">
        <v>42</v>
      </c>
      <c r="E32" s="4">
        <v>4475886</v>
      </c>
      <c r="F32" t="s">
        <v>57</v>
      </c>
      <c r="G32" t="s">
        <v>14</v>
      </c>
      <c r="H32" t="s">
        <v>147</v>
      </c>
      <c r="I32" t="s">
        <v>226</v>
      </c>
      <c r="J32" t="s">
        <v>148</v>
      </c>
      <c r="K32" t="s">
        <v>16</v>
      </c>
      <c r="L32" t="s">
        <v>149</v>
      </c>
      <c r="M32" t="s">
        <v>150</v>
      </c>
      <c r="N32" t="str" cm="1">
        <f t="array" ref="N32">+_xlfn.XLOOKUP(infogeneral[[#This Row],[Departamento]],plan[[#All],[Departamento]],plan[[#All],[Plan de trabajo]],na,0)</f>
        <v>sí</v>
      </c>
      <c r="O32" t="str" cm="1">
        <f t="array" ref="O32">+_xlfn.XLOOKUP(infogeneral[[#This Row],[Departamento]],plan[[#All],[Departamento]],plan[[#All],[Capítulo especial]],na,0)</f>
        <v>No</v>
      </c>
      <c r="P32" t="str" cm="1">
        <f t="array" ref="P32">+_xlfn.XLOOKUP(infogeneral[[#This Row],[Departamento]],plan[[#All],[Departamento]],plan[[#All],[Cuál]],na,0)</f>
        <v>n/a</v>
      </c>
      <c r="Q32" cm="1">
        <f t="array" ref="Q32">+_xlfn.XLOOKUP(infogeneral[[#This Row],[Departamento]],Tabla4[[#All],[Nombre del espacio]],Tabla4[[#All],[Fecha de inicio ]],"n/a",0)</f>
        <v>2024</v>
      </c>
    </row>
    <row r="33" spans="1:17" x14ac:dyDescent="0.3">
      <c r="A33">
        <v>97</v>
      </c>
      <c r="B33" s="6" t="s">
        <v>187</v>
      </c>
      <c r="C33" s="1" t="s">
        <v>232</v>
      </c>
      <c r="D33">
        <v>6</v>
      </c>
      <c r="E33" s="4">
        <v>40797</v>
      </c>
      <c r="F33" t="s">
        <v>47</v>
      </c>
      <c r="G33" t="s">
        <v>48</v>
      </c>
      <c r="H33" t="s">
        <v>197</v>
      </c>
      <c r="I33" t="s">
        <v>221</v>
      </c>
      <c r="J33" t="s">
        <v>188</v>
      </c>
      <c r="K33" t="s">
        <v>189</v>
      </c>
      <c r="L33" t="s">
        <v>247</v>
      </c>
      <c r="M33" t="s">
        <v>190</v>
      </c>
      <c r="N33" t="str" cm="1">
        <f t="array" ref="N33">+_xlfn.XLOOKUP(infogeneral[[#This Row],[Departamento]],plan[[#All],[Departamento]],plan[[#All],[Plan de trabajo]],na,0)</f>
        <v>no</v>
      </c>
      <c r="O33" t="str" cm="1">
        <f t="array" ref="O33">+_xlfn.XLOOKUP(infogeneral[[#This Row],[Departamento]],plan[[#All],[Departamento]],plan[[#All],[Capítulo especial]],na,0)</f>
        <v>No</v>
      </c>
      <c r="P33" t="str" cm="1">
        <f t="array" ref="P33">+_xlfn.XLOOKUP(infogeneral[[#This Row],[Departamento]],plan[[#All],[Departamento]],plan[[#All],[Cuál]],na,0)</f>
        <v>n/a</v>
      </c>
      <c r="Q33" t="str" cm="1">
        <f t="array" ref="Q33">+_xlfn.XLOOKUP(infogeneral[[#This Row],[Departamento]],Tabla4[[#All],[Nombre del espacio]],Tabla4[[#All],[Fecha de inicio ]],"n/a",0)</f>
        <v>n/a</v>
      </c>
    </row>
    <row r="34" spans="1:17" x14ac:dyDescent="0.3">
      <c r="A34">
        <v>99</v>
      </c>
      <c r="B34" s="6" t="s">
        <v>191</v>
      </c>
      <c r="C34" t="s">
        <v>192</v>
      </c>
      <c r="D34">
        <v>4</v>
      </c>
      <c r="E34" s="4">
        <v>107808</v>
      </c>
      <c r="F34" t="s">
        <v>193</v>
      </c>
      <c r="G34" t="s">
        <v>14</v>
      </c>
      <c r="H34" t="s">
        <v>254</v>
      </c>
      <c r="I34" t="s">
        <v>194</v>
      </c>
      <c r="J34" t="s">
        <v>195</v>
      </c>
      <c r="K34" t="s">
        <v>196</v>
      </c>
      <c r="L34" t="s">
        <v>248</v>
      </c>
      <c r="M34" s="5" t="s">
        <v>259</v>
      </c>
      <c r="N34" t="str" cm="1">
        <f t="array" ref="N34">+_xlfn.XLOOKUP(infogeneral[[#This Row],[Departamento]],plan[[#All],[Departamento]],plan[[#All],[Plan de trabajo]],na,0)</f>
        <v>no</v>
      </c>
      <c r="O34" t="str" cm="1">
        <f t="array" ref="O34">+_xlfn.XLOOKUP(infogeneral[[#This Row],[Departamento]],plan[[#All],[Departamento]],plan[[#All],[Capítulo especial]],na,0)</f>
        <v>No</v>
      </c>
      <c r="P34" t="str" cm="1">
        <f t="array" ref="P34">+_xlfn.XLOOKUP(infogeneral[[#This Row],[Departamento]],plan[[#All],[Departamento]],plan[[#All],[Cuál]],na,0)</f>
        <v>n/a</v>
      </c>
      <c r="Q34" t="str" cm="1">
        <f t="array" ref="Q34">+_xlfn.XLOOKUP(infogeneral[[#This Row],[Departamento]],Tabla4[[#All],[Nombre del espacio]],Tabla4[[#All],[Fecha de inicio ]],"n/a",0)</f>
        <v>n/a</v>
      </c>
    </row>
    <row r="38" spans="1:17" x14ac:dyDescent="0.3">
      <c r="B38" s="8" t="s">
        <v>1</v>
      </c>
      <c r="C38" s="8" t="s">
        <v>273</v>
      </c>
      <c r="D38" s="8" t="s">
        <v>274</v>
      </c>
      <c r="E38" s="8" t="s">
        <v>275</v>
      </c>
    </row>
    <row r="39" spans="1:17" x14ac:dyDescent="0.3">
      <c r="B39" s="11" t="s">
        <v>169</v>
      </c>
      <c r="C39" s="2" t="s">
        <v>276</v>
      </c>
      <c r="D39" s="2" t="s">
        <v>277</v>
      </c>
      <c r="E39" s="2" t="s">
        <v>278</v>
      </c>
    </row>
    <row r="40" spans="1:17" x14ac:dyDescent="0.3">
      <c r="B40" s="2" t="s">
        <v>11</v>
      </c>
      <c r="C40" s="3" t="s">
        <v>279</v>
      </c>
      <c r="D40" s="3" t="s">
        <v>277</v>
      </c>
      <c r="E40" s="3" t="s">
        <v>278</v>
      </c>
    </row>
    <row r="41" spans="1:17" x14ac:dyDescent="0.3">
      <c r="B41" s="2" t="s">
        <v>151</v>
      </c>
      <c r="C41" s="2" t="s">
        <v>276</v>
      </c>
      <c r="D41" s="2" t="s">
        <v>277</v>
      </c>
      <c r="E41" s="2" t="s">
        <v>278</v>
      </c>
    </row>
    <row r="42" spans="1:17" x14ac:dyDescent="0.3">
      <c r="B42" s="2" t="s">
        <v>166</v>
      </c>
      <c r="C42" s="3" t="s">
        <v>279</v>
      </c>
      <c r="D42" s="3" t="s">
        <v>277</v>
      </c>
      <c r="E42" s="3" t="s">
        <v>278</v>
      </c>
    </row>
    <row r="43" spans="1:17" x14ac:dyDescent="0.3">
      <c r="B43" s="2" t="s">
        <v>18</v>
      </c>
      <c r="C43" s="3" t="s">
        <v>279</v>
      </c>
      <c r="D43" s="3" t="s">
        <v>279</v>
      </c>
      <c r="E43" s="3" t="s">
        <v>281</v>
      </c>
    </row>
    <row r="44" spans="1:17" x14ac:dyDescent="0.3">
      <c r="B44" s="2" t="s">
        <v>26</v>
      </c>
      <c r="C44" s="2" t="s">
        <v>279</v>
      </c>
      <c r="D44" s="2" t="s">
        <v>277</v>
      </c>
      <c r="E44" s="2" t="s">
        <v>278</v>
      </c>
    </row>
    <row r="45" spans="1:17" x14ac:dyDescent="0.3">
      <c r="B45" s="2" t="s">
        <v>30</v>
      </c>
      <c r="C45" s="2" t="s">
        <v>279</v>
      </c>
      <c r="D45" s="2" t="s">
        <v>279</v>
      </c>
      <c r="E45" s="2" t="s">
        <v>283</v>
      </c>
    </row>
    <row r="46" spans="1:17" x14ac:dyDescent="0.3">
      <c r="B46" s="2" t="s">
        <v>37</v>
      </c>
      <c r="C46" s="3" t="s">
        <v>279</v>
      </c>
      <c r="D46" s="3" t="s">
        <v>277</v>
      </c>
      <c r="E46" s="3" t="s">
        <v>278</v>
      </c>
    </row>
    <row r="47" spans="1:17" x14ac:dyDescent="0.3">
      <c r="B47" s="2" t="s">
        <v>40</v>
      </c>
      <c r="C47" s="2" t="s">
        <v>279</v>
      </c>
      <c r="D47" s="2" t="s">
        <v>279</v>
      </c>
      <c r="E47" s="2" t="s">
        <v>285</v>
      </c>
    </row>
    <row r="48" spans="1:17" x14ac:dyDescent="0.3">
      <c r="B48" s="2" t="s">
        <v>45</v>
      </c>
      <c r="C48" s="3" t="s">
        <v>279</v>
      </c>
      <c r="D48" s="3" t="s">
        <v>277</v>
      </c>
      <c r="E48" s="3" t="s">
        <v>278</v>
      </c>
    </row>
    <row r="49" spans="2:5" x14ac:dyDescent="0.3">
      <c r="B49" s="2" t="s">
        <v>155</v>
      </c>
      <c r="C49" s="2" t="s">
        <v>276</v>
      </c>
      <c r="D49" s="2" t="s">
        <v>277</v>
      </c>
      <c r="E49" s="2" t="s">
        <v>278</v>
      </c>
    </row>
    <row r="50" spans="2:5" x14ac:dyDescent="0.3">
      <c r="B50" s="2" t="s">
        <v>55</v>
      </c>
      <c r="C50" s="3" t="s">
        <v>279</v>
      </c>
      <c r="D50" s="3" t="s">
        <v>277</v>
      </c>
      <c r="E50" s="3" t="s">
        <v>278</v>
      </c>
    </row>
    <row r="51" spans="2:5" x14ac:dyDescent="0.3">
      <c r="B51" s="2" t="s">
        <v>61</v>
      </c>
      <c r="C51" s="2" t="s">
        <v>279</v>
      </c>
      <c r="D51" s="2" t="s">
        <v>277</v>
      </c>
      <c r="E51" s="2" t="s">
        <v>278</v>
      </c>
    </row>
    <row r="52" spans="2:5" x14ac:dyDescent="0.3">
      <c r="B52" s="2" t="s">
        <v>76</v>
      </c>
      <c r="C52" s="3" t="s">
        <v>279</v>
      </c>
      <c r="D52" s="3" t="s">
        <v>277</v>
      </c>
      <c r="E52" s="3" t="s">
        <v>278</v>
      </c>
    </row>
    <row r="53" spans="2:5" x14ac:dyDescent="0.3">
      <c r="B53" s="2" t="s">
        <v>66</v>
      </c>
      <c r="C53" s="2" t="s">
        <v>279</v>
      </c>
      <c r="D53" s="2" t="s">
        <v>277</v>
      </c>
      <c r="E53" s="2" t="s">
        <v>278</v>
      </c>
    </row>
    <row r="54" spans="2:5" x14ac:dyDescent="0.3">
      <c r="B54" s="2" t="s">
        <v>74</v>
      </c>
      <c r="C54" s="3" t="s">
        <v>279</v>
      </c>
      <c r="D54" s="3" t="s">
        <v>277</v>
      </c>
      <c r="E54" s="3" t="s">
        <v>278</v>
      </c>
    </row>
    <row r="55" spans="2:5" x14ac:dyDescent="0.3">
      <c r="B55" s="2" t="s">
        <v>175</v>
      </c>
      <c r="C55" s="2" t="s">
        <v>276</v>
      </c>
      <c r="D55" s="2" t="s">
        <v>277</v>
      </c>
      <c r="E55" s="2" t="s">
        <v>278</v>
      </c>
    </row>
    <row r="56" spans="2:5" x14ac:dyDescent="0.3">
      <c r="B56" s="2" t="s">
        <v>181</v>
      </c>
      <c r="C56" s="3" t="s">
        <v>279</v>
      </c>
      <c r="D56" s="3" t="s">
        <v>277</v>
      </c>
      <c r="E56" s="3" t="s">
        <v>278</v>
      </c>
    </row>
    <row r="57" spans="2:5" x14ac:dyDescent="0.3">
      <c r="B57" s="2" t="s">
        <v>82</v>
      </c>
      <c r="C57" s="2" t="s">
        <v>279</v>
      </c>
      <c r="D57" s="2" t="s">
        <v>277</v>
      </c>
      <c r="E57" s="2" t="s">
        <v>278</v>
      </c>
    </row>
    <row r="58" spans="2:5" x14ac:dyDescent="0.3">
      <c r="B58" s="2" t="s">
        <v>89</v>
      </c>
      <c r="C58" s="3" t="s">
        <v>279</v>
      </c>
      <c r="D58" s="3" t="s">
        <v>277</v>
      </c>
      <c r="E58" s="3" t="s">
        <v>278</v>
      </c>
    </row>
    <row r="59" spans="2:5" x14ac:dyDescent="0.3">
      <c r="B59" s="2" t="s">
        <v>95</v>
      </c>
      <c r="C59" s="2" t="s">
        <v>276</v>
      </c>
      <c r="D59" s="2" t="s">
        <v>277</v>
      </c>
      <c r="E59" s="2" t="s">
        <v>278</v>
      </c>
    </row>
    <row r="60" spans="2:5" x14ac:dyDescent="0.3">
      <c r="B60" s="2" t="s">
        <v>102</v>
      </c>
      <c r="C60" s="3" t="s">
        <v>276</v>
      </c>
      <c r="D60" s="3" t="s">
        <v>277</v>
      </c>
      <c r="E60" s="3" t="s">
        <v>278</v>
      </c>
    </row>
    <row r="61" spans="2:5" x14ac:dyDescent="0.3">
      <c r="B61" s="2" t="s">
        <v>110</v>
      </c>
      <c r="C61" s="2" t="s">
        <v>279</v>
      </c>
      <c r="D61" s="2" t="s">
        <v>277</v>
      </c>
      <c r="E61" s="2" t="s">
        <v>278</v>
      </c>
    </row>
    <row r="62" spans="2:5" x14ac:dyDescent="0.3">
      <c r="B62" s="2" t="s">
        <v>116</v>
      </c>
      <c r="C62" s="3" t="s">
        <v>279</v>
      </c>
      <c r="D62" s="3" t="s">
        <v>279</v>
      </c>
      <c r="E62" s="3" t="s">
        <v>278</v>
      </c>
    </row>
    <row r="63" spans="2:5" x14ac:dyDescent="0.3">
      <c r="B63" s="2" t="s">
        <v>161</v>
      </c>
      <c r="C63" s="2" t="s">
        <v>276</v>
      </c>
      <c r="D63" s="2" t="s">
        <v>277</v>
      </c>
      <c r="E63" s="2" t="s">
        <v>278</v>
      </c>
    </row>
    <row r="64" spans="2:5" x14ac:dyDescent="0.3">
      <c r="B64" s="2" t="s">
        <v>121</v>
      </c>
      <c r="C64" s="3" t="s">
        <v>276</v>
      </c>
      <c r="D64" s="3" t="s">
        <v>277</v>
      </c>
      <c r="E64" s="3" t="s">
        <v>278</v>
      </c>
    </row>
    <row r="65" spans="2:5" x14ac:dyDescent="0.3">
      <c r="B65" s="2" t="s">
        <v>125</v>
      </c>
      <c r="C65" s="2" t="s">
        <v>279</v>
      </c>
      <c r="D65" s="2" t="s">
        <v>277</v>
      </c>
      <c r="E65" s="2" t="s">
        <v>278</v>
      </c>
    </row>
    <row r="66" spans="2:5" x14ac:dyDescent="0.3">
      <c r="B66" s="2" t="s">
        <v>129</v>
      </c>
      <c r="C66" s="2" t="s">
        <v>279</v>
      </c>
      <c r="D66" s="2" t="s">
        <v>277</v>
      </c>
      <c r="E66" s="2" t="s">
        <v>278</v>
      </c>
    </row>
    <row r="67" spans="2:5" x14ac:dyDescent="0.3">
      <c r="B67" s="2" t="s">
        <v>134</v>
      </c>
      <c r="C67" s="3" t="s">
        <v>279</v>
      </c>
      <c r="D67" s="3" t="s">
        <v>277</v>
      </c>
      <c r="E67" s="3" t="s">
        <v>278</v>
      </c>
    </row>
    <row r="68" spans="2:5" x14ac:dyDescent="0.3">
      <c r="B68" s="2" t="s">
        <v>140</v>
      </c>
      <c r="C68" s="2" t="s">
        <v>279</v>
      </c>
      <c r="D68" s="2" t="s">
        <v>277</v>
      </c>
      <c r="E68" s="2" t="s">
        <v>278</v>
      </c>
    </row>
    <row r="69" spans="2:5" x14ac:dyDescent="0.3">
      <c r="B69" s="2" t="s">
        <v>145</v>
      </c>
      <c r="C69" s="3" t="s">
        <v>279</v>
      </c>
      <c r="D69" s="3" t="s">
        <v>277</v>
      </c>
      <c r="E69" s="3" t="s">
        <v>278</v>
      </c>
    </row>
    <row r="70" spans="2:5" x14ac:dyDescent="0.3">
      <c r="B70" s="2" t="s">
        <v>187</v>
      </c>
      <c r="C70" s="2" t="s">
        <v>276</v>
      </c>
      <c r="D70" s="2" t="s">
        <v>277</v>
      </c>
      <c r="E70" s="2" t="s">
        <v>278</v>
      </c>
    </row>
    <row r="71" spans="2:5" x14ac:dyDescent="0.3">
      <c r="B71" s="9" t="s">
        <v>191</v>
      </c>
      <c r="C71" s="10" t="s">
        <v>276</v>
      </c>
      <c r="D71" s="10" t="s">
        <v>277</v>
      </c>
      <c r="E71" s="10" t="s">
        <v>278</v>
      </c>
    </row>
  </sheetData>
  <phoneticPr fontId="4" type="noConversion"/>
  <hyperlinks>
    <hyperlink ref="I7" r:id="rId1" xr:uid="{0EBF0016-8775-4ECD-8562-0041B0395851}"/>
    <hyperlink ref="I14" r:id="rId2" xr:uid="{00B43C7D-EAE1-49D3-99A7-95995C08BAB7}"/>
    <hyperlink ref="I21" r:id="rId3" xr:uid="{A470DF7E-A5E8-40AB-A72F-395527EBFE58}"/>
    <hyperlink ref="M34" r:id="rId4" xr:uid="{5403D328-05BB-464C-8110-850119A344BE}"/>
  </hyperlinks>
  <pageMargins left="0.7" right="0.7" top="0.75" bottom="0.75" header="0.3" footer="0.3"/>
  <tableParts count="3">
    <tablePart r:id="rId5"/>
    <tablePart r:id="rId6"/>
    <tablePart r:id="rId7"/>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40661-CC88-4946-A85B-59FD9A032827}">
  <sheetPr codeName="Hoja6"/>
  <dimension ref="A1:G12"/>
  <sheetViews>
    <sheetView workbookViewId="0">
      <selection activeCell="C8" sqref="C8"/>
    </sheetView>
  </sheetViews>
  <sheetFormatPr baseColWidth="10" defaultRowHeight="14.4" x14ac:dyDescent="0.3"/>
  <cols>
    <col min="1" max="1" width="19.77734375" bestFit="1" customWidth="1"/>
    <col min="2" max="2" width="19.77734375" customWidth="1"/>
    <col min="3" max="3" width="52" customWidth="1"/>
    <col min="4" max="4" width="62.77734375" bestFit="1" customWidth="1"/>
    <col min="5" max="5" width="61.109375" bestFit="1" customWidth="1"/>
    <col min="6" max="7" width="16.44140625" bestFit="1" customWidth="1"/>
  </cols>
  <sheetData>
    <row r="1" spans="1:7" x14ac:dyDescent="0.3">
      <c r="A1" t="s">
        <v>1</v>
      </c>
      <c r="B1" t="s">
        <v>2735</v>
      </c>
      <c r="C1" t="s">
        <v>270</v>
      </c>
      <c r="D1" t="s">
        <v>271</v>
      </c>
      <c r="E1" t="s">
        <v>272</v>
      </c>
      <c r="F1" t="s">
        <v>1881</v>
      </c>
      <c r="G1" t="s">
        <v>1882</v>
      </c>
    </row>
    <row r="2" spans="1:7" ht="28.8" x14ac:dyDescent="0.3">
      <c r="A2" t="s">
        <v>45</v>
      </c>
      <c r="B2">
        <v>2025</v>
      </c>
      <c r="C2" s="1" t="s">
        <v>1883</v>
      </c>
      <c r="D2" t="s">
        <v>1884</v>
      </c>
      <c r="E2" t="s">
        <v>1885</v>
      </c>
      <c r="F2" s="13">
        <v>404400000</v>
      </c>
      <c r="G2" s="15">
        <v>283080000</v>
      </c>
    </row>
    <row r="3" spans="1:7" ht="43.2" x14ac:dyDescent="0.3">
      <c r="A3" t="s">
        <v>55</v>
      </c>
      <c r="B3">
        <v>2025</v>
      </c>
      <c r="C3" s="1" t="s">
        <v>1886</v>
      </c>
      <c r="D3" t="s">
        <v>1887</v>
      </c>
      <c r="E3" t="s">
        <v>1888</v>
      </c>
      <c r="F3" s="13">
        <v>935412000</v>
      </c>
      <c r="G3" s="14">
        <v>230500000</v>
      </c>
    </row>
    <row r="4" spans="1:7" ht="43.2" x14ac:dyDescent="0.3">
      <c r="A4" t="s">
        <v>76</v>
      </c>
      <c r="B4">
        <v>2025</v>
      </c>
      <c r="C4" s="1" t="s">
        <v>1886</v>
      </c>
      <c r="D4" t="s">
        <v>1887</v>
      </c>
      <c r="E4" t="s">
        <v>1888</v>
      </c>
      <c r="F4" s="13">
        <v>935412000</v>
      </c>
      <c r="G4" s="14">
        <v>230500000</v>
      </c>
    </row>
    <row r="5" spans="1:7" ht="43.2" x14ac:dyDescent="0.3">
      <c r="A5" t="s">
        <v>89</v>
      </c>
      <c r="B5">
        <v>2025</v>
      </c>
      <c r="C5" s="1" t="s">
        <v>1886</v>
      </c>
      <c r="D5" t="s">
        <v>1887</v>
      </c>
      <c r="E5" t="s">
        <v>1888</v>
      </c>
      <c r="F5" s="13">
        <v>935412000</v>
      </c>
      <c r="G5" s="14">
        <v>230500000</v>
      </c>
    </row>
    <row r="6" spans="1:7" ht="57.6" x14ac:dyDescent="0.3">
      <c r="A6" t="s">
        <v>95</v>
      </c>
      <c r="B6">
        <v>2025</v>
      </c>
      <c r="C6" s="1" t="s">
        <v>1889</v>
      </c>
      <c r="D6" t="s">
        <v>1890</v>
      </c>
      <c r="E6" t="s">
        <v>1888</v>
      </c>
      <c r="F6" s="13">
        <v>487428571</v>
      </c>
      <c r="G6" s="14">
        <v>351060500</v>
      </c>
    </row>
    <row r="7" spans="1:7" ht="43.2" x14ac:dyDescent="0.3">
      <c r="A7" t="s">
        <v>110</v>
      </c>
      <c r="B7">
        <v>2025</v>
      </c>
      <c r="C7" s="1" t="s">
        <v>1886</v>
      </c>
      <c r="D7" t="s">
        <v>1887</v>
      </c>
      <c r="E7" t="s">
        <v>1888</v>
      </c>
      <c r="F7" s="13">
        <v>935412000</v>
      </c>
      <c r="G7" s="14">
        <v>230500000</v>
      </c>
    </row>
    <row r="8" spans="1:7" ht="43.2" x14ac:dyDescent="0.3">
      <c r="A8" t="s">
        <v>116</v>
      </c>
      <c r="B8">
        <v>2025</v>
      </c>
      <c r="C8" s="1" t="s">
        <v>1886</v>
      </c>
      <c r="D8" t="s">
        <v>1887</v>
      </c>
      <c r="E8" t="s">
        <v>1888</v>
      </c>
      <c r="F8" s="13">
        <v>935412000</v>
      </c>
      <c r="G8" s="14">
        <v>230500000</v>
      </c>
    </row>
    <row r="9" spans="1:7" ht="43.2" x14ac:dyDescent="0.3">
      <c r="A9" t="s">
        <v>140</v>
      </c>
      <c r="B9">
        <v>2025</v>
      </c>
      <c r="C9" s="1" t="s">
        <v>1891</v>
      </c>
      <c r="D9" t="s">
        <v>1892</v>
      </c>
      <c r="E9" t="s">
        <v>1893</v>
      </c>
      <c r="F9" s="13">
        <v>274085000</v>
      </c>
      <c r="G9" s="14">
        <v>191589500</v>
      </c>
    </row>
    <row r="10" spans="1:7" ht="43.2" x14ac:dyDescent="0.3">
      <c r="A10" t="s">
        <v>145</v>
      </c>
      <c r="B10">
        <v>2025</v>
      </c>
      <c r="C10" s="1" t="s">
        <v>1894</v>
      </c>
      <c r="D10" t="s">
        <v>1896</v>
      </c>
      <c r="E10" t="s">
        <v>1888</v>
      </c>
      <c r="F10" s="13">
        <v>935412000</v>
      </c>
      <c r="G10" s="14">
        <v>230500000</v>
      </c>
    </row>
    <row r="11" spans="1:7" ht="57.6" x14ac:dyDescent="0.3">
      <c r="A11" t="s">
        <v>145</v>
      </c>
      <c r="B11">
        <v>2025</v>
      </c>
      <c r="C11" s="1" t="s">
        <v>1895</v>
      </c>
      <c r="D11" t="s">
        <v>1897</v>
      </c>
      <c r="E11" t="s">
        <v>1888</v>
      </c>
      <c r="F11" s="13">
        <v>779399608</v>
      </c>
      <c r="G11" s="14">
        <v>300000000</v>
      </c>
    </row>
    <row r="12" spans="1:7" ht="57.6" x14ac:dyDescent="0.3">
      <c r="A12" t="s">
        <v>145</v>
      </c>
      <c r="B12">
        <v>2025</v>
      </c>
      <c r="C12" s="1" t="s">
        <v>1889</v>
      </c>
      <c r="D12" t="s">
        <v>1898</v>
      </c>
      <c r="E12" t="s">
        <v>1888</v>
      </c>
      <c r="F12" s="13">
        <v>487428573</v>
      </c>
      <c r="G12" s="14">
        <v>351060500</v>
      </c>
    </row>
  </sheetData>
  <phoneticPr fontId="4"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A0E957-E43A-4458-B77A-5C4A4296F632}">
  <sheetPr codeName="Hoja7"/>
  <dimension ref="A1:P28"/>
  <sheetViews>
    <sheetView topLeftCell="H1" workbookViewId="0">
      <selection activeCell="P2" sqref="P2"/>
    </sheetView>
  </sheetViews>
  <sheetFormatPr baseColWidth="10" defaultRowHeight="14.4" x14ac:dyDescent="0.3"/>
  <cols>
    <col min="3" max="3" width="25.6640625" customWidth="1"/>
    <col min="4" max="4" width="26.33203125" customWidth="1"/>
    <col min="5" max="5" width="20.88671875" customWidth="1"/>
    <col min="6" max="6" width="16.33203125" customWidth="1"/>
    <col min="7" max="7" width="11.33203125" customWidth="1"/>
    <col min="8" max="8" width="20.5546875" customWidth="1"/>
    <col min="9" max="9" width="25.109375" customWidth="1"/>
    <col min="10" max="10" width="25" customWidth="1"/>
    <col min="11" max="11" width="15.6640625" customWidth="1"/>
    <col min="12" max="13" width="37.21875" customWidth="1"/>
    <col min="14" max="14" width="17.109375" customWidth="1"/>
  </cols>
  <sheetData>
    <row r="1" spans="1:16" x14ac:dyDescent="0.3">
      <c r="A1" t="s">
        <v>1899</v>
      </c>
      <c r="B1" t="s">
        <v>2735</v>
      </c>
      <c r="C1" t="s">
        <v>1900</v>
      </c>
      <c r="D1" t="s">
        <v>1901</v>
      </c>
      <c r="E1" t="s">
        <v>1902</v>
      </c>
      <c r="F1" t="s">
        <v>1903</v>
      </c>
      <c r="G1" t="s">
        <v>1904</v>
      </c>
      <c r="H1" t="s">
        <v>1906</v>
      </c>
      <c r="I1" t="s">
        <v>1907</v>
      </c>
      <c r="J1" t="s">
        <v>1908</v>
      </c>
      <c r="K1" t="s">
        <v>1909</v>
      </c>
      <c r="L1" t="s">
        <v>1910</v>
      </c>
      <c r="M1" t="s">
        <v>1949</v>
      </c>
      <c r="N1" t="s">
        <v>1911</v>
      </c>
      <c r="O1" t="s">
        <v>1946</v>
      </c>
      <c r="P1" t="s">
        <v>1905</v>
      </c>
    </row>
    <row r="2" spans="1:16" x14ac:dyDescent="0.3">
      <c r="A2">
        <v>108</v>
      </c>
      <c r="B2">
        <v>2025</v>
      </c>
      <c r="C2" t="s">
        <v>1912</v>
      </c>
      <c r="D2" t="s">
        <v>1913</v>
      </c>
      <c r="E2" t="s">
        <v>1914</v>
      </c>
      <c r="F2" t="s">
        <v>1915</v>
      </c>
      <c r="G2" t="s">
        <v>1916</v>
      </c>
      <c r="H2" t="s">
        <v>1917</v>
      </c>
      <c r="I2" t="s">
        <v>1918</v>
      </c>
      <c r="J2" t="s">
        <v>1919</v>
      </c>
      <c r="K2" t="s">
        <v>29</v>
      </c>
      <c r="L2" s="16">
        <v>23993848</v>
      </c>
      <c r="M2" t="s">
        <v>1950</v>
      </c>
      <c r="N2" t="s">
        <v>1920</v>
      </c>
      <c r="O2" t="str">
        <f t="shared" ref="O2:O28" si="0">+UPPER(P2)</f>
        <v>AMAZONAS</v>
      </c>
      <c r="P2" t="s">
        <v>1916</v>
      </c>
    </row>
    <row r="3" spans="1:16" x14ac:dyDescent="0.3">
      <c r="A3">
        <v>108</v>
      </c>
      <c r="B3">
        <v>2025</v>
      </c>
      <c r="C3" t="s">
        <v>1912</v>
      </c>
      <c r="D3" t="s">
        <v>1913</v>
      </c>
      <c r="E3" t="s">
        <v>1914</v>
      </c>
      <c r="F3" t="s">
        <v>1915</v>
      </c>
      <c r="G3" t="s">
        <v>1916</v>
      </c>
      <c r="H3" t="s">
        <v>1917</v>
      </c>
      <c r="I3" t="s">
        <v>1918</v>
      </c>
      <c r="J3" t="s">
        <v>1919</v>
      </c>
      <c r="K3" t="s">
        <v>29</v>
      </c>
      <c r="L3" s="16">
        <v>23993848</v>
      </c>
      <c r="M3" t="s">
        <v>1950</v>
      </c>
      <c r="N3" t="s">
        <v>1920</v>
      </c>
      <c r="O3" t="str">
        <f t="shared" si="0"/>
        <v>LA GUAJIRA</v>
      </c>
      <c r="P3" t="s">
        <v>1921</v>
      </c>
    </row>
    <row r="4" spans="1:16" x14ac:dyDescent="0.3">
      <c r="A4">
        <v>108</v>
      </c>
      <c r="B4">
        <v>2025</v>
      </c>
      <c r="C4" t="s">
        <v>1912</v>
      </c>
      <c r="D4" t="s">
        <v>1913</v>
      </c>
      <c r="E4" t="s">
        <v>1914</v>
      </c>
      <c r="F4" t="s">
        <v>1915</v>
      </c>
      <c r="G4" t="s">
        <v>1916</v>
      </c>
      <c r="H4" t="s">
        <v>1917</v>
      </c>
      <c r="I4" t="s">
        <v>1918</v>
      </c>
      <c r="J4" t="s">
        <v>1919</v>
      </c>
      <c r="K4" t="s">
        <v>29</v>
      </c>
      <c r="L4" s="16">
        <v>23993848</v>
      </c>
      <c r="M4" t="s">
        <v>1950</v>
      </c>
      <c r="N4" t="s">
        <v>1920</v>
      </c>
      <c r="O4" t="str">
        <f t="shared" si="0"/>
        <v>AMAZONAS</v>
      </c>
      <c r="P4" t="s">
        <v>1916</v>
      </c>
    </row>
    <row r="5" spans="1:16" x14ac:dyDescent="0.3">
      <c r="A5">
        <v>108</v>
      </c>
      <c r="B5">
        <v>2025</v>
      </c>
      <c r="C5" t="s">
        <v>1912</v>
      </c>
      <c r="D5" t="s">
        <v>1913</v>
      </c>
      <c r="E5" t="s">
        <v>1914</v>
      </c>
      <c r="F5" t="s">
        <v>1915</v>
      </c>
      <c r="G5" t="s">
        <v>1916</v>
      </c>
      <c r="H5" t="s">
        <v>1917</v>
      </c>
      <c r="I5" t="s">
        <v>1918</v>
      </c>
      <c r="J5" t="s">
        <v>1919</v>
      </c>
      <c r="K5" t="s">
        <v>29</v>
      </c>
      <c r="L5" s="16">
        <v>23993848</v>
      </c>
      <c r="M5" t="s">
        <v>1950</v>
      </c>
      <c r="N5" t="s">
        <v>1920</v>
      </c>
      <c r="O5" t="str">
        <f t="shared" si="0"/>
        <v>NORTE DE SANTANDER</v>
      </c>
      <c r="P5" t="s">
        <v>1922</v>
      </c>
    </row>
    <row r="6" spans="1:16" x14ac:dyDescent="0.3">
      <c r="A6">
        <v>110</v>
      </c>
      <c r="B6">
        <v>2025</v>
      </c>
      <c r="C6" t="s">
        <v>1923</v>
      </c>
      <c r="D6" t="s">
        <v>1924</v>
      </c>
      <c r="E6" t="s">
        <v>1925</v>
      </c>
      <c r="F6" t="s">
        <v>1926</v>
      </c>
      <c r="G6" t="s">
        <v>1927</v>
      </c>
      <c r="H6" t="s">
        <v>1928</v>
      </c>
      <c r="I6" t="s">
        <v>1929</v>
      </c>
      <c r="J6" t="s">
        <v>29</v>
      </c>
      <c r="K6" t="s">
        <v>29</v>
      </c>
      <c r="L6" s="16">
        <v>0</v>
      </c>
      <c r="M6" t="s">
        <v>1950</v>
      </c>
      <c r="N6" t="s">
        <v>1947</v>
      </c>
      <c r="O6" t="str">
        <f t="shared" si="0"/>
        <v>AMAZONAS</v>
      </c>
      <c r="P6" t="s">
        <v>1916</v>
      </c>
    </row>
    <row r="7" spans="1:16" x14ac:dyDescent="0.3">
      <c r="A7">
        <v>110</v>
      </c>
      <c r="B7">
        <v>2025</v>
      </c>
      <c r="C7" t="s">
        <v>1923</v>
      </c>
      <c r="D7" t="s">
        <v>1924</v>
      </c>
      <c r="E7" t="s">
        <v>1925</v>
      </c>
      <c r="F7" t="s">
        <v>1926</v>
      </c>
      <c r="G7" t="s">
        <v>1927</v>
      </c>
      <c r="H7" t="s">
        <v>1928</v>
      </c>
      <c r="I7" t="s">
        <v>1929</v>
      </c>
      <c r="J7" t="s">
        <v>29</v>
      </c>
      <c r="K7" t="s">
        <v>29</v>
      </c>
      <c r="L7" s="16">
        <v>0</v>
      </c>
      <c r="M7" t="s">
        <v>1950</v>
      </c>
      <c r="N7" t="s">
        <v>1947</v>
      </c>
      <c r="O7" t="str">
        <f t="shared" si="0"/>
        <v>ANTIOQUIA</v>
      </c>
      <c r="P7" t="s">
        <v>1930</v>
      </c>
    </row>
    <row r="8" spans="1:16" x14ac:dyDescent="0.3">
      <c r="A8">
        <v>110</v>
      </c>
      <c r="B8">
        <v>2025</v>
      </c>
      <c r="C8" t="s">
        <v>1923</v>
      </c>
      <c r="D8" t="s">
        <v>1924</v>
      </c>
      <c r="E8" t="s">
        <v>1925</v>
      </c>
      <c r="F8" t="s">
        <v>1926</v>
      </c>
      <c r="G8" t="s">
        <v>1927</v>
      </c>
      <c r="H8" t="s">
        <v>1928</v>
      </c>
      <c r="I8" t="s">
        <v>1929</v>
      </c>
      <c r="J8" t="s">
        <v>29</v>
      </c>
      <c r="K8" t="s">
        <v>29</v>
      </c>
      <c r="L8" s="16">
        <v>0</v>
      </c>
      <c r="M8" t="s">
        <v>1950</v>
      </c>
      <c r="N8" t="s">
        <v>1947</v>
      </c>
      <c r="O8" t="str">
        <f t="shared" si="0"/>
        <v>ATLÁNTICO</v>
      </c>
      <c r="P8" t="s">
        <v>1931</v>
      </c>
    </row>
    <row r="9" spans="1:16" x14ac:dyDescent="0.3">
      <c r="A9">
        <v>110</v>
      </c>
      <c r="B9">
        <v>2025</v>
      </c>
      <c r="C9" t="s">
        <v>1923</v>
      </c>
      <c r="D9" t="s">
        <v>1924</v>
      </c>
      <c r="E9" t="s">
        <v>1925</v>
      </c>
      <c r="F9" t="s">
        <v>1926</v>
      </c>
      <c r="G9" t="s">
        <v>1927</v>
      </c>
      <c r="H9" t="s">
        <v>1928</v>
      </c>
      <c r="I9" t="s">
        <v>1929</v>
      </c>
      <c r="J9" t="s">
        <v>29</v>
      </c>
      <c r="K9" t="s">
        <v>29</v>
      </c>
      <c r="L9" s="16">
        <v>0</v>
      </c>
      <c r="M9" t="s">
        <v>1950</v>
      </c>
      <c r="N9" t="s">
        <v>1947</v>
      </c>
      <c r="O9" t="str">
        <f t="shared" si="0"/>
        <v>BOLIVAR</v>
      </c>
      <c r="P9" t="s">
        <v>1932</v>
      </c>
    </row>
    <row r="10" spans="1:16" x14ac:dyDescent="0.3">
      <c r="A10">
        <v>110</v>
      </c>
      <c r="B10">
        <v>2025</v>
      </c>
      <c r="C10" t="s">
        <v>1923</v>
      </c>
      <c r="D10" t="s">
        <v>1924</v>
      </c>
      <c r="E10" t="s">
        <v>1925</v>
      </c>
      <c r="F10" t="s">
        <v>1926</v>
      </c>
      <c r="G10" t="s">
        <v>1927</v>
      </c>
      <c r="H10" t="s">
        <v>1928</v>
      </c>
      <c r="I10" t="s">
        <v>1929</v>
      </c>
      <c r="J10" t="s">
        <v>29</v>
      </c>
      <c r="K10" t="s">
        <v>29</v>
      </c>
      <c r="L10" s="16">
        <v>0</v>
      </c>
      <c r="M10" t="s">
        <v>1950</v>
      </c>
      <c r="N10" t="s">
        <v>1947</v>
      </c>
      <c r="O10" t="str">
        <f t="shared" si="0"/>
        <v>BOYACÁ</v>
      </c>
      <c r="P10" t="s">
        <v>1933</v>
      </c>
    </row>
    <row r="11" spans="1:16" x14ac:dyDescent="0.3">
      <c r="A11">
        <v>110</v>
      </c>
      <c r="B11">
        <v>2025</v>
      </c>
      <c r="C11" t="s">
        <v>1923</v>
      </c>
      <c r="D11" t="s">
        <v>1924</v>
      </c>
      <c r="E11" t="s">
        <v>1925</v>
      </c>
      <c r="F11" t="s">
        <v>1926</v>
      </c>
      <c r="G11" t="s">
        <v>1927</v>
      </c>
      <c r="H11" t="s">
        <v>1928</v>
      </c>
      <c r="I11" t="s">
        <v>1929</v>
      </c>
      <c r="J11" t="s">
        <v>29</v>
      </c>
      <c r="K11" t="s">
        <v>29</v>
      </c>
      <c r="L11" s="16">
        <v>0</v>
      </c>
      <c r="M11" t="s">
        <v>1950</v>
      </c>
      <c r="N11" t="s">
        <v>1947</v>
      </c>
      <c r="O11" t="str">
        <f t="shared" si="0"/>
        <v>CALDAS</v>
      </c>
      <c r="P11" t="s">
        <v>284</v>
      </c>
    </row>
    <row r="12" spans="1:16" x14ac:dyDescent="0.3">
      <c r="A12">
        <v>110</v>
      </c>
      <c r="B12">
        <v>2025</v>
      </c>
      <c r="C12" t="s">
        <v>1923</v>
      </c>
      <c r="D12" t="s">
        <v>1924</v>
      </c>
      <c r="E12" t="s">
        <v>1925</v>
      </c>
      <c r="F12" t="s">
        <v>1926</v>
      </c>
      <c r="G12" t="s">
        <v>1927</v>
      </c>
      <c r="H12" t="s">
        <v>1928</v>
      </c>
      <c r="I12" t="s">
        <v>1929</v>
      </c>
      <c r="J12" t="s">
        <v>29</v>
      </c>
      <c r="K12" t="s">
        <v>29</v>
      </c>
      <c r="L12" s="16">
        <v>0</v>
      </c>
      <c r="M12" t="s">
        <v>1951</v>
      </c>
      <c r="N12" t="s">
        <v>1947</v>
      </c>
      <c r="O12" t="str">
        <f t="shared" si="0"/>
        <v>CAQUETÁ</v>
      </c>
      <c r="P12" t="s">
        <v>1934</v>
      </c>
    </row>
    <row r="13" spans="1:16" x14ac:dyDescent="0.3">
      <c r="A13">
        <v>110</v>
      </c>
      <c r="B13">
        <v>2025</v>
      </c>
      <c r="C13" t="s">
        <v>1923</v>
      </c>
      <c r="D13" t="s">
        <v>1924</v>
      </c>
      <c r="E13" t="s">
        <v>1925</v>
      </c>
      <c r="F13" t="s">
        <v>1926</v>
      </c>
      <c r="G13" t="s">
        <v>1927</v>
      </c>
      <c r="H13" t="s">
        <v>1928</v>
      </c>
      <c r="I13" t="s">
        <v>1929</v>
      </c>
      <c r="J13" t="s">
        <v>29</v>
      </c>
      <c r="K13" t="s">
        <v>29</v>
      </c>
      <c r="L13" s="16">
        <v>0</v>
      </c>
      <c r="M13" t="s">
        <v>1950</v>
      </c>
      <c r="N13" t="s">
        <v>1947</v>
      </c>
      <c r="O13" t="str">
        <f t="shared" si="0"/>
        <v>CESAR</v>
      </c>
      <c r="P13" t="s">
        <v>1935</v>
      </c>
    </row>
    <row r="14" spans="1:16" x14ac:dyDescent="0.3">
      <c r="A14">
        <v>110</v>
      </c>
      <c r="B14">
        <v>2025</v>
      </c>
      <c r="C14" t="s">
        <v>1923</v>
      </c>
      <c r="D14" t="s">
        <v>1924</v>
      </c>
      <c r="E14" t="s">
        <v>1925</v>
      </c>
      <c r="F14" t="s">
        <v>1926</v>
      </c>
      <c r="G14" t="s">
        <v>1927</v>
      </c>
      <c r="H14" t="s">
        <v>1928</v>
      </c>
      <c r="I14" t="s">
        <v>1929</v>
      </c>
      <c r="J14" t="s">
        <v>29</v>
      </c>
      <c r="K14" t="s">
        <v>29</v>
      </c>
      <c r="L14" s="16">
        <v>0</v>
      </c>
      <c r="M14" t="s">
        <v>1951</v>
      </c>
      <c r="N14" t="s">
        <v>1947</v>
      </c>
      <c r="O14" t="str">
        <f t="shared" si="0"/>
        <v>CHOCÓ</v>
      </c>
      <c r="P14" t="s">
        <v>1936</v>
      </c>
    </row>
    <row r="15" spans="1:16" x14ac:dyDescent="0.3">
      <c r="A15">
        <v>110</v>
      </c>
      <c r="B15">
        <v>2025</v>
      </c>
      <c r="C15" t="s">
        <v>1923</v>
      </c>
      <c r="D15" t="s">
        <v>1924</v>
      </c>
      <c r="E15" t="s">
        <v>1925</v>
      </c>
      <c r="F15" t="s">
        <v>1926</v>
      </c>
      <c r="G15" t="s">
        <v>1927</v>
      </c>
      <c r="H15" t="s">
        <v>1928</v>
      </c>
      <c r="I15" t="s">
        <v>1929</v>
      </c>
      <c r="J15" t="s">
        <v>29</v>
      </c>
      <c r="K15" t="s">
        <v>29</v>
      </c>
      <c r="L15" s="16">
        <v>0</v>
      </c>
      <c r="M15" t="s">
        <v>1950</v>
      </c>
      <c r="N15" t="s">
        <v>1947</v>
      </c>
      <c r="O15" t="str">
        <f t="shared" si="0"/>
        <v>CUNDINAMARCA</v>
      </c>
      <c r="P15" t="s">
        <v>1937</v>
      </c>
    </row>
    <row r="16" spans="1:16" x14ac:dyDescent="0.3">
      <c r="A16">
        <v>110</v>
      </c>
      <c r="B16">
        <v>2025</v>
      </c>
      <c r="C16" t="s">
        <v>1923</v>
      </c>
      <c r="D16" t="s">
        <v>1924</v>
      </c>
      <c r="E16" t="s">
        <v>1925</v>
      </c>
      <c r="F16" t="s">
        <v>1926</v>
      </c>
      <c r="G16" t="s">
        <v>1927</v>
      </c>
      <c r="H16" t="s">
        <v>1928</v>
      </c>
      <c r="I16" t="s">
        <v>1929</v>
      </c>
      <c r="J16" t="s">
        <v>29</v>
      </c>
      <c r="K16" t="s">
        <v>29</v>
      </c>
      <c r="L16" s="16">
        <v>0</v>
      </c>
      <c r="M16" t="s">
        <v>1951</v>
      </c>
      <c r="N16" t="s">
        <v>1947</v>
      </c>
      <c r="O16" t="str">
        <f t="shared" si="0"/>
        <v>GUAVIARE</v>
      </c>
      <c r="P16" t="s">
        <v>1938</v>
      </c>
    </row>
    <row r="17" spans="1:16" x14ac:dyDescent="0.3">
      <c r="A17">
        <v>110</v>
      </c>
      <c r="B17">
        <v>2025</v>
      </c>
      <c r="C17" t="s">
        <v>1923</v>
      </c>
      <c r="D17" t="s">
        <v>1924</v>
      </c>
      <c r="E17" t="s">
        <v>1925</v>
      </c>
      <c r="F17" t="s">
        <v>1926</v>
      </c>
      <c r="G17" t="s">
        <v>1927</v>
      </c>
      <c r="H17" t="s">
        <v>1928</v>
      </c>
      <c r="I17" t="s">
        <v>1929</v>
      </c>
      <c r="J17" t="s">
        <v>29</v>
      </c>
      <c r="K17" t="s">
        <v>29</v>
      </c>
      <c r="L17" s="16">
        <v>0</v>
      </c>
      <c r="M17" t="s">
        <v>1950</v>
      </c>
      <c r="N17" t="s">
        <v>1947</v>
      </c>
      <c r="O17" t="str">
        <f t="shared" si="0"/>
        <v>HUILA</v>
      </c>
      <c r="P17" t="s">
        <v>1939</v>
      </c>
    </row>
    <row r="18" spans="1:16" x14ac:dyDescent="0.3">
      <c r="A18">
        <v>110</v>
      </c>
      <c r="B18">
        <v>2025</v>
      </c>
      <c r="C18" t="s">
        <v>1923</v>
      </c>
      <c r="D18" t="s">
        <v>1924</v>
      </c>
      <c r="E18" t="s">
        <v>1925</v>
      </c>
      <c r="F18" t="s">
        <v>1926</v>
      </c>
      <c r="G18" t="s">
        <v>1927</v>
      </c>
      <c r="H18" t="s">
        <v>1928</v>
      </c>
      <c r="I18" t="s">
        <v>1929</v>
      </c>
      <c r="J18" t="s">
        <v>29</v>
      </c>
      <c r="K18" t="s">
        <v>29</v>
      </c>
      <c r="L18" s="16">
        <v>0</v>
      </c>
      <c r="M18" t="s">
        <v>1950</v>
      </c>
      <c r="N18" t="s">
        <v>1947</v>
      </c>
      <c r="O18" t="str">
        <f t="shared" si="0"/>
        <v>MAGDALENA</v>
      </c>
      <c r="P18" t="s">
        <v>1940</v>
      </c>
    </row>
    <row r="19" spans="1:16" x14ac:dyDescent="0.3">
      <c r="A19">
        <v>110</v>
      </c>
      <c r="B19">
        <v>2025</v>
      </c>
      <c r="C19" t="s">
        <v>1923</v>
      </c>
      <c r="D19" t="s">
        <v>1924</v>
      </c>
      <c r="E19" t="s">
        <v>1925</v>
      </c>
      <c r="F19" t="s">
        <v>1926</v>
      </c>
      <c r="G19" t="s">
        <v>1927</v>
      </c>
      <c r="H19" t="s">
        <v>1928</v>
      </c>
      <c r="I19" t="s">
        <v>1929</v>
      </c>
      <c r="J19" t="s">
        <v>29</v>
      </c>
      <c r="K19" t="s">
        <v>29</v>
      </c>
      <c r="L19" s="16">
        <v>0</v>
      </c>
      <c r="M19" t="s">
        <v>1950</v>
      </c>
      <c r="N19" t="s">
        <v>1947</v>
      </c>
      <c r="O19" t="str">
        <f t="shared" si="0"/>
        <v>META</v>
      </c>
      <c r="P19" t="s">
        <v>1941</v>
      </c>
    </row>
    <row r="20" spans="1:16" x14ac:dyDescent="0.3">
      <c r="A20">
        <v>110</v>
      </c>
      <c r="B20">
        <v>2025</v>
      </c>
      <c r="C20" t="s">
        <v>1923</v>
      </c>
      <c r="D20" t="s">
        <v>1924</v>
      </c>
      <c r="E20" t="s">
        <v>1925</v>
      </c>
      <c r="F20" t="s">
        <v>1926</v>
      </c>
      <c r="G20" t="s">
        <v>1927</v>
      </c>
      <c r="H20" t="s">
        <v>1928</v>
      </c>
      <c r="I20" t="s">
        <v>1929</v>
      </c>
      <c r="J20" t="s">
        <v>29</v>
      </c>
      <c r="K20" t="s">
        <v>29</v>
      </c>
      <c r="L20" s="16">
        <v>0</v>
      </c>
      <c r="M20" t="s">
        <v>1950</v>
      </c>
      <c r="N20" t="s">
        <v>1947</v>
      </c>
      <c r="O20" t="str">
        <f t="shared" si="0"/>
        <v>NARIÑO</v>
      </c>
      <c r="P20" t="s">
        <v>287</v>
      </c>
    </row>
    <row r="21" spans="1:16" x14ac:dyDescent="0.3">
      <c r="A21">
        <v>110</v>
      </c>
      <c r="B21">
        <v>2025</v>
      </c>
      <c r="C21" t="s">
        <v>1923</v>
      </c>
      <c r="D21" t="s">
        <v>1924</v>
      </c>
      <c r="E21" t="s">
        <v>1925</v>
      </c>
      <c r="F21" t="s">
        <v>1926</v>
      </c>
      <c r="G21" t="s">
        <v>1927</v>
      </c>
      <c r="H21" t="s">
        <v>1928</v>
      </c>
      <c r="I21" t="s">
        <v>1929</v>
      </c>
      <c r="J21" t="s">
        <v>29</v>
      </c>
      <c r="K21" t="s">
        <v>29</v>
      </c>
      <c r="L21" s="16">
        <v>0</v>
      </c>
      <c r="M21" t="s">
        <v>1950</v>
      </c>
      <c r="N21" t="s">
        <v>1947</v>
      </c>
      <c r="O21" t="str">
        <f t="shared" si="0"/>
        <v>NORTE DE SANTANDER</v>
      </c>
      <c r="P21" t="s">
        <v>1922</v>
      </c>
    </row>
    <row r="22" spans="1:16" x14ac:dyDescent="0.3">
      <c r="A22">
        <v>110</v>
      </c>
      <c r="B22">
        <v>2025</v>
      </c>
      <c r="C22" t="s">
        <v>1923</v>
      </c>
      <c r="D22" t="s">
        <v>1924</v>
      </c>
      <c r="E22" t="s">
        <v>1925</v>
      </c>
      <c r="F22" t="s">
        <v>1926</v>
      </c>
      <c r="G22" t="s">
        <v>1927</v>
      </c>
      <c r="H22" t="s">
        <v>1928</v>
      </c>
      <c r="I22" t="s">
        <v>1929</v>
      </c>
      <c r="J22" t="s">
        <v>29</v>
      </c>
      <c r="K22" t="s">
        <v>29</v>
      </c>
      <c r="L22" s="16">
        <v>0</v>
      </c>
      <c r="M22" t="s">
        <v>1950</v>
      </c>
      <c r="N22" t="s">
        <v>1947</v>
      </c>
      <c r="O22" t="str">
        <f t="shared" si="0"/>
        <v>QUINDÍO</v>
      </c>
      <c r="P22" t="s">
        <v>1942</v>
      </c>
    </row>
    <row r="23" spans="1:16" x14ac:dyDescent="0.3">
      <c r="A23">
        <v>110</v>
      </c>
      <c r="B23">
        <v>2025</v>
      </c>
      <c r="C23" t="s">
        <v>1923</v>
      </c>
      <c r="D23" t="s">
        <v>1924</v>
      </c>
      <c r="E23" t="s">
        <v>1925</v>
      </c>
      <c r="F23" t="s">
        <v>1926</v>
      </c>
      <c r="G23" t="s">
        <v>1927</v>
      </c>
      <c r="H23" t="s">
        <v>1928</v>
      </c>
      <c r="I23" t="s">
        <v>1929</v>
      </c>
      <c r="J23" t="s">
        <v>29</v>
      </c>
      <c r="K23" t="s">
        <v>29</v>
      </c>
      <c r="L23" s="16">
        <v>0</v>
      </c>
      <c r="M23" t="s">
        <v>1950</v>
      </c>
      <c r="N23" t="s">
        <v>1947</v>
      </c>
      <c r="O23" t="str">
        <f t="shared" si="0"/>
        <v>RISARALDA</v>
      </c>
      <c r="P23" t="s">
        <v>288</v>
      </c>
    </row>
    <row r="24" spans="1:16" x14ac:dyDescent="0.3">
      <c r="A24">
        <v>110</v>
      </c>
      <c r="B24">
        <v>2025</v>
      </c>
      <c r="C24" t="s">
        <v>1923</v>
      </c>
      <c r="D24" t="s">
        <v>1924</v>
      </c>
      <c r="E24" t="s">
        <v>1925</v>
      </c>
      <c r="F24" t="s">
        <v>1926</v>
      </c>
      <c r="G24" t="s">
        <v>1927</v>
      </c>
      <c r="H24" t="s">
        <v>1928</v>
      </c>
      <c r="I24" t="s">
        <v>1929</v>
      </c>
      <c r="J24" t="s">
        <v>29</v>
      </c>
      <c r="K24" t="s">
        <v>29</v>
      </c>
      <c r="L24" s="16">
        <v>0</v>
      </c>
      <c r="M24" t="s">
        <v>1950</v>
      </c>
      <c r="N24" t="s">
        <v>1947</v>
      </c>
      <c r="O24" t="str">
        <f t="shared" si="0"/>
        <v>SANTANDER</v>
      </c>
      <c r="P24" t="s">
        <v>1943</v>
      </c>
    </row>
    <row r="25" spans="1:16" x14ac:dyDescent="0.3">
      <c r="A25">
        <v>110</v>
      </c>
      <c r="B25">
        <v>2025</v>
      </c>
      <c r="C25" t="s">
        <v>1923</v>
      </c>
      <c r="D25" t="s">
        <v>1924</v>
      </c>
      <c r="E25" t="s">
        <v>1925</v>
      </c>
      <c r="F25" t="s">
        <v>1926</v>
      </c>
      <c r="G25" t="s">
        <v>1927</v>
      </c>
      <c r="H25" t="s">
        <v>1928</v>
      </c>
      <c r="I25" t="s">
        <v>1929</v>
      </c>
      <c r="J25" t="s">
        <v>29</v>
      </c>
      <c r="K25" t="s">
        <v>29</v>
      </c>
      <c r="L25" s="16">
        <v>0</v>
      </c>
      <c r="M25" t="s">
        <v>1951</v>
      </c>
      <c r="N25" t="s">
        <v>1947</v>
      </c>
      <c r="O25" t="str">
        <f t="shared" si="0"/>
        <v>SUCRE</v>
      </c>
      <c r="P25" t="s">
        <v>289</v>
      </c>
    </row>
    <row r="26" spans="1:16" x14ac:dyDescent="0.3">
      <c r="A26">
        <v>110</v>
      </c>
      <c r="B26">
        <v>2025</v>
      </c>
      <c r="C26" t="s">
        <v>1923</v>
      </c>
      <c r="D26" t="s">
        <v>1924</v>
      </c>
      <c r="E26" t="s">
        <v>1925</v>
      </c>
      <c r="F26" t="s">
        <v>1926</v>
      </c>
      <c r="G26" t="s">
        <v>1927</v>
      </c>
      <c r="H26" t="s">
        <v>1928</v>
      </c>
      <c r="I26" t="s">
        <v>1929</v>
      </c>
      <c r="J26" t="s">
        <v>29</v>
      </c>
      <c r="K26" t="s">
        <v>29</v>
      </c>
      <c r="L26" s="16">
        <v>0</v>
      </c>
      <c r="M26" t="s">
        <v>1950</v>
      </c>
      <c r="N26" t="s">
        <v>1947</v>
      </c>
      <c r="O26" t="str">
        <f t="shared" si="0"/>
        <v>TOLIMA</v>
      </c>
      <c r="P26" t="s">
        <v>1944</v>
      </c>
    </row>
    <row r="27" spans="1:16" x14ac:dyDescent="0.3">
      <c r="A27">
        <v>110</v>
      </c>
      <c r="B27">
        <v>2025</v>
      </c>
      <c r="C27" t="s">
        <v>1923</v>
      </c>
      <c r="D27" t="s">
        <v>1924</v>
      </c>
      <c r="E27" t="s">
        <v>1925</v>
      </c>
      <c r="F27" t="s">
        <v>1926</v>
      </c>
      <c r="G27" t="s">
        <v>1927</v>
      </c>
      <c r="H27" t="s">
        <v>1928</v>
      </c>
      <c r="I27" t="s">
        <v>1929</v>
      </c>
      <c r="J27" t="s">
        <v>29</v>
      </c>
      <c r="K27" t="s">
        <v>29</v>
      </c>
      <c r="L27" s="16">
        <v>0</v>
      </c>
      <c r="M27" t="s">
        <v>1950</v>
      </c>
      <c r="N27" t="s">
        <v>1947</v>
      </c>
      <c r="O27" t="str">
        <f t="shared" si="0"/>
        <v>VALLE DEL CAUCA</v>
      </c>
      <c r="P27" t="s">
        <v>1945</v>
      </c>
    </row>
    <row r="28" spans="1:16" x14ac:dyDescent="0.3">
      <c r="A28">
        <v>110</v>
      </c>
      <c r="B28">
        <v>2025</v>
      </c>
      <c r="C28" t="s">
        <v>1923</v>
      </c>
      <c r="D28" t="s">
        <v>1924</v>
      </c>
      <c r="E28" t="s">
        <v>1925</v>
      </c>
      <c r="F28" t="s">
        <v>1926</v>
      </c>
      <c r="G28" t="s">
        <v>1927</v>
      </c>
      <c r="H28" t="s">
        <v>1928</v>
      </c>
      <c r="I28" t="s">
        <v>1929</v>
      </c>
      <c r="J28" t="s">
        <v>29</v>
      </c>
      <c r="K28" t="s">
        <v>29</v>
      </c>
      <c r="L28" s="16">
        <v>0</v>
      </c>
      <c r="M28" t="s">
        <v>1950</v>
      </c>
      <c r="N28" t="s">
        <v>1947</v>
      </c>
      <c r="O28" t="str">
        <f t="shared" si="0"/>
        <v>VICHADA</v>
      </c>
      <c r="P28" t="s">
        <v>1948</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CEA622-5F96-42B9-8121-9912AFB656CE}">
  <sheetPr codeName="Hoja4"/>
  <dimension ref="A1:Q2880"/>
  <sheetViews>
    <sheetView workbookViewId="0">
      <selection activeCell="I2" sqref="I2"/>
    </sheetView>
  </sheetViews>
  <sheetFormatPr baseColWidth="10" defaultRowHeight="14.4" x14ac:dyDescent="0.3"/>
  <cols>
    <col min="1" max="1" width="20.109375" customWidth="1"/>
    <col min="2" max="2" width="20.33203125" customWidth="1"/>
    <col min="3" max="3" width="16.5546875" customWidth="1"/>
    <col min="4" max="4" width="13.21875" customWidth="1"/>
    <col min="5" max="5" width="12" customWidth="1"/>
    <col min="6" max="6" width="14.44140625" customWidth="1"/>
    <col min="8" max="8" width="16.88671875" customWidth="1"/>
    <col min="9" max="9" width="17.88671875" customWidth="1"/>
    <col min="10" max="10" width="14.33203125" customWidth="1"/>
    <col min="12" max="12" width="13.44140625" customWidth="1"/>
    <col min="13" max="13" width="16.6640625" customWidth="1"/>
    <col min="16" max="16" width="14.77734375" customWidth="1"/>
    <col min="17" max="17" width="45.6640625" bestFit="1" customWidth="1"/>
  </cols>
  <sheetData>
    <row r="1" spans="1:17" x14ac:dyDescent="0.3">
      <c r="A1" s="22" t="s">
        <v>1952</v>
      </c>
      <c r="B1" s="22" t="s">
        <v>290</v>
      </c>
      <c r="C1" s="22" t="s">
        <v>291</v>
      </c>
      <c r="D1" s="23" t="s">
        <v>1953</v>
      </c>
      <c r="E1" s="23" t="s">
        <v>292</v>
      </c>
      <c r="F1" s="24" t="s">
        <v>293</v>
      </c>
      <c r="G1" s="24" t="s">
        <v>294</v>
      </c>
      <c r="H1" s="25" t="s">
        <v>295</v>
      </c>
      <c r="I1" s="26" t="s">
        <v>1954</v>
      </c>
      <c r="J1" s="25" t="s">
        <v>296</v>
      </c>
      <c r="K1" s="25" t="s">
        <v>1955</v>
      </c>
      <c r="L1" s="25" t="s">
        <v>297</v>
      </c>
      <c r="M1" s="27" t="s">
        <v>298</v>
      </c>
      <c r="N1" s="27" t="s">
        <v>299</v>
      </c>
      <c r="O1" s="27" t="s">
        <v>300</v>
      </c>
      <c r="P1" s="27" t="s">
        <v>301</v>
      </c>
      <c r="Q1" s="27" t="s">
        <v>1956</v>
      </c>
    </row>
    <row r="2" spans="1:17" x14ac:dyDescent="0.3">
      <c r="A2" s="61" t="s">
        <v>1988</v>
      </c>
      <c r="B2" s="62" t="s">
        <v>302</v>
      </c>
      <c r="C2" s="62" t="s">
        <v>303</v>
      </c>
      <c r="D2" s="63">
        <v>42479</v>
      </c>
      <c r="E2" s="63">
        <v>47726</v>
      </c>
      <c r="F2" s="62" t="s">
        <v>280</v>
      </c>
      <c r="G2" s="62" t="s">
        <v>304</v>
      </c>
      <c r="H2" s="62" t="s">
        <v>2420</v>
      </c>
      <c r="I2" s="64">
        <v>91937.208246550901</v>
      </c>
      <c r="J2" s="62" t="s">
        <v>305</v>
      </c>
      <c r="K2" s="62" t="s">
        <v>377</v>
      </c>
      <c r="L2" s="65" t="s">
        <v>306</v>
      </c>
      <c r="M2" s="62" t="s">
        <v>307</v>
      </c>
      <c r="N2" s="62" t="s">
        <v>308</v>
      </c>
      <c r="O2" s="62" t="s">
        <v>309</v>
      </c>
      <c r="P2" s="62" t="s">
        <v>2421</v>
      </c>
      <c r="Q2" s="66" t="s">
        <v>1971</v>
      </c>
    </row>
    <row r="3" spans="1:17" x14ac:dyDescent="0.3">
      <c r="A3" s="61" t="s">
        <v>1988</v>
      </c>
      <c r="B3" s="62" t="s">
        <v>302</v>
      </c>
      <c r="C3" s="62" t="s">
        <v>303</v>
      </c>
      <c r="D3" s="63">
        <v>42479</v>
      </c>
      <c r="E3" s="63">
        <v>47726</v>
      </c>
      <c r="F3" s="62" t="s">
        <v>1960</v>
      </c>
      <c r="G3" s="62" t="s">
        <v>304</v>
      </c>
      <c r="H3" s="62" t="s">
        <v>2420</v>
      </c>
      <c r="I3" s="64">
        <v>91937.208246550901</v>
      </c>
      <c r="J3" s="62" t="s">
        <v>305</v>
      </c>
      <c r="K3" s="62" t="s">
        <v>377</v>
      </c>
      <c r="L3" s="65" t="s">
        <v>306</v>
      </c>
      <c r="M3" s="62" t="s">
        <v>307</v>
      </c>
      <c r="N3" s="62" t="s">
        <v>308</v>
      </c>
      <c r="O3" s="62" t="s">
        <v>309</v>
      </c>
      <c r="P3" s="62" t="s">
        <v>2421</v>
      </c>
      <c r="Q3" s="66" t="s">
        <v>1971</v>
      </c>
    </row>
    <row r="4" spans="1:17" x14ac:dyDescent="0.3">
      <c r="A4" s="61" t="s">
        <v>1988</v>
      </c>
      <c r="B4" s="62" t="s">
        <v>302</v>
      </c>
      <c r="C4" s="62" t="s">
        <v>303</v>
      </c>
      <c r="D4" s="63">
        <v>42479</v>
      </c>
      <c r="E4" s="63">
        <v>47726</v>
      </c>
      <c r="F4" s="62" t="s">
        <v>1941</v>
      </c>
      <c r="G4" s="62" t="s">
        <v>304</v>
      </c>
      <c r="H4" s="62" t="s">
        <v>2420</v>
      </c>
      <c r="I4" s="64">
        <v>91937.208246550901</v>
      </c>
      <c r="J4" s="62" t="s">
        <v>305</v>
      </c>
      <c r="K4" s="62" t="s">
        <v>377</v>
      </c>
      <c r="L4" s="65" t="s">
        <v>306</v>
      </c>
      <c r="M4" s="62" t="s">
        <v>307</v>
      </c>
      <c r="N4" s="62" t="s">
        <v>308</v>
      </c>
      <c r="O4" s="62" t="s">
        <v>309</v>
      </c>
      <c r="P4" s="62" t="s">
        <v>2421</v>
      </c>
      <c r="Q4" s="66" t="s">
        <v>1971</v>
      </c>
    </row>
    <row r="5" spans="1:17" x14ac:dyDescent="0.3">
      <c r="A5" s="61" t="s">
        <v>1988</v>
      </c>
      <c r="B5" s="62" t="s">
        <v>302</v>
      </c>
      <c r="C5" s="62" t="s">
        <v>303</v>
      </c>
      <c r="D5" s="63">
        <v>42479</v>
      </c>
      <c r="E5" s="63">
        <v>47726</v>
      </c>
      <c r="F5" s="62" t="s">
        <v>1948</v>
      </c>
      <c r="G5" s="62" t="s">
        <v>304</v>
      </c>
      <c r="H5" s="62" t="s">
        <v>2420</v>
      </c>
      <c r="I5" s="64">
        <v>91937.208246550901</v>
      </c>
      <c r="J5" s="62" t="s">
        <v>305</v>
      </c>
      <c r="K5" s="62" t="s">
        <v>377</v>
      </c>
      <c r="L5" s="65" t="s">
        <v>306</v>
      </c>
      <c r="M5" s="62" t="s">
        <v>307</v>
      </c>
      <c r="N5" s="62" t="s">
        <v>308</v>
      </c>
      <c r="O5" s="62" t="s">
        <v>309</v>
      </c>
      <c r="P5" s="62" t="s">
        <v>2421</v>
      </c>
      <c r="Q5" s="66" t="s">
        <v>1971</v>
      </c>
    </row>
    <row r="6" spans="1:17" x14ac:dyDescent="0.3">
      <c r="A6" s="61" t="s">
        <v>1991</v>
      </c>
      <c r="B6" s="62" t="s">
        <v>429</v>
      </c>
      <c r="C6" s="62" t="s">
        <v>430</v>
      </c>
      <c r="D6" s="63">
        <v>43187</v>
      </c>
      <c r="E6" s="63">
        <v>46203</v>
      </c>
      <c r="F6" s="62" t="s">
        <v>289</v>
      </c>
      <c r="G6" s="62" t="s">
        <v>431</v>
      </c>
      <c r="H6" s="62" t="s">
        <v>2422</v>
      </c>
      <c r="I6" s="64">
        <v>1603999.16666667</v>
      </c>
      <c r="J6" s="62" t="s">
        <v>432</v>
      </c>
      <c r="K6" s="62" t="s">
        <v>345</v>
      </c>
      <c r="L6" s="65" t="s">
        <v>306</v>
      </c>
      <c r="M6" s="62" t="s">
        <v>307</v>
      </c>
      <c r="N6" s="62" t="s">
        <v>355</v>
      </c>
      <c r="O6" s="62" t="s">
        <v>309</v>
      </c>
      <c r="P6" s="62" t="s">
        <v>2421</v>
      </c>
      <c r="Q6" s="66" t="s">
        <v>1971</v>
      </c>
    </row>
    <row r="7" spans="1:17" x14ac:dyDescent="0.3">
      <c r="A7" s="61" t="s">
        <v>1991</v>
      </c>
      <c r="B7" s="62" t="s">
        <v>429</v>
      </c>
      <c r="C7" s="62" t="s">
        <v>430</v>
      </c>
      <c r="D7" s="63">
        <v>43187</v>
      </c>
      <c r="E7" s="63">
        <v>46203</v>
      </c>
      <c r="F7" s="62" t="s">
        <v>289</v>
      </c>
      <c r="G7" s="62" t="s">
        <v>433</v>
      </c>
      <c r="H7" s="62" t="s">
        <v>2422</v>
      </c>
      <c r="I7" s="64">
        <v>1603999.16666667</v>
      </c>
      <c r="J7" s="62" t="s">
        <v>432</v>
      </c>
      <c r="K7" s="62" t="s">
        <v>345</v>
      </c>
      <c r="L7" s="65" t="s">
        <v>306</v>
      </c>
      <c r="M7" s="62" t="s">
        <v>307</v>
      </c>
      <c r="N7" s="62" t="s">
        <v>355</v>
      </c>
      <c r="O7" s="62" t="s">
        <v>309</v>
      </c>
      <c r="P7" s="62" t="s">
        <v>2421</v>
      </c>
      <c r="Q7" s="66" t="s">
        <v>1971</v>
      </c>
    </row>
    <row r="8" spans="1:17" x14ac:dyDescent="0.3">
      <c r="A8" s="61" t="s">
        <v>1991</v>
      </c>
      <c r="B8" s="62" t="s">
        <v>429</v>
      </c>
      <c r="C8" s="62" t="s">
        <v>430</v>
      </c>
      <c r="D8" s="63">
        <v>43187</v>
      </c>
      <c r="E8" s="63">
        <v>46203</v>
      </c>
      <c r="F8" s="62" t="s">
        <v>289</v>
      </c>
      <c r="G8" s="62" t="s">
        <v>434</v>
      </c>
      <c r="H8" s="62" t="s">
        <v>2422</v>
      </c>
      <c r="I8" s="64">
        <v>1603999.16666667</v>
      </c>
      <c r="J8" s="62" t="s">
        <v>432</v>
      </c>
      <c r="K8" s="62" t="s">
        <v>345</v>
      </c>
      <c r="L8" s="65" t="s">
        <v>306</v>
      </c>
      <c r="M8" s="62" t="s">
        <v>307</v>
      </c>
      <c r="N8" s="62" t="s">
        <v>355</v>
      </c>
      <c r="O8" s="62" t="s">
        <v>309</v>
      </c>
      <c r="P8" s="62" t="s">
        <v>2421</v>
      </c>
      <c r="Q8" s="66" t="s">
        <v>1971</v>
      </c>
    </row>
    <row r="9" spans="1:17" x14ac:dyDescent="0.3">
      <c r="A9" s="61" t="s">
        <v>1991</v>
      </c>
      <c r="B9" s="62" t="s">
        <v>429</v>
      </c>
      <c r="C9" s="62" t="s">
        <v>430</v>
      </c>
      <c r="D9" s="63">
        <v>43187</v>
      </c>
      <c r="E9" s="63">
        <v>46203</v>
      </c>
      <c r="F9" s="62" t="s">
        <v>289</v>
      </c>
      <c r="G9" s="62" t="s">
        <v>435</v>
      </c>
      <c r="H9" s="62" t="s">
        <v>2422</v>
      </c>
      <c r="I9" s="64">
        <v>1603999.16666667</v>
      </c>
      <c r="J9" s="62" t="s">
        <v>432</v>
      </c>
      <c r="K9" s="62" t="s">
        <v>345</v>
      </c>
      <c r="L9" s="65" t="s">
        <v>306</v>
      </c>
      <c r="M9" s="62" t="s">
        <v>307</v>
      </c>
      <c r="N9" s="62" t="s">
        <v>355</v>
      </c>
      <c r="O9" s="62" t="s">
        <v>309</v>
      </c>
      <c r="P9" s="62" t="s">
        <v>2421</v>
      </c>
      <c r="Q9" s="66" t="s">
        <v>1971</v>
      </c>
    </row>
    <row r="10" spans="1:17" x14ac:dyDescent="0.3">
      <c r="A10" s="61" t="s">
        <v>1991</v>
      </c>
      <c r="B10" s="62" t="s">
        <v>429</v>
      </c>
      <c r="C10" s="62" t="s">
        <v>430</v>
      </c>
      <c r="D10" s="63">
        <v>43187</v>
      </c>
      <c r="E10" s="63">
        <v>46203</v>
      </c>
      <c r="F10" s="62" t="s">
        <v>289</v>
      </c>
      <c r="G10" s="62" t="s">
        <v>436</v>
      </c>
      <c r="H10" s="62" t="s">
        <v>2422</v>
      </c>
      <c r="I10" s="64">
        <v>1603999.16666667</v>
      </c>
      <c r="J10" s="62" t="s">
        <v>432</v>
      </c>
      <c r="K10" s="62" t="s">
        <v>345</v>
      </c>
      <c r="L10" s="65" t="s">
        <v>306</v>
      </c>
      <c r="M10" s="62" t="s">
        <v>307</v>
      </c>
      <c r="N10" s="62" t="s">
        <v>355</v>
      </c>
      <c r="O10" s="62" t="s">
        <v>309</v>
      </c>
      <c r="P10" s="62" t="s">
        <v>2421</v>
      </c>
      <c r="Q10" s="66" t="s">
        <v>1971</v>
      </c>
    </row>
    <row r="11" spans="1:17" x14ac:dyDescent="0.3">
      <c r="A11" s="61" t="s">
        <v>1991</v>
      </c>
      <c r="B11" s="62" t="s">
        <v>429</v>
      </c>
      <c r="C11" s="62" t="s">
        <v>430</v>
      </c>
      <c r="D11" s="63">
        <v>43187</v>
      </c>
      <c r="E11" s="63">
        <v>46203</v>
      </c>
      <c r="F11" s="62" t="s">
        <v>289</v>
      </c>
      <c r="G11" s="62" t="s">
        <v>289</v>
      </c>
      <c r="H11" s="62" t="s">
        <v>2422</v>
      </c>
      <c r="I11" s="64">
        <v>1603999.16666667</v>
      </c>
      <c r="J11" s="62" t="s">
        <v>432</v>
      </c>
      <c r="K11" s="62" t="s">
        <v>345</v>
      </c>
      <c r="L11" s="65" t="s">
        <v>306</v>
      </c>
      <c r="M11" s="62" t="s">
        <v>307</v>
      </c>
      <c r="N11" s="62" t="s">
        <v>355</v>
      </c>
      <c r="O11" s="62" t="s">
        <v>309</v>
      </c>
      <c r="P11" s="62" t="s">
        <v>2421</v>
      </c>
      <c r="Q11" s="66" t="s">
        <v>1971</v>
      </c>
    </row>
    <row r="12" spans="1:17" x14ac:dyDescent="0.3">
      <c r="A12" s="61" t="s">
        <v>1991</v>
      </c>
      <c r="B12" s="62" t="s">
        <v>429</v>
      </c>
      <c r="C12" s="62" t="s">
        <v>430</v>
      </c>
      <c r="D12" s="63">
        <v>43187</v>
      </c>
      <c r="E12" s="63">
        <v>46203</v>
      </c>
      <c r="F12" s="62" t="s">
        <v>282</v>
      </c>
      <c r="G12" s="62" t="s">
        <v>437</v>
      </c>
      <c r="H12" s="62" t="s">
        <v>2422</v>
      </c>
      <c r="I12" s="64">
        <v>3207998.3333333302</v>
      </c>
      <c r="J12" s="62" t="s">
        <v>432</v>
      </c>
      <c r="K12" s="62" t="s">
        <v>345</v>
      </c>
      <c r="L12" s="65" t="s">
        <v>306</v>
      </c>
      <c r="M12" s="62" t="s">
        <v>307</v>
      </c>
      <c r="N12" s="62" t="s">
        <v>355</v>
      </c>
      <c r="O12" s="62" t="s">
        <v>309</v>
      </c>
      <c r="P12" s="62" t="s">
        <v>2421</v>
      </c>
      <c r="Q12" s="66" t="s">
        <v>1971</v>
      </c>
    </row>
    <row r="13" spans="1:17" x14ac:dyDescent="0.3">
      <c r="A13" s="61" t="s">
        <v>1991</v>
      </c>
      <c r="B13" s="62" t="s">
        <v>429</v>
      </c>
      <c r="C13" s="62" t="s">
        <v>430</v>
      </c>
      <c r="D13" s="63">
        <v>43187</v>
      </c>
      <c r="E13" s="63">
        <v>46203</v>
      </c>
      <c r="F13" s="62" t="s">
        <v>282</v>
      </c>
      <c r="G13" s="62" t="s">
        <v>438</v>
      </c>
      <c r="H13" s="62" t="s">
        <v>2422</v>
      </c>
      <c r="I13" s="64">
        <v>3207998.3333333302</v>
      </c>
      <c r="J13" s="62" t="s">
        <v>432</v>
      </c>
      <c r="K13" s="62" t="s">
        <v>345</v>
      </c>
      <c r="L13" s="65" t="s">
        <v>306</v>
      </c>
      <c r="M13" s="62" t="s">
        <v>307</v>
      </c>
      <c r="N13" s="62" t="s">
        <v>355</v>
      </c>
      <c r="O13" s="62" t="s">
        <v>309</v>
      </c>
      <c r="P13" s="62" t="s">
        <v>2421</v>
      </c>
      <c r="Q13" s="66" t="s">
        <v>1971</v>
      </c>
    </row>
    <row r="14" spans="1:17" x14ac:dyDescent="0.3">
      <c r="A14" s="61" t="s">
        <v>1991</v>
      </c>
      <c r="B14" s="62" t="s">
        <v>429</v>
      </c>
      <c r="C14" s="62" t="s">
        <v>430</v>
      </c>
      <c r="D14" s="63">
        <v>43187</v>
      </c>
      <c r="E14" s="63">
        <v>46203</v>
      </c>
      <c r="F14" s="62" t="s">
        <v>282</v>
      </c>
      <c r="G14" s="62" t="s">
        <v>439</v>
      </c>
      <c r="H14" s="62" t="s">
        <v>2422</v>
      </c>
      <c r="I14" s="64">
        <v>3207998.3333333302</v>
      </c>
      <c r="J14" s="62" t="s">
        <v>432</v>
      </c>
      <c r="K14" s="62" t="s">
        <v>345</v>
      </c>
      <c r="L14" s="65" t="s">
        <v>306</v>
      </c>
      <c r="M14" s="62" t="s">
        <v>307</v>
      </c>
      <c r="N14" s="62" t="s">
        <v>355</v>
      </c>
      <c r="O14" s="62" t="s">
        <v>309</v>
      </c>
      <c r="P14" s="62" t="s">
        <v>2421</v>
      </c>
      <c r="Q14" s="66" t="s">
        <v>1971</v>
      </c>
    </row>
    <row r="15" spans="1:17" x14ac:dyDescent="0.3">
      <c r="A15" s="61" t="s">
        <v>1991</v>
      </c>
      <c r="B15" s="62" t="s">
        <v>429</v>
      </c>
      <c r="C15" s="62" t="s">
        <v>430</v>
      </c>
      <c r="D15" s="63">
        <v>43187</v>
      </c>
      <c r="E15" s="63">
        <v>46203</v>
      </c>
      <c r="F15" s="62" t="s">
        <v>286</v>
      </c>
      <c r="G15" s="62" t="s">
        <v>440</v>
      </c>
      <c r="H15" s="62" t="s">
        <v>2422</v>
      </c>
      <c r="I15" s="64">
        <v>9623995</v>
      </c>
      <c r="J15" s="62" t="s">
        <v>432</v>
      </c>
      <c r="K15" s="62" t="s">
        <v>345</v>
      </c>
      <c r="L15" s="65" t="s">
        <v>306</v>
      </c>
      <c r="M15" s="62" t="s">
        <v>307</v>
      </c>
      <c r="N15" s="62" t="s">
        <v>355</v>
      </c>
      <c r="O15" s="62" t="s">
        <v>309</v>
      </c>
      <c r="P15" s="62" t="s">
        <v>2421</v>
      </c>
      <c r="Q15" s="66" t="s">
        <v>1971</v>
      </c>
    </row>
    <row r="16" spans="1:17" x14ac:dyDescent="0.3">
      <c r="A16" s="61" t="s">
        <v>1991</v>
      </c>
      <c r="B16" s="62" t="s">
        <v>429</v>
      </c>
      <c r="C16" s="62" t="s">
        <v>430</v>
      </c>
      <c r="D16" s="63">
        <v>43187</v>
      </c>
      <c r="E16" s="63">
        <v>46203</v>
      </c>
      <c r="F16" s="62" t="s">
        <v>1930</v>
      </c>
      <c r="G16" s="62" t="s">
        <v>420</v>
      </c>
      <c r="H16" s="62" t="s">
        <v>2422</v>
      </c>
      <c r="I16" s="64">
        <v>9623995</v>
      </c>
      <c r="J16" s="62" t="s">
        <v>432</v>
      </c>
      <c r="K16" s="62" t="s">
        <v>345</v>
      </c>
      <c r="L16" s="65" t="s">
        <v>306</v>
      </c>
      <c r="M16" s="62" t="s">
        <v>307</v>
      </c>
      <c r="N16" s="62" t="s">
        <v>355</v>
      </c>
      <c r="O16" s="62" t="s">
        <v>309</v>
      </c>
      <c r="P16" s="62" t="s">
        <v>2421</v>
      </c>
      <c r="Q16" s="66" t="s">
        <v>1971</v>
      </c>
    </row>
    <row r="17" spans="1:17" x14ac:dyDescent="0.3">
      <c r="A17" s="61" t="s">
        <v>1992</v>
      </c>
      <c r="B17" s="62" t="s">
        <v>445</v>
      </c>
      <c r="C17" s="62" t="s">
        <v>446</v>
      </c>
      <c r="D17" s="63">
        <v>43921</v>
      </c>
      <c r="E17" s="63">
        <v>46387</v>
      </c>
      <c r="F17" s="62" t="s">
        <v>350</v>
      </c>
      <c r="G17" s="62" t="s">
        <v>304</v>
      </c>
      <c r="H17" s="62" t="s">
        <v>311</v>
      </c>
      <c r="I17" s="64">
        <v>1124331.44</v>
      </c>
      <c r="J17" s="62" t="s">
        <v>312</v>
      </c>
      <c r="K17" s="62" t="s">
        <v>311</v>
      </c>
      <c r="L17" s="65" t="s">
        <v>2423</v>
      </c>
      <c r="M17" s="62" t="s">
        <v>313</v>
      </c>
      <c r="N17" s="62" t="s">
        <v>447</v>
      </c>
      <c r="O17" s="62" t="s">
        <v>426</v>
      </c>
      <c r="P17" s="62" t="s">
        <v>2421</v>
      </c>
      <c r="Q17" s="66" t="s">
        <v>1965</v>
      </c>
    </row>
    <row r="18" spans="1:17" x14ac:dyDescent="0.3">
      <c r="A18" s="61" t="s">
        <v>1993</v>
      </c>
      <c r="B18" s="62" t="s">
        <v>448</v>
      </c>
      <c r="C18" s="62" t="s">
        <v>449</v>
      </c>
      <c r="D18" s="63">
        <v>43936</v>
      </c>
      <c r="E18" s="63">
        <v>46752</v>
      </c>
      <c r="F18" s="62" t="s">
        <v>1945</v>
      </c>
      <c r="G18" s="62" t="s">
        <v>450</v>
      </c>
      <c r="H18" s="62" t="s">
        <v>311</v>
      </c>
      <c r="I18" s="64">
        <v>115515.422857143</v>
      </c>
      <c r="J18" s="62" t="s">
        <v>312</v>
      </c>
      <c r="K18" s="62" t="s">
        <v>311</v>
      </c>
      <c r="L18" s="65" t="s">
        <v>2423</v>
      </c>
      <c r="M18" s="62" t="s">
        <v>424</v>
      </c>
      <c r="N18" s="62" t="s">
        <v>427</v>
      </c>
      <c r="O18" s="62" t="s">
        <v>428</v>
      </c>
      <c r="P18" s="62" t="s">
        <v>2421</v>
      </c>
      <c r="Q18" s="66" t="s">
        <v>1984</v>
      </c>
    </row>
    <row r="19" spans="1:17" x14ac:dyDescent="0.3">
      <c r="A19" s="61" t="s">
        <v>1993</v>
      </c>
      <c r="B19" s="62" t="s">
        <v>448</v>
      </c>
      <c r="C19" s="62" t="s">
        <v>449</v>
      </c>
      <c r="D19" s="63">
        <v>43936</v>
      </c>
      <c r="E19" s="63">
        <v>46752</v>
      </c>
      <c r="F19" s="62" t="s">
        <v>1945</v>
      </c>
      <c r="G19" s="62" t="s">
        <v>405</v>
      </c>
      <c r="H19" s="62" t="s">
        <v>311</v>
      </c>
      <c r="I19" s="64">
        <v>115515.422857143</v>
      </c>
      <c r="J19" s="62" t="s">
        <v>312</v>
      </c>
      <c r="K19" s="62" t="s">
        <v>311</v>
      </c>
      <c r="L19" s="65" t="s">
        <v>2423</v>
      </c>
      <c r="M19" s="62" t="s">
        <v>424</v>
      </c>
      <c r="N19" s="62" t="s">
        <v>427</v>
      </c>
      <c r="O19" s="62" t="s">
        <v>428</v>
      </c>
      <c r="P19" s="62" t="s">
        <v>2421</v>
      </c>
      <c r="Q19" s="66" t="s">
        <v>1984</v>
      </c>
    </row>
    <row r="20" spans="1:17" x14ac:dyDescent="0.3">
      <c r="A20" s="61" t="s">
        <v>1993</v>
      </c>
      <c r="B20" s="62" t="s">
        <v>448</v>
      </c>
      <c r="C20" s="62" t="s">
        <v>449</v>
      </c>
      <c r="D20" s="63">
        <v>43936</v>
      </c>
      <c r="E20" s="63">
        <v>46752</v>
      </c>
      <c r="F20" s="62" t="s">
        <v>282</v>
      </c>
      <c r="G20" s="62" t="s">
        <v>283</v>
      </c>
      <c r="H20" s="62" t="s">
        <v>311</v>
      </c>
      <c r="I20" s="64">
        <v>231030.845714286</v>
      </c>
      <c r="J20" s="62" t="s">
        <v>312</v>
      </c>
      <c r="K20" s="62" t="s">
        <v>311</v>
      </c>
      <c r="L20" s="65" t="s">
        <v>2423</v>
      </c>
      <c r="M20" s="62" t="s">
        <v>424</v>
      </c>
      <c r="N20" s="62" t="s">
        <v>427</v>
      </c>
      <c r="O20" s="62" t="s">
        <v>428</v>
      </c>
      <c r="P20" s="62" t="s">
        <v>2421</v>
      </c>
      <c r="Q20" s="66" t="s">
        <v>1984</v>
      </c>
    </row>
    <row r="21" spans="1:17" x14ac:dyDescent="0.3">
      <c r="A21" s="61" t="s">
        <v>1993</v>
      </c>
      <c r="B21" s="62" t="s">
        <v>448</v>
      </c>
      <c r="C21" s="62" t="s">
        <v>449</v>
      </c>
      <c r="D21" s="63">
        <v>43936</v>
      </c>
      <c r="E21" s="63">
        <v>46752</v>
      </c>
      <c r="F21" s="62" t="s">
        <v>1940</v>
      </c>
      <c r="G21" s="62" t="s">
        <v>451</v>
      </c>
      <c r="H21" s="62" t="s">
        <v>311</v>
      </c>
      <c r="I21" s="64">
        <v>231030.845714286</v>
      </c>
      <c r="J21" s="62" t="s">
        <v>312</v>
      </c>
      <c r="K21" s="62" t="s">
        <v>311</v>
      </c>
      <c r="L21" s="65" t="s">
        <v>2423</v>
      </c>
      <c r="M21" s="62" t="s">
        <v>424</v>
      </c>
      <c r="N21" s="62" t="s">
        <v>427</v>
      </c>
      <c r="O21" s="62" t="s">
        <v>428</v>
      </c>
      <c r="P21" s="62" t="s">
        <v>2421</v>
      </c>
      <c r="Q21" s="66" t="s">
        <v>1984</v>
      </c>
    </row>
    <row r="22" spans="1:17" x14ac:dyDescent="0.3">
      <c r="A22" s="61" t="s">
        <v>1993</v>
      </c>
      <c r="B22" s="62" t="s">
        <v>448</v>
      </c>
      <c r="C22" s="62" t="s">
        <v>449</v>
      </c>
      <c r="D22" s="63">
        <v>43936</v>
      </c>
      <c r="E22" s="63">
        <v>46752</v>
      </c>
      <c r="F22" s="62" t="s">
        <v>348</v>
      </c>
      <c r="G22" s="62" t="s">
        <v>304</v>
      </c>
      <c r="H22" s="62" t="s">
        <v>311</v>
      </c>
      <c r="I22" s="64">
        <v>231030.845714286</v>
      </c>
      <c r="J22" s="62" t="s">
        <v>312</v>
      </c>
      <c r="K22" s="62" t="s">
        <v>311</v>
      </c>
      <c r="L22" s="65" t="s">
        <v>2423</v>
      </c>
      <c r="M22" s="62" t="s">
        <v>424</v>
      </c>
      <c r="N22" s="62" t="s">
        <v>427</v>
      </c>
      <c r="O22" s="62" t="s">
        <v>428</v>
      </c>
      <c r="P22" s="62" t="s">
        <v>2421</v>
      </c>
      <c r="Q22" s="66" t="s">
        <v>1984</v>
      </c>
    </row>
    <row r="23" spans="1:17" x14ac:dyDescent="0.3">
      <c r="A23" s="61" t="s">
        <v>1993</v>
      </c>
      <c r="B23" s="62" t="s">
        <v>448</v>
      </c>
      <c r="C23" s="62" t="s">
        <v>449</v>
      </c>
      <c r="D23" s="63">
        <v>43936</v>
      </c>
      <c r="E23" s="63">
        <v>46752</v>
      </c>
      <c r="F23" s="62" t="s">
        <v>1943</v>
      </c>
      <c r="G23" s="62" t="s">
        <v>452</v>
      </c>
      <c r="H23" s="62" t="s">
        <v>311</v>
      </c>
      <c r="I23" s="64">
        <v>231030.845714286</v>
      </c>
      <c r="J23" s="62" t="s">
        <v>312</v>
      </c>
      <c r="K23" s="62" t="s">
        <v>311</v>
      </c>
      <c r="L23" s="65" t="s">
        <v>2423</v>
      </c>
      <c r="M23" s="62" t="s">
        <v>424</v>
      </c>
      <c r="N23" s="62" t="s">
        <v>427</v>
      </c>
      <c r="O23" s="62" t="s">
        <v>428</v>
      </c>
      <c r="P23" s="62" t="s">
        <v>2421</v>
      </c>
      <c r="Q23" s="66" t="s">
        <v>1984</v>
      </c>
    </row>
    <row r="24" spans="1:17" x14ac:dyDescent="0.3">
      <c r="A24" s="61" t="s">
        <v>1993</v>
      </c>
      <c r="B24" s="62" t="s">
        <v>448</v>
      </c>
      <c r="C24" s="62" t="s">
        <v>449</v>
      </c>
      <c r="D24" s="63">
        <v>43936</v>
      </c>
      <c r="E24" s="63">
        <v>46752</v>
      </c>
      <c r="F24" s="62" t="s">
        <v>1930</v>
      </c>
      <c r="G24" s="62" t="s">
        <v>453</v>
      </c>
      <c r="H24" s="62" t="s">
        <v>311</v>
      </c>
      <c r="I24" s="64">
        <v>231030.845714286</v>
      </c>
      <c r="J24" s="62" t="s">
        <v>312</v>
      </c>
      <c r="K24" s="62" t="s">
        <v>311</v>
      </c>
      <c r="L24" s="65" t="s">
        <v>2423</v>
      </c>
      <c r="M24" s="62" t="s">
        <v>424</v>
      </c>
      <c r="N24" s="62" t="s">
        <v>427</v>
      </c>
      <c r="O24" s="62" t="s">
        <v>428</v>
      </c>
      <c r="P24" s="62" t="s">
        <v>2421</v>
      </c>
      <c r="Q24" s="66" t="s">
        <v>1984</v>
      </c>
    </row>
    <row r="25" spans="1:17" x14ac:dyDescent="0.3">
      <c r="A25" s="61" t="s">
        <v>1993</v>
      </c>
      <c r="B25" s="62" t="s">
        <v>448</v>
      </c>
      <c r="C25" s="62" t="s">
        <v>449</v>
      </c>
      <c r="D25" s="63">
        <v>43936</v>
      </c>
      <c r="E25" s="63">
        <v>46752</v>
      </c>
      <c r="F25" s="62" t="s">
        <v>288</v>
      </c>
      <c r="G25" s="62" t="s">
        <v>454</v>
      </c>
      <c r="H25" s="62" t="s">
        <v>311</v>
      </c>
      <c r="I25" s="64">
        <v>231030.845714286</v>
      </c>
      <c r="J25" s="62" t="s">
        <v>312</v>
      </c>
      <c r="K25" s="62" t="s">
        <v>311</v>
      </c>
      <c r="L25" s="65" t="s">
        <v>2423</v>
      </c>
      <c r="M25" s="62" t="s">
        <v>424</v>
      </c>
      <c r="N25" s="62" t="s">
        <v>427</v>
      </c>
      <c r="O25" s="62" t="s">
        <v>428</v>
      </c>
      <c r="P25" s="62" t="s">
        <v>2421</v>
      </c>
      <c r="Q25" s="66" t="s">
        <v>1984</v>
      </c>
    </row>
    <row r="26" spans="1:17" x14ac:dyDescent="0.3">
      <c r="A26" s="61" t="s">
        <v>1994</v>
      </c>
      <c r="B26" s="62" t="s">
        <v>455</v>
      </c>
      <c r="C26" s="62" t="s">
        <v>456</v>
      </c>
      <c r="D26" s="63">
        <v>43925</v>
      </c>
      <c r="E26" s="63">
        <v>46387</v>
      </c>
      <c r="F26" s="62" t="s">
        <v>350</v>
      </c>
      <c r="G26" s="62" t="s">
        <v>350</v>
      </c>
      <c r="H26" s="62" t="s">
        <v>311</v>
      </c>
      <c r="I26" s="64">
        <v>627051.42000000004</v>
      </c>
      <c r="J26" s="62" t="s">
        <v>312</v>
      </c>
      <c r="K26" s="62" t="s">
        <v>311</v>
      </c>
      <c r="L26" s="65" t="s">
        <v>2423</v>
      </c>
      <c r="M26" s="62" t="s">
        <v>356</v>
      </c>
      <c r="N26" s="62" t="s">
        <v>2424</v>
      </c>
      <c r="O26" s="62" t="s">
        <v>426</v>
      </c>
      <c r="P26" s="62" t="s">
        <v>2421</v>
      </c>
      <c r="Q26" s="66" t="s">
        <v>1984</v>
      </c>
    </row>
    <row r="27" spans="1:17" x14ac:dyDescent="0.3">
      <c r="A27" s="61" t="s">
        <v>1995</v>
      </c>
      <c r="B27" s="62" t="s">
        <v>460</v>
      </c>
      <c r="C27" s="62" t="s">
        <v>461</v>
      </c>
      <c r="D27" s="63">
        <v>43527</v>
      </c>
      <c r="E27" s="63">
        <v>47571</v>
      </c>
      <c r="F27" s="62" t="s">
        <v>1940</v>
      </c>
      <c r="G27" s="62" t="s">
        <v>304</v>
      </c>
      <c r="H27" s="62" t="s">
        <v>462</v>
      </c>
      <c r="I27" s="64">
        <v>326747.40000000002</v>
      </c>
      <c r="J27" s="62" t="s">
        <v>463</v>
      </c>
      <c r="K27" s="62" t="s">
        <v>462</v>
      </c>
      <c r="L27" s="65" t="s">
        <v>2423</v>
      </c>
      <c r="M27" s="62" t="s">
        <v>354</v>
      </c>
      <c r="N27" s="62" t="s">
        <v>464</v>
      </c>
      <c r="O27" s="62" t="s">
        <v>465</v>
      </c>
      <c r="P27" s="62" t="s">
        <v>2421</v>
      </c>
      <c r="Q27" s="66" t="s">
        <v>1964</v>
      </c>
    </row>
    <row r="28" spans="1:17" x14ac:dyDescent="0.3">
      <c r="A28" s="61" t="s">
        <v>1995</v>
      </c>
      <c r="B28" s="62" t="s">
        <v>460</v>
      </c>
      <c r="C28" s="62" t="s">
        <v>461</v>
      </c>
      <c r="D28" s="63">
        <v>43527</v>
      </c>
      <c r="E28" s="63">
        <v>47571</v>
      </c>
      <c r="F28" s="62" t="s">
        <v>1943</v>
      </c>
      <c r="G28" s="62" t="s">
        <v>304</v>
      </c>
      <c r="H28" s="62" t="s">
        <v>462</v>
      </c>
      <c r="I28" s="64">
        <v>326747.40000000002</v>
      </c>
      <c r="J28" s="62" t="s">
        <v>463</v>
      </c>
      <c r="K28" s="62" t="s">
        <v>462</v>
      </c>
      <c r="L28" s="65" t="s">
        <v>2423</v>
      </c>
      <c r="M28" s="62" t="s">
        <v>354</v>
      </c>
      <c r="N28" s="62" t="s">
        <v>464</v>
      </c>
      <c r="O28" s="62" t="s">
        <v>465</v>
      </c>
      <c r="P28" s="62" t="s">
        <v>2421</v>
      </c>
      <c r="Q28" s="66" t="s">
        <v>1964</v>
      </c>
    </row>
    <row r="29" spans="1:17" x14ac:dyDescent="0.3">
      <c r="A29" s="61" t="s">
        <v>1995</v>
      </c>
      <c r="B29" s="62" t="s">
        <v>460</v>
      </c>
      <c r="C29" s="62" t="s">
        <v>461</v>
      </c>
      <c r="D29" s="63">
        <v>43527</v>
      </c>
      <c r="E29" s="63">
        <v>47571</v>
      </c>
      <c r="F29" s="62" t="s">
        <v>1939</v>
      </c>
      <c r="G29" s="62" t="s">
        <v>304</v>
      </c>
      <c r="H29" s="62" t="s">
        <v>462</v>
      </c>
      <c r="I29" s="64">
        <v>326747.40000000002</v>
      </c>
      <c r="J29" s="62" t="s">
        <v>463</v>
      </c>
      <c r="K29" s="62" t="s">
        <v>462</v>
      </c>
      <c r="L29" s="65" t="s">
        <v>2423</v>
      </c>
      <c r="M29" s="62" t="s">
        <v>354</v>
      </c>
      <c r="N29" s="62" t="s">
        <v>464</v>
      </c>
      <c r="O29" s="62" t="s">
        <v>465</v>
      </c>
      <c r="P29" s="62" t="s">
        <v>2421</v>
      </c>
      <c r="Q29" s="66" t="s">
        <v>1964</v>
      </c>
    </row>
    <row r="30" spans="1:17" x14ac:dyDescent="0.3">
      <c r="A30" s="61" t="s">
        <v>1995</v>
      </c>
      <c r="B30" s="62" t="s">
        <v>460</v>
      </c>
      <c r="C30" s="62" t="s">
        <v>461</v>
      </c>
      <c r="D30" s="63">
        <v>43527</v>
      </c>
      <c r="E30" s="63">
        <v>47571</v>
      </c>
      <c r="F30" s="62" t="s">
        <v>284</v>
      </c>
      <c r="G30" s="62" t="s">
        <v>304</v>
      </c>
      <c r="H30" s="62" t="s">
        <v>462</v>
      </c>
      <c r="I30" s="64">
        <v>326747.40000000002</v>
      </c>
      <c r="J30" s="62" t="s">
        <v>463</v>
      </c>
      <c r="K30" s="62" t="s">
        <v>462</v>
      </c>
      <c r="L30" s="65" t="s">
        <v>2423</v>
      </c>
      <c r="M30" s="62" t="s">
        <v>354</v>
      </c>
      <c r="N30" s="62" t="s">
        <v>464</v>
      </c>
      <c r="O30" s="62" t="s">
        <v>465</v>
      </c>
      <c r="P30" s="62" t="s">
        <v>2421</v>
      </c>
      <c r="Q30" s="66" t="s">
        <v>1964</v>
      </c>
    </row>
    <row r="31" spans="1:17" x14ac:dyDescent="0.3">
      <c r="A31" s="61" t="s">
        <v>1995</v>
      </c>
      <c r="B31" s="62" t="s">
        <v>460</v>
      </c>
      <c r="C31" s="62" t="s">
        <v>461</v>
      </c>
      <c r="D31" s="63">
        <v>43527</v>
      </c>
      <c r="E31" s="63">
        <v>47571</v>
      </c>
      <c r="F31" s="62" t="s">
        <v>1945</v>
      </c>
      <c r="G31" s="62" t="s">
        <v>304</v>
      </c>
      <c r="H31" s="62" t="s">
        <v>462</v>
      </c>
      <c r="I31" s="64">
        <v>326747.40000000002</v>
      </c>
      <c r="J31" s="62" t="s">
        <v>463</v>
      </c>
      <c r="K31" s="62" t="s">
        <v>462</v>
      </c>
      <c r="L31" s="65" t="s">
        <v>2423</v>
      </c>
      <c r="M31" s="62" t="s">
        <v>354</v>
      </c>
      <c r="N31" s="62" t="s">
        <v>464</v>
      </c>
      <c r="O31" s="62" t="s">
        <v>465</v>
      </c>
      <c r="P31" s="62" t="s">
        <v>2421</v>
      </c>
      <c r="Q31" s="66" t="s">
        <v>1964</v>
      </c>
    </row>
    <row r="32" spans="1:17" x14ac:dyDescent="0.3">
      <c r="A32" s="61" t="s">
        <v>1996</v>
      </c>
      <c r="B32" s="62" t="s">
        <v>478</v>
      </c>
      <c r="C32" s="62" t="s">
        <v>479</v>
      </c>
      <c r="D32" s="63">
        <v>43468</v>
      </c>
      <c r="E32" s="63">
        <v>47573</v>
      </c>
      <c r="F32" s="62" t="s">
        <v>1940</v>
      </c>
      <c r="G32" s="62" t="s">
        <v>304</v>
      </c>
      <c r="H32" s="62" t="s">
        <v>462</v>
      </c>
      <c r="I32" s="64">
        <v>325382.2</v>
      </c>
      <c r="J32" s="62" t="s">
        <v>463</v>
      </c>
      <c r="K32" s="62" t="s">
        <v>462</v>
      </c>
      <c r="L32" s="65" t="s">
        <v>2423</v>
      </c>
      <c r="M32" s="62" t="s">
        <v>424</v>
      </c>
      <c r="N32" s="62" t="s">
        <v>464</v>
      </c>
      <c r="O32" s="62" t="s">
        <v>465</v>
      </c>
      <c r="P32" s="62" t="s">
        <v>2421</v>
      </c>
      <c r="Q32" s="66" t="s">
        <v>1964</v>
      </c>
    </row>
    <row r="33" spans="1:17" x14ac:dyDescent="0.3">
      <c r="A33" s="61" t="s">
        <v>1996</v>
      </c>
      <c r="B33" s="62" t="s">
        <v>478</v>
      </c>
      <c r="C33" s="62" t="s">
        <v>479</v>
      </c>
      <c r="D33" s="63">
        <v>43468</v>
      </c>
      <c r="E33" s="63">
        <v>47573</v>
      </c>
      <c r="F33" s="62" t="s">
        <v>1943</v>
      </c>
      <c r="G33" s="62" t="s">
        <v>304</v>
      </c>
      <c r="H33" s="62" t="s">
        <v>462</v>
      </c>
      <c r="I33" s="64">
        <v>325382.2</v>
      </c>
      <c r="J33" s="62" t="s">
        <v>463</v>
      </c>
      <c r="K33" s="62" t="s">
        <v>462</v>
      </c>
      <c r="L33" s="65" t="s">
        <v>306</v>
      </c>
      <c r="M33" s="62" t="s">
        <v>424</v>
      </c>
      <c r="N33" s="62" t="s">
        <v>464</v>
      </c>
      <c r="O33" s="62" t="s">
        <v>465</v>
      </c>
      <c r="P33" s="62" t="s">
        <v>2421</v>
      </c>
      <c r="Q33" s="66" t="s">
        <v>1964</v>
      </c>
    </row>
    <row r="34" spans="1:17" x14ac:dyDescent="0.3">
      <c r="A34" s="61" t="s">
        <v>1996</v>
      </c>
      <c r="B34" s="62" t="s">
        <v>478</v>
      </c>
      <c r="C34" s="62" t="s">
        <v>479</v>
      </c>
      <c r="D34" s="63">
        <v>43468</v>
      </c>
      <c r="E34" s="63">
        <v>47573</v>
      </c>
      <c r="F34" s="62" t="s">
        <v>1939</v>
      </c>
      <c r="G34" s="62" t="s">
        <v>304</v>
      </c>
      <c r="H34" s="62" t="s">
        <v>462</v>
      </c>
      <c r="I34" s="64">
        <v>325382.2</v>
      </c>
      <c r="J34" s="62" t="s">
        <v>463</v>
      </c>
      <c r="K34" s="62" t="s">
        <v>462</v>
      </c>
      <c r="L34" s="65" t="s">
        <v>306</v>
      </c>
      <c r="M34" s="62" t="s">
        <v>424</v>
      </c>
      <c r="N34" s="62" t="s">
        <v>464</v>
      </c>
      <c r="O34" s="62" t="s">
        <v>465</v>
      </c>
      <c r="P34" s="62" t="s">
        <v>2421</v>
      </c>
      <c r="Q34" s="66" t="s">
        <v>1964</v>
      </c>
    </row>
    <row r="35" spans="1:17" x14ac:dyDescent="0.3">
      <c r="A35" s="61" t="s">
        <v>1996</v>
      </c>
      <c r="B35" s="62" t="s">
        <v>478</v>
      </c>
      <c r="C35" s="62" t="s">
        <v>479</v>
      </c>
      <c r="D35" s="63">
        <v>43468</v>
      </c>
      <c r="E35" s="63">
        <v>47573</v>
      </c>
      <c r="F35" s="62" t="s">
        <v>284</v>
      </c>
      <c r="G35" s="62" t="s">
        <v>304</v>
      </c>
      <c r="H35" s="62" t="s">
        <v>462</v>
      </c>
      <c r="I35" s="64">
        <v>325382.2</v>
      </c>
      <c r="J35" s="62" t="s">
        <v>463</v>
      </c>
      <c r="K35" s="62" t="s">
        <v>462</v>
      </c>
      <c r="L35" s="65" t="s">
        <v>306</v>
      </c>
      <c r="M35" s="62" t="s">
        <v>424</v>
      </c>
      <c r="N35" s="62" t="s">
        <v>464</v>
      </c>
      <c r="O35" s="62" t="s">
        <v>465</v>
      </c>
      <c r="P35" s="62" t="s">
        <v>2421</v>
      </c>
      <c r="Q35" s="66" t="s">
        <v>1964</v>
      </c>
    </row>
    <row r="36" spans="1:17" x14ac:dyDescent="0.3">
      <c r="A36" s="61" t="s">
        <v>1996</v>
      </c>
      <c r="B36" s="62" t="s">
        <v>478</v>
      </c>
      <c r="C36" s="62" t="s">
        <v>479</v>
      </c>
      <c r="D36" s="63">
        <v>43468</v>
      </c>
      <c r="E36" s="63">
        <v>47573</v>
      </c>
      <c r="F36" s="62" t="s">
        <v>1945</v>
      </c>
      <c r="G36" s="62" t="s">
        <v>304</v>
      </c>
      <c r="H36" s="62" t="s">
        <v>462</v>
      </c>
      <c r="I36" s="64">
        <v>325382.2</v>
      </c>
      <c r="J36" s="62" t="s">
        <v>463</v>
      </c>
      <c r="K36" s="62" t="s">
        <v>462</v>
      </c>
      <c r="L36" s="65" t="s">
        <v>306</v>
      </c>
      <c r="M36" s="62" t="s">
        <v>424</v>
      </c>
      <c r="N36" s="62" t="s">
        <v>464</v>
      </c>
      <c r="O36" s="62" t="s">
        <v>465</v>
      </c>
      <c r="P36" s="62" t="s">
        <v>2421</v>
      </c>
      <c r="Q36" s="66" t="s">
        <v>1964</v>
      </c>
    </row>
    <row r="37" spans="1:17" x14ac:dyDescent="0.3">
      <c r="A37" s="61" t="s">
        <v>1997</v>
      </c>
      <c r="B37" s="62" t="s">
        <v>482</v>
      </c>
      <c r="C37" s="62" t="s">
        <v>483</v>
      </c>
      <c r="D37" s="63">
        <v>44174</v>
      </c>
      <c r="E37" s="63">
        <v>46374</v>
      </c>
      <c r="F37" s="62" t="s">
        <v>1921</v>
      </c>
      <c r="G37" s="62" t="s">
        <v>484</v>
      </c>
      <c r="H37" s="62" t="s">
        <v>360</v>
      </c>
      <c r="I37" s="64">
        <v>1666666.66666667</v>
      </c>
      <c r="J37" s="62" t="s">
        <v>485</v>
      </c>
      <c r="K37" s="62" t="s">
        <v>360</v>
      </c>
      <c r="L37" s="65" t="s">
        <v>306</v>
      </c>
      <c r="M37" s="62" t="s">
        <v>313</v>
      </c>
      <c r="N37" s="62" t="s">
        <v>486</v>
      </c>
      <c r="O37" s="62" t="s">
        <v>465</v>
      </c>
      <c r="P37" s="62" t="s">
        <v>2421</v>
      </c>
      <c r="Q37" s="66" t="s">
        <v>1964</v>
      </c>
    </row>
    <row r="38" spans="1:17" x14ac:dyDescent="0.3">
      <c r="A38" s="61" t="s">
        <v>1997</v>
      </c>
      <c r="B38" s="62" t="s">
        <v>482</v>
      </c>
      <c r="C38" s="62" t="s">
        <v>483</v>
      </c>
      <c r="D38" s="63">
        <v>44174</v>
      </c>
      <c r="E38" s="63">
        <v>46374</v>
      </c>
      <c r="F38" s="62" t="s">
        <v>1921</v>
      </c>
      <c r="G38" s="62" t="s">
        <v>487</v>
      </c>
      <c r="H38" s="62" t="s">
        <v>360</v>
      </c>
      <c r="I38" s="64">
        <v>1666666.66666667</v>
      </c>
      <c r="J38" s="62" t="s">
        <v>485</v>
      </c>
      <c r="K38" s="62" t="s">
        <v>360</v>
      </c>
      <c r="L38" s="65" t="s">
        <v>306</v>
      </c>
      <c r="M38" s="62" t="s">
        <v>313</v>
      </c>
      <c r="N38" s="62" t="s">
        <v>486</v>
      </c>
      <c r="O38" s="62" t="s">
        <v>465</v>
      </c>
      <c r="P38" s="62" t="s">
        <v>2421</v>
      </c>
      <c r="Q38" s="66" t="s">
        <v>1964</v>
      </c>
    </row>
    <row r="39" spans="1:17" x14ac:dyDescent="0.3">
      <c r="A39" s="61" t="s">
        <v>1997</v>
      </c>
      <c r="B39" s="62" t="s">
        <v>482</v>
      </c>
      <c r="C39" s="62" t="s">
        <v>483</v>
      </c>
      <c r="D39" s="63">
        <v>44174</v>
      </c>
      <c r="E39" s="63">
        <v>46374</v>
      </c>
      <c r="F39" s="62" t="s">
        <v>1921</v>
      </c>
      <c r="G39" s="62" t="s">
        <v>488</v>
      </c>
      <c r="H39" s="62" t="s">
        <v>360</v>
      </c>
      <c r="I39" s="64">
        <v>1666666.66666667</v>
      </c>
      <c r="J39" s="62" t="s">
        <v>485</v>
      </c>
      <c r="K39" s="62" t="s">
        <v>360</v>
      </c>
      <c r="L39" s="65" t="s">
        <v>306</v>
      </c>
      <c r="M39" s="62" t="s">
        <v>313</v>
      </c>
      <c r="N39" s="62" t="s">
        <v>486</v>
      </c>
      <c r="O39" s="62" t="s">
        <v>465</v>
      </c>
      <c r="P39" s="62" t="s">
        <v>2421</v>
      </c>
      <c r="Q39" s="66" t="s">
        <v>1964</v>
      </c>
    </row>
    <row r="40" spans="1:17" x14ac:dyDescent="0.3">
      <c r="A40" s="61" t="s">
        <v>1997</v>
      </c>
      <c r="B40" s="62" t="s">
        <v>482</v>
      </c>
      <c r="C40" s="62" t="s">
        <v>483</v>
      </c>
      <c r="D40" s="63">
        <v>44174</v>
      </c>
      <c r="E40" s="63">
        <v>46374</v>
      </c>
      <c r="F40" s="62" t="s">
        <v>1921</v>
      </c>
      <c r="G40" s="62" t="s">
        <v>484</v>
      </c>
      <c r="H40" s="62" t="s">
        <v>2420</v>
      </c>
      <c r="I40" s="64">
        <v>2583333.3333333302</v>
      </c>
      <c r="J40" s="62" t="s">
        <v>2425</v>
      </c>
      <c r="K40" s="62" t="s">
        <v>360</v>
      </c>
      <c r="L40" s="65" t="s">
        <v>306</v>
      </c>
      <c r="M40" s="62" t="s">
        <v>313</v>
      </c>
      <c r="N40" s="62" t="s">
        <v>486</v>
      </c>
      <c r="O40" s="62" t="s">
        <v>465</v>
      </c>
      <c r="P40" s="62" t="s">
        <v>2421</v>
      </c>
      <c r="Q40" s="66" t="s">
        <v>1964</v>
      </c>
    </row>
    <row r="41" spans="1:17" x14ac:dyDescent="0.3">
      <c r="A41" s="61" t="s">
        <v>1997</v>
      </c>
      <c r="B41" s="62" t="s">
        <v>482</v>
      </c>
      <c r="C41" s="62" t="s">
        <v>483</v>
      </c>
      <c r="D41" s="63">
        <v>44174</v>
      </c>
      <c r="E41" s="63">
        <v>46374</v>
      </c>
      <c r="F41" s="62" t="s">
        <v>1921</v>
      </c>
      <c r="G41" s="62" t="s">
        <v>487</v>
      </c>
      <c r="H41" s="62" t="s">
        <v>2420</v>
      </c>
      <c r="I41" s="64">
        <v>2583333.3333333302</v>
      </c>
      <c r="J41" s="62" t="s">
        <v>2425</v>
      </c>
      <c r="K41" s="62" t="s">
        <v>360</v>
      </c>
      <c r="L41" s="65" t="s">
        <v>306</v>
      </c>
      <c r="M41" s="62" t="s">
        <v>313</v>
      </c>
      <c r="N41" s="62" t="s">
        <v>486</v>
      </c>
      <c r="O41" s="62" t="s">
        <v>465</v>
      </c>
      <c r="P41" s="62" t="s">
        <v>2421</v>
      </c>
      <c r="Q41" s="66" t="s">
        <v>1964</v>
      </c>
    </row>
    <row r="42" spans="1:17" x14ac:dyDescent="0.3">
      <c r="A42" s="61" t="s">
        <v>1997</v>
      </c>
      <c r="B42" s="62" t="s">
        <v>482</v>
      </c>
      <c r="C42" s="62" t="s">
        <v>483</v>
      </c>
      <c r="D42" s="63">
        <v>44174</v>
      </c>
      <c r="E42" s="63">
        <v>46374</v>
      </c>
      <c r="F42" s="62" t="s">
        <v>1921</v>
      </c>
      <c r="G42" s="62" t="s">
        <v>488</v>
      </c>
      <c r="H42" s="62" t="s">
        <v>2420</v>
      </c>
      <c r="I42" s="64">
        <v>2583333.3333333302</v>
      </c>
      <c r="J42" s="62" t="s">
        <v>2425</v>
      </c>
      <c r="K42" s="62" t="s">
        <v>360</v>
      </c>
      <c r="L42" s="65" t="s">
        <v>306</v>
      </c>
      <c r="M42" s="62" t="s">
        <v>313</v>
      </c>
      <c r="N42" s="62" t="s">
        <v>486</v>
      </c>
      <c r="O42" s="62" t="s">
        <v>465</v>
      </c>
      <c r="P42" s="62" t="s">
        <v>2421</v>
      </c>
      <c r="Q42" s="66" t="s">
        <v>1964</v>
      </c>
    </row>
    <row r="43" spans="1:17" x14ac:dyDescent="0.3">
      <c r="A43" s="61" t="s">
        <v>1998</v>
      </c>
      <c r="B43" s="62" t="s">
        <v>492</v>
      </c>
      <c r="C43" s="62" t="s">
        <v>493</v>
      </c>
      <c r="D43" s="63">
        <v>44263</v>
      </c>
      <c r="E43" s="63">
        <v>46234</v>
      </c>
      <c r="F43" s="62" t="s">
        <v>1941</v>
      </c>
      <c r="G43" s="62" t="s">
        <v>494</v>
      </c>
      <c r="H43" s="62" t="s">
        <v>351</v>
      </c>
      <c r="I43" s="64">
        <v>767408.58625000005</v>
      </c>
      <c r="J43" s="62" t="s">
        <v>352</v>
      </c>
      <c r="K43" s="62" t="s">
        <v>351</v>
      </c>
      <c r="L43" s="65" t="s">
        <v>353</v>
      </c>
      <c r="M43" s="62" t="s">
        <v>356</v>
      </c>
      <c r="N43" s="62" t="s">
        <v>357</v>
      </c>
      <c r="O43" s="62" t="s">
        <v>358</v>
      </c>
      <c r="P43" s="62" t="s">
        <v>2421</v>
      </c>
      <c r="Q43" s="66" t="s">
        <v>1969</v>
      </c>
    </row>
    <row r="44" spans="1:17" x14ac:dyDescent="0.3">
      <c r="A44" s="61" t="s">
        <v>1998</v>
      </c>
      <c r="B44" s="62" t="s">
        <v>492</v>
      </c>
      <c r="C44" s="62" t="s">
        <v>493</v>
      </c>
      <c r="D44" s="63">
        <v>44263</v>
      </c>
      <c r="E44" s="63">
        <v>46234</v>
      </c>
      <c r="F44" s="62" t="s">
        <v>1941</v>
      </c>
      <c r="G44" s="62" t="s">
        <v>321</v>
      </c>
      <c r="H44" s="62" t="s">
        <v>351</v>
      </c>
      <c r="I44" s="64">
        <v>767408.58625000005</v>
      </c>
      <c r="J44" s="62" t="s">
        <v>352</v>
      </c>
      <c r="K44" s="62" t="s">
        <v>351</v>
      </c>
      <c r="L44" s="65" t="s">
        <v>353</v>
      </c>
      <c r="M44" s="62" t="s">
        <v>356</v>
      </c>
      <c r="N44" s="62" t="s">
        <v>357</v>
      </c>
      <c r="O44" s="62" t="s">
        <v>358</v>
      </c>
      <c r="P44" s="62" t="s">
        <v>2421</v>
      </c>
      <c r="Q44" s="66" t="s">
        <v>1969</v>
      </c>
    </row>
    <row r="45" spans="1:17" x14ac:dyDescent="0.3">
      <c r="A45" s="61" t="s">
        <v>1998</v>
      </c>
      <c r="B45" s="62" t="s">
        <v>492</v>
      </c>
      <c r="C45" s="62" t="s">
        <v>493</v>
      </c>
      <c r="D45" s="63">
        <v>44263</v>
      </c>
      <c r="E45" s="63">
        <v>46234</v>
      </c>
      <c r="F45" s="62" t="s">
        <v>1941</v>
      </c>
      <c r="G45" s="62" t="s">
        <v>495</v>
      </c>
      <c r="H45" s="62" t="s">
        <v>351</v>
      </c>
      <c r="I45" s="64">
        <v>767408.58625000005</v>
      </c>
      <c r="J45" s="62" t="s">
        <v>352</v>
      </c>
      <c r="K45" s="62" t="s">
        <v>351</v>
      </c>
      <c r="L45" s="65" t="s">
        <v>353</v>
      </c>
      <c r="M45" s="62" t="s">
        <v>356</v>
      </c>
      <c r="N45" s="62" t="s">
        <v>357</v>
      </c>
      <c r="O45" s="62" t="s">
        <v>358</v>
      </c>
      <c r="P45" s="62" t="s">
        <v>2421</v>
      </c>
      <c r="Q45" s="66" t="s">
        <v>1969</v>
      </c>
    </row>
    <row r="46" spans="1:17" x14ac:dyDescent="0.3">
      <c r="A46" s="61" t="s">
        <v>1998</v>
      </c>
      <c r="B46" s="62" t="s">
        <v>492</v>
      </c>
      <c r="C46" s="62" t="s">
        <v>493</v>
      </c>
      <c r="D46" s="63">
        <v>44263</v>
      </c>
      <c r="E46" s="63">
        <v>46234</v>
      </c>
      <c r="F46" s="62" t="s">
        <v>1941</v>
      </c>
      <c r="G46" s="62" t="s">
        <v>322</v>
      </c>
      <c r="H46" s="62" t="s">
        <v>351</v>
      </c>
      <c r="I46" s="64">
        <v>767408.58625000005</v>
      </c>
      <c r="J46" s="62" t="s">
        <v>352</v>
      </c>
      <c r="K46" s="62" t="s">
        <v>351</v>
      </c>
      <c r="L46" s="65" t="s">
        <v>353</v>
      </c>
      <c r="M46" s="62" t="s">
        <v>356</v>
      </c>
      <c r="N46" s="62" t="s">
        <v>357</v>
      </c>
      <c r="O46" s="62" t="s">
        <v>358</v>
      </c>
      <c r="P46" s="62" t="s">
        <v>2421</v>
      </c>
      <c r="Q46" s="66" t="s">
        <v>1969</v>
      </c>
    </row>
    <row r="47" spans="1:17" x14ac:dyDescent="0.3">
      <c r="A47" s="61" t="s">
        <v>1998</v>
      </c>
      <c r="B47" s="62" t="s">
        <v>492</v>
      </c>
      <c r="C47" s="62" t="s">
        <v>493</v>
      </c>
      <c r="D47" s="63">
        <v>44263</v>
      </c>
      <c r="E47" s="63">
        <v>46234</v>
      </c>
      <c r="F47" s="62" t="s">
        <v>1941</v>
      </c>
      <c r="G47" s="62" t="s">
        <v>496</v>
      </c>
      <c r="H47" s="62" t="s">
        <v>351</v>
      </c>
      <c r="I47" s="64">
        <v>767408.58625000005</v>
      </c>
      <c r="J47" s="62" t="s">
        <v>352</v>
      </c>
      <c r="K47" s="62" t="s">
        <v>351</v>
      </c>
      <c r="L47" s="65" t="s">
        <v>353</v>
      </c>
      <c r="M47" s="62" t="s">
        <v>356</v>
      </c>
      <c r="N47" s="62" t="s">
        <v>357</v>
      </c>
      <c r="O47" s="62" t="s">
        <v>358</v>
      </c>
      <c r="P47" s="62" t="s">
        <v>2421</v>
      </c>
      <c r="Q47" s="66" t="s">
        <v>1969</v>
      </c>
    </row>
    <row r="48" spans="1:17" x14ac:dyDescent="0.3">
      <c r="A48" s="61" t="s">
        <v>1998</v>
      </c>
      <c r="B48" s="62" t="s">
        <v>492</v>
      </c>
      <c r="C48" s="62" t="s">
        <v>493</v>
      </c>
      <c r="D48" s="63">
        <v>44263</v>
      </c>
      <c r="E48" s="63">
        <v>46234</v>
      </c>
      <c r="F48" s="62" t="s">
        <v>1941</v>
      </c>
      <c r="G48" s="62" t="s">
        <v>397</v>
      </c>
      <c r="H48" s="62" t="s">
        <v>351</v>
      </c>
      <c r="I48" s="64">
        <v>767408.58625000005</v>
      </c>
      <c r="J48" s="62" t="s">
        <v>352</v>
      </c>
      <c r="K48" s="62" t="s">
        <v>351</v>
      </c>
      <c r="L48" s="65" t="s">
        <v>353</v>
      </c>
      <c r="M48" s="62" t="s">
        <v>356</v>
      </c>
      <c r="N48" s="62" t="s">
        <v>357</v>
      </c>
      <c r="O48" s="62" t="s">
        <v>358</v>
      </c>
      <c r="P48" s="62" t="s">
        <v>2421</v>
      </c>
      <c r="Q48" s="66" t="s">
        <v>1969</v>
      </c>
    </row>
    <row r="49" spans="1:17" x14ac:dyDescent="0.3">
      <c r="A49" s="61" t="s">
        <v>1998</v>
      </c>
      <c r="B49" s="62" t="s">
        <v>492</v>
      </c>
      <c r="C49" s="62" t="s">
        <v>493</v>
      </c>
      <c r="D49" s="63">
        <v>44263</v>
      </c>
      <c r="E49" s="63">
        <v>46234</v>
      </c>
      <c r="F49" s="62" t="s">
        <v>1941</v>
      </c>
      <c r="G49" s="62" t="s">
        <v>398</v>
      </c>
      <c r="H49" s="62" t="s">
        <v>351</v>
      </c>
      <c r="I49" s="64">
        <v>767408.58625000005</v>
      </c>
      <c r="J49" s="62" t="s">
        <v>352</v>
      </c>
      <c r="K49" s="62" t="s">
        <v>351</v>
      </c>
      <c r="L49" s="65" t="s">
        <v>353</v>
      </c>
      <c r="M49" s="62" t="s">
        <v>356</v>
      </c>
      <c r="N49" s="62" t="s">
        <v>357</v>
      </c>
      <c r="O49" s="62" t="s">
        <v>358</v>
      </c>
      <c r="P49" s="62" t="s">
        <v>2421</v>
      </c>
      <c r="Q49" s="66" t="s">
        <v>1969</v>
      </c>
    </row>
    <row r="50" spans="1:17" x14ac:dyDescent="0.3">
      <c r="A50" s="61" t="s">
        <v>1998</v>
      </c>
      <c r="B50" s="62" t="s">
        <v>492</v>
      </c>
      <c r="C50" s="62" t="s">
        <v>493</v>
      </c>
      <c r="D50" s="63">
        <v>44263</v>
      </c>
      <c r="E50" s="63">
        <v>46234</v>
      </c>
      <c r="F50" s="62" t="s">
        <v>1941</v>
      </c>
      <c r="G50" s="62" t="s">
        <v>399</v>
      </c>
      <c r="H50" s="62" t="s">
        <v>351</v>
      </c>
      <c r="I50" s="64">
        <v>767408.58625000005</v>
      </c>
      <c r="J50" s="62" t="s">
        <v>352</v>
      </c>
      <c r="K50" s="62" t="s">
        <v>351</v>
      </c>
      <c r="L50" s="65" t="s">
        <v>353</v>
      </c>
      <c r="M50" s="62" t="s">
        <v>356</v>
      </c>
      <c r="N50" s="62" t="s">
        <v>357</v>
      </c>
      <c r="O50" s="62" t="s">
        <v>358</v>
      </c>
      <c r="P50" s="62" t="s">
        <v>2421</v>
      </c>
      <c r="Q50" s="66" t="s">
        <v>1969</v>
      </c>
    </row>
    <row r="51" spans="1:17" x14ac:dyDescent="0.3">
      <c r="A51" s="61" t="s">
        <v>1998</v>
      </c>
      <c r="B51" s="62" t="s">
        <v>492</v>
      </c>
      <c r="C51" s="62" t="s">
        <v>493</v>
      </c>
      <c r="D51" s="63">
        <v>44263</v>
      </c>
      <c r="E51" s="63">
        <v>46234</v>
      </c>
      <c r="F51" s="62" t="s">
        <v>1934</v>
      </c>
      <c r="G51" s="62" t="s">
        <v>497</v>
      </c>
      <c r="H51" s="62" t="s">
        <v>351</v>
      </c>
      <c r="I51" s="64">
        <v>1534817.1725000001</v>
      </c>
      <c r="J51" s="62" t="s">
        <v>352</v>
      </c>
      <c r="K51" s="62" t="s">
        <v>351</v>
      </c>
      <c r="L51" s="65" t="s">
        <v>353</v>
      </c>
      <c r="M51" s="62" t="s">
        <v>356</v>
      </c>
      <c r="N51" s="62" t="s">
        <v>357</v>
      </c>
      <c r="O51" s="62" t="s">
        <v>358</v>
      </c>
      <c r="P51" s="62" t="s">
        <v>2421</v>
      </c>
      <c r="Q51" s="66" t="s">
        <v>1969</v>
      </c>
    </row>
    <row r="52" spans="1:17" x14ac:dyDescent="0.3">
      <c r="A52" s="61" t="s">
        <v>1998</v>
      </c>
      <c r="B52" s="62" t="s">
        <v>492</v>
      </c>
      <c r="C52" s="62" t="s">
        <v>493</v>
      </c>
      <c r="D52" s="63">
        <v>44263</v>
      </c>
      <c r="E52" s="63">
        <v>46234</v>
      </c>
      <c r="F52" s="62" t="s">
        <v>1934</v>
      </c>
      <c r="G52" s="62" t="s">
        <v>498</v>
      </c>
      <c r="H52" s="62" t="s">
        <v>351</v>
      </c>
      <c r="I52" s="64">
        <v>1534817.1725000001</v>
      </c>
      <c r="J52" s="62" t="s">
        <v>352</v>
      </c>
      <c r="K52" s="62" t="s">
        <v>351</v>
      </c>
      <c r="L52" s="65" t="s">
        <v>353</v>
      </c>
      <c r="M52" s="62" t="s">
        <v>356</v>
      </c>
      <c r="N52" s="62" t="s">
        <v>357</v>
      </c>
      <c r="O52" s="62" t="s">
        <v>358</v>
      </c>
      <c r="P52" s="62" t="s">
        <v>2421</v>
      </c>
      <c r="Q52" s="66" t="s">
        <v>1969</v>
      </c>
    </row>
    <row r="53" spans="1:17" x14ac:dyDescent="0.3">
      <c r="A53" s="61" t="s">
        <v>1998</v>
      </c>
      <c r="B53" s="62" t="s">
        <v>492</v>
      </c>
      <c r="C53" s="62" t="s">
        <v>493</v>
      </c>
      <c r="D53" s="63">
        <v>44263</v>
      </c>
      <c r="E53" s="63">
        <v>46234</v>
      </c>
      <c r="F53" s="62" t="s">
        <v>1934</v>
      </c>
      <c r="G53" s="62" t="s">
        <v>499</v>
      </c>
      <c r="H53" s="62" t="s">
        <v>351</v>
      </c>
      <c r="I53" s="64">
        <v>1534817.1725000001</v>
      </c>
      <c r="J53" s="62" t="s">
        <v>352</v>
      </c>
      <c r="K53" s="62" t="s">
        <v>351</v>
      </c>
      <c r="L53" s="65" t="s">
        <v>353</v>
      </c>
      <c r="M53" s="62" t="s">
        <v>356</v>
      </c>
      <c r="N53" s="62" t="s">
        <v>357</v>
      </c>
      <c r="O53" s="62" t="s">
        <v>358</v>
      </c>
      <c r="P53" s="62" t="s">
        <v>2421</v>
      </c>
      <c r="Q53" s="66" t="s">
        <v>1969</v>
      </c>
    </row>
    <row r="54" spans="1:17" x14ac:dyDescent="0.3">
      <c r="A54" s="61" t="s">
        <v>1998</v>
      </c>
      <c r="B54" s="62" t="s">
        <v>492</v>
      </c>
      <c r="C54" s="62" t="s">
        <v>493</v>
      </c>
      <c r="D54" s="63">
        <v>44263</v>
      </c>
      <c r="E54" s="63">
        <v>46234</v>
      </c>
      <c r="F54" s="62" t="s">
        <v>1934</v>
      </c>
      <c r="G54" s="62" t="s">
        <v>500</v>
      </c>
      <c r="H54" s="62" t="s">
        <v>351</v>
      </c>
      <c r="I54" s="64">
        <v>1534817.1725000001</v>
      </c>
      <c r="J54" s="62" t="s">
        <v>352</v>
      </c>
      <c r="K54" s="62" t="s">
        <v>351</v>
      </c>
      <c r="L54" s="65" t="s">
        <v>353</v>
      </c>
      <c r="M54" s="62" t="s">
        <v>356</v>
      </c>
      <c r="N54" s="62" t="s">
        <v>357</v>
      </c>
      <c r="O54" s="62" t="s">
        <v>358</v>
      </c>
      <c r="P54" s="62" t="s">
        <v>2421</v>
      </c>
      <c r="Q54" s="66" t="s">
        <v>1969</v>
      </c>
    </row>
    <row r="55" spans="1:17" x14ac:dyDescent="0.3">
      <c r="A55" s="61" t="s">
        <v>1998</v>
      </c>
      <c r="B55" s="62" t="s">
        <v>492</v>
      </c>
      <c r="C55" s="62" t="s">
        <v>493</v>
      </c>
      <c r="D55" s="63">
        <v>44263</v>
      </c>
      <c r="E55" s="63">
        <v>46234</v>
      </c>
      <c r="F55" s="62" t="s">
        <v>1930</v>
      </c>
      <c r="G55" s="62" t="s">
        <v>419</v>
      </c>
      <c r="H55" s="62" t="s">
        <v>351</v>
      </c>
      <c r="I55" s="64">
        <v>1534817.1725000001</v>
      </c>
      <c r="J55" s="62" t="s">
        <v>352</v>
      </c>
      <c r="K55" s="62" t="s">
        <v>351</v>
      </c>
      <c r="L55" s="65" t="s">
        <v>353</v>
      </c>
      <c r="M55" s="62" t="s">
        <v>356</v>
      </c>
      <c r="N55" s="62" t="s">
        <v>357</v>
      </c>
      <c r="O55" s="62" t="s">
        <v>358</v>
      </c>
      <c r="P55" s="62" t="s">
        <v>2421</v>
      </c>
      <c r="Q55" s="66" t="s">
        <v>1969</v>
      </c>
    </row>
    <row r="56" spans="1:17" x14ac:dyDescent="0.3">
      <c r="A56" s="61" t="s">
        <v>1998</v>
      </c>
      <c r="B56" s="62" t="s">
        <v>492</v>
      </c>
      <c r="C56" s="62" t="s">
        <v>493</v>
      </c>
      <c r="D56" s="63">
        <v>44263</v>
      </c>
      <c r="E56" s="63">
        <v>46234</v>
      </c>
      <c r="F56" s="62" t="s">
        <v>1930</v>
      </c>
      <c r="G56" s="62" t="s">
        <v>501</v>
      </c>
      <c r="H56" s="62" t="s">
        <v>351</v>
      </c>
      <c r="I56" s="64">
        <v>1534817.1725000001</v>
      </c>
      <c r="J56" s="62" t="s">
        <v>352</v>
      </c>
      <c r="K56" s="62" t="s">
        <v>351</v>
      </c>
      <c r="L56" s="65" t="s">
        <v>353</v>
      </c>
      <c r="M56" s="62" t="s">
        <v>356</v>
      </c>
      <c r="N56" s="62" t="s">
        <v>357</v>
      </c>
      <c r="O56" s="62" t="s">
        <v>358</v>
      </c>
      <c r="P56" s="62" t="s">
        <v>2421</v>
      </c>
      <c r="Q56" s="66" t="s">
        <v>1969</v>
      </c>
    </row>
    <row r="57" spans="1:17" x14ac:dyDescent="0.3">
      <c r="A57" s="61" t="s">
        <v>1998</v>
      </c>
      <c r="B57" s="62" t="s">
        <v>492</v>
      </c>
      <c r="C57" s="62" t="s">
        <v>493</v>
      </c>
      <c r="D57" s="63">
        <v>44263</v>
      </c>
      <c r="E57" s="63">
        <v>46234</v>
      </c>
      <c r="F57" s="62" t="s">
        <v>1930</v>
      </c>
      <c r="G57" s="62" t="s">
        <v>502</v>
      </c>
      <c r="H57" s="62" t="s">
        <v>351</v>
      </c>
      <c r="I57" s="64">
        <v>1534817.1725000001</v>
      </c>
      <c r="J57" s="62" t="s">
        <v>352</v>
      </c>
      <c r="K57" s="62" t="s">
        <v>351</v>
      </c>
      <c r="L57" s="65" t="s">
        <v>353</v>
      </c>
      <c r="M57" s="62" t="s">
        <v>356</v>
      </c>
      <c r="N57" s="62" t="s">
        <v>357</v>
      </c>
      <c r="O57" s="62" t="s">
        <v>358</v>
      </c>
      <c r="P57" s="62" t="s">
        <v>2421</v>
      </c>
      <c r="Q57" s="66" t="s">
        <v>1969</v>
      </c>
    </row>
    <row r="58" spans="1:17" x14ac:dyDescent="0.3">
      <c r="A58" s="61" t="s">
        <v>1998</v>
      </c>
      <c r="B58" s="62" t="s">
        <v>492</v>
      </c>
      <c r="C58" s="62" t="s">
        <v>493</v>
      </c>
      <c r="D58" s="63">
        <v>44263</v>
      </c>
      <c r="E58" s="63">
        <v>46234</v>
      </c>
      <c r="F58" s="62" t="s">
        <v>1930</v>
      </c>
      <c r="G58" s="62" t="s">
        <v>422</v>
      </c>
      <c r="H58" s="62" t="s">
        <v>351</v>
      </c>
      <c r="I58" s="64">
        <v>1534817.1725000001</v>
      </c>
      <c r="J58" s="62" t="s">
        <v>352</v>
      </c>
      <c r="K58" s="62" t="s">
        <v>351</v>
      </c>
      <c r="L58" s="65" t="s">
        <v>353</v>
      </c>
      <c r="M58" s="62" t="s">
        <v>356</v>
      </c>
      <c r="N58" s="62" t="s">
        <v>357</v>
      </c>
      <c r="O58" s="62" t="s">
        <v>358</v>
      </c>
      <c r="P58" s="62" t="s">
        <v>2421</v>
      </c>
      <c r="Q58" s="66" t="s">
        <v>1969</v>
      </c>
    </row>
    <row r="59" spans="1:17" x14ac:dyDescent="0.3">
      <c r="A59" s="61" t="s">
        <v>1998</v>
      </c>
      <c r="B59" s="62" t="s">
        <v>492</v>
      </c>
      <c r="C59" s="62" t="s">
        <v>493</v>
      </c>
      <c r="D59" s="63">
        <v>44263</v>
      </c>
      <c r="E59" s="63">
        <v>46234</v>
      </c>
      <c r="F59" s="62" t="s">
        <v>1938</v>
      </c>
      <c r="G59" s="62" t="s">
        <v>503</v>
      </c>
      <c r="H59" s="62" t="s">
        <v>351</v>
      </c>
      <c r="I59" s="64">
        <v>1534817.1725000001</v>
      </c>
      <c r="J59" s="62" t="s">
        <v>352</v>
      </c>
      <c r="K59" s="62" t="s">
        <v>351</v>
      </c>
      <c r="L59" s="65" t="s">
        <v>353</v>
      </c>
      <c r="M59" s="62" t="s">
        <v>356</v>
      </c>
      <c r="N59" s="62" t="s">
        <v>357</v>
      </c>
      <c r="O59" s="62" t="s">
        <v>358</v>
      </c>
      <c r="P59" s="62" t="s">
        <v>2421</v>
      </c>
      <c r="Q59" s="66" t="s">
        <v>1969</v>
      </c>
    </row>
    <row r="60" spans="1:17" x14ac:dyDescent="0.3">
      <c r="A60" s="61" t="s">
        <v>1998</v>
      </c>
      <c r="B60" s="62" t="s">
        <v>492</v>
      </c>
      <c r="C60" s="62" t="s">
        <v>493</v>
      </c>
      <c r="D60" s="63">
        <v>44263</v>
      </c>
      <c r="E60" s="63">
        <v>46234</v>
      </c>
      <c r="F60" s="62" t="s">
        <v>1938</v>
      </c>
      <c r="G60" s="62" t="s">
        <v>504</v>
      </c>
      <c r="H60" s="62" t="s">
        <v>351</v>
      </c>
      <c r="I60" s="64">
        <v>1534817.1725000001</v>
      </c>
      <c r="J60" s="62" t="s">
        <v>352</v>
      </c>
      <c r="K60" s="62" t="s">
        <v>351</v>
      </c>
      <c r="L60" s="65" t="s">
        <v>353</v>
      </c>
      <c r="M60" s="62" t="s">
        <v>356</v>
      </c>
      <c r="N60" s="62" t="s">
        <v>357</v>
      </c>
      <c r="O60" s="62" t="s">
        <v>358</v>
      </c>
      <c r="P60" s="62" t="s">
        <v>2421</v>
      </c>
      <c r="Q60" s="66" t="s">
        <v>1969</v>
      </c>
    </row>
    <row r="61" spans="1:17" x14ac:dyDescent="0.3">
      <c r="A61" s="61" t="s">
        <v>1998</v>
      </c>
      <c r="B61" s="62" t="s">
        <v>492</v>
      </c>
      <c r="C61" s="62" t="s">
        <v>493</v>
      </c>
      <c r="D61" s="63">
        <v>44263</v>
      </c>
      <c r="E61" s="63">
        <v>46234</v>
      </c>
      <c r="F61" s="62" t="s">
        <v>1938</v>
      </c>
      <c r="G61" s="62" t="s">
        <v>505</v>
      </c>
      <c r="H61" s="62" t="s">
        <v>351</v>
      </c>
      <c r="I61" s="64">
        <v>1534817.1725000001</v>
      </c>
      <c r="J61" s="62" t="s">
        <v>352</v>
      </c>
      <c r="K61" s="62" t="s">
        <v>351</v>
      </c>
      <c r="L61" s="65" t="s">
        <v>353</v>
      </c>
      <c r="M61" s="62" t="s">
        <v>356</v>
      </c>
      <c r="N61" s="62" t="s">
        <v>357</v>
      </c>
      <c r="O61" s="62" t="s">
        <v>358</v>
      </c>
      <c r="P61" s="62" t="s">
        <v>2421</v>
      </c>
      <c r="Q61" s="66" t="s">
        <v>1969</v>
      </c>
    </row>
    <row r="62" spans="1:17" x14ac:dyDescent="0.3">
      <c r="A62" s="61" t="s">
        <v>1998</v>
      </c>
      <c r="B62" s="62" t="s">
        <v>492</v>
      </c>
      <c r="C62" s="62" t="s">
        <v>493</v>
      </c>
      <c r="D62" s="63">
        <v>44263</v>
      </c>
      <c r="E62" s="63">
        <v>46234</v>
      </c>
      <c r="F62" s="62" t="s">
        <v>1938</v>
      </c>
      <c r="G62" s="62" t="s">
        <v>506</v>
      </c>
      <c r="H62" s="62" t="s">
        <v>351</v>
      </c>
      <c r="I62" s="64">
        <v>1534817.1725000001</v>
      </c>
      <c r="J62" s="62" t="s">
        <v>352</v>
      </c>
      <c r="K62" s="62" t="s">
        <v>351</v>
      </c>
      <c r="L62" s="65" t="s">
        <v>353</v>
      </c>
      <c r="M62" s="62" t="s">
        <v>356</v>
      </c>
      <c r="N62" s="62" t="s">
        <v>357</v>
      </c>
      <c r="O62" s="62" t="s">
        <v>358</v>
      </c>
      <c r="P62" s="62" t="s">
        <v>2421</v>
      </c>
      <c r="Q62" s="66" t="s">
        <v>1969</v>
      </c>
    </row>
    <row r="63" spans="1:17" x14ac:dyDescent="0.3">
      <c r="A63" s="61" t="s">
        <v>1998</v>
      </c>
      <c r="B63" s="62" t="s">
        <v>492</v>
      </c>
      <c r="C63" s="62" t="s">
        <v>493</v>
      </c>
      <c r="D63" s="63">
        <v>44263</v>
      </c>
      <c r="E63" s="63">
        <v>46234</v>
      </c>
      <c r="F63" s="62" t="s">
        <v>282</v>
      </c>
      <c r="G63" s="62" t="s">
        <v>507</v>
      </c>
      <c r="H63" s="62" t="s">
        <v>351</v>
      </c>
      <c r="I63" s="64">
        <v>6139268.6900000004</v>
      </c>
      <c r="J63" s="62" t="s">
        <v>352</v>
      </c>
      <c r="K63" s="62" t="s">
        <v>351</v>
      </c>
      <c r="L63" s="65" t="s">
        <v>353</v>
      </c>
      <c r="M63" s="62" t="s">
        <v>356</v>
      </c>
      <c r="N63" s="62" t="s">
        <v>357</v>
      </c>
      <c r="O63" s="62" t="s">
        <v>358</v>
      </c>
      <c r="P63" s="62" t="s">
        <v>2421</v>
      </c>
      <c r="Q63" s="66" t="s">
        <v>1969</v>
      </c>
    </row>
    <row r="64" spans="1:17" x14ac:dyDescent="0.3">
      <c r="A64" s="61" t="s">
        <v>1998</v>
      </c>
      <c r="B64" s="62" t="s">
        <v>492</v>
      </c>
      <c r="C64" s="62" t="s">
        <v>493</v>
      </c>
      <c r="D64" s="63">
        <v>44263</v>
      </c>
      <c r="E64" s="63">
        <v>46234</v>
      </c>
      <c r="F64" s="62" t="s">
        <v>1958</v>
      </c>
      <c r="G64" s="62" t="s">
        <v>332</v>
      </c>
      <c r="H64" s="62" t="s">
        <v>351</v>
      </c>
      <c r="I64" s="64">
        <v>6139268.6900000004</v>
      </c>
      <c r="J64" s="62" t="s">
        <v>352</v>
      </c>
      <c r="K64" s="62" t="s">
        <v>351</v>
      </c>
      <c r="L64" s="65" t="s">
        <v>353</v>
      </c>
      <c r="M64" s="62" t="s">
        <v>356</v>
      </c>
      <c r="N64" s="62" t="s">
        <v>357</v>
      </c>
      <c r="O64" s="62" t="s">
        <v>358</v>
      </c>
      <c r="P64" s="62" t="s">
        <v>2421</v>
      </c>
      <c r="Q64" s="66" t="s">
        <v>1969</v>
      </c>
    </row>
    <row r="65" spans="1:17" x14ac:dyDescent="0.3">
      <c r="A65" s="61" t="s">
        <v>1998</v>
      </c>
      <c r="B65" s="62" t="s">
        <v>492</v>
      </c>
      <c r="C65" s="62" t="s">
        <v>493</v>
      </c>
      <c r="D65" s="63">
        <v>44263</v>
      </c>
      <c r="E65" s="63">
        <v>46234</v>
      </c>
      <c r="F65" s="62" t="s">
        <v>280</v>
      </c>
      <c r="G65" s="62" t="s">
        <v>410</v>
      </c>
      <c r="H65" s="62" t="s">
        <v>351</v>
      </c>
      <c r="I65" s="64">
        <v>6139268.6900000004</v>
      </c>
      <c r="J65" s="62" t="s">
        <v>352</v>
      </c>
      <c r="K65" s="62" t="s">
        <v>351</v>
      </c>
      <c r="L65" s="65" t="s">
        <v>353</v>
      </c>
      <c r="M65" s="62" t="s">
        <v>356</v>
      </c>
      <c r="N65" s="62" t="s">
        <v>357</v>
      </c>
      <c r="O65" s="62" t="s">
        <v>358</v>
      </c>
      <c r="P65" s="62" t="s">
        <v>2421</v>
      </c>
      <c r="Q65" s="66" t="s">
        <v>1969</v>
      </c>
    </row>
    <row r="66" spans="1:17" x14ac:dyDescent="0.3">
      <c r="A66" s="61" t="s">
        <v>1999</v>
      </c>
      <c r="B66" s="62" t="s">
        <v>556</v>
      </c>
      <c r="C66" s="62" t="s">
        <v>557</v>
      </c>
      <c r="D66" s="63">
        <v>44445</v>
      </c>
      <c r="E66" s="63">
        <v>46227</v>
      </c>
      <c r="F66" s="62" t="s">
        <v>1921</v>
      </c>
      <c r="G66" s="62" t="s">
        <v>484</v>
      </c>
      <c r="H66" s="62" t="s">
        <v>2420</v>
      </c>
      <c r="I66" s="64">
        <v>250000</v>
      </c>
      <c r="J66" s="62" t="s">
        <v>305</v>
      </c>
      <c r="K66" s="62" t="s">
        <v>377</v>
      </c>
      <c r="L66" s="65" t="s">
        <v>306</v>
      </c>
      <c r="M66" s="62" t="s">
        <v>346</v>
      </c>
      <c r="N66" s="62" t="s">
        <v>558</v>
      </c>
      <c r="O66" s="62" t="s">
        <v>426</v>
      </c>
      <c r="P66" s="62" t="s">
        <v>2421</v>
      </c>
      <c r="Q66" s="66" t="s">
        <v>1964</v>
      </c>
    </row>
    <row r="67" spans="1:17" x14ac:dyDescent="0.3">
      <c r="A67" s="61" t="s">
        <v>1999</v>
      </c>
      <c r="B67" s="62" t="s">
        <v>556</v>
      </c>
      <c r="C67" s="62" t="s">
        <v>557</v>
      </c>
      <c r="D67" s="63">
        <v>44445</v>
      </c>
      <c r="E67" s="63">
        <v>46227</v>
      </c>
      <c r="F67" s="62" t="s">
        <v>1921</v>
      </c>
      <c r="G67" s="62" t="s">
        <v>559</v>
      </c>
      <c r="H67" s="62" t="s">
        <v>2420</v>
      </c>
      <c r="I67" s="64">
        <v>250000</v>
      </c>
      <c r="J67" s="62" t="s">
        <v>305</v>
      </c>
      <c r="K67" s="62" t="s">
        <v>377</v>
      </c>
      <c r="L67" s="65" t="s">
        <v>306</v>
      </c>
      <c r="M67" s="62" t="s">
        <v>346</v>
      </c>
      <c r="N67" s="62" t="s">
        <v>558</v>
      </c>
      <c r="O67" s="62" t="s">
        <v>426</v>
      </c>
      <c r="P67" s="62" t="s">
        <v>2421</v>
      </c>
      <c r="Q67" s="66" t="s">
        <v>1964</v>
      </c>
    </row>
    <row r="68" spans="1:17" x14ac:dyDescent="0.3">
      <c r="A68" s="61" t="s">
        <v>1999</v>
      </c>
      <c r="B68" s="62" t="s">
        <v>556</v>
      </c>
      <c r="C68" s="62" t="s">
        <v>557</v>
      </c>
      <c r="D68" s="63">
        <v>44445</v>
      </c>
      <c r="E68" s="63">
        <v>46227</v>
      </c>
      <c r="F68" s="62" t="s">
        <v>1921</v>
      </c>
      <c r="G68" s="62" t="s">
        <v>487</v>
      </c>
      <c r="H68" s="62" t="s">
        <v>2420</v>
      </c>
      <c r="I68" s="64">
        <v>250000</v>
      </c>
      <c r="J68" s="62" t="s">
        <v>305</v>
      </c>
      <c r="K68" s="62" t="s">
        <v>377</v>
      </c>
      <c r="L68" s="65" t="s">
        <v>306</v>
      </c>
      <c r="M68" s="62" t="s">
        <v>346</v>
      </c>
      <c r="N68" s="62" t="s">
        <v>558</v>
      </c>
      <c r="O68" s="62" t="s">
        <v>426</v>
      </c>
      <c r="P68" s="62" t="s">
        <v>2421</v>
      </c>
      <c r="Q68" s="66" t="s">
        <v>1964</v>
      </c>
    </row>
    <row r="69" spans="1:17" x14ac:dyDescent="0.3">
      <c r="A69" s="61" t="s">
        <v>1999</v>
      </c>
      <c r="B69" s="62" t="s">
        <v>556</v>
      </c>
      <c r="C69" s="62" t="s">
        <v>557</v>
      </c>
      <c r="D69" s="63">
        <v>44445</v>
      </c>
      <c r="E69" s="63">
        <v>46227</v>
      </c>
      <c r="F69" s="62" t="s">
        <v>1921</v>
      </c>
      <c r="G69" s="62" t="s">
        <v>560</v>
      </c>
      <c r="H69" s="62" t="s">
        <v>2420</v>
      </c>
      <c r="I69" s="64">
        <v>250000</v>
      </c>
      <c r="J69" s="62" t="s">
        <v>305</v>
      </c>
      <c r="K69" s="62" t="s">
        <v>377</v>
      </c>
      <c r="L69" s="65" t="s">
        <v>353</v>
      </c>
      <c r="M69" s="62" t="s">
        <v>346</v>
      </c>
      <c r="N69" s="62" t="s">
        <v>558</v>
      </c>
      <c r="O69" s="62" t="s">
        <v>426</v>
      </c>
      <c r="P69" s="62" t="s">
        <v>2421</v>
      </c>
      <c r="Q69" s="66" t="s">
        <v>1964</v>
      </c>
    </row>
    <row r="70" spans="1:17" x14ac:dyDescent="0.3">
      <c r="A70" s="61" t="s">
        <v>1999</v>
      </c>
      <c r="B70" s="62" t="s">
        <v>556</v>
      </c>
      <c r="C70" s="62" t="s">
        <v>557</v>
      </c>
      <c r="D70" s="63">
        <v>44445</v>
      </c>
      <c r="E70" s="63">
        <v>46227</v>
      </c>
      <c r="F70" s="62" t="s">
        <v>1922</v>
      </c>
      <c r="G70" s="62" t="s">
        <v>349</v>
      </c>
      <c r="H70" s="62" t="s">
        <v>2420</v>
      </c>
      <c r="I70" s="64">
        <v>333333.33333333302</v>
      </c>
      <c r="J70" s="62" t="s">
        <v>305</v>
      </c>
      <c r="K70" s="62" t="s">
        <v>377</v>
      </c>
      <c r="L70" s="65" t="s">
        <v>353</v>
      </c>
      <c r="M70" s="62" t="s">
        <v>346</v>
      </c>
      <c r="N70" s="62" t="s">
        <v>558</v>
      </c>
      <c r="O70" s="62" t="s">
        <v>426</v>
      </c>
      <c r="P70" s="62" t="s">
        <v>2421</v>
      </c>
      <c r="Q70" s="66" t="s">
        <v>1964</v>
      </c>
    </row>
    <row r="71" spans="1:17" x14ac:dyDescent="0.3">
      <c r="A71" s="61" t="s">
        <v>1999</v>
      </c>
      <c r="B71" s="62" t="s">
        <v>556</v>
      </c>
      <c r="C71" s="62" t="s">
        <v>557</v>
      </c>
      <c r="D71" s="63">
        <v>44445</v>
      </c>
      <c r="E71" s="63">
        <v>46227</v>
      </c>
      <c r="F71" s="62" t="s">
        <v>1922</v>
      </c>
      <c r="G71" s="62" t="s">
        <v>387</v>
      </c>
      <c r="H71" s="62" t="s">
        <v>2420</v>
      </c>
      <c r="I71" s="64">
        <v>333333.33333333302</v>
      </c>
      <c r="J71" s="62" t="s">
        <v>305</v>
      </c>
      <c r="K71" s="62" t="s">
        <v>377</v>
      </c>
      <c r="L71" s="65" t="s">
        <v>353</v>
      </c>
      <c r="M71" s="62" t="s">
        <v>346</v>
      </c>
      <c r="N71" s="62" t="s">
        <v>558</v>
      </c>
      <c r="O71" s="62" t="s">
        <v>426</v>
      </c>
      <c r="P71" s="62" t="s">
        <v>2421</v>
      </c>
      <c r="Q71" s="66" t="s">
        <v>1964</v>
      </c>
    </row>
    <row r="72" spans="1:17" x14ac:dyDescent="0.3">
      <c r="A72" s="61" t="s">
        <v>1999</v>
      </c>
      <c r="B72" s="62" t="s">
        <v>556</v>
      </c>
      <c r="C72" s="62" t="s">
        <v>557</v>
      </c>
      <c r="D72" s="63">
        <v>44445</v>
      </c>
      <c r="E72" s="63">
        <v>46227</v>
      </c>
      <c r="F72" s="62" t="s">
        <v>1922</v>
      </c>
      <c r="G72" s="62" t="s">
        <v>553</v>
      </c>
      <c r="H72" s="62" t="s">
        <v>2420</v>
      </c>
      <c r="I72" s="64">
        <v>333333.33333333302</v>
      </c>
      <c r="J72" s="62" t="s">
        <v>305</v>
      </c>
      <c r="K72" s="62" t="s">
        <v>377</v>
      </c>
      <c r="L72" s="65" t="s">
        <v>353</v>
      </c>
      <c r="M72" s="62" t="s">
        <v>346</v>
      </c>
      <c r="N72" s="62" t="s">
        <v>558</v>
      </c>
      <c r="O72" s="62" t="s">
        <v>426</v>
      </c>
      <c r="P72" s="62" t="s">
        <v>2421</v>
      </c>
      <c r="Q72" s="66" t="s">
        <v>1964</v>
      </c>
    </row>
    <row r="73" spans="1:17" x14ac:dyDescent="0.3">
      <c r="A73" s="61" t="s">
        <v>1999</v>
      </c>
      <c r="B73" s="62" t="s">
        <v>556</v>
      </c>
      <c r="C73" s="62" t="s">
        <v>557</v>
      </c>
      <c r="D73" s="63">
        <v>44445</v>
      </c>
      <c r="E73" s="63">
        <v>46227</v>
      </c>
      <c r="F73" s="62" t="s">
        <v>1931</v>
      </c>
      <c r="G73" s="62" t="s">
        <v>281</v>
      </c>
      <c r="H73" s="62" t="s">
        <v>2420</v>
      </c>
      <c r="I73" s="64">
        <v>500000</v>
      </c>
      <c r="J73" s="62" t="s">
        <v>305</v>
      </c>
      <c r="K73" s="62" t="s">
        <v>377</v>
      </c>
      <c r="L73" s="65" t="s">
        <v>353</v>
      </c>
      <c r="M73" s="62" t="s">
        <v>346</v>
      </c>
      <c r="N73" s="62" t="s">
        <v>558</v>
      </c>
      <c r="O73" s="62" t="s">
        <v>426</v>
      </c>
      <c r="P73" s="62" t="s">
        <v>2421</v>
      </c>
      <c r="Q73" s="66" t="s">
        <v>1964</v>
      </c>
    </row>
    <row r="74" spans="1:17" x14ac:dyDescent="0.3">
      <c r="A74" s="61" t="s">
        <v>1999</v>
      </c>
      <c r="B74" s="62" t="s">
        <v>556</v>
      </c>
      <c r="C74" s="62" t="s">
        <v>557</v>
      </c>
      <c r="D74" s="63">
        <v>44445</v>
      </c>
      <c r="E74" s="63">
        <v>46227</v>
      </c>
      <c r="F74" s="62" t="s">
        <v>1931</v>
      </c>
      <c r="G74" s="62" t="s">
        <v>344</v>
      </c>
      <c r="H74" s="62" t="s">
        <v>2420</v>
      </c>
      <c r="I74" s="64">
        <v>500000</v>
      </c>
      <c r="J74" s="62" t="s">
        <v>305</v>
      </c>
      <c r="K74" s="62" t="s">
        <v>377</v>
      </c>
      <c r="L74" s="65" t="s">
        <v>353</v>
      </c>
      <c r="M74" s="62" t="s">
        <v>346</v>
      </c>
      <c r="N74" s="62" t="s">
        <v>558</v>
      </c>
      <c r="O74" s="62" t="s">
        <v>426</v>
      </c>
      <c r="P74" s="62" t="s">
        <v>2421</v>
      </c>
      <c r="Q74" s="66" t="s">
        <v>1964</v>
      </c>
    </row>
    <row r="75" spans="1:17" x14ac:dyDescent="0.3">
      <c r="A75" s="61" t="s">
        <v>1999</v>
      </c>
      <c r="B75" s="62" t="s">
        <v>556</v>
      </c>
      <c r="C75" s="62" t="s">
        <v>557</v>
      </c>
      <c r="D75" s="63">
        <v>44445</v>
      </c>
      <c r="E75" s="63">
        <v>46227</v>
      </c>
      <c r="F75" s="62" t="s">
        <v>1940</v>
      </c>
      <c r="G75" s="62" t="s">
        <v>561</v>
      </c>
      <c r="H75" s="62" t="s">
        <v>2420</v>
      </c>
      <c r="I75" s="64">
        <v>500000</v>
      </c>
      <c r="J75" s="62" t="s">
        <v>305</v>
      </c>
      <c r="K75" s="62" t="s">
        <v>377</v>
      </c>
      <c r="L75" s="65" t="s">
        <v>353</v>
      </c>
      <c r="M75" s="62" t="s">
        <v>346</v>
      </c>
      <c r="N75" s="62" t="s">
        <v>558</v>
      </c>
      <c r="O75" s="62" t="s">
        <v>426</v>
      </c>
      <c r="P75" s="62" t="s">
        <v>2421</v>
      </c>
      <c r="Q75" s="66" t="s">
        <v>1964</v>
      </c>
    </row>
    <row r="76" spans="1:17" x14ac:dyDescent="0.3">
      <c r="A76" s="61" t="s">
        <v>1999</v>
      </c>
      <c r="B76" s="62" t="s">
        <v>556</v>
      </c>
      <c r="C76" s="62" t="s">
        <v>557</v>
      </c>
      <c r="D76" s="63">
        <v>44445</v>
      </c>
      <c r="E76" s="63">
        <v>46227</v>
      </c>
      <c r="F76" s="62" t="s">
        <v>1940</v>
      </c>
      <c r="G76" s="62" t="s">
        <v>451</v>
      </c>
      <c r="H76" s="62" t="s">
        <v>2420</v>
      </c>
      <c r="I76" s="64">
        <v>500000</v>
      </c>
      <c r="J76" s="62" t="s">
        <v>305</v>
      </c>
      <c r="K76" s="62" t="s">
        <v>377</v>
      </c>
      <c r="L76" s="65" t="s">
        <v>353</v>
      </c>
      <c r="M76" s="62" t="s">
        <v>346</v>
      </c>
      <c r="N76" s="62" t="s">
        <v>558</v>
      </c>
      <c r="O76" s="62" t="s">
        <v>426</v>
      </c>
      <c r="P76" s="62" t="s">
        <v>2421</v>
      </c>
      <c r="Q76" s="66" t="s">
        <v>1964</v>
      </c>
    </row>
    <row r="77" spans="1:17" x14ac:dyDescent="0.3">
      <c r="A77" s="61" t="s">
        <v>1999</v>
      </c>
      <c r="B77" s="62" t="s">
        <v>556</v>
      </c>
      <c r="C77" s="62" t="s">
        <v>557</v>
      </c>
      <c r="D77" s="63">
        <v>44445</v>
      </c>
      <c r="E77" s="63">
        <v>46227</v>
      </c>
      <c r="F77" s="62" t="s">
        <v>1943</v>
      </c>
      <c r="G77" s="62" t="s">
        <v>452</v>
      </c>
      <c r="H77" s="62" t="s">
        <v>2420</v>
      </c>
      <c r="I77" s="64">
        <v>500000</v>
      </c>
      <c r="J77" s="62" t="s">
        <v>305</v>
      </c>
      <c r="K77" s="62" t="s">
        <v>377</v>
      </c>
      <c r="L77" s="65" t="s">
        <v>353</v>
      </c>
      <c r="M77" s="62" t="s">
        <v>346</v>
      </c>
      <c r="N77" s="62" t="s">
        <v>558</v>
      </c>
      <c r="O77" s="62" t="s">
        <v>426</v>
      </c>
      <c r="P77" s="62" t="s">
        <v>2421</v>
      </c>
      <c r="Q77" s="66" t="s">
        <v>1964</v>
      </c>
    </row>
    <row r="78" spans="1:17" x14ac:dyDescent="0.3">
      <c r="A78" s="61" t="s">
        <v>1999</v>
      </c>
      <c r="B78" s="62" t="s">
        <v>556</v>
      </c>
      <c r="C78" s="62" t="s">
        <v>557</v>
      </c>
      <c r="D78" s="63">
        <v>44445</v>
      </c>
      <c r="E78" s="63">
        <v>46227</v>
      </c>
      <c r="F78" s="62" t="s">
        <v>1943</v>
      </c>
      <c r="G78" s="62" t="s">
        <v>562</v>
      </c>
      <c r="H78" s="62" t="s">
        <v>2420</v>
      </c>
      <c r="I78" s="64">
        <v>500000</v>
      </c>
      <c r="J78" s="62" t="s">
        <v>305</v>
      </c>
      <c r="K78" s="62" t="s">
        <v>377</v>
      </c>
      <c r="L78" s="65" t="s">
        <v>353</v>
      </c>
      <c r="M78" s="62" t="s">
        <v>346</v>
      </c>
      <c r="N78" s="62" t="s">
        <v>558</v>
      </c>
      <c r="O78" s="62" t="s">
        <v>426</v>
      </c>
      <c r="P78" s="62" t="s">
        <v>2421</v>
      </c>
      <c r="Q78" s="66" t="s">
        <v>1964</v>
      </c>
    </row>
    <row r="79" spans="1:17" x14ac:dyDescent="0.3">
      <c r="A79" s="61" t="s">
        <v>1999</v>
      </c>
      <c r="B79" s="62" t="s">
        <v>556</v>
      </c>
      <c r="C79" s="62" t="s">
        <v>557</v>
      </c>
      <c r="D79" s="63">
        <v>44445</v>
      </c>
      <c r="E79" s="63">
        <v>46227</v>
      </c>
      <c r="F79" s="62" t="s">
        <v>1930</v>
      </c>
      <c r="G79" s="62" t="s">
        <v>563</v>
      </c>
      <c r="H79" s="62" t="s">
        <v>2420</v>
      </c>
      <c r="I79" s="64">
        <v>500000</v>
      </c>
      <c r="J79" s="62" t="s">
        <v>305</v>
      </c>
      <c r="K79" s="62" t="s">
        <v>377</v>
      </c>
      <c r="L79" s="65" t="s">
        <v>353</v>
      </c>
      <c r="M79" s="62" t="s">
        <v>346</v>
      </c>
      <c r="N79" s="62" t="s">
        <v>558</v>
      </c>
      <c r="O79" s="62" t="s">
        <v>426</v>
      </c>
      <c r="P79" s="62" t="s">
        <v>2421</v>
      </c>
      <c r="Q79" s="66" t="s">
        <v>1964</v>
      </c>
    </row>
    <row r="80" spans="1:17" x14ac:dyDescent="0.3">
      <c r="A80" s="61" t="s">
        <v>1999</v>
      </c>
      <c r="B80" s="62" t="s">
        <v>556</v>
      </c>
      <c r="C80" s="62" t="s">
        <v>557</v>
      </c>
      <c r="D80" s="63">
        <v>44445</v>
      </c>
      <c r="E80" s="63">
        <v>46227</v>
      </c>
      <c r="F80" s="62" t="s">
        <v>1930</v>
      </c>
      <c r="G80" s="62" t="s">
        <v>453</v>
      </c>
      <c r="H80" s="62" t="s">
        <v>2420</v>
      </c>
      <c r="I80" s="64">
        <v>500000</v>
      </c>
      <c r="J80" s="62" t="s">
        <v>305</v>
      </c>
      <c r="K80" s="62" t="s">
        <v>377</v>
      </c>
      <c r="L80" s="65" t="s">
        <v>353</v>
      </c>
      <c r="M80" s="62" t="s">
        <v>346</v>
      </c>
      <c r="N80" s="62" t="s">
        <v>558</v>
      </c>
      <c r="O80" s="62" t="s">
        <v>426</v>
      </c>
      <c r="P80" s="62" t="s">
        <v>2421</v>
      </c>
      <c r="Q80" s="66" t="s">
        <v>1964</v>
      </c>
    </row>
    <row r="81" spans="1:17" x14ac:dyDescent="0.3">
      <c r="A81" s="61" t="s">
        <v>1999</v>
      </c>
      <c r="B81" s="62" t="s">
        <v>556</v>
      </c>
      <c r="C81" s="62" t="s">
        <v>557</v>
      </c>
      <c r="D81" s="63">
        <v>44445</v>
      </c>
      <c r="E81" s="63">
        <v>46227</v>
      </c>
      <c r="F81" s="62" t="s">
        <v>280</v>
      </c>
      <c r="G81" s="62" t="s">
        <v>280</v>
      </c>
      <c r="H81" s="62" t="s">
        <v>2420</v>
      </c>
      <c r="I81" s="64">
        <v>500000</v>
      </c>
      <c r="J81" s="62" t="s">
        <v>305</v>
      </c>
      <c r="K81" s="62" t="s">
        <v>377</v>
      </c>
      <c r="L81" s="65" t="s">
        <v>353</v>
      </c>
      <c r="M81" s="62" t="s">
        <v>346</v>
      </c>
      <c r="N81" s="62" t="s">
        <v>558</v>
      </c>
      <c r="O81" s="62" t="s">
        <v>426</v>
      </c>
      <c r="P81" s="62" t="s">
        <v>2421</v>
      </c>
      <c r="Q81" s="66" t="s">
        <v>1964</v>
      </c>
    </row>
    <row r="82" spans="1:17" x14ac:dyDescent="0.3">
      <c r="A82" s="61" t="s">
        <v>1999</v>
      </c>
      <c r="B82" s="62" t="s">
        <v>556</v>
      </c>
      <c r="C82" s="62" t="s">
        <v>557</v>
      </c>
      <c r="D82" s="63">
        <v>44445</v>
      </c>
      <c r="E82" s="63">
        <v>46227</v>
      </c>
      <c r="F82" s="62" t="s">
        <v>280</v>
      </c>
      <c r="G82" s="62" t="s">
        <v>409</v>
      </c>
      <c r="H82" s="62" t="s">
        <v>2420</v>
      </c>
      <c r="I82" s="64">
        <v>500000</v>
      </c>
      <c r="J82" s="62" t="s">
        <v>305</v>
      </c>
      <c r="K82" s="62" t="s">
        <v>377</v>
      </c>
      <c r="L82" s="65" t="s">
        <v>353</v>
      </c>
      <c r="M82" s="62" t="s">
        <v>346</v>
      </c>
      <c r="N82" s="62" t="s">
        <v>558</v>
      </c>
      <c r="O82" s="62" t="s">
        <v>426</v>
      </c>
      <c r="P82" s="62" t="s">
        <v>2421</v>
      </c>
      <c r="Q82" s="66" t="s">
        <v>1964</v>
      </c>
    </row>
    <row r="83" spans="1:17" x14ac:dyDescent="0.3">
      <c r="A83" s="61" t="s">
        <v>1999</v>
      </c>
      <c r="B83" s="62" t="s">
        <v>556</v>
      </c>
      <c r="C83" s="62" t="s">
        <v>557</v>
      </c>
      <c r="D83" s="63">
        <v>44445</v>
      </c>
      <c r="E83" s="63">
        <v>46227</v>
      </c>
      <c r="F83" s="62" t="s">
        <v>282</v>
      </c>
      <c r="G83" s="62" t="s">
        <v>283</v>
      </c>
      <c r="H83" s="62" t="s">
        <v>2420</v>
      </c>
      <c r="I83" s="64">
        <v>1000000</v>
      </c>
      <c r="J83" s="62" t="s">
        <v>305</v>
      </c>
      <c r="K83" s="62" t="s">
        <v>377</v>
      </c>
      <c r="L83" s="65" t="s">
        <v>353</v>
      </c>
      <c r="M83" s="62" t="s">
        <v>346</v>
      </c>
      <c r="N83" s="62" t="s">
        <v>558</v>
      </c>
      <c r="O83" s="62" t="s">
        <v>426</v>
      </c>
      <c r="P83" s="62" t="s">
        <v>2421</v>
      </c>
      <c r="Q83" s="66" t="s">
        <v>1964</v>
      </c>
    </row>
    <row r="84" spans="1:17" x14ac:dyDescent="0.3">
      <c r="A84" s="61" t="s">
        <v>1999</v>
      </c>
      <c r="B84" s="62" t="s">
        <v>556</v>
      </c>
      <c r="C84" s="62" t="s">
        <v>557</v>
      </c>
      <c r="D84" s="63">
        <v>44445</v>
      </c>
      <c r="E84" s="63">
        <v>46227</v>
      </c>
      <c r="F84" s="62" t="s">
        <v>1935</v>
      </c>
      <c r="G84" s="62" t="s">
        <v>564</v>
      </c>
      <c r="H84" s="62" t="s">
        <v>2420</v>
      </c>
      <c r="I84" s="64">
        <v>1000000</v>
      </c>
      <c r="J84" s="62" t="s">
        <v>305</v>
      </c>
      <c r="K84" s="62" t="s">
        <v>377</v>
      </c>
      <c r="L84" s="65" t="s">
        <v>353</v>
      </c>
      <c r="M84" s="62" t="s">
        <v>346</v>
      </c>
      <c r="N84" s="62" t="s">
        <v>558</v>
      </c>
      <c r="O84" s="62" t="s">
        <v>426</v>
      </c>
      <c r="P84" s="62" t="s">
        <v>2421</v>
      </c>
      <c r="Q84" s="66" t="s">
        <v>1964</v>
      </c>
    </row>
    <row r="85" spans="1:17" x14ac:dyDescent="0.3">
      <c r="A85" s="61" t="s">
        <v>1999</v>
      </c>
      <c r="B85" s="62" t="s">
        <v>556</v>
      </c>
      <c r="C85" s="62" t="s">
        <v>557</v>
      </c>
      <c r="D85" s="63">
        <v>44445</v>
      </c>
      <c r="E85" s="63">
        <v>46227</v>
      </c>
      <c r="F85" s="62" t="s">
        <v>289</v>
      </c>
      <c r="G85" s="62" t="s">
        <v>565</v>
      </c>
      <c r="H85" s="62" t="s">
        <v>2420</v>
      </c>
      <c r="I85" s="64">
        <v>1000000</v>
      </c>
      <c r="J85" s="62" t="s">
        <v>305</v>
      </c>
      <c r="K85" s="62" t="s">
        <v>377</v>
      </c>
      <c r="L85" s="65" t="s">
        <v>306</v>
      </c>
      <c r="M85" s="62" t="s">
        <v>346</v>
      </c>
      <c r="N85" s="62" t="s">
        <v>558</v>
      </c>
      <c r="O85" s="62" t="s">
        <v>426</v>
      </c>
      <c r="P85" s="62" t="s">
        <v>2421</v>
      </c>
      <c r="Q85" s="66" t="s">
        <v>1964</v>
      </c>
    </row>
    <row r="86" spans="1:17" x14ac:dyDescent="0.3">
      <c r="A86" s="61" t="s">
        <v>1999</v>
      </c>
      <c r="B86" s="62" t="s">
        <v>556</v>
      </c>
      <c r="C86" s="62" t="s">
        <v>557</v>
      </c>
      <c r="D86" s="63">
        <v>44445</v>
      </c>
      <c r="E86" s="63">
        <v>46227</v>
      </c>
      <c r="F86" s="62" t="s">
        <v>348</v>
      </c>
      <c r="G86" s="62" t="s">
        <v>348</v>
      </c>
      <c r="H86" s="62" t="s">
        <v>2420</v>
      </c>
      <c r="I86" s="64">
        <v>1000000</v>
      </c>
      <c r="J86" s="62" t="s">
        <v>305</v>
      </c>
      <c r="K86" s="62" t="s">
        <v>377</v>
      </c>
      <c r="L86" s="65" t="s">
        <v>306</v>
      </c>
      <c r="M86" s="62" t="s">
        <v>346</v>
      </c>
      <c r="N86" s="62" t="s">
        <v>558</v>
      </c>
      <c r="O86" s="62" t="s">
        <v>426</v>
      </c>
      <c r="P86" s="62" t="s">
        <v>2421</v>
      </c>
      <c r="Q86" s="66" t="s">
        <v>1964</v>
      </c>
    </row>
    <row r="87" spans="1:17" x14ac:dyDescent="0.3">
      <c r="A87" s="61" t="s">
        <v>1999</v>
      </c>
      <c r="B87" s="62" t="s">
        <v>556</v>
      </c>
      <c r="C87" s="62" t="s">
        <v>557</v>
      </c>
      <c r="D87" s="63">
        <v>44445</v>
      </c>
      <c r="E87" s="63">
        <v>46227</v>
      </c>
      <c r="F87" s="62" t="s">
        <v>1937</v>
      </c>
      <c r="G87" s="62" t="s">
        <v>566</v>
      </c>
      <c r="H87" s="62" t="s">
        <v>2420</v>
      </c>
      <c r="I87" s="64">
        <v>1000000</v>
      </c>
      <c r="J87" s="62" t="s">
        <v>305</v>
      </c>
      <c r="K87" s="62" t="s">
        <v>377</v>
      </c>
      <c r="L87" s="65" t="s">
        <v>306</v>
      </c>
      <c r="M87" s="62" t="s">
        <v>346</v>
      </c>
      <c r="N87" s="62" t="s">
        <v>558</v>
      </c>
      <c r="O87" s="62" t="s">
        <v>426</v>
      </c>
      <c r="P87" s="62" t="s">
        <v>2421</v>
      </c>
      <c r="Q87" s="66" t="s">
        <v>1964</v>
      </c>
    </row>
    <row r="88" spans="1:17" x14ac:dyDescent="0.3">
      <c r="A88" s="61" t="s">
        <v>1999</v>
      </c>
      <c r="B88" s="62" t="s">
        <v>556</v>
      </c>
      <c r="C88" s="62" t="s">
        <v>557</v>
      </c>
      <c r="D88" s="63">
        <v>44445</v>
      </c>
      <c r="E88" s="63">
        <v>46227</v>
      </c>
      <c r="F88" s="62" t="s">
        <v>288</v>
      </c>
      <c r="G88" s="62" t="s">
        <v>454</v>
      </c>
      <c r="H88" s="62" t="s">
        <v>2420</v>
      </c>
      <c r="I88" s="64">
        <v>1000000</v>
      </c>
      <c r="J88" s="62" t="s">
        <v>305</v>
      </c>
      <c r="K88" s="62" t="s">
        <v>377</v>
      </c>
      <c r="L88" s="65" t="s">
        <v>306</v>
      </c>
      <c r="M88" s="62" t="s">
        <v>346</v>
      </c>
      <c r="N88" s="62" t="s">
        <v>558</v>
      </c>
      <c r="O88" s="62" t="s">
        <v>426</v>
      </c>
      <c r="P88" s="62" t="s">
        <v>2421</v>
      </c>
      <c r="Q88" s="66" t="s">
        <v>1964</v>
      </c>
    </row>
    <row r="89" spans="1:17" x14ac:dyDescent="0.3">
      <c r="A89" s="61" t="s">
        <v>1999</v>
      </c>
      <c r="B89" s="62" t="s">
        <v>556</v>
      </c>
      <c r="C89" s="62" t="s">
        <v>557</v>
      </c>
      <c r="D89" s="63">
        <v>44445</v>
      </c>
      <c r="E89" s="63">
        <v>46227</v>
      </c>
      <c r="F89" s="62" t="s">
        <v>1960</v>
      </c>
      <c r="G89" s="62" t="s">
        <v>567</v>
      </c>
      <c r="H89" s="62" t="s">
        <v>2420</v>
      </c>
      <c r="I89" s="64">
        <v>1000000</v>
      </c>
      <c r="J89" s="62" t="s">
        <v>305</v>
      </c>
      <c r="K89" s="62" t="s">
        <v>377</v>
      </c>
      <c r="L89" s="65" t="s">
        <v>306</v>
      </c>
      <c r="M89" s="62" t="s">
        <v>346</v>
      </c>
      <c r="N89" s="62" t="s">
        <v>558</v>
      </c>
      <c r="O89" s="62" t="s">
        <v>426</v>
      </c>
      <c r="P89" s="62" t="s">
        <v>2421</v>
      </c>
      <c r="Q89" s="66" t="s">
        <v>1964</v>
      </c>
    </row>
    <row r="90" spans="1:17" x14ac:dyDescent="0.3">
      <c r="A90" s="61" t="s">
        <v>1999</v>
      </c>
      <c r="B90" s="62" t="s">
        <v>556</v>
      </c>
      <c r="C90" s="62" t="s">
        <v>557</v>
      </c>
      <c r="D90" s="63">
        <v>44445</v>
      </c>
      <c r="E90" s="63">
        <v>46227</v>
      </c>
      <c r="F90" s="62" t="s">
        <v>1945</v>
      </c>
      <c r="G90" s="62" t="s">
        <v>555</v>
      </c>
      <c r="H90" s="62" t="s">
        <v>2420</v>
      </c>
      <c r="I90" s="64">
        <v>1000000</v>
      </c>
      <c r="J90" s="62" t="s">
        <v>305</v>
      </c>
      <c r="K90" s="62" t="s">
        <v>377</v>
      </c>
      <c r="L90" s="65" t="s">
        <v>306</v>
      </c>
      <c r="M90" s="62" t="s">
        <v>346</v>
      </c>
      <c r="N90" s="62" t="s">
        <v>558</v>
      </c>
      <c r="O90" s="62" t="s">
        <v>426</v>
      </c>
      <c r="P90" s="62" t="s">
        <v>2421</v>
      </c>
      <c r="Q90" s="66" t="s">
        <v>1964</v>
      </c>
    </row>
    <row r="91" spans="1:17" x14ac:dyDescent="0.3">
      <c r="A91" s="61" t="s">
        <v>1999</v>
      </c>
      <c r="B91" s="62" t="s">
        <v>556</v>
      </c>
      <c r="C91" s="62" t="s">
        <v>557</v>
      </c>
      <c r="D91" s="63">
        <v>44445</v>
      </c>
      <c r="E91" s="63">
        <v>46227</v>
      </c>
      <c r="F91" s="62" t="s">
        <v>1921</v>
      </c>
      <c r="G91" s="62" t="s">
        <v>484</v>
      </c>
      <c r="H91" s="62" t="s">
        <v>2422</v>
      </c>
      <c r="I91" s="64">
        <v>361666.66666666698</v>
      </c>
      <c r="J91" s="62" t="s">
        <v>568</v>
      </c>
      <c r="K91" s="62" t="s">
        <v>377</v>
      </c>
      <c r="L91" s="65" t="s">
        <v>306</v>
      </c>
      <c r="M91" s="62" t="s">
        <v>346</v>
      </c>
      <c r="N91" s="62" t="s">
        <v>558</v>
      </c>
      <c r="O91" s="62" t="s">
        <v>426</v>
      </c>
      <c r="P91" s="62" t="s">
        <v>2421</v>
      </c>
      <c r="Q91" s="66" t="s">
        <v>1964</v>
      </c>
    </row>
    <row r="92" spans="1:17" x14ac:dyDescent="0.3">
      <c r="A92" s="61" t="s">
        <v>1999</v>
      </c>
      <c r="B92" s="62" t="s">
        <v>556</v>
      </c>
      <c r="C92" s="62" t="s">
        <v>557</v>
      </c>
      <c r="D92" s="63">
        <v>44445</v>
      </c>
      <c r="E92" s="63">
        <v>46227</v>
      </c>
      <c r="F92" s="62" t="s">
        <v>1921</v>
      </c>
      <c r="G92" s="62" t="s">
        <v>559</v>
      </c>
      <c r="H92" s="62" t="s">
        <v>2422</v>
      </c>
      <c r="I92" s="64">
        <v>361666.66666666698</v>
      </c>
      <c r="J92" s="62" t="s">
        <v>568</v>
      </c>
      <c r="K92" s="62" t="s">
        <v>377</v>
      </c>
      <c r="L92" s="65" t="s">
        <v>306</v>
      </c>
      <c r="M92" s="62" t="s">
        <v>346</v>
      </c>
      <c r="N92" s="62" t="s">
        <v>558</v>
      </c>
      <c r="O92" s="62" t="s">
        <v>426</v>
      </c>
      <c r="P92" s="62" t="s">
        <v>2421</v>
      </c>
      <c r="Q92" s="66" t="s">
        <v>1964</v>
      </c>
    </row>
    <row r="93" spans="1:17" x14ac:dyDescent="0.3">
      <c r="A93" s="61" t="s">
        <v>1999</v>
      </c>
      <c r="B93" s="62" t="s">
        <v>556</v>
      </c>
      <c r="C93" s="62" t="s">
        <v>557</v>
      </c>
      <c r="D93" s="63">
        <v>44445</v>
      </c>
      <c r="E93" s="63">
        <v>46227</v>
      </c>
      <c r="F93" s="62" t="s">
        <v>1921</v>
      </c>
      <c r="G93" s="62" t="s">
        <v>487</v>
      </c>
      <c r="H93" s="62" t="s">
        <v>2422</v>
      </c>
      <c r="I93" s="64">
        <v>361666.66666666698</v>
      </c>
      <c r="J93" s="62" t="s">
        <v>568</v>
      </c>
      <c r="K93" s="62" t="s">
        <v>377</v>
      </c>
      <c r="L93" s="65" t="s">
        <v>306</v>
      </c>
      <c r="M93" s="62" t="s">
        <v>346</v>
      </c>
      <c r="N93" s="62" t="s">
        <v>558</v>
      </c>
      <c r="O93" s="62" t="s">
        <v>426</v>
      </c>
      <c r="P93" s="62" t="s">
        <v>2421</v>
      </c>
      <c r="Q93" s="66" t="s">
        <v>1964</v>
      </c>
    </row>
    <row r="94" spans="1:17" x14ac:dyDescent="0.3">
      <c r="A94" s="61" t="s">
        <v>1999</v>
      </c>
      <c r="B94" s="62" t="s">
        <v>556</v>
      </c>
      <c r="C94" s="62" t="s">
        <v>557</v>
      </c>
      <c r="D94" s="63">
        <v>44445</v>
      </c>
      <c r="E94" s="63">
        <v>46227</v>
      </c>
      <c r="F94" s="62" t="s">
        <v>1921</v>
      </c>
      <c r="G94" s="62" t="s">
        <v>560</v>
      </c>
      <c r="H94" s="62" t="s">
        <v>2422</v>
      </c>
      <c r="I94" s="64">
        <v>361666.66666666698</v>
      </c>
      <c r="J94" s="62" t="s">
        <v>568</v>
      </c>
      <c r="K94" s="62" t="s">
        <v>377</v>
      </c>
      <c r="L94" s="65" t="s">
        <v>306</v>
      </c>
      <c r="M94" s="62" t="s">
        <v>346</v>
      </c>
      <c r="N94" s="62" t="s">
        <v>558</v>
      </c>
      <c r="O94" s="62" t="s">
        <v>426</v>
      </c>
      <c r="P94" s="62" t="s">
        <v>2421</v>
      </c>
      <c r="Q94" s="66" t="s">
        <v>1964</v>
      </c>
    </row>
    <row r="95" spans="1:17" x14ac:dyDescent="0.3">
      <c r="A95" s="61" t="s">
        <v>1999</v>
      </c>
      <c r="B95" s="62" t="s">
        <v>556</v>
      </c>
      <c r="C95" s="62" t="s">
        <v>557</v>
      </c>
      <c r="D95" s="63">
        <v>44445</v>
      </c>
      <c r="E95" s="63">
        <v>46227</v>
      </c>
      <c r="F95" s="62" t="s">
        <v>1922</v>
      </c>
      <c r="G95" s="62" t="s">
        <v>349</v>
      </c>
      <c r="H95" s="62" t="s">
        <v>2422</v>
      </c>
      <c r="I95" s="64">
        <v>482222.22222222202</v>
      </c>
      <c r="J95" s="62" t="s">
        <v>568</v>
      </c>
      <c r="K95" s="62" t="s">
        <v>377</v>
      </c>
      <c r="L95" s="65" t="s">
        <v>306</v>
      </c>
      <c r="M95" s="62" t="s">
        <v>346</v>
      </c>
      <c r="N95" s="62" t="s">
        <v>558</v>
      </c>
      <c r="O95" s="62" t="s">
        <v>426</v>
      </c>
      <c r="P95" s="62" t="s">
        <v>2421</v>
      </c>
      <c r="Q95" s="66" t="s">
        <v>1964</v>
      </c>
    </row>
    <row r="96" spans="1:17" x14ac:dyDescent="0.3">
      <c r="A96" s="61" t="s">
        <v>1999</v>
      </c>
      <c r="B96" s="62" t="s">
        <v>556</v>
      </c>
      <c r="C96" s="62" t="s">
        <v>557</v>
      </c>
      <c r="D96" s="63">
        <v>44445</v>
      </c>
      <c r="E96" s="63">
        <v>46227</v>
      </c>
      <c r="F96" s="62" t="s">
        <v>1922</v>
      </c>
      <c r="G96" s="62" t="s">
        <v>387</v>
      </c>
      <c r="H96" s="62" t="s">
        <v>2422</v>
      </c>
      <c r="I96" s="64">
        <v>482222.22222222202</v>
      </c>
      <c r="J96" s="62" t="s">
        <v>568</v>
      </c>
      <c r="K96" s="62" t="s">
        <v>377</v>
      </c>
      <c r="L96" s="65" t="s">
        <v>306</v>
      </c>
      <c r="M96" s="62" t="s">
        <v>346</v>
      </c>
      <c r="N96" s="62" t="s">
        <v>558</v>
      </c>
      <c r="O96" s="62" t="s">
        <v>426</v>
      </c>
      <c r="P96" s="62" t="s">
        <v>2421</v>
      </c>
      <c r="Q96" s="66" t="s">
        <v>1964</v>
      </c>
    </row>
    <row r="97" spans="1:17" x14ac:dyDescent="0.3">
      <c r="A97" s="61" t="s">
        <v>1999</v>
      </c>
      <c r="B97" s="62" t="s">
        <v>556</v>
      </c>
      <c r="C97" s="62" t="s">
        <v>557</v>
      </c>
      <c r="D97" s="63">
        <v>44445</v>
      </c>
      <c r="E97" s="63">
        <v>46227</v>
      </c>
      <c r="F97" s="62" t="s">
        <v>1922</v>
      </c>
      <c r="G97" s="62" t="s">
        <v>553</v>
      </c>
      <c r="H97" s="62" t="s">
        <v>2422</v>
      </c>
      <c r="I97" s="64">
        <v>482222.22222222202</v>
      </c>
      <c r="J97" s="62" t="s">
        <v>568</v>
      </c>
      <c r="K97" s="62" t="s">
        <v>377</v>
      </c>
      <c r="L97" s="65" t="s">
        <v>306</v>
      </c>
      <c r="M97" s="62" t="s">
        <v>346</v>
      </c>
      <c r="N97" s="62" t="s">
        <v>558</v>
      </c>
      <c r="O97" s="62" t="s">
        <v>426</v>
      </c>
      <c r="P97" s="62" t="s">
        <v>2421</v>
      </c>
      <c r="Q97" s="66" t="s">
        <v>1964</v>
      </c>
    </row>
    <row r="98" spans="1:17" x14ac:dyDescent="0.3">
      <c r="A98" s="61" t="s">
        <v>1999</v>
      </c>
      <c r="B98" s="62" t="s">
        <v>556</v>
      </c>
      <c r="C98" s="62" t="s">
        <v>557</v>
      </c>
      <c r="D98" s="63">
        <v>44445</v>
      </c>
      <c r="E98" s="63">
        <v>46227</v>
      </c>
      <c r="F98" s="62" t="s">
        <v>1931</v>
      </c>
      <c r="G98" s="62" t="s">
        <v>281</v>
      </c>
      <c r="H98" s="62" t="s">
        <v>2422</v>
      </c>
      <c r="I98" s="64">
        <v>723333.33333333302</v>
      </c>
      <c r="J98" s="62" t="s">
        <v>568</v>
      </c>
      <c r="K98" s="62" t="s">
        <v>377</v>
      </c>
      <c r="L98" s="65" t="s">
        <v>306</v>
      </c>
      <c r="M98" s="62" t="s">
        <v>346</v>
      </c>
      <c r="N98" s="62" t="s">
        <v>558</v>
      </c>
      <c r="O98" s="62" t="s">
        <v>426</v>
      </c>
      <c r="P98" s="62" t="s">
        <v>2421</v>
      </c>
      <c r="Q98" s="66" t="s">
        <v>1964</v>
      </c>
    </row>
    <row r="99" spans="1:17" x14ac:dyDescent="0.3">
      <c r="A99" s="61" t="s">
        <v>1999</v>
      </c>
      <c r="B99" s="62" t="s">
        <v>556</v>
      </c>
      <c r="C99" s="62" t="s">
        <v>557</v>
      </c>
      <c r="D99" s="63">
        <v>44445</v>
      </c>
      <c r="E99" s="63">
        <v>46227</v>
      </c>
      <c r="F99" s="62" t="s">
        <v>1931</v>
      </c>
      <c r="G99" s="62" t="s">
        <v>344</v>
      </c>
      <c r="H99" s="62" t="s">
        <v>2422</v>
      </c>
      <c r="I99" s="64">
        <v>723333.33333333302</v>
      </c>
      <c r="J99" s="62" t="s">
        <v>568</v>
      </c>
      <c r="K99" s="62" t="s">
        <v>377</v>
      </c>
      <c r="L99" s="65" t="s">
        <v>306</v>
      </c>
      <c r="M99" s="62" t="s">
        <v>346</v>
      </c>
      <c r="N99" s="62" t="s">
        <v>558</v>
      </c>
      <c r="O99" s="62" t="s">
        <v>426</v>
      </c>
      <c r="P99" s="62" t="s">
        <v>2421</v>
      </c>
      <c r="Q99" s="66" t="s">
        <v>1964</v>
      </c>
    </row>
    <row r="100" spans="1:17" x14ac:dyDescent="0.3">
      <c r="A100" s="61" t="s">
        <v>1999</v>
      </c>
      <c r="B100" s="62" t="s">
        <v>556</v>
      </c>
      <c r="C100" s="62" t="s">
        <v>557</v>
      </c>
      <c r="D100" s="63">
        <v>44445</v>
      </c>
      <c r="E100" s="63">
        <v>46227</v>
      </c>
      <c r="F100" s="62" t="s">
        <v>1940</v>
      </c>
      <c r="G100" s="62" t="s">
        <v>561</v>
      </c>
      <c r="H100" s="62" t="s">
        <v>2422</v>
      </c>
      <c r="I100" s="64">
        <v>723333.33333333302</v>
      </c>
      <c r="J100" s="62" t="s">
        <v>568</v>
      </c>
      <c r="K100" s="62" t="s">
        <v>377</v>
      </c>
      <c r="L100" s="65" t="s">
        <v>306</v>
      </c>
      <c r="M100" s="62" t="s">
        <v>346</v>
      </c>
      <c r="N100" s="62" t="s">
        <v>558</v>
      </c>
      <c r="O100" s="62" t="s">
        <v>426</v>
      </c>
      <c r="P100" s="62" t="s">
        <v>2421</v>
      </c>
      <c r="Q100" s="66" t="s">
        <v>1964</v>
      </c>
    </row>
    <row r="101" spans="1:17" x14ac:dyDescent="0.3">
      <c r="A101" s="61" t="s">
        <v>1999</v>
      </c>
      <c r="B101" s="62" t="s">
        <v>556</v>
      </c>
      <c r="C101" s="62" t="s">
        <v>557</v>
      </c>
      <c r="D101" s="63">
        <v>44445</v>
      </c>
      <c r="E101" s="63">
        <v>46227</v>
      </c>
      <c r="F101" s="62" t="s">
        <v>1940</v>
      </c>
      <c r="G101" s="62" t="s">
        <v>451</v>
      </c>
      <c r="H101" s="62" t="s">
        <v>2422</v>
      </c>
      <c r="I101" s="64">
        <v>723333.33333333302</v>
      </c>
      <c r="J101" s="62" t="s">
        <v>568</v>
      </c>
      <c r="K101" s="62" t="s">
        <v>377</v>
      </c>
      <c r="L101" s="65" t="s">
        <v>306</v>
      </c>
      <c r="M101" s="62" t="s">
        <v>346</v>
      </c>
      <c r="N101" s="62" t="s">
        <v>558</v>
      </c>
      <c r="O101" s="62" t="s">
        <v>426</v>
      </c>
      <c r="P101" s="62" t="s">
        <v>2421</v>
      </c>
      <c r="Q101" s="66" t="s">
        <v>1964</v>
      </c>
    </row>
    <row r="102" spans="1:17" x14ac:dyDescent="0.3">
      <c r="A102" s="61" t="s">
        <v>1999</v>
      </c>
      <c r="B102" s="62" t="s">
        <v>556</v>
      </c>
      <c r="C102" s="62" t="s">
        <v>557</v>
      </c>
      <c r="D102" s="63">
        <v>44445</v>
      </c>
      <c r="E102" s="63">
        <v>46227</v>
      </c>
      <c r="F102" s="62" t="s">
        <v>1943</v>
      </c>
      <c r="G102" s="62" t="s">
        <v>452</v>
      </c>
      <c r="H102" s="62" t="s">
        <v>2422</v>
      </c>
      <c r="I102" s="64">
        <v>723333.33333333302</v>
      </c>
      <c r="J102" s="62" t="s">
        <v>568</v>
      </c>
      <c r="K102" s="62" t="s">
        <v>377</v>
      </c>
      <c r="L102" s="65" t="s">
        <v>306</v>
      </c>
      <c r="M102" s="62" t="s">
        <v>346</v>
      </c>
      <c r="N102" s="62" t="s">
        <v>558</v>
      </c>
      <c r="O102" s="62" t="s">
        <v>426</v>
      </c>
      <c r="P102" s="62" t="s">
        <v>2421</v>
      </c>
      <c r="Q102" s="66" t="s">
        <v>1964</v>
      </c>
    </row>
    <row r="103" spans="1:17" x14ac:dyDescent="0.3">
      <c r="A103" s="61" t="s">
        <v>1999</v>
      </c>
      <c r="B103" s="62" t="s">
        <v>556</v>
      </c>
      <c r="C103" s="62" t="s">
        <v>557</v>
      </c>
      <c r="D103" s="63">
        <v>44445</v>
      </c>
      <c r="E103" s="63">
        <v>46227</v>
      </c>
      <c r="F103" s="62" t="s">
        <v>1943</v>
      </c>
      <c r="G103" s="62" t="s">
        <v>562</v>
      </c>
      <c r="H103" s="62" t="s">
        <v>2422</v>
      </c>
      <c r="I103" s="64">
        <v>723333.33333333302</v>
      </c>
      <c r="J103" s="62" t="s">
        <v>568</v>
      </c>
      <c r="K103" s="62" t="s">
        <v>377</v>
      </c>
      <c r="L103" s="65" t="s">
        <v>353</v>
      </c>
      <c r="M103" s="62" t="s">
        <v>346</v>
      </c>
      <c r="N103" s="62" t="s">
        <v>558</v>
      </c>
      <c r="O103" s="62" t="s">
        <v>426</v>
      </c>
      <c r="P103" s="62" t="s">
        <v>2421</v>
      </c>
      <c r="Q103" s="66" t="s">
        <v>1964</v>
      </c>
    </row>
    <row r="104" spans="1:17" x14ac:dyDescent="0.3">
      <c r="A104" s="61" t="s">
        <v>1999</v>
      </c>
      <c r="B104" s="62" t="s">
        <v>556</v>
      </c>
      <c r="C104" s="62" t="s">
        <v>557</v>
      </c>
      <c r="D104" s="63">
        <v>44445</v>
      </c>
      <c r="E104" s="63">
        <v>46227</v>
      </c>
      <c r="F104" s="62" t="s">
        <v>1930</v>
      </c>
      <c r="G104" s="62" t="s">
        <v>563</v>
      </c>
      <c r="H104" s="62" t="s">
        <v>2422</v>
      </c>
      <c r="I104" s="64">
        <v>723333.33333333302</v>
      </c>
      <c r="J104" s="62" t="s">
        <v>568</v>
      </c>
      <c r="K104" s="62" t="s">
        <v>377</v>
      </c>
      <c r="L104" s="65" t="s">
        <v>2423</v>
      </c>
      <c r="M104" s="62" t="s">
        <v>346</v>
      </c>
      <c r="N104" s="62" t="s">
        <v>558</v>
      </c>
      <c r="O104" s="62" t="s">
        <v>426</v>
      </c>
      <c r="P104" s="62" t="s">
        <v>2421</v>
      </c>
      <c r="Q104" s="66" t="s">
        <v>1964</v>
      </c>
    </row>
    <row r="105" spans="1:17" x14ac:dyDescent="0.3">
      <c r="A105" s="61" t="s">
        <v>1999</v>
      </c>
      <c r="B105" s="62" t="s">
        <v>556</v>
      </c>
      <c r="C105" s="62" t="s">
        <v>557</v>
      </c>
      <c r="D105" s="63">
        <v>44445</v>
      </c>
      <c r="E105" s="63">
        <v>46227</v>
      </c>
      <c r="F105" s="62" t="s">
        <v>1930</v>
      </c>
      <c r="G105" s="62" t="s">
        <v>453</v>
      </c>
      <c r="H105" s="62" t="s">
        <v>2422</v>
      </c>
      <c r="I105" s="64">
        <v>723333.33333333302</v>
      </c>
      <c r="J105" s="62" t="s">
        <v>568</v>
      </c>
      <c r="K105" s="62" t="s">
        <v>377</v>
      </c>
      <c r="L105" s="65" t="s">
        <v>2423</v>
      </c>
      <c r="M105" s="62" t="s">
        <v>346</v>
      </c>
      <c r="N105" s="62" t="s">
        <v>558</v>
      </c>
      <c r="O105" s="62" t="s">
        <v>426</v>
      </c>
      <c r="P105" s="62" t="s">
        <v>2421</v>
      </c>
      <c r="Q105" s="66" t="s">
        <v>1964</v>
      </c>
    </row>
    <row r="106" spans="1:17" x14ac:dyDescent="0.3">
      <c r="A106" s="61" t="s">
        <v>1999</v>
      </c>
      <c r="B106" s="62" t="s">
        <v>556</v>
      </c>
      <c r="C106" s="62" t="s">
        <v>557</v>
      </c>
      <c r="D106" s="63">
        <v>44445</v>
      </c>
      <c r="E106" s="63">
        <v>46227</v>
      </c>
      <c r="F106" s="62" t="s">
        <v>280</v>
      </c>
      <c r="G106" s="62" t="s">
        <v>280</v>
      </c>
      <c r="H106" s="62" t="s">
        <v>2422</v>
      </c>
      <c r="I106" s="64">
        <v>723333.33333333302</v>
      </c>
      <c r="J106" s="62" t="s">
        <v>568</v>
      </c>
      <c r="K106" s="62" t="s">
        <v>377</v>
      </c>
      <c r="L106" s="65" t="s">
        <v>2423</v>
      </c>
      <c r="M106" s="62" t="s">
        <v>346</v>
      </c>
      <c r="N106" s="62" t="s">
        <v>558</v>
      </c>
      <c r="O106" s="62" t="s">
        <v>426</v>
      </c>
      <c r="P106" s="62" t="s">
        <v>2421</v>
      </c>
      <c r="Q106" s="66" t="s">
        <v>1964</v>
      </c>
    </row>
    <row r="107" spans="1:17" x14ac:dyDescent="0.3">
      <c r="A107" s="61" t="s">
        <v>1999</v>
      </c>
      <c r="B107" s="62" t="s">
        <v>556</v>
      </c>
      <c r="C107" s="62" t="s">
        <v>557</v>
      </c>
      <c r="D107" s="63">
        <v>44445</v>
      </c>
      <c r="E107" s="63">
        <v>46227</v>
      </c>
      <c r="F107" s="62" t="s">
        <v>280</v>
      </c>
      <c r="G107" s="62" t="s">
        <v>409</v>
      </c>
      <c r="H107" s="62" t="s">
        <v>2422</v>
      </c>
      <c r="I107" s="64">
        <v>723333.33333333302</v>
      </c>
      <c r="J107" s="62" t="s">
        <v>568</v>
      </c>
      <c r="K107" s="62" t="s">
        <v>377</v>
      </c>
      <c r="L107" s="65" t="s">
        <v>306</v>
      </c>
      <c r="M107" s="62" t="s">
        <v>346</v>
      </c>
      <c r="N107" s="62" t="s">
        <v>558</v>
      </c>
      <c r="O107" s="62" t="s">
        <v>426</v>
      </c>
      <c r="P107" s="62" t="s">
        <v>2421</v>
      </c>
      <c r="Q107" s="66" t="s">
        <v>1964</v>
      </c>
    </row>
    <row r="108" spans="1:17" x14ac:dyDescent="0.3">
      <c r="A108" s="61" t="s">
        <v>1999</v>
      </c>
      <c r="B108" s="62" t="s">
        <v>556</v>
      </c>
      <c r="C108" s="62" t="s">
        <v>557</v>
      </c>
      <c r="D108" s="63">
        <v>44445</v>
      </c>
      <c r="E108" s="63">
        <v>46227</v>
      </c>
      <c r="F108" s="62" t="s">
        <v>282</v>
      </c>
      <c r="G108" s="62" t="s">
        <v>283</v>
      </c>
      <c r="H108" s="62" t="s">
        <v>2422</v>
      </c>
      <c r="I108" s="64">
        <v>1446666.66666667</v>
      </c>
      <c r="J108" s="62" t="s">
        <v>568</v>
      </c>
      <c r="K108" s="62" t="s">
        <v>377</v>
      </c>
      <c r="L108" s="65" t="s">
        <v>306</v>
      </c>
      <c r="M108" s="62" t="s">
        <v>346</v>
      </c>
      <c r="N108" s="62" t="s">
        <v>558</v>
      </c>
      <c r="O108" s="62" t="s">
        <v>426</v>
      </c>
      <c r="P108" s="62" t="s">
        <v>2421</v>
      </c>
      <c r="Q108" s="66" t="s">
        <v>1964</v>
      </c>
    </row>
    <row r="109" spans="1:17" x14ac:dyDescent="0.3">
      <c r="A109" s="61" t="s">
        <v>1999</v>
      </c>
      <c r="B109" s="62" t="s">
        <v>556</v>
      </c>
      <c r="C109" s="62" t="s">
        <v>557</v>
      </c>
      <c r="D109" s="63">
        <v>44445</v>
      </c>
      <c r="E109" s="63">
        <v>46227</v>
      </c>
      <c r="F109" s="62" t="s">
        <v>1935</v>
      </c>
      <c r="G109" s="62" t="s">
        <v>564</v>
      </c>
      <c r="H109" s="62" t="s">
        <v>2422</v>
      </c>
      <c r="I109" s="64">
        <v>1446666.66666667</v>
      </c>
      <c r="J109" s="62" t="s">
        <v>568</v>
      </c>
      <c r="K109" s="62" t="s">
        <v>377</v>
      </c>
      <c r="L109" s="65" t="s">
        <v>306</v>
      </c>
      <c r="M109" s="62" t="s">
        <v>346</v>
      </c>
      <c r="N109" s="62" t="s">
        <v>558</v>
      </c>
      <c r="O109" s="62" t="s">
        <v>426</v>
      </c>
      <c r="P109" s="62" t="s">
        <v>2421</v>
      </c>
      <c r="Q109" s="66" t="s">
        <v>1964</v>
      </c>
    </row>
    <row r="110" spans="1:17" x14ac:dyDescent="0.3">
      <c r="A110" s="61" t="s">
        <v>1999</v>
      </c>
      <c r="B110" s="62" t="s">
        <v>556</v>
      </c>
      <c r="C110" s="62" t="s">
        <v>557</v>
      </c>
      <c r="D110" s="63">
        <v>44445</v>
      </c>
      <c r="E110" s="63">
        <v>46227</v>
      </c>
      <c r="F110" s="62" t="s">
        <v>289</v>
      </c>
      <c r="G110" s="62" t="s">
        <v>565</v>
      </c>
      <c r="H110" s="62" t="s">
        <v>2422</v>
      </c>
      <c r="I110" s="64">
        <v>1446666.66666667</v>
      </c>
      <c r="J110" s="62" t="s">
        <v>568</v>
      </c>
      <c r="K110" s="62" t="s">
        <v>377</v>
      </c>
      <c r="L110" s="65" t="s">
        <v>306</v>
      </c>
      <c r="M110" s="62" t="s">
        <v>346</v>
      </c>
      <c r="N110" s="62" t="s">
        <v>558</v>
      </c>
      <c r="O110" s="62" t="s">
        <v>426</v>
      </c>
      <c r="P110" s="62" t="s">
        <v>2421</v>
      </c>
      <c r="Q110" s="66" t="s">
        <v>1964</v>
      </c>
    </row>
    <row r="111" spans="1:17" x14ac:dyDescent="0.3">
      <c r="A111" s="61" t="s">
        <v>1999</v>
      </c>
      <c r="B111" s="62" t="s">
        <v>556</v>
      </c>
      <c r="C111" s="62" t="s">
        <v>557</v>
      </c>
      <c r="D111" s="63">
        <v>44445</v>
      </c>
      <c r="E111" s="63">
        <v>46227</v>
      </c>
      <c r="F111" s="62" t="s">
        <v>348</v>
      </c>
      <c r="G111" s="62" t="s">
        <v>348</v>
      </c>
      <c r="H111" s="62" t="s">
        <v>2422</v>
      </c>
      <c r="I111" s="64">
        <v>1446666.66666667</v>
      </c>
      <c r="J111" s="62" t="s">
        <v>568</v>
      </c>
      <c r="K111" s="62" t="s">
        <v>377</v>
      </c>
      <c r="L111" s="65" t="s">
        <v>306</v>
      </c>
      <c r="M111" s="62" t="s">
        <v>346</v>
      </c>
      <c r="N111" s="62" t="s">
        <v>558</v>
      </c>
      <c r="O111" s="62" t="s">
        <v>426</v>
      </c>
      <c r="P111" s="62" t="s">
        <v>2421</v>
      </c>
      <c r="Q111" s="66" t="s">
        <v>1964</v>
      </c>
    </row>
    <row r="112" spans="1:17" x14ac:dyDescent="0.3">
      <c r="A112" s="61" t="s">
        <v>1999</v>
      </c>
      <c r="B112" s="62" t="s">
        <v>556</v>
      </c>
      <c r="C112" s="62" t="s">
        <v>557</v>
      </c>
      <c r="D112" s="63">
        <v>44445</v>
      </c>
      <c r="E112" s="63">
        <v>46227</v>
      </c>
      <c r="F112" s="62" t="s">
        <v>1937</v>
      </c>
      <c r="G112" s="62" t="s">
        <v>566</v>
      </c>
      <c r="H112" s="62" t="s">
        <v>2422</v>
      </c>
      <c r="I112" s="64">
        <v>1446666.66666667</v>
      </c>
      <c r="J112" s="62" t="s">
        <v>568</v>
      </c>
      <c r="K112" s="62" t="s">
        <v>377</v>
      </c>
      <c r="L112" s="65" t="s">
        <v>306</v>
      </c>
      <c r="M112" s="62" t="s">
        <v>346</v>
      </c>
      <c r="N112" s="62" t="s">
        <v>558</v>
      </c>
      <c r="O112" s="62" t="s">
        <v>426</v>
      </c>
      <c r="P112" s="62" t="s">
        <v>2421</v>
      </c>
      <c r="Q112" s="66" t="s">
        <v>1964</v>
      </c>
    </row>
    <row r="113" spans="1:17" x14ac:dyDescent="0.3">
      <c r="A113" s="61" t="s">
        <v>1999</v>
      </c>
      <c r="B113" s="62" t="s">
        <v>556</v>
      </c>
      <c r="C113" s="62" t="s">
        <v>557</v>
      </c>
      <c r="D113" s="63">
        <v>44445</v>
      </c>
      <c r="E113" s="63">
        <v>46227</v>
      </c>
      <c r="F113" s="62" t="s">
        <v>288</v>
      </c>
      <c r="G113" s="62" t="s">
        <v>454</v>
      </c>
      <c r="H113" s="62" t="s">
        <v>2422</v>
      </c>
      <c r="I113" s="64">
        <v>1446666.66666667</v>
      </c>
      <c r="J113" s="62" t="s">
        <v>568</v>
      </c>
      <c r="K113" s="62" t="s">
        <v>377</v>
      </c>
      <c r="L113" s="65" t="s">
        <v>306</v>
      </c>
      <c r="M113" s="62" t="s">
        <v>346</v>
      </c>
      <c r="N113" s="62" t="s">
        <v>558</v>
      </c>
      <c r="O113" s="62" t="s">
        <v>426</v>
      </c>
      <c r="P113" s="62" t="s">
        <v>2421</v>
      </c>
      <c r="Q113" s="66" t="s">
        <v>1964</v>
      </c>
    </row>
    <row r="114" spans="1:17" x14ac:dyDescent="0.3">
      <c r="A114" s="61" t="s">
        <v>1999</v>
      </c>
      <c r="B114" s="62" t="s">
        <v>556</v>
      </c>
      <c r="C114" s="62" t="s">
        <v>557</v>
      </c>
      <c r="D114" s="63">
        <v>44445</v>
      </c>
      <c r="E114" s="63">
        <v>46227</v>
      </c>
      <c r="F114" s="62" t="s">
        <v>1960</v>
      </c>
      <c r="G114" s="62" t="s">
        <v>567</v>
      </c>
      <c r="H114" s="62" t="s">
        <v>2422</v>
      </c>
      <c r="I114" s="64">
        <v>1446666.66666667</v>
      </c>
      <c r="J114" s="62" t="s">
        <v>568</v>
      </c>
      <c r="K114" s="62" t="s">
        <v>377</v>
      </c>
      <c r="L114" s="65" t="s">
        <v>306</v>
      </c>
      <c r="M114" s="62" t="s">
        <v>346</v>
      </c>
      <c r="N114" s="62" t="s">
        <v>558</v>
      </c>
      <c r="O114" s="62" t="s">
        <v>426</v>
      </c>
      <c r="P114" s="62" t="s">
        <v>2421</v>
      </c>
      <c r="Q114" s="66" t="s">
        <v>1964</v>
      </c>
    </row>
    <row r="115" spans="1:17" x14ac:dyDescent="0.3">
      <c r="A115" s="61" t="s">
        <v>1999</v>
      </c>
      <c r="B115" s="62" t="s">
        <v>556</v>
      </c>
      <c r="C115" s="62" t="s">
        <v>557</v>
      </c>
      <c r="D115" s="63">
        <v>44445</v>
      </c>
      <c r="E115" s="63">
        <v>46227</v>
      </c>
      <c r="F115" s="62" t="s">
        <v>1945</v>
      </c>
      <c r="G115" s="62" t="s">
        <v>555</v>
      </c>
      <c r="H115" s="62" t="s">
        <v>2422</v>
      </c>
      <c r="I115" s="64">
        <v>1446666.66666667</v>
      </c>
      <c r="J115" s="62" t="s">
        <v>568</v>
      </c>
      <c r="K115" s="62" t="s">
        <v>377</v>
      </c>
      <c r="L115" s="65" t="s">
        <v>306</v>
      </c>
      <c r="M115" s="62" t="s">
        <v>346</v>
      </c>
      <c r="N115" s="62" t="s">
        <v>558</v>
      </c>
      <c r="O115" s="62" t="s">
        <v>426</v>
      </c>
      <c r="P115" s="62" t="s">
        <v>2421</v>
      </c>
      <c r="Q115" s="66" t="s">
        <v>1964</v>
      </c>
    </row>
    <row r="116" spans="1:17" x14ac:dyDescent="0.3">
      <c r="A116" s="61" t="s">
        <v>2000</v>
      </c>
      <c r="B116" s="62" t="s">
        <v>597</v>
      </c>
      <c r="C116" s="62" t="s">
        <v>598</v>
      </c>
      <c r="D116" s="63">
        <v>44260</v>
      </c>
      <c r="E116" s="63">
        <v>47182</v>
      </c>
      <c r="F116" s="62" t="s">
        <v>350</v>
      </c>
      <c r="G116" s="62" t="s">
        <v>304</v>
      </c>
      <c r="H116" s="62" t="s">
        <v>311</v>
      </c>
      <c r="I116" s="64">
        <v>15764187.949999999</v>
      </c>
      <c r="J116" s="62" t="s">
        <v>312</v>
      </c>
      <c r="K116" s="62" t="s">
        <v>311</v>
      </c>
      <c r="L116" s="65" t="s">
        <v>2423</v>
      </c>
      <c r="M116" s="62" t="s">
        <v>346</v>
      </c>
      <c r="N116" s="62" t="s">
        <v>570</v>
      </c>
      <c r="O116" s="62" t="s">
        <v>571</v>
      </c>
      <c r="P116" s="62" t="s">
        <v>2421</v>
      </c>
      <c r="Q116" s="66" t="s">
        <v>1966</v>
      </c>
    </row>
    <row r="117" spans="1:17" x14ac:dyDescent="0.3">
      <c r="A117" s="61" t="s">
        <v>2001</v>
      </c>
      <c r="B117" s="62" t="s">
        <v>599</v>
      </c>
      <c r="C117" s="62" t="s">
        <v>600</v>
      </c>
      <c r="D117" s="63">
        <v>44474</v>
      </c>
      <c r="E117" s="63">
        <v>46295</v>
      </c>
      <c r="F117" s="62" t="s">
        <v>1916</v>
      </c>
      <c r="G117" s="62" t="s">
        <v>304</v>
      </c>
      <c r="H117" s="62" t="s">
        <v>2426</v>
      </c>
      <c r="I117" s="64">
        <v>3061162</v>
      </c>
      <c r="J117" s="62" t="s">
        <v>601</v>
      </c>
      <c r="K117" s="62" t="s">
        <v>377</v>
      </c>
      <c r="L117" s="65" t="s">
        <v>2423</v>
      </c>
      <c r="M117" s="62" t="s">
        <v>457</v>
      </c>
      <c r="N117" s="62" t="s">
        <v>458</v>
      </c>
      <c r="O117" s="62" t="s">
        <v>459</v>
      </c>
      <c r="P117" s="62" t="s">
        <v>2421</v>
      </c>
      <c r="Q117" s="66" t="s">
        <v>1971</v>
      </c>
    </row>
    <row r="118" spans="1:17" x14ac:dyDescent="0.3">
      <c r="A118" s="61" t="s">
        <v>2001</v>
      </c>
      <c r="B118" s="62" t="s">
        <v>599</v>
      </c>
      <c r="C118" s="62" t="s">
        <v>600</v>
      </c>
      <c r="D118" s="63">
        <v>44474</v>
      </c>
      <c r="E118" s="63">
        <v>46295</v>
      </c>
      <c r="F118" s="62" t="s">
        <v>1934</v>
      </c>
      <c r="G118" s="62" t="s">
        <v>304</v>
      </c>
      <c r="H118" s="62" t="s">
        <v>2426</v>
      </c>
      <c r="I118" s="64">
        <v>3061162</v>
      </c>
      <c r="J118" s="62" t="s">
        <v>601</v>
      </c>
      <c r="K118" s="62" t="s">
        <v>377</v>
      </c>
      <c r="L118" s="65" t="s">
        <v>2423</v>
      </c>
      <c r="M118" s="62" t="s">
        <v>457</v>
      </c>
      <c r="N118" s="62" t="s">
        <v>458</v>
      </c>
      <c r="O118" s="62" t="s">
        <v>459</v>
      </c>
      <c r="P118" s="62" t="s">
        <v>2421</v>
      </c>
      <c r="Q118" s="66" t="s">
        <v>1971</v>
      </c>
    </row>
    <row r="119" spans="1:17" x14ac:dyDescent="0.3">
      <c r="A119" s="61" t="s">
        <v>2001</v>
      </c>
      <c r="B119" s="62" t="s">
        <v>599</v>
      </c>
      <c r="C119" s="62" t="s">
        <v>600</v>
      </c>
      <c r="D119" s="63">
        <v>44474</v>
      </c>
      <c r="E119" s="63">
        <v>46295</v>
      </c>
      <c r="F119" s="62" t="s">
        <v>1958</v>
      </c>
      <c r="G119" s="62" t="s">
        <v>304</v>
      </c>
      <c r="H119" s="62" t="s">
        <v>2426</v>
      </c>
      <c r="I119" s="64">
        <v>3061162</v>
      </c>
      <c r="J119" s="62" t="s">
        <v>601</v>
      </c>
      <c r="K119" s="62" t="s">
        <v>377</v>
      </c>
      <c r="L119" s="65" t="s">
        <v>2423</v>
      </c>
      <c r="M119" s="62" t="s">
        <v>457</v>
      </c>
      <c r="N119" s="62" t="s">
        <v>458</v>
      </c>
      <c r="O119" s="62" t="s">
        <v>459</v>
      </c>
      <c r="P119" s="62" t="s">
        <v>2421</v>
      </c>
      <c r="Q119" s="66" t="s">
        <v>1971</v>
      </c>
    </row>
    <row r="120" spans="1:17" x14ac:dyDescent="0.3">
      <c r="A120" s="61" t="s">
        <v>2001</v>
      </c>
      <c r="B120" s="62" t="s">
        <v>599</v>
      </c>
      <c r="C120" s="62" t="s">
        <v>600</v>
      </c>
      <c r="D120" s="63">
        <v>44474</v>
      </c>
      <c r="E120" s="63">
        <v>46295</v>
      </c>
      <c r="F120" s="62" t="s">
        <v>1961</v>
      </c>
      <c r="G120" s="62" t="s">
        <v>304</v>
      </c>
      <c r="H120" s="62" t="s">
        <v>2426</v>
      </c>
      <c r="I120" s="64">
        <v>3061162</v>
      </c>
      <c r="J120" s="62" t="s">
        <v>601</v>
      </c>
      <c r="K120" s="62" t="s">
        <v>377</v>
      </c>
      <c r="L120" s="65" t="s">
        <v>2423</v>
      </c>
      <c r="M120" s="62" t="s">
        <v>457</v>
      </c>
      <c r="N120" s="62" t="s">
        <v>458</v>
      </c>
      <c r="O120" s="62" t="s">
        <v>459</v>
      </c>
      <c r="P120" s="62" t="s">
        <v>2421</v>
      </c>
      <c r="Q120" s="66" t="s">
        <v>1971</v>
      </c>
    </row>
    <row r="121" spans="1:17" x14ac:dyDescent="0.3">
      <c r="A121" s="61" t="s">
        <v>2001</v>
      </c>
      <c r="B121" s="62" t="s">
        <v>599</v>
      </c>
      <c r="C121" s="62" t="s">
        <v>600</v>
      </c>
      <c r="D121" s="63">
        <v>44474</v>
      </c>
      <c r="E121" s="63">
        <v>46295</v>
      </c>
      <c r="F121" s="62" t="s">
        <v>1938</v>
      </c>
      <c r="G121" s="62" t="s">
        <v>304</v>
      </c>
      <c r="H121" s="62" t="s">
        <v>2426</v>
      </c>
      <c r="I121" s="64">
        <v>3061162</v>
      </c>
      <c r="J121" s="62" t="s">
        <v>601</v>
      </c>
      <c r="K121" s="62" t="s">
        <v>377</v>
      </c>
      <c r="L121" s="65" t="s">
        <v>2423</v>
      </c>
      <c r="M121" s="62" t="s">
        <v>457</v>
      </c>
      <c r="N121" s="62" t="s">
        <v>458</v>
      </c>
      <c r="O121" s="62" t="s">
        <v>459</v>
      </c>
      <c r="P121" s="62" t="s">
        <v>2421</v>
      </c>
      <c r="Q121" s="66" t="s">
        <v>1971</v>
      </c>
    </row>
    <row r="122" spans="1:17" x14ac:dyDescent="0.3">
      <c r="A122" s="61" t="s">
        <v>2001</v>
      </c>
      <c r="B122" s="62" t="s">
        <v>599</v>
      </c>
      <c r="C122" s="62" t="s">
        <v>600</v>
      </c>
      <c r="D122" s="63">
        <v>44474</v>
      </c>
      <c r="E122" s="63">
        <v>46295</v>
      </c>
      <c r="F122" s="62" t="s">
        <v>1941</v>
      </c>
      <c r="G122" s="62" t="s">
        <v>304</v>
      </c>
      <c r="H122" s="62" t="s">
        <v>2426</v>
      </c>
      <c r="I122" s="64">
        <v>3061162</v>
      </c>
      <c r="J122" s="62" t="s">
        <v>601</v>
      </c>
      <c r="K122" s="62" t="s">
        <v>377</v>
      </c>
      <c r="L122" s="65" t="s">
        <v>2423</v>
      </c>
      <c r="M122" s="62" t="s">
        <v>457</v>
      </c>
      <c r="N122" s="62" t="s">
        <v>458</v>
      </c>
      <c r="O122" s="62" t="s">
        <v>459</v>
      </c>
      <c r="P122" s="62" t="s">
        <v>2421</v>
      </c>
      <c r="Q122" s="66" t="s">
        <v>1971</v>
      </c>
    </row>
    <row r="123" spans="1:17" x14ac:dyDescent="0.3">
      <c r="A123" s="61" t="s">
        <v>2002</v>
      </c>
      <c r="B123" s="62" t="s">
        <v>606</v>
      </c>
      <c r="C123" s="62" t="s">
        <v>607</v>
      </c>
      <c r="D123" s="63">
        <v>44501</v>
      </c>
      <c r="E123" s="63">
        <v>46348</v>
      </c>
      <c r="F123" s="62" t="s">
        <v>350</v>
      </c>
      <c r="G123" s="62" t="s">
        <v>350</v>
      </c>
      <c r="H123" s="62" t="s">
        <v>608</v>
      </c>
      <c r="I123" s="64">
        <v>2700000</v>
      </c>
      <c r="J123" s="62" t="s">
        <v>609</v>
      </c>
      <c r="K123" s="62" t="s">
        <v>1957</v>
      </c>
      <c r="L123" s="65" t="s">
        <v>306</v>
      </c>
      <c r="M123" s="62" t="s">
        <v>313</v>
      </c>
      <c r="N123" s="62" t="s">
        <v>603</v>
      </c>
      <c r="O123" s="62" t="s">
        <v>371</v>
      </c>
      <c r="P123" s="62" t="s">
        <v>2421</v>
      </c>
      <c r="Q123" s="66" t="s">
        <v>1969</v>
      </c>
    </row>
    <row r="124" spans="1:17" x14ac:dyDescent="0.3">
      <c r="A124" s="61" t="s">
        <v>2003</v>
      </c>
      <c r="B124" s="62" t="s">
        <v>613</v>
      </c>
      <c r="C124" s="62" t="s">
        <v>614</v>
      </c>
      <c r="D124" s="63">
        <v>43831</v>
      </c>
      <c r="E124" s="63">
        <v>47847</v>
      </c>
      <c r="F124" s="62" t="s">
        <v>1930</v>
      </c>
      <c r="G124" s="62" t="s">
        <v>453</v>
      </c>
      <c r="H124" s="62" t="s">
        <v>2427</v>
      </c>
      <c r="I124" s="64">
        <v>1000000</v>
      </c>
      <c r="J124" s="62" t="s">
        <v>615</v>
      </c>
      <c r="K124" s="62" t="s">
        <v>377</v>
      </c>
      <c r="L124" s="65" t="s">
        <v>353</v>
      </c>
      <c r="M124" s="62" t="s">
        <v>424</v>
      </c>
      <c r="N124" s="62" t="s">
        <v>558</v>
      </c>
      <c r="O124" s="62" t="s">
        <v>426</v>
      </c>
      <c r="P124" s="62" t="s">
        <v>2421</v>
      </c>
      <c r="Q124" s="66" t="s">
        <v>1984</v>
      </c>
    </row>
    <row r="125" spans="1:17" x14ac:dyDescent="0.3">
      <c r="A125" s="61" t="s">
        <v>2004</v>
      </c>
      <c r="B125" s="62" t="s">
        <v>626</v>
      </c>
      <c r="C125" s="62" t="s">
        <v>627</v>
      </c>
      <c r="D125" s="63">
        <v>44398</v>
      </c>
      <c r="E125" s="63">
        <v>46224</v>
      </c>
      <c r="F125" s="62" t="s">
        <v>1958</v>
      </c>
      <c r="G125" s="62" t="s">
        <v>328</v>
      </c>
      <c r="H125" s="62" t="s">
        <v>2422</v>
      </c>
      <c r="I125" s="64">
        <v>1567117.9444444401</v>
      </c>
      <c r="J125" s="62" t="s">
        <v>432</v>
      </c>
      <c r="K125" s="62" t="s">
        <v>345</v>
      </c>
      <c r="L125" s="65" t="s">
        <v>2423</v>
      </c>
      <c r="M125" s="62" t="s">
        <v>457</v>
      </c>
      <c r="N125" s="62" t="s">
        <v>458</v>
      </c>
      <c r="O125" s="62" t="s">
        <v>459</v>
      </c>
      <c r="P125" s="62" t="s">
        <v>2421</v>
      </c>
      <c r="Q125" s="66" t="s">
        <v>1971</v>
      </c>
    </row>
    <row r="126" spans="1:17" x14ac:dyDescent="0.3">
      <c r="A126" s="61" t="s">
        <v>2004</v>
      </c>
      <c r="B126" s="62" t="s">
        <v>626</v>
      </c>
      <c r="C126" s="62" t="s">
        <v>627</v>
      </c>
      <c r="D126" s="63">
        <v>44398</v>
      </c>
      <c r="E126" s="63">
        <v>46224</v>
      </c>
      <c r="F126" s="62" t="s">
        <v>1958</v>
      </c>
      <c r="G126" s="62" t="s">
        <v>330</v>
      </c>
      <c r="H126" s="62" t="s">
        <v>2422</v>
      </c>
      <c r="I126" s="64">
        <v>1567117.9444444401</v>
      </c>
      <c r="J126" s="62" t="s">
        <v>432</v>
      </c>
      <c r="K126" s="62" t="s">
        <v>345</v>
      </c>
      <c r="L126" s="65" t="s">
        <v>353</v>
      </c>
      <c r="M126" s="62" t="s">
        <v>457</v>
      </c>
      <c r="N126" s="62" t="s">
        <v>458</v>
      </c>
      <c r="O126" s="62" t="s">
        <v>459</v>
      </c>
      <c r="P126" s="62" t="s">
        <v>2421</v>
      </c>
      <c r="Q126" s="66" t="s">
        <v>1971</v>
      </c>
    </row>
    <row r="127" spans="1:17" x14ac:dyDescent="0.3">
      <c r="A127" s="61" t="s">
        <v>2004</v>
      </c>
      <c r="B127" s="62" t="s">
        <v>626</v>
      </c>
      <c r="C127" s="62" t="s">
        <v>627</v>
      </c>
      <c r="D127" s="63">
        <v>44398</v>
      </c>
      <c r="E127" s="63">
        <v>46224</v>
      </c>
      <c r="F127" s="62" t="s">
        <v>1958</v>
      </c>
      <c r="G127" s="62" t="s">
        <v>628</v>
      </c>
      <c r="H127" s="62" t="s">
        <v>2422</v>
      </c>
      <c r="I127" s="64">
        <v>1567117.9444444401</v>
      </c>
      <c r="J127" s="62" t="s">
        <v>432</v>
      </c>
      <c r="K127" s="62" t="s">
        <v>345</v>
      </c>
      <c r="L127" s="65" t="s">
        <v>353</v>
      </c>
      <c r="M127" s="62" t="s">
        <v>457</v>
      </c>
      <c r="N127" s="62" t="s">
        <v>458</v>
      </c>
      <c r="O127" s="62" t="s">
        <v>459</v>
      </c>
      <c r="P127" s="62" t="s">
        <v>2421</v>
      </c>
      <c r="Q127" s="66" t="s">
        <v>1971</v>
      </c>
    </row>
    <row r="128" spans="1:17" x14ac:dyDescent="0.3">
      <c r="A128" s="61" t="s">
        <v>2004</v>
      </c>
      <c r="B128" s="62" t="s">
        <v>626</v>
      </c>
      <c r="C128" s="62" t="s">
        <v>627</v>
      </c>
      <c r="D128" s="63">
        <v>44398</v>
      </c>
      <c r="E128" s="63">
        <v>46224</v>
      </c>
      <c r="F128" s="62" t="s">
        <v>1916</v>
      </c>
      <c r="G128" s="62" t="s">
        <v>629</v>
      </c>
      <c r="H128" s="62" t="s">
        <v>2422</v>
      </c>
      <c r="I128" s="64">
        <v>2350676.9166666698</v>
      </c>
      <c r="J128" s="62" t="s">
        <v>432</v>
      </c>
      <c r="K128" s="62" t="s">
        <v>345</v>
      </c>
      <c r="L128" s="65" t="s">
        <v>353</v>
      </c>
      <c r="M128" s="62" t="s">
        <v>457</v>
      </c>
      <c r="N128" s="62" t="s">
        <v>458</v>
      </c>
      <c r="O128" s="62" t="s">
        <v>459</v>
      </c>
      <c r="P128" s="62" t="s">
        <v>2421</v>
      </c>
      <c r="Q128" s="66" t="s">
        <v>1971</v>
      </c>
    </row>
    <row r="129" spans="1:17" x14ac:dyDescent="0.3">
      <c r="A129" s="61" t="s">
        <v>2004</v>
      </c>
      <c r="B129" s="62" t="s">
        <v>626</v>
      </c>
      <c r="C129" s="62" t="s">
        <v>627</v>
      </c>
      <c r="D129" s="63">
        <v>44398</v>
      </c>
      <c r="E129" s="63">
        <v>46224</v>
      </c>
      <c r="F129" s="62" t="s">
        <v>1916</v>
      </c>
      <c r="G129" s="62" t="s">
        <v>630</v>
      </c>
      <c r="H129" s="62" t="s">
        <v>2422</v>
      </c>
      <c r="I129" s="64">
        <v>2350676.9166666698</v>
      </c>
      <c r="J129" s="62" t="s">
        <v>432</v>
      </c>
      <c r="K129" s="62" t="s">
        <v>345</v>
      </c>
      <c r="L129" s="65" t="s">
        <v>353</v>
      </c>
      <c r="M129" s="62" t="s">
        <v>457</v>
      </c>
      <c r="N129" s="62" t="s">
        <v>458</v>
      </c>
      <c r="O129" s="62" t="s">
        <v>459</v>
      </c>
      <c r="P129" s="62" t="s">
        <v>2421</v>
      </c>
      <c r="Q129" s="66" t="s">
        <v>1971</v>
      </c>
    </row>
    <row r="130" spans="1:17" x14ac:dyDescent="0.3">
      <c r="A130" s="61" t="s">
        <v>2004</v>
      </c>
      <c r="B130" s="62" t="s">
        <v>626</v>
      </c>
      <c r="C130" s="62" t="s">
        <v>627</v>
      </c>
      <c r="D130" s="63">
        <v>44398</v>
      </c>
      <c r="E130" s="63">
        <v>46224</v>
      </c>
      <c r="F130" s="62" t="s">
        <v>1934</v>
      </c>
      <c r="G130" s="62" t="s">
        <v>477</v>
      </c>
      <c r="H130" s="62" t="s">
        <v>2422</v>
      </c>
      <c r="I130" s="64">
        <v>2350676.9166666698</v>
      </c>
      <c r="J130" s="62" t="s">
        <v>432</v>
      </c>
      <c r="K130" s="62" t="s">
        <v>345</v>
      </c>
      <c r="L130" s="65" t="s">
        <v>353</v>
      </c>
      <c r="M130" s="62" t="s">
        <v>457</v>
      </c>
      <c r="N130" s="62" t="s">
        <v>458</v>
      </c>
      <c r="O130" s="62" t="s">
        <v>459</v>
      </c>
      <c r="P130" s="62" t="s">
        <v>2421</v>
      </c>
      <c r="Q130" s="66" t="s">
        <v>1971</v>
      </c>
    </row>
    <row r="131" spans="1:17" x14ac:dyDescent="0.3">
      <c r="A131" s="61" t="s">
        <v>2004</v>
      </c>
      <c r="B131" s="62" t="s">
        <v>626</v>
      </c>
      <c r="C131" s="62" t="s">
        <v>627</v>
      </c>
      <c r="D131" s="63">
        <v>44398</v>
      </c>
      <c r="E131" s="63">
        <v>46224</v>
      </c>
      <c r="F131" s="62" t="s">
        <v>1934</v>
      </c>
      <c r="G131" s="62" t="s">
        <v>631</v>
      </c>
      <c r="H131" s="62" t="s">
        <v>2422</v>
      </c>
      <c r="I131" s="64">
        <v>2350676.9166666698</v>
      </c>
      <c r="J131" s="62" t="s">
        <v>432</v>
      </c>
      <c r="K131" s="62" t="s">
        <v>345</v>
      </c>
      <c r="L131" s="65" t="s">
        <v>353</v>
      </c>
      <c r="M131" s="62" t="s">
        <v>457</v>
      </c>
      <c r="N131" s="62" t="s">
        <v>458</v>
      </c>
      <c r="O131" s="62" t="s">
        <v>459</v>
      </c>
      <c r="P131" s="62" t="s">
        <v>2421</v>
      </c>
      <c r="Q131" s="66" t="s">
        <v>1971</v>
      </c>
    </row>
    <row r="132" spans="1:17" x14ac:dyDescent="0.3">
      <c r="A132" s="61" t="s">
        <v>2004</v>
      </c>
      <c r="B132" s="62" t="s">
        <v>626</v>
      </c>
      <c r="C132" s="62" t="s">
        <v>627</v>
      </c>
      <c r="D132" s="63">
        <v>44398</v>
      </c>
      <c r="E132" s="63">
        <v>46224</v>
      </c>
      <c r="F132" s="62" t="s">
        <v>1963</v>
      </c>
      <c r="G132" s="62" t="s">
        <v>632</v>
      </c>
      <c r="H132" s="62" t="s">
        <v>2422</v>
      </c>
      <c r="I132" s="64">
        <v>2350676.9166666698</v>
      </c>
      <c r="J132" s="62" t="s">
        <v>432</v>
      </c>
      <c r="K132" s="62" t="s">
        <v>345</v>
      </c>
      <c r="L132" s="65" t="s">
        <v>353</v>
      </c>
      <c r="M132" s="62" t="s">
        <v>457</v>
      </c>
      <c r="N132" s="62" t="s">
        <v>458</v>
      </c>
      <c r="O132" s="62" t="s">
        <v>459</v>
      </c>
      <c r="P132" s="62" t="s">
        <v>2421</v>
      </c>
      <c r="Q132" s="66" t="s">
        <v>1971</v>
      </c>
    </row>
    <row r="133" spans="1:17" x14ac:dyDescent="0.3">
      <c r="A133" s="61" t="s">
        <v>2004</v>
      </c>
      <c r="B133" s="62" t="s">
        <v>626</v>
      </c>
      <c r="C133" s="62" t="s">
        <v>627</v>
      </c>
      <c r="D133" s="63">
        <v>44398</v>
      </c>
      <c r="E133" s="63">
        <v>46224</v>
      </c>
      <c r="F133" s="62" t="s">
        <v>1963</v>
      </c>
      <c r="G133" s="62" t="s">
        <v>633</v>
      </c>
      <c r="H133" s="62" t="s">
        <v>2422</v>
      </c>
      <c r="I133" s="64">
        <v>2350676.9166666698</v>
      </c>
      <c r="J133" s="62" t="s">
        <v>432</v>
      </c>
      <c r="K133" s="62" t="s">
        <v>345</v>
      </c>
      <c r="L133" s="65" t="s">
        <v>353</v>
      </c>
      <c r="M133" s="62" t="s">
        <v>457</v>
      </c>
      <c r="N133" s="62" t="s">
        <v>458</v>
      </c>
      <c r="O133" s="62" t="s">
        <v>459</v>
      </c>
      <c r="P133" s="62" t="s">
        <v>2421</v>
      </c>
      <c r="Q133" s="66" t="s">
        <v>1971</v>
      </c>
    </row>
    <row r="134" spans="1:17" x14ac:dyDescent="0.3">
      <c r="A134" s="61" t="s">
        <v>2004</v>
      </c>
      <c r="B134" s="62" t="s">
        <v>626</v>
      </c>
      <c r="C134" s="62" t="s">
        <v>627</v>
      </c>
      <c r="D134" s="63">
        <v>44398</v>
      </c>
      <c r="E134" s="63">
        <v>46224</v>
      </c>
      <c r="F134" s="62" t="s">
        <v>1938</v>
      </c>
      <c r="G134" s="62" t="s">
        <v>505</v>
      </c>
      <c r="H134" s="62" t="s">
        <v>2422</v>
      </c>
      <c r="I134" s="64">
        <v>4701353.8333333302</v>
      </c>
      <c r="J134" s="62" t="s">
        <v>432</v>
      </c>
      <c r="K134" s="62" t="s">
        <v>345</v>
      </c>
      <c r="L134" s="65" t="s">
        <v>353</v>
      </c>
      <c r="M134" s="62" t="s">
        <v>457</v>
      </c>
      <c r="N134" s="62" t="s">
        <v>458</v>
      </c>
      <c r="O134" s="62" t="s">
        <v>459</v>
      </c>
      <c r="P134" s="62" t="s">
        <v>2421</v>
      </c>
      <c r="Q134" s="66" t="s">
        <v>1971</v>
      </c>
    </row>
    <row r="135" spans="1:17" x14ac:dyDescent="0.3">
      <c r="A135" s="61" t="s">
        <v>2004</v>
      </c>
      <c r="B135" s="62" t="s">
        <v>626</v>
      </c>
      <c r="C135" s="62" t="s">
        <v>627</v>
      </c>
      <c r="D135" s="63">
        <v>44398</v>
      </c>
      <c r="E135" s="63">
        <v>46224</v>
      </c>
      <c r="F135" s="62" t="s">
        <v>1961</v>
      </c>
      <c r="G135" s="62" t="s">
        <v>634</v>
      </c>
      <c r="H135" s="62" t="s">
        <v>2422</v>
      </c>
      <c r="I135" s="64">
        <v>4701353.8333333302</v>
      </c>
      <c r="J135" s="62" t="s">
        <v>432</v>
      </c>
      <c r="K135" s="62" t="s">
        <v>345</v>
      </c>
      <c r="L135" s="65" t="s">
        <v>353</v>
      </c>
      <c r="M135" s="62" t="s">
        <v>457</v>
      </c>
      <c r="N135" s="62" t="s">
        <v>458</v>
      </c>
      <c r="O135" s="62" t="s">
        <v>459</v>
      </c>
      <c r="P135" s="62" t="s">
        <v>2421</v>
      </c>
      <c r="Q135" s="66" t="s">
        <v>1971</v>
      </c>
    </row>
    <row r="136" spans="1:17" x14ac:dyDescent="0.3">
      <c r="A136" s="61" t="s">
        <v>2005</v>
      </c>
      <c r="B136" s="62" t="s">
        <v>647</v>
      </c>
      <c r="C136" s="62" t="s">
        <v>648</v>
      </c>
      <c r="D136" s="63">
        <v>43466</v>
      </c>
      <c r="E136" s="63">
        <v>46356</v>
      </c>
      <c r="F136" s="62" t="s">
        <v>350</v>
      </c>
      <c r="G136" s="62" t="s">
        <v>350</v>
      </c>
      <c r="H136" s="62" t="s">
        <v>377</v>
      </c>
      <c r="I136" s="64">
        <v>79604943.709999993</v>
      </c>
      <c r="J136" s="62" t="s">
        <v>542</v>
      </c>
      <c r="K136" s="62" t="s">
        <v>377</v>
      </c>
      <c r="L136" s="65" t="s">
        <v>2423</v>
      </c>
      <c r="M136" s="62" t="s">
        <v>356</v>
      </c>
      <c r="N136" s="62" t="s">
        <v>644</v>
      </c>
      <c r="O136" s="62" t="s">
        <v>371</v>
      </c>
      <c r="P136" s="62" t="s">
        <v>2421</v>
      </c>
      <c r="Q136" s="66" t="s">
        <v>1978</v>
      </c>
    </row>
    <row r="137" spans="1:17" x14ac:dyDescent="0.3">
      <c r="A137" s="61" t="s">
        <v>2006</v>
      </c>
      <c r="B137" s="62" t="s">
        <v>649</v>
      </c>
      <c r="C137" s="62" t="s">
        <v>650</v>
      </c>
      <c r="D137" s="63">
        <v>44505</v>
      </c>
      <c r="E137" s="63">
        <v>46331</v>
      </c>
      <c r="F137" s="62" t="s">
        <v>1931</v>
      </c>
      <c r="G137" s="62" t="s">
        <v>281</v>
      </c>
      <c r="H137" s="62" t="s">
        <v>362</v>
      </c>
      <c r="I137" s="64">
        <v>17582.333333333299</v>
      </c>
      <c r="J137" s="62" t="s">
        <v>651</v>
      </c>
      <c r="K137" s="62" t="s">
        <v>362</v>
      </c>
      <c r="L137" s="65" t="s">
        <v>2423</v>
      </c>
      <c r="M137" s="62" t="s">
        <v>424</v>
      </c>
      <c r="N137" s="62" t="s">
        <v>652</v>
      </c>
      <c r="O137" s="62" t="s">
        <v>571</v>
      </c>
      <c r="P137" s="62" t="s">
        <v>2421</v>
      </c>
      <c r="Q137" s="66" t="s">
        <v>1966</v>
      </c>
    </row>
    <row r="138" spans="1:17" x14ac:dyDescent="0.3">
      <c r="A138" s="61" t="s">
        <v>2006</v>
      </c>
      <c r="B138" s="62" t="s">
        <v>649</v>
      </c>
      <c r="C138" s="62" t="s">
        <v>650</v>
      </c>
      <c r="D138" s="63">
        <v>44505</v>
      </c>
      <c r="E138" s="63">
        <v>46331</v>
      </c>
      <c r="F138" s="62" t="s">
        <v>1930</v>
      </c>
      <c r="G138" s="62" t="s">
        <v>453</v>
      </c>
      <c r="H138" s="62" t="s">
        <v>362</v>
      </c>
      <c r="I138" s="64">
        <v>17582.333333333299</v>
      </c>
      <c r="J138" s="62" t="s">
        <v>651</v>
      </c>
      <c r="K138" s="62" t="s">
        <v>362</v>
      </c>
      <c r="L138" s="65" t="s">
        <v>2423</v>
      </c>
      <c r="M138" s="62" t="s">
        <v>424</v>
      </c>
      <c r="N138" s="62" t="s">
        <v>652</v>
      </c>
      <c r="O138" s="62" t="s">
        <v>571</v>
      </c>
      <c r="P138" s="62" t="s">
        <v>2421</v>
      </c>
      <c r="Q138" s="66" t="s">
        <v>1966</v>
      </c>
    </row>
    <row r="139" spans="1:17" x14ac:dyDescent="0.3">
      <c r="A139" s="61" t="s">
        <v>2006</v>
      </c>
      <c r="B139" s="62" t="s">
        <v>649</v>
      </c>
      <c r="C139" s="62" t="s">
        <v>650</v>
      </c>
      <c r="D139" s="63">
        <v>44505</v>
      </c>
      <c r="E139" s="63">
        <v>46331</v>
      </c>
      <c r="F139" s="62" t="s">
        <v>1945</v>
      </c>
      <c r="G139" s="62" t="s">
        <v>555</v>
      </c>
      <c r="H139" s="62" t="s">
        <v>362</v>
      </c>
      <c r="I139" s="64">
        <v>17582.333333333299</v>
      </c>
      <c r="J139" s="62" t="s">
        <v>651</v>
      </c>
      <c r="K139" s="62" t="s">
        <v>362</v>
      </c>
      <c r="L139" s="65" t="s">
        <v>353</v>
      </c>
      <c r="M139" s="62" t="s">
        <v>424</v>
      </c>
      <c r="N139" s="62" t="s">
        <v>652</v>
      </c>
      <c r="O139" s="62" t="s">
        <v>571</v>
      </c>
      <c r="P139" s="62" t="s">
        <v>2421</v>
      </c>
      <c r="Q139" s="66" t="s">
        <v>1966</v>
      </c>
    </row>
    <row r="140" spans="1:17" x14ac:dyDescent="0.3">
      <c r="A140" s="61" t="s">
        <v>2007</v>
      </c>
      <c r="B140" s="62" t="s">
        <v>653</v>
      </c>
      <c r="C140" s="62" t="s">
        <v>654</v>
      </c>
      <c r="D140" s="63">
        <v>44545</v>
      </c>
      <c r="E140" s="63">
        <v>46112</v>
      </c>
      <c r="F140" s="62" t="s">
        <v>287</v>
      </c>
      <c r="G140" s="62" t="s">
        <v>589</v>
      </c>
      <c r="H140" s="62" t="s">
        <v>345</v>
      </c>
      <c r="I140" s="64">
        <v>377777.77777777798</v>
      </c>
      <c r="J140" s="62" t="s">
        <v>441</v>
      </c>
      <c r="K140" s="62" t="s">
        <v>345</v>
      </c>
      <c r="L140" s="65" t="s">
        <v>353</v>
      </c>
      <c r="M140" s="62" t="s">
        <v>307</v>
      </c>
      <c r="N140" s="62" t="s">
        <v>427</v>
      </c>
      <c r="O140" s="62" t="s">
        <v>428</v>
      </c>
      <c r="P140" s="62" t="s">
        <v>2421</v>
      </c>
      <c r="Q140" s="66" t="s">
        <v>1972</v>
      </c>
    </row>
    <row r="141" spans="1:17" x14ac:dyDescent="0.3">
      <c r="A141" s="61" t="s">
        <v>2007</v>
      </c>
      <c r="B141" s="62" t="s">
        <v>653</v>
      </c>
      <c r="C141" s="62" t="s">
        <v>654</v>
      </c>
      <c r="D141" s="63">
        <v>44545</v>
      </c>
      <c r="E141" s="63">
        <v>46112</v>
      </c>
      <c r="F141" s="62" t="s">
        <v>287</v>
      </c>
      <c r="G141" s="62" t="s">
        <v>388</v>
      </c>
      <c r="H141" s="62" t="s">
        <v>345</v>
      </c>
      <c r="I141" s="64">
        <v>377777.77777777798</v>
      </c>
      <c r="J141" s="62" t="s">
        <v>441</v>
      </c>
      <c r="K141" s="62" t="s">
        <v>345</v>
      </c>
      <c r="L141" s="65" t="s">
        <v>353</v>
      </c>
      <c r="M141" s="62" t="s">
        <v>307</v>
      </c>
      <c r="N141" s="62" t="s">
        <v>427</v>
      </c>
      <c r="O141" s="62" t="s">
        <v>428</v>
      </c>
      <c r="P141" s="62" t="s">
        <v>2421</v>
      </c>
      <c r="Q141" s="66" t="s">
        <v>1972</v>
      </c>
    </row>
    <row r="142" spans="1:17" x14ac:dyDescent="0.3">
      <c r="A142" s="61" t="s">
        <v>2007</v>
      </c>
      <c r="B142" s="62" t="s">
        <v>653</v>
      </c>
      <c r="C142" s="62" t="s">
        <v>654</v>
      </c>
      <c r="D142" s="63">
        <v>44545</v>
      </c>
      <c r="E142" s="63">
        <v>46112</v>
      </c>
      <c r="F142" s="62" t="s">
        <v>287</v>
      </c>
      <c r="G142" s="62" t="s">
        <v>391</v>
      </c>
      <c r="H142" s="62" t="s">
        <v>345</v>
      </c>
      <c r="I142" s="64">
        <v>377777.77777777798</v>
      </c>
      <c r="J142" s="62" t="s">
        <v>441</v>
      </c>
      <c r="K142" s="62" t="s">
        <v>345</v>
      </c>
      <c r="L142" s="65" t="s">
        <v>353</v>
      </c>
      <c r="M142" s="62" t="s">
        <v>307</v>
      </c>
      <c r="N142" s="62" t="s">
        <v>427</v>
      </c>
      <c r="O142" s="62" t="s">
        <v>428</v>
      </c>
      <c r="P142" s="62" t="s">
        <v>2421</v>
      </c>
      <c r="Q142" s="66" t="s">
        <v>1972</v>
      </c>
    </row>
    <row r="143" spans="1:17" x14ac:dyDescent="0.3">
      <c r="A143" s="61" t="s">
        <v>2007</v>
      </c>
      <c r="B143" s="62" t="s">
        <v>653</v>
      </c>
      <c r="C143" s="62" t="s">
        <v>654</v>
      </c>
      <c r="D143" s="63">
        <v>44545</v>
      </c>
      <c r="E143" s="63">
        <v>46112</v>
      </c>
      <c r="F143" s="62" t="s">
        <v>287</v>
      </c>
      <c r="G143" s="62" t="s">
        <v>554</v>
      </c>
      <c r="H143" s="62" t="s">
        <v>345</v>
      </c>
      <c r="I143" s="64">
        <v>377777.77777777798</v>
      </c>
      <c r="J143" s="62" t="s">
        <v>441</v>
      </c>
      <c r="K143" s="62" t="s">
        <v>345</v>
      </c>
      <c r="L143" s="65" t="s">
        <v>353</v>
      </c>
      <c r="M143" s="62" t="s">
        <v>307</v>
      </c>
      <c r="N143" s="62" t="s">
        <v>427</v>
      </c>
      <c r="O143" s="62" t="s">
        <v>428</v>
      </c>
      <c r="P143" s="62" t="s">
        <v>2421</v>
      </c>
      <c r="Q143" s="66" t="s">
        <v>1972</v>
      </c>
    </row>
    <row r="144" spans="1:17" x14ac:dyDescent="0.3">
      <c r="A144" s="61" t="s">
        <v>2007</v>
      </c>
      <c r="B144" s="62" t="s">
        <v>653</v>
      </c>
      <c r="C144" s="62" t="s">
        <v>654</v>
      </c>
      <c r="D144" s="63">
        <v>44545</v>
      </c>
      <c r="E144" s="63">
        <v>46112</v>
      </c>
      <c r="F144" s="62" t="s">
        <v>287</v>
      </c>
      <c r="G144" s="62" t="s">
        <v>393</v>
      </c>
      <c r="H144" s="62" t="s">
        <v>345</v>
      </c>
      <c r="I144" s="64">
        <v>377777.77777777798</v>
      </c>
      <c r="J144" s="62" t="s">
        <v>441</v>
      </c>
      <c r="K144" s="62" t="s">
        <v>345</v>
      </c>
      <c r="L144" s="65" t="s">
        <v>353</v>
      </c>
      <c r="M144" s="62" t="s">
        <v>307</v>
      </c>
      <c r="N144" s="62" t="s">
        <v>427</v>
      </c>
      <c r="O144" s="62" t="s">
        <v>428</v>
      </c>
      <c r="P144" s="62" t="s">
        <v>2421</v>
      </c>
      <c r="Q144" s="66" t="s">
        <v>1972</v>
      </c>
    </row>
    <row r="145" spans="1:17" x14ac:dyDescent="0.3">
      <c r="A145" s="61" t="s">
        <v>2007</v>
      </c>
      <c r="B145" s="62" t="s">
        <v>653</v>
      </c>
      <c r="C145" s="62" t="s">
        <v>654</v>
      </c>
      <c r="D145" s="63">
        <v>44545</v>
      </c>
      <c r="E145" s="63">
        <v>46112</v>
      </c>
      <c r="F145" s="62" t="s">
        <v>287</v>
      </c>
      <c r="G145" s="62" t="s">
        <v>396</v>
      </c>
      <c r="H145" s="62" t="s">
        <v>345</v>
      </c>
      <c r="I145" s="64">
        <v>377777.77777777798</v>
      </c>
      <c r="J145" s="62" t="s">
        <v>441</v>
      </c>
      <c r="K145" s="62" t="s">
        <v>345</v>
      </c>
      <c r="L145" s="65" t="s">
        <v>353</v>
      </c>
      <c r="M145" s="62" t="s">
        <v>307</v>
      </c>
      <c r="N145" s="62" t="s">
        <v>427</v>
      </c>
      <c r="O145" s="62" t="s">
        <v>428</v>
      </c>
      <c r="P145" s="62" t="s">
        <v>2421</v>
      </c>
      <c r="Q145" s="66" t="s">
        <v>1972</v>
      </c>
    </row>
    <row r="146" spans="1:17" x14ac:dyDescent="0.3">
      <c r="A146" s="61" t="s">
        <v>2007</v>
      </c>
      <c r="B146" s="62" t="s">
        <v>653</v>
      </c>
      <c r="C146" s="62" t="s">
        <v>654</v>
      </c>
      <c r="D146" s="63">
        <v>44545</v>
      </c>
      <c r="E146" s="63">
        <v>46112</v>
      </c>
      <c r="F146" s="62" t="s">
        <v>1959</v>
      </c>
      <c r="G146" s="62" t="s">
        <v>466</v>
      </c>
      <c r="H146" s="62" t="s">
        <v>345</v>
      </c>
      <c r="I146" s="64">
        <v>755555.55555555597</v>
      </c>
      <c r="J146" s="62" t="s">
        <v>441</v>
      </c>
      <c r="K146" s="62" t="s">
        <v>345</v>
      </c>
      <c r="L146" s="65" t="s">
        <v>353</v>
      </c>
      <c r="M146" s="62" t="s">
        <v>307</v>
      </c>
      <c r="N146" s="62" t="s">
        <v>427</v>
      </c>
      <c r="O146" s="62" t="s">
        <v>428</v>
      </c>
      <c r="P146" s="62" t="s">
        <v>2421</v>
      </c>
      <c r="Q146" s="66" t="s">
        <v>1972</v>
      </c>
    </row>
    <row r="147" spans="1:17" x14ac:dyDescent="0.3">
      <c r="A147" s="61" t="s">
        <v>2007</v>
      </c>
      <c r="B147" s="62" t="s">
        <v>653</v>
      </c>
      <c r="C147" s="62" t="s">
        <v>654</v>
      </c>
      <c r="D147" s="63">
        <v>44545</v>
      </c>
      <c r="E147" s="63">
        <v>46112</v>
      </c>
      <c r="F147" s="62" t="s">
        <v>1959</v>
      </c>
      <c r="G147" s="62" t="s">
        <v>582</v>
      </c>
      <c r="H147" s="62" t="s">
        <v>345</v>
      </c>
      <c r="I147" s="64">
        <v>755555.55555555597</v>
      </c>
      <c r="J147" s="62" t="s">
        <v>441</v>
      </c>
      <c r="K147" s="62" t="s">
        <v>345</v>
      </c>
      <c r="L147" s="65" t="s">
        <v>353</v>
      </c>
      <c r="M147" s="62" t="s">
        <v>307</v>
      </c>
      <c r="N147" s="62" t="s">
        <v>427</v>
      </c>
      <c r="O147" s="62" t="s">
        <v>428</v>
      </c>
      <c r="P147" s="62" t="s">
        <v>2421</v>
      </c>
      <c r="Q147" s="66" t="s">
        <v>1972</v>
      </c>
    </row>
    <row r="148" spans="1:17" x14ac:dyDescent="0.3">
      <c r="A148" s="61" t="s">
        <v>2007</v>
      </c>
      <c r="B148" s="62" t="s">
        <v>653</v>
      </c>
      <c r="C148" s="62" t="s">
        <v>654</v>
      </c>
      <c r="D148" s="63">
        <v>44545</v>
      </c>
      <c r="E148" s="63">
        <v>46112</v>
      </c>
      <c r="F148" s="62" t="s">
        <v>1959</v>
      </c>
      <c r="G148" s="62" t="s">
        <v>655</v>
      </c>
      <c r="H148" s="62" t="s">
        <v>345</v>
      </c>
      <c r="I148" s="64">
        <v>755555.55555555597</v>
      </c>
      <c r="J148" s="62" t="s">
        <v>441</v>
      </c>
      <c r="K148" s="62" t="s">
        <v>345</v>
      </c>
      <c r="L148" s="65" t="s">
        <v>353</v>
      </c>
      <c r="M148" s="62" t="s">
        <v>307</v>
      </c>
      <c r="N148" s="62" t="s">
        <v>427</v>
      </c>
      <c r="O148" s="62" t="s">
        <v>428</v>
      </c>
      <c r="P148" s="62" t="s">
        <v>2421</v>
      </c>
      <c r="Q148" s="66" t="s">
        <v>1972</v>
      </c>
    </row>
    <row r="149" spans="1:17" x14ac:dyDescent="0.3">
      <c r="A149" s="61" t="s">
        <v>2007</v>
      </c>
      <c r="B149" s="62" t="s">
        <v>653</v>
      </c>
      <c r="C149" s="62" t="s">
        <v>654</v>
      </c>
      <c r="D149" s="63">
        <v>44545</v>
      </c>
      <c r="E149" s="63">
        <v>46112</v>
      </c>
      <c r="F149" s="62" t="s">
        <v>1945</v>
      </c>
      <c r="G149" s="62" t="s">
        <v>400</v>
      </c>
      <c r="H149" s="62" t="s">
        <v>345</v>
      </c>
      <c r="I149" s="64">
        <v>1133333.33333333</v>
      </c>
      <c r="J149" s="62" t="s">
        <v>441</v>
      </c>
      <c r="K149" s="62" t="s">
        <v>345</v>
      </c>
      <c r="L149" s="65" t="s">
        <v>353</v>
      </c>
      <c r="M149" s="62" t="s">
        <v>307</v>
      </c>
      <c r="N149" s="62" t="s">
        <v>427</v>
      </c>
      <c r="O149" s="62" t="s">
        <v>428</v>
      </c>
      <c r="P149" s="62" t="s">
        <v>2421</v>
      </c>
      <c r="Q149" s="66" t="s">
        <v>1972</v>
      </c>
    </row>
    <row r="150" spans="1:17" x14ac:dyDescent="0.3">
      <c r="A150" s="61" t="s">
        <v>2007</v>
      </c>
      <c r="B150" s="62" t="s">
        <v>653</v>
      </c>
      <c r="C150" s="62" t="s">
        <v>654</v>
      </c>
      <c r="D150" s="63">
        <v>44545</v>
      </c>
      <c r="E150" s="63">
        <v>46112</v>
      </c>
      <c r="F150" s="62" t="s">
        <v>1945</v>
      </c>
      <c r="G150" s="62" t="s">
        <v>555</v>
      </c>
      <c r="H150" s="62" t="s">
        <v>345</v>
      </c>
      <c r="I150" s="64">
        <v>1133333.33333333</v>
      </c>
      <c r="J150" s="62" t="s">
        <v>441</v>
      </c>
      <c r="K150" s="62" t="s">
        <v>345</v>
      </c>
      <c r="L150" s="65" t="s">
        <v>353</v>
      </c>
      <c r="M150" s="62" t="s">
        <v>307</v>
      </c>
      <c r="N150" s="62" t="s">
        <v>427</v>
      </c>
      <c r="O150" s="62" t="s">
        <v>428</v>
      </c>
      <c r="P150" s="62" t="s">
        <v>2421</v>
      </c>
      <c r="Q150" s="66" t="s">
        <v>1972</v>
      </c>
    </row>
    <row r="151" spans="1:17" x14ac:dyDescent="0.3">
      <c r="A151" s="61" t="s">
        <v>2008</v>
      </c>
      <c r="B151" s="62" t="s">
        <v>656</v>
      </c>
      <c r="C151" s="62" t="s">
        <v>657</v>
      </c>
      <c r="D151" s="63">
        <v>44630</v>
      </c>
      <c r="E151" s="63">
        <v>46091</v>
      </c>
      <c r="F151" s="62" t="s">
        <v>1930</v>
      </c>
      <c r="G151" s="62" t="s">
        <v>501</v>
      </c>
      <c r="H151" s="62" t="s">
        <v>480</v>
      </c>
      <c r="I151" s="64">
        <v>122333.33333333299</v>
      </c>
      <c r="J151" s="62" t="s">
        <v>481</v>
      </c>
      <c r="K151" s="62" t="s">
        <v>1957</v>
      </c>
      <c r="L151" s="65" t="s">
        <v>306</v>
      </c>
      <c r="M151" s="62" t="s">
        <v>354</v>
      </c>
      <c r="N151" s="62" t="s">
        <v>458</v>
      </c>
      <c r="O151" s="62" t="s">
        <v>459</v>
      </c>
      <c r="P151" s="62" t="s">
        <v>2421</v>
      </c>
      <c r="Q151" s="66" t="s">
        <v>1971</v>
      </c>
    </row>
    <row r="152" spans="1:17" x14ac:dyDescent="0.3">
      <c r="A152" s="61" t="s">
        <v>2008</v>
      </c>
      <c r="B152" s="62" t="s">
        <v>656</v>
      </c>
      <c r="C152" s="62" t="s">
        <v>657</v>
      </c>
      <c r="D152" s="63">
        <v>44630</v>
      </c>
      <c r="E152" s="63">
        <v>46091</v>
      </c>
      <c r="F152" s="62" t="s">
        <v>1930</v>
      </c>
      <c r="G152" s="62" t="s">
        <v>502</v>
      </c>
      <c r="H152" s="62" t="s">
        <v>480</v>
      </c>
      <c r="I152" s="64">
        <v>122333.33333333299</v>
      </c>
      <c r="J152" s="62" t="s">
        <v>481</v>
      </c>
      <c r="K152" s="62" t="s">
        <v>1957</v>
      </c>
      <c r="L152" s="65" t="s">
        <v>306</v>
      </c>
      <c r="M152" s="62" t="s">
        <v>354</v>
      </c>
      <c r="N152" s="62" t="s">
        <v>458</v>
      </c>
      <c r="O152" s="62" t="s">
        <v>459</v>
      </c>
      <c r="P152" s="62" t="s">
        <v>2421</v>
      </c>
      <c r="Q152" s="66" t="s">
        <v>1971</v>
      </c>
    </row>
    <row r="153" spans="1:17" x14ac:dyDescent="0.3">
      <c r="A153" s="61" t="s">
        <v>2008</v>
      </c>
      <c r="B153" s="62" t="s">
        <v>656</v>
      </c>
      <c r="C153" s="62" t="s">
        <v>657</v>
      </c>
      <c r="D153" s="63">
        <v>44630</v>
      </c>
      <c r="E153" s="63">
        <v>46091</v>
      </c>
      <c r="F153" s="62" t="s">
        <v>1930</v>
      </c>
      <c r="G153" s="62" t="s">
        <v>532</v>
      </c>
      <c r="H153" s="62" t="s">
        <v>480</v>
      </c>
      <c r="I153" s="64">
        <v>122333.33333333299</v>
      </c>
      <c r="J153" s="62" t="s">
        <v>481</v>
      </c>
      <c r="K153" s="62" t="s">
        <v>1957</v>
      </c>
      <c r="L153" s="65" t="s">
        <v>306</v>
      </c>
      <c r="M153" s="62" t="s">
        <v>354</v>
      </c>
      <c r="N153" s="62" t="s">
        <v>458</v>
      </c>
      <c r="O153" s="62" t="s">
        <v>459</v>
      </c>
      <c r="P153" s="62" t="s">
        <v>2421</v>
      </c>
      <c r="Q153" s="66" t="s">
        <v>1971</v>
      </c>
    </row>
    <row r="154" spans="1:17" x14ac:dyDescent="0.3">
      <c r="A154" s="61" t="s">
        <v>2008</v>
      </c>
      <c r="B154" s="62" t="s">
        <v>656</v>
      </c>
      <c r="C154" s="62" t="s">
        <v>657</v>
      </c>
      <c r="D154" s="63">
        <v>44630</v>
      </c>
      <c r="E154" s="63">
        <v>46091</v>
      </c>
      <c r="F154" s="62" t="s">
        <v>1943</v>
      </c>
      <c r="G154" s="62" t="s">
        <v>658</v>
      </c>
      <c r="H154" s="62" t="s">
        <v>480</v>
      </c>
      <c r="I154" s="64">
        <v>183500</v>
      </c>
      <c r="J154" s="62" t="s">
        <v>481</v>
      </c>
      <c r="K154" s="62" t="s">
        <v>1957</v>
      </c>
      <c r="L154" s="65" t="s">
        <v>306</v>
      </c>
      <c r="M154" s="62" t="s">
        <v>354</v>
      </c>
      <c r="N154" s="62" t="s">
        <v>458</v>
      </c>
      <c r="O154" s="62" t="s">
        <v>459</v>
      </c>
      <c r="P154" s="62" t="s">
        <v>2421</v>
      </c>
      <c r="Q154" s="66" t="s">
        <v>1971</v>
      </c>
    </row>
    <row r="155" spans="1:17" x14ac:dyDescent="0.3">
      <c r="A155" s="61" t="s">
        <v>2008</v>
      </c>
      <c r="B155" s="62" t="s">
        <v>656</v>
      </c>
      <c r="C155" s="62" t="s">
        <v>657</v>
      </c>
      <c r="D155" s="63">
        <v>44630</v>
      </c>
      <c r="E155" s="63">
        <v>46091</v>
      </c>
      <c r="F155" s="62" t="s">
        <v>1943</v>
      </c>
      <c r="G155" s="62" t="s">
        <v>659</v>
      </c>
      <c r="H155" s="62" t="s">
        <v>480</v>
      </c>
      <c r="I155" s="64">
        <v>183500</v>
      </c>
      <c r="J155" s="62" t="s">
        <v>481</v>
      </c>
      <c r="K155" s="62" t="s">
        <v>1957</v>
      </c>
      <c r="L155" s="65" t="s">
        <v>306</v>
      </c>
      <c r="M155" s="62" t="s">
        <v>354</v>
      </c>
      <c r="N155" s="62" t="s">
        <v>458</v>
      </c>
      <c r="O155" s="62" t="s">
        <v>459</v>
      </c>
      <c r="P155" s="62" t="s">
        <v>2421</v>
      </c>
      <c r="Q155" s="66" t="s">
        <v>1971</v>
      </c>
    </row>
    <row r="156" spans="1:17" x14ac:dyDescent="0.3">
      <c r="A156" s="61" t="s">
        <v>2008</v>
      </c>
      <c r="B156" s="62" t="s">
        <v>656</v>
      </c>
      <c r="C156" s="62" t="s">
        <v>657</v>
      </c>
      <c r="D156" s="63">
        <v>44630</v>
      </c>
      <c r="E156" s="63">
        <v>46091</v>
      </c>
      <c r="F156" s="62" t="s">
        <v>1959</v>
      </c>
      <c r="G156" s="62" t="s">
        <v>343</v>
      </c>
      <c r="H156" s="62" t="s">
        <v>480</v>
      </c>
      <c r="I156" s="64">
        <v>183500</v>
      </c>
      <c r="J156" s="62" t="s">
        <v>481</v>
      </c>
      <c r="K156" s="62" t="s">
        <v>1957</v>
      </c>
      <c r="L156" s="65" t="s">
        <v>306</v>
      </c>
      <c r="M156" s="62" t="s">
        <v>354</v>
      </c>
      <c r="N156" s="62" t="s">
        <v>458</v>
      </c>
      <c r="O156" s="62" t="s">
        <v>459</v>
      </c>
      <c r="P156" s="62" t="s">
        <v>2421</v>
      </c>
      <c r="Q156" s="66" t="s">
        <v>1971</v>
      </c>
    </row>
    <row r="157" spans="1:17" x14ac:dyDescent="0.3">
      <c r="A157" s="61" t="s">
        <v>2008</v>
      </c>
      <c r="B157" s="62" t="s">
        <v>656</v>
      </c>
      <c r="C157" s="62" t="s">
        <v>657</v>
      </c>
      <c r="D157" s="63">
        <v>44630</v>
      </c>
      <c r="E157" s="63">
        <v>46091</v>
      </c>
      <c r="F157" s="62" t="s">
        <v>1959</v>
      </c>
      <c r="G157" s="62" t="s">
        <v>588</v>
      </c>
      <c r="H157" s="62" t="s">
        <v>480</v>
      </c>
      <c r="I157" s="64">
        <v>183500</v>
      </c>
      <c r="J157" s="62" t="s">
        <v>481</v>
      </c>
      <c r="K157" s="62" t="s">
        <v>1957</v>
      </c>
      <c r="L157" s="65" t="s">
        <v>306</v>
      </c>
      <c r="M157" s="62" t="s">
        <v>354</v>
      </c>
      <c r="N157" s="62" t="s">
        <v>458</v>
      </c>
      <c r="O157" s="62" t="s">
        <v>459</v>
      </c>
      <c r="P157" s="62" t="s">
        <v>2421</v>
      </c>
      <c r="Q157" s="66" t="s">
        <v>1971</v>
      </c>
    </row>
    <row r="158" spans="1:17" x14ac:dyDescent="0.3">
      <c r="A158" s="61" t="s">
        <v>2008</v>
      </c>
      <c r="B158" s="62" t="s">
        <v>656</v>
      </c>
      <c r="C158" s="62" t="s">
        <v>657</v>
      </c>
      <c r="D158" s="63">
        <v>44630</v>
      </c>
      <c r="E158" s="63">
        <v>46091</v>
      </c>
      <c r="F158" s="62" t="s">
        <v>287</v>
      </c>
      <c r="G158" s="62" t="s">
        <v>396</v>
      </c>
      <c r="H158" s="62" t="s">
        <v>480</v>
      </c>
      <c r="I158" s="64">
        <v>367000</v>
      </c>
      <c r="J158" s="62" t="s">
        <v>481</v>
      </c>
      <c r="K158" s="62" t="s">
        <v>1957</v>
      </c>
      <c r="L158" s="65" t="s">
        <v>306</v>
      </c>
      <c r="M158" s="62" t="s">
        <v>354</v>
      </c>
      <c r="N158" s="62" t="s">
        <v>458</v>
      </c>
      <c r="O158" s="62" t="s">
        <v>459</v>
      </c>
      <c r="P158" s="62" t="s">
        <v>2421</v>
      </c>
      <c r="Q158" s="66" t="s">
        <v>1971</v>
      </c>
    </row>
    <row r="159" spans="1:17" x14ac:dyDescent="0.3">
      <c r="A159" s="61" t="s">
        <v>2008</v>
      </c>
      <c r="B159" s="62" t="s">
        <v>656</v>
      </c>
      <c r="C159" s="62" t="s">
        <v>657</v>
      </c>
      <c r="D159" s="63">
        <v>44630</v>
      </c>
      <c r="E159" s="63">
        <v>46091</v>
      </c>
      <c r="F159" s="62" t="s">
        <v>1945</v>
      </c>
      <c r="G159" s="62" t="s">
        <v>400</v>
      </c>
      <c r="H159" s="62" t="s">
        <v>480</v>
      </c>
      <c r="I159" s="64">
        <v>367000</v>
      </c>
      <c r="J159" s="62" t="s">
        <v>481</v>
      </c>
      <c r="K159" s="62" t="s">
        <v>1957</v>
      </c>
      <c r="L159" s="65" t="s">
        <v>306</v>
      </c>
      <c r="M159" s="62" t="s">
        <v>354</v>
      </c>
      <c r="N159" s="62" t="s">
        <v>458</v>
      </c>
      <c r="O159" s="62" t="s">
        <v>459</v>
      </c>
      <c r="P159" s="62" t="s">
        <v>2421</v>
      </c>
      <c r="Q159" s="66" t="s">
        <v>1971</v>
      </c>
    </row>
    <row r="160" spans="1:17" x14ac:dyDescent="0.3">
      <c r="A160" s="61" t="s">
        <v>2009</v>
      </c>
      <c r="B160" s="62" t="s">
        <v>686</v>
      </c>
      <c r="C160" s="62" t="s">
        <v>687</v>
      </c>
      <c r="D160" s="63">
        <v>44531</v>
      </c>
      <c r="E160" s="63">
        <v>47481</v>
      </c>
      <c r="F160" s="62" t="s">
        <v>1930</v>
      </c>
      <c r="G160" s="62" t="s">
        <v>508</v>
      </c>
      <c r="H160" s="62" t="s">
        <v>2426</v>
      </c>
      <c r="I160" s="64">
        <v>206449.10526315801</v>
      </c>
      <c r="J160" s="62" t="s">
        <v>688</v>
      </c>
      <c r="K160" s="62" t="s">
        <v>360</v>
      </c>
      <c r="L160" s="65" t="s">
        <v>306</v>
      </c>
      <c r="M160" s="62" t="s">
        <v>457</v>
      </c>
      <c r="N160" s="62" t="s">
        <v>458</v>
      </c>
      <c r="O160" s="62" t="s">
        <v>459</v>
      </c>
      <c r="P160" s="62" t="s">
        <v>2421</v>
      </c>
      <c r="Q160" s="66" t="s">
        <v>1971</v>
      </c>
    </row>
    <row r="161" spans="1:17" x14ac:dyDescent="0.3">
      <c r="A161" s="61" t="s">
        <v>2009</v>
      </c>
      <c r="B161" s="62" t="s">
        <v>686</v>
      </c>
      <c r="C161" s="62" t="s">
        <v>687</v>
      </c>
      <c r="D161" s="63">
        <v>44531</v>
      </c>
      <c r="E161" s="63">
        <v>47481</v>
      </c>
      <c r="F161" s="62" t="s">
        <v>1930</v>
      </c>
      <c r="G161" s="62" t="s">
        <v>689</v>
      </c>
      <c r="H161" s="62" t="s">
        <v>2426</v>
      </c>
      <c r="I161" s="64">
        <v>206449.10526315801</v>
      </c>
      <c r="J161" s="62" t="s">
        <v>688</v>
      </c>
      <c r="K161" s="62" t="s">
        <v>360</v>
      </c>
      <c r="L161" s="65" t="s">
        <v>306</v>
      </c>
      <c r="M161" s="62" t="s">
        <v>457</v>
      </c>
      <c r="N161" s="62" t="s">
        <v>458</v>
      </c>
      <c r="O161" s="62" t="s">
        <v>459</v>
      </c>
      <c r="P161" s="62" t="s">
        <v>2421</v>
      </c>
      <c r="Q161" s="66" t="s">
        <v>1971</v>
      </c>
    </row>
    <row r="162" spans="1:17" x14ac:dyDescent="0.3">
      <c r="A162" s="61" t="s">
        <v>2009</v>
      </c>
      <c r="B162" s="62" t="s">
        <v>686</v>
      </c>
      <c r="C162" s="62" t="s">
        <v>687</v>
      </c>
      <c r="D162" s="63">
        <v>44531</v>
      </c>
      <c r="E162" s="63">
        <v>47481</v>
      </c>
      <c r="F162" s="62" t="s">
        <v>1930</v>
      </c>
      <c r="G162" s="62" t="s">
        <v>690</v>
      </c>
      <c r="H162" s="62" t="s">
        <v>2426</v>
      </c>
      <c r="I162" s="64">
        <v>206449.10526315801</v>
      </c>
      <c r="J162" s="62" t="s">
        <v>688</v>
      </c>
      <c r="K162" s="62" t="s">
        <v>360</v>
      </c>
      <c r="L162" s="65" t="s">
        <v>306</v>
      </c>
      <c r="M162" s="62" t="s">
        <v>457</v>
      </c>
      <c r="N162" s="62" t="s">
        <v>458</v>
      </c>
      <c r="O162" s="62" t="s">
        <v>459</v>
      </c>
      <c r="P162" s="62" t="s">
        <v>2421</v>
      </c>
      <c r="Q162" s="66" t="s">
        <v>1971</v>
      </c>
    </row>
    <row r="163" spans="1:17" x14ac:dyDescent="0.3">
      <c r="A163" s="61" t="s">
        <v>2009</v>
      </c>
      <c r="B163" s="62" t="s">
        <v>686</v>
      </c>
      <c r="C163" s="62" t="s">
        <v>687</v>
      </c>
      <c r="D163" s="63">
        <v>44531</v>
      </c>
      <c r="E163" s="63">
        <v>47481</v>
      </c>
      <c r="F163" s="62" t="s">
        <v>1930</v>
      </c>
      <c r="G163" s="62" t="s">
        <v>691</v>
      </c>
      <c r="H163" s="62" t="s">
        <v>2426</v>
      </c>
      <c r="I163" s="64">
        <v>206449.10526315801</v>
      </c>
      <c r="J163" s="62" t="s">
        <v>688</v>
      </c>
      <c r="K163" s="62" t="s">
        <v>360</v>
      </c>
      <c r="L163" s="65" t="s">
        <v>306</v>
      </c>
      <c r="M163" s="62" t="s">
        <v>457</v>
      </c>
      <c r="N163" s="62" t="s">
        <v>458</v>
      </c>
      <c r="O163" s="62" t="s">
        <v>459</v>
      </c>
      <c r="P163" s="62" t="s">
        <v>2421</v>
      </c>
      <c r="Q163" s="66" t="s">
        <v>1971</v>
      </c>
    </row>
    <row r="164" spans="1:17" x14ac:dyDescent="0.3">
      <c r="A164" s="61" t="s">
        <v>2009</v>
      </c>
      <c r="B164" s="62" t="s">
        <v>686</v>
      </c>
      <c r="C164" s="62" t="s">
        <v>687</v>
      </c>
      <c r="D164" s="63">
        <v>44531</v>
      </c>
      <c r="E164" s="63">
        <v>47481</v>
      </c>
      <c r="F164" s="62" t="s">
        <v>1930</v>
      </c>
      <c r="G164" s="62" t="s">
        <v>692</v>
      </c>
      <c r="H164" s="62" t="s">
        <v>2426</v>
      </c>
      <c r="I164" s="64">
        <v>206449.10526315801</v>
      </c>
      <c r="J164" s="62" t="s">
        <v>688</v>
      </c>
      <c r="K164" s="62" t="s">
        <v>360</v>
      </c>
      <c r="L164" s="65" t="s">
        <v>306</v>
      </c>
      <c r="M164" s="62" t="s">
        <v>457</v>
      </c>
      <c r="N164" s="62" t="s">
        <v>458</v>
      </c>
      <c r="O164" s="62" t="s">
        <v>459</v>
      </c>
      <c r="P164" s="62" t="s">
        <v>2421</v>
      </c>
      <c r="Q164" s="66" t="s">
        <v>1971</v>
      </c>
    </row>
    <row r="165" spans="1:17" x14ac:dyDescent="0.3">
      <c r="A165" s="61" t="s">
        <v>2009</v>
      </c>
      <c r="B165" s="62" t="s">
        <v>686</v>
      </c>
      <c r="C165" s="62" t="s">
        <v>687</v>
      </c>
      <c r="D165" s="63">
        <v>44531</v>
      </c>
      <c r="E165" s="63">
        <v>47481</v>
      </c>
      <c r="F165" s="62" t="s">
        <v>1930</v>
      </c>
      <c r="G165" s="62" t="s">
        <v>693</v>
      </c>
      <c r="H165" s="62" t="s">
        <v>2426</v>
      </c>
      <c r="I165" s="64">
        <v>206449.10526315801</v>
      </c>
      <c r="J165" s="62" t="s">
        <v>688</v>
      </c>
      <c r="K165" s="62" t="s">
        <v>360</v>
      </c>
      <c r="L165" s="65" t="s">
        <v>306</v>
      </c>
      <c r="M165" s="62" t="s">
        <v>457</v>
      </c>
      <c r="N165" s="62" t="s">
        <v>458</v>
      </c>
      <c r="O165" s="62" t="s">
        <v>459</v>
      </c>
      <c r="P165" s="62" t="s">
        <v>2421</v>
      </c>
      <c r="Q165" s="66" t="s">
        <v>1971</v>
      </c>
    </row>
    <row r="166" spans="1:17" x14ac:dyDescent="0.3">
      <c r="A166" s="61" t="s">
        <v>2009</v>
      </c>
      <c r="B166" s="62" t="s">
        <v>686</v>
      </c>
      <c r="C166" s="62" t="s">
        <v>687</v>
      </c>
      <c r="D166" s="63">
        <v>44531</v>
      </c>
      <c r="E166" s="63">
        <v>47481</v>
      </c>
      <c r="F166" s="62" t="s">
        <v>1930</v>
      </c>
      <c r="G166" s="62" t="s">
        <v>319</v>
      </c>
      <c r="H166" s="62" t="s">
        <v>2426</v>
      </c>
      <c r="I166" s="64">
        <v>206449.10526315801</v>
      </c>
      <c r="J166" s="62" t="s">
        <v>688</v>
      </c>
      <c r="K166" s="62" t="s">
        <v>360</v>
      </c>
      <c r="L166" s="65" t="s">
        <v>306</v>
      </c>
      <c r="M166" s="62" t="s">
        <v>457</v>
      </c>
      <c r="N166" s="62" t="s">
        <v>458</v>
      </c>
      <c r="O166" s="62" t="s">
        <v>459</v>
      </c>
      <c r="P166" s="62" t="s">
        <v>2421</v>
      </c>
      <c r="Q166" s="66" t="s">
        <v>1971</v>
      </c>
    </row>
    <row r="167" spans="1:17" x14ac:dyDescent="0.3">
      <c r="A167" s="61" t="s">
        <v>2009</v>
      </c>
      <c r="B167" s="62" t="s">
        <v>686</v>
      </c>
      <c r="C167" s="62" t="s">
        <v>687</v>
      </c>
      <c r="D167" s="63">
        <v>44531</v>
      </c>
      <c r="E167" s="63">
        <v>47481</v>
      </c>
      <c r="F167" s="62" t="s">
        <v>1930</v>
      </c>
      <c r="G167" s="62" t="s">
        <v>694</v>
      </c>
      <c r="H167" s="62" t="s">
        <v>2426</v>
      </c>
      <c r="I167" s="64">
        <v>206449.10526315801</v>
      </c>
      <c r="J167" s="62" t="s">
        <v>688</v>
      </c>
      <c r="K167" s="62" t="s">
        <v>360</v>
      </c>
      <c r="L167" s="65" t="s">
        <v>306</v>
      </c>
      <c r="M167" s="62" t="s">
        <v>457</v>
      </c>
      <c r="N167" s="62" t="s">
        <v>458</v>
      </c>
      <c r="O167" s="62" t="s">
        <v>459</v>
      </c>
      <c r="P167" s="62" t="s">
        <v>2421</v>
      </c>
      <c r="Q167" s="66" t="s">
        <v>1971</v>
      </c>
    </row>
    <row r="168" spans="1:17" x14ac:dyDescent="0.3">
      <c r="A168" s="61" t="s">
        <v>2009</v>
      </c>
      <c r="B168" s="62" t="s">
        <v>686</v>
      </c>
      <c r="C168" s="62" t="s">
        <v>687</v>
      </c>
      <c r="D168" s="63">
        <v>44531</v>
      </c>
      <c r="E168" s="63">
        <v>47481</v>
      </c>
      <c r="F168" s="62" t="s">
        <v>1930</v>
      </c>
      <c r="G168" s="62" t="s">
        <v>513</v>
      </c>
      <c r="H168" s="62" t="s">
        <v>2426</v>
      </c>
      <c r="I168" s="64">
        <v>206449.10526315801</v>
      </c>
      <c r="J168" s="62" t="s">
        <v>688</v>
      </c>
      <c r="K168" s="62" t="s">
        <v>360</v>
      </c>
      <c r="L168" s="65" t="s">
        <v>306</v>
      </c>
      <c r="M168" s="62" t="s">
        <v>457</v>
      </c>
      <c r="N168" s="62" t="s">
        <v>458</v>
      </c>
      <c r="O168" s="62" t="s">
        <v>459</v>
      </c>
      <c r="P168" s="62" t="s">
        <v>2421</v>
      </c>
      <c r="Q168" s="66" t="s">
        <v>1971</v>
      </c>
    </row>
    <row r="169" spans="1:17" x14ac:dyDescent="0.3">
      <c r="A169" s="61" t="s">
        <v>2009</v>
      </c>
      <c r="B169" s="62" t="s">
        <v>686</v>
      </c>
      <c r="C169" s="62" t="s">
        <v>687</v>
      </c>
      <c r="D169" s="63">
        <v>44531</v>
      </c>
      <c r="E169" s="63">
        <v>47481</v>
      </c>
      <c r="F169" s="62" t="s">
        <v>1930</v>
      </c>
      <c r="G169" s="62" t="s">
        <v>695</v>
      </c>
      <c r="H169" s="62" t="s">
        <v>2426</v>
      </c>
      <c r="I169" s="64">
        <v>206449.10526315801</v>
      </c>
      <c r="J169" s="62" t="s">
        <v>688</v>
      </c>
      <c r="K169" s="62" t="s">
        <v>360</v>
      </c>
      <c r="L169" s="65" t="s">
        <v>306</v>
      </c>
      <c r="M169" s="62" t="s">
        <v>457</v>
      </c>
      <c r="N169" s="62" t="s">
        <v>458</v>
      </c>
      <c r="O169" s="62" t="s">
        <v>459</v>
      </c>
      <c r="P169" s="62" t="s">
        <v>2421</v>
      </c>
      <c r="Q169" s="66" t="s">
        <v>1971</v>
      </c>
    </row>
    <row r="170" spans="1:17" x14ac:dyDescent="0.3">
      <c r="A170" s="61" t="s">
        <v>2009</v>
      </c>
      <c r="B170" s="62" t="s">
        <v>686</v>
      </c>
      <c r="C170" s="62" t="s">
        <v>687</v>
      </c>
      <c r="D170" s="63">
        <v>44531</v>
      </c>
      <c r="E170" s="63">
        <v>47481</v>
      </c>
      <c r="F170" s="62" t="s">
        <v>1930</v>
      </c>
      <c r="G170" s="62" t="s">
        <v>515</v>
      </c>
      <c r="H170" s="62" t="s">
        <v>2426</v>
      </c>
      <c r="I170" s="64">
        <v>206449.10526315801</v>
      </c>
      <c r="J170" s="62" t="s">
        <v>688</v>
      </c>
      <c r="K170" s="62" t="s">
        <v>360</v>
      </c>
      <c r="L170" s="65" t="s">
        <v>306</v>
      </c>
      <c r="M170" s="62" t="s">
        <v>457</v>
      </c>
      <c r="N170" s="62" t="s">
        <v>458</v>
      </c>
      <c r="O170" s="62" t="s">
        <v>459</v>
      </c>
      <c r="P170" s="62" t="s">
        <v>2421</v>
      </c>
      <c r="Q170" s="66" t="s">
        <v>1971</v>
      </c>
    </row>
    <row r="171" spans="1:17" x14ac:dyDescent="0.3">
      <c r="A171" s="61" t="s">
        <v>2009</v>
      </c>
      <c r="B171" s="62" t="s">
        <v>686</v>
      </c>
      <c r="C171" s="62" t="s">
        <v>687</v>
      </c>
      <c r="D171" s="63">
        <v>44531</v>
      </c>
      <c r="E171" s="63">
        <v>47481</v>
      </c>
      <c r="F171" s="62" t="s">
        <v>1930</v>
      </c>
      <c r="G171" s="62" t="s">
        <v>696</v>
      </c>
      <c r="H171" s="62" t="s">
        <v>2426</v>
      </c>
      <c r="I171" s="64">
        <v>206449.10526315801</v>
      </c>
      <c r="J171" s="62" t="s">
        <v>688</v>
      </c>
      <c r="K171" s="62" t="s">
        <v>360</v>
      </c>
      <c r="L171" s="65" t="s">
        <v>306</v>
      </c>
      <c r="M171" s="62" t="s">
        <v>457</v>
      </c>
      <c r="N171" s="62" t="s">
        <v>458</v>
      </c>
      <c r="O171" s="62" t="s">
        <v>459</v>
      </c>
      <c r="P171" s="62" t="s">
        <v>2421</v>
      </c>
      <c r="Q171" s="66" t="s">
        <v>1971</v>
      </c>
    </row>
    <row r="172" spans="1:17" x14ac:dyDescent="0.3">
      <c r="A172" s="61" t="s">
        <v>2009</v>
      </c>
      <c r="B172" s="62" t="s">
        <v>686</v>
      </c>
      <c r="C172" s="62" t="s">
        <v>687</v>
      </c>
      <c r="D172" s="63">
        <v>44531</v>
      </c>
      <c r="E172" s="63">
        <v>47481</v>
      </c>
      <c r="F172" s="62" t="s">
        <v>1930</v>
      </c>
      <c r="G172" s="62" t="s">
        <v>516</v>
      </c>
      <c r="H172" s="62" t="s">
        <v>2426</v>
      </c>
      <c r="I172" s="64">
        <v>206449.10526315801</v>
      </c>
      <c r="J172" s="62" t="s">
        <v>688</v>
      </c>
      <c r="K172" s="62" t="s">
        <v>360</v>
      </c>
      <c r="L172" s="65" t="s">
        <v>306</v>
      </c>
      <c r="M172" s="62" t="s">
        <v>457</v>
      </c>
      <c r="N172" s="62" t="s">
        <v>458</v>
      </c>
      <c r="O172" s="62" t="s">
        <v>459</v>
      </c>
      <c r="P172" s="62" t="s">
        <v>2421</v>
      </c>
      <c r="Q172" s="66" t="s">
        <v>1971</v>
      </c>
    </row>
    <row r="173" spans="1:17" x14ac:dyDescent="0.3">
      <c r="A173" s="61" t="s">
        <v>2009</v>
      </c>
      <c r="B173" s="62" t="s">
        <v>686</v>
      </c>
      <c r="C173" s="62" t="s">
        <v>687</v>
      </c>
      <c r="D173" s="63">
        <v>44531</v>
      </c>
      <c r="E173" s="63">
        <v>47481</v>
      </c>
      <c r="F173" s="62" t="s">
        <v>1930</v>
      </c>
      <c r="G173" s="62" t="s">
        <v>518</v>
      </c>
      <c r="H173" s="62" t="s">
        <v>2426</v>
      </c>
      <c r="I173" s="64">
        <v>206449.10526315801</v>
      </c>
      <c r="J173" s="62" t="s">
        <v>688</v>
      </c>
      <c r="K173" s="62" t="s">
        <v>360</v>
      </c>
      <c r="L173" s="65" t="s">
        <v>306</v>
      </c>
      <c r="M173" s="62" t="s">
        <v>457</v>
      </c>
      <c r="N173" s="62" t="s">
        <v>458</v>
      </c>
      <c r="O173" s="62" t="s">
        <v>459</v>
      </c>
      <c r="P173" s="62" t="s">
        <v>2421</v>
      </c>
      <c r="Q173" s="66" t="s">
        <v>1971</v>
      </c>
    </row>
    <row r="174" spans="1:17" x14ac:dyDescent="0.3">
      <c r="A174" s="61" t="s">
        <v>2009</v>
      </c>
      <c r="B174" s="62" t="s">
        <v>686</v>
      </c>
      <c r="C174" s="62" t="s">
        <v>687</v>
      </c>
      <c r="D174" s="63">
        <v>44531</v>
      </c>
      <c r="E174" s="63">
        <v>47481</v>
      </c>
      <c r="F174" s="62" t="s">
        <v>1930</v>
      </c>
      <c r="G174" s="62" t="s">
        <v>519</v>
      </c>
      <c r="H174" s="62" t="s">
        <v>2426</v>
      </c>
      <c r="I174" s="64">
        <v>206449.10526315801</v>
      </c>
      <c r="J174" s="62" t="s">
        <v>688</v>
      </c>
      <c r="K174" s="62" t="s">
        <v>360</v>
      </c>
      <c r="L174" s="65" t="s">
        <v>306</v>
      </c>
      <c r="M174" s="62" t="s">
        <v>457</v>
      </c>
      <c r="N174" s="62" t="s">
        <v>458</v>
      </c>
      <c r="O174" s="62" t="s">
        <v>459</v>
      </c>
      <c r="P174" s="62" t="s">
        <v>2421</v>
      </c>
      <c r="Q174" s="66" t="s">
        <v>1971</v>
      </c>
    </row>
    <row r="175" spans="1:17" x14ac:dyDescent="0.3">
      <c r="A175" s="61" t="s">
        <v>2009</v>
      </c>
      <c r="B175" s="62" t="s">
        <v>686</v>
      </c>
      <c r="C175" s="62" t="s">
        <v>687</v>
      </c>
      <c r="D175" s="63">
        <v>44531</v>
      </c>
      <c r="E175" s="63">
        <v>47481</v>
      </c>
      <c r="F175" s="62" t="s">
        <v>1930</v>
      </c>
      <c r="G175" s="62" t="s">
        <v>697</v>
      </c>
      <c r="H175" s="62" t="s">
        <v>2426</v>
      </c>
      <c r="I175" s="64">
        <v>206449.10526315801</v>
      </c>
      <c r="J175" s="62" t="s">
        <v>688</v>
      </c>
      <c r="K175" s="62" t="s">
        <v>360</v>
      </c>
      <c r="L175" s="65" t="s">
        <v>306</v>
      </c>
      <c r="M175" s="62" t="s">
        <v>457</v>
      </c>
      <c r="N175" s="62" t="s">
        <v>458</v>
      </c>
      <c r="O175" s="62" t="s">
        <v>459</v>
      </c>
      <c r="P175" s="62" t="s">
        <v>2421</v>
      </c>
      <c r="Q175" s="66" t="s">
        <v>1971</v>
      </c>
    </row>
    <row r="176" spans="1:17" x14ac:dyDescent="0.3">
      <c r="A176" s="61" t="s">
        <v>2009</v>
      </c>
      <c r="B176" s="62" t="s">
        <v>686</v>
      </c>
      <c r="C176" s="62" t="s">
        <v>687</v>
      </c>
      <c r="D176" s="63">
        <v>44531</v>
      </c>
      <c r="E176" s="63">
        <v>47481</v>
      </c>
      <c r="F176" s="62" t="s">
        <v>1930</v>
      </c>
      <c r="G176" s="62" t="s">
        <v>520</v>
      </c>
      <c r="H176" s="62" t="s">
        <v>2426</v>
      </c>
      <c r="I176" s="64">
        <v>206449.10526315801</v>
      </c>
      <c r="J176" s="62" t="s">
        <v>688</v>
      </c>
      <c r="K176" s="62" t="s">
        <v>360</v>
      </c>
      <c r="L176" s="65" t="s">
        <v>306</v>
      </c>
      <c r="M176" s="62" t="s">
        <v>457</v>
      </c>
      <c r="N176" s="62" t="s">
        <v>458</v>
      </c>
      <c r="O176" s="62" t="s">
        <v>459</v>
      </c>
      <c r="P176" s="62" t="s">
        <v>2421</v>
      </c>
      <c r="Q176" s="66" t="s">
        <v>1971</v>
      </c>
    </row>
    <row r="177" spans="1:17" x14ac:dyDescent="0.3">
      <c r="A177" s="61" t="s">
        <v>2009</v>
      </c>
      <c r="B177" s="62" t="s">
        <v>686</v>
      </c>
      <c r="C177" s="62" t="s">
        <v>687</v>
      </c>
      <c r="D177" s="63">
        <v>44531</v>
      </c>
      <c r="E177" s="63">
        <v>47481</v>
      </c>
      <c r="F177" s="62" t="s">
        <v>1930</v>
      </c>
      <c r="G177" s="62" t="s">
        <v>698</v>
      </c>
      <c r="H177" s="62" t="s">
        <v>2426</v>
      </c>
      <c r="I177" s="64">
        <v>206449.10526315801</v>
      </c>
      <c r="J177" s="62" t="s">
        <v>688</v>
      </c>
      <c r="K177" s="62" t="s">
        <v>360</v>
      </c>
      <c r="L177" s="65" t="s">
        <v>306</v>
      </c>
      <c r="M177" s="62" t="s">
        <v>457</v>
      </c>
      <c r="N177" s="62" t="s">
        <v>458</v>
      </c>
      <c r="O177" s="62" t="s">
        <v>459</v>
      </c>
      <c r="P177" s="62" t="s">
        <v>2421</v>
      </c>
      <c r="Q177" s="66" t="s">
        <v>1971</v>
      </c>
    </row>
    <row r="178" spans="1:17" x14ac:dyDescent="0.3">
      <c r="A178" s="61" t="s">
        <v>2009</v>
      </c>
      <c r="B178" s="62" t="s">
        <v>686</v>
      </c>
      <c r="C178" s="62" t="s">
        <v>687</v>
      </c>
      <c r="D178" s="63">
        <v>44531</v>
      </c>
      <c r="E178" s="63">
        <v>47481</v>
      </c>
      <c r="F178" s="62" t="s">
        <v>1930</v>
      </c>
      <c r="G178" s="62" t="s">
        <v>699</v>
      </c>
      <c r="H178" s="62" t="s">
        <v>2426</v>
      </c>
      <c r="I178" s="64">
        <v>206449.10526315801</v>
      </c>
      <c r="J178" s="62" t="s">
        <v>688</v>
      </c>
      <c r="K178" s="62" t="s">
        <v>360</v>
      </c>
      <c r="L178" s="65" t="s">
        <v>306</v>
      </c>
      <c r="M178" s="62" t="s">
        <v>457</v>
      </c>
      <c r="N178" s="62" t="s">
        <v>458</v>
      </c>
      <c r="O178" s="62" t="s">
        <v>459</v>
      </c>
      <c r="P178" s="62" t="s">
        <v>2421</v>
      </c>
      <c r="Q178" s="66" t="s">
        <v>1971</v>
      </c>
    </row>
    <row r="179" spans="1:17" x14ac:dyDescent="0.3">
      <c r="A179" s="61" t="s">
        <v>2009</v>
      </c>
      <c r="B179" s="62" t="s">
        <v>686</v>
      </c>
      <c r="C179" s="62" t="s">
        <v>687</v>
      </c>
      <c r="D179" s="63">
        <v>44531</v>
      </c>
      <c r="E179" s="63">
        <v>47481</v>
      </c>
      <c r="F179" s="62" t="s">
        <v>288</v>
      </c>
      <c r="G179" s="62" t="s">
        <v>700</v>
      </c>
      <c r="H179" s="62" t="s">
        <v>2426</v>
      </c>
      <c r="I179" s="64">
        <v>1961266.5</v>
      </c>
      <c r="J179" s="62" t="s">
        <v>688</v>
      </c>
      <c r="K179" s="62" t="s">
        <v>360</v>
      </c>
      <c r="L179" s="65" t="s">
        <v>306</v>
      </c>
      <c r="M179" s="62" t="s">
        <v>457</v>
      </c>
      <c r="N179" s="62" t="s">
        <v>458</v>
      </c>
      <c r="O179" s="62" t="s">
        <v>459</v>
      </c>
      <c r="P179" s="62" t="s">
        <v>2421</v>
      </c>
      <c r="Q179" s="66" t="s">
        <v>1971</v>
      </c>
    </row>
    <row r="180" spans="1:17" x14ac:dyDescent="0.3">
      <c r="A180" s="61" t="s">
        <v>2009</v>
      </c>
      <c r="B180" s="62" t="s">
        <v>686</v>
      </c>
      <c r="C180" s="62" t="s">
        <v>687</v>
      </c>
      <c r="D180" s="63">
        <v>44531</v>
      </c>
      <c r="E180" s="63">
        <v>47481</v>
      </c>
      <c r="F180" s="62" t="s">
        <v>288</v>
      </c>
      <c r="G180" s="62" t="s">
        <v>701</v>
      </c>
      <c r="H180" s="62" t="s">
        <v>2426</v>
      </c>
      <c r="I180" s="64">
        <v>1961266.5</v>
      </c>
      <c r="J180" s="62" t="s">
        <v>688</v>
      </c>
      <c r="K180" s="62" t="s">
        <v>360</v>
      </c>
      <c r="L180" s="65" t="s">
        <v>306</v>
      </c>
      <c r="M180" s="62" t="s">
        <v>457</v>
      </c>
      <c r="N180" s="62" t="s">
        <v>458</v>
      </c>
      <c r="O180" s="62" t="s">
        <v>459</v>
      </c>
      <c r="P180" s="62" t="s">
        <v>2421</v>
      </c>
      <c r="Q180" s="66" t="s">
        <v>1971</v>
      </c>
    </row>
    <row r="181" spans="1:17" x14ac:dyDescent="0.3">
      <c r="A181" s="61" t="s">
        <v>2009</v>
      </c>
      <c r="B181" s="62" t="s">
        <v>686</v>
      </c>
      <c r="C181" s="62" t="s">
        <v>687</v>
      </c>
      <c r="D181" s="63">
        <v>44531</v>
      </c>
      <c r="E181" s="63">
        <v>47481</v>
      </c>
      <c r="F181" s="62" t="s">
        <v>1945</v>
      </c>
      <c r="G181" s="62" t="s">
        <v>702</v>
      </c>
      <c r="H181" s="62" t="s">
        <v>2426</v>
      </c>
      <c r="I181" s="64">
        <v>1961266.5</v>
      </c>
      <c r="J181" s="62" t="s">
        <v>688</v>
      </c>
      <c r="K181" s="62" t="s">
        <v>360</v>
      </c>
      <c r="L181" s="65" t="s">
        <v>306</v>
      </c>
      <c r="M181" s="62" t="s">
        <v>457</v>
      </c>
      <c r="N181" s="62" t="s">
        <v>458</v>
      </c>
      <c r="O181" s="62" t="s">
        <v>459</v>
      </c>
      <c r="P181" s="62" t="s">
        <v>2421</v>
      </c>
      <c r="Q181" s="66" t="s">
        <v>1971</v>
      </c>
    </row>
    <row r="182" spans="1:17" x14ac:dyDescent="0.3">
      <c r="A182" s="61" t="s">
        <v>2009</v>
      </c>
      <c r="B182" s="62" t="s">
        <v>686</v>
      </c>
      <c r="C182" s="62" t="s">
        <v>687</v>
      </c>
      <c r="D182" s="63">
        <v>44531</v>
      </c>
      <c r="E182" s="63">
        <v>47481</v>
      </c>
      <c r="F182" s="62" t="s">
        <v>1945</v>
      </c>
      <c r="G182" s="62" t="s">
        <v>703</v>
      </c>
      <c r="H182" s="62" t="s">
        <v>2426</v>
      </c>
      <c r="I182" s="64">
        <v>1961266.5</v>
      </c>
      <c r="J182" s="62" t="s">
        <v>688</v>
      </c>
      <c r="K182" s="62" t="s">
        <v>360</v>
      </c>
      <c r="L182" s="65" t="s">
        <v>306</v>
      </c>
      <c r="M182" s="62" t="s">
        <v>457</v>
      </c>
      <c r="N182" s="62" t="s">
        <v>458</v>
      </c>
      <c r="O182" s="62" t="s">
        <v>459</v>
      </c>
      <c r="P182" s="62" t="s">
        <v>2421</v>
      </c>
      <c r="Q182" s="66" t="s">
        <v>1971</v>
      </c>
    </row>
    <row r="183" spans="1:17" x14ac:dyDescent="0.3">
      <c r="A183" s="61" t="s">
        <v>2010</v>
      </c>
      <c r="B183" s="62" t="s">
        <v>704</v>
      </c>
      <c r="C183" s="62" t="s">
        <v>705</v>
      </c>
      <c r="D183" s="63">
        <v>44776</v>
      </c>
      <c r="E183" s="63">
        <v>46236</v>
      </c>
      <c r="F183" s="62" t="s">
        <v>1934</v>
      </c>
      <c r="G183" s="62" t="s">
        <v>524</v>
      </c>
      <c r="H183" s="62" t="s">
        <v>2427</v>
      </c>
      <c r="I183" s="64">
        <v>141666.66666666701</v>
      </c>
      <c r="J183" s="62" t="s">
        <v>706</v>
      </c>
      <c r="K183" s="62" t="s">
        <v>1957</v>
      </c>
      <c r="L183" s="65" t="s">
        <v>306</v>
      </c>
      <c r="M183" s="62" t="s">
        <v>354</v>
      </c>
      <c r="N183" s="62" t="s">
        <v>458</v>
      </c>
      <c r="O183" s="62" t="s">
        <v>459</v>
      </c>
      <c r="P183" s="62" t="s">
        <v>2421</v>
      </c>
      <c r="Q183" s="66" t="s">
        <v>1971</v>
      </c>
    </row>
    <row r="184" spans="1:17" x14ac:dyDescent="0.3">
      <c r="A184" s="61" t="s">
        <v>2010</v>
      </c>
      <c r="B184" s="62" t="s">
        <v>704</v>
      </c>
      <c r="C184" s="62" t="s">
        <v>705</v>
      </c>
      <c r="D184" s="63">
        <v>44776</v>
      </c>
      <c r="E184" s="63">
        <v>46236</v>
      </c>
      <c r="F184" s="62" t="s">
        <v>1934</v>
      </c>
      <c r="G184" s="62" t="s">
        <v>477</v>
      </c>
      <c r="H184" s="62" t="s">
        <v>2427</v>
      </c>
      <c r="I184" s="64">
        <v>141666.66666666701</v>
      </c>
      <c r="J184" s="62" t="s">
        <v>706</v>
      </c>
      <c r="K184" s="62" t="s">
        <v>1957</v>
      </c>
      <c r="L184" s="65" t="s">
        <v>306</v>
      </c>
      <c r="M184" s="62" t="s">
        <v>354</v>
      </c>
      <c r="N184" s="62" t="s">
        <v>458</v>
      </c>
      <c r="O184" s="62" t="s">
        <v>459</v>
      </c>
      <c r="P184" s="62" t="s">
        <v>2421</v>
      </c>
      <c r="Q184" s="66" t="s">
        <v>1971</v>
      </c>
    </row>
    <row r="185" spans="1:17" x14ac:dyDescent="0.3">
      <c r="A185" s="61" t="s">
        <v>2010</v>
      </c>
      <c r="B185" s="62" t="s">
        <v>704</v>
      </c>
      <c r="C185" s="62" t="s">
        <v>705</v>
      </c>
      <c r="D185" s="63">
        <v>44776</v>
      </c>
      <c r="E185" s="63">
        <v>46236</v>
      </c>
      <c r="F185" s="62" t="s">
        <v>1934</v>
      </c>
      <c r="G185" s="62" t="s">
        <v>526</v>
      </c>
      <c r="H185" s="62" t="s">
        <v>2427</v>
      </c>
      <c r="I185" s="64">
        <v>141666.66666666701</v>
      </c>
      <c r="J185" s="62" t="s">
        <v>706</v>
      </c>
      <c r="K185" s="62" t="s">
        <v>1957</v>
      </c>
      <c r="L185" s="65" t="s">
        <v>306</v>
      </c>
      <c r="M185" s="62" t="s">
        <v>354</v>
      </c>
      <c r="N185" s="62" t="s">
        <v>458</v>
      </c>
      <c r="O185" s="62" t="s">
        <v>459</v>
      </c>
      <c r="P185" s="62" t="s">
        <v>2421</v>
      </c>
      <c r="Q185" s="66" t="s">
        <v>1971</v>
      </c>
    </row>
    <row r="186" spans="1:17" x14ac:dyDescent="0.3">
      <c r="A186" s="61" t="s">
        <v>2010</v>
      </c>
      <c r="B186" s="62" t="s">
        <v>704</v>
      </c>
      <c r="C186" s="62" t="s">
        <v>705</v>
      </c>
      <c r="D186" s="63">
        <v>44776</v>
      </c>
      <c r="E186" s="63">
        <v>46236</v>
      </c>
      <c r="F186" s="62" t="s">
        <v>1921</v>
      </c>
      <c r="G186" s="62" t="s">
        <v>620</v>
      </c>
      <c r="H186" s="62" t="s">
        <v>2427</v>
      </c>
      <c r="I186" s="64">
        <v>425000</v>
      </c>
      <c r="J186" s="62" t="s">
        <v>706</v>
      </c>
      <c r="K186" s="62" t="s">
        <v>1957</v>
      </c>
      <c r="L186" s="65" t="s">
        <v>306</v>
      </c>
      <c r="M186" s="62" t="s">
        <v>354</v>
      </c>
      <c r="N186" s="62" t="s">
        <v>458</v>
      </c>
      <c r="O186" s="62" t="s">
        <v>459</v>
      </c>
      <c r="P186" s="62" t="s">
        <v>2421</v>
      </c>
      <c r="Q186" s="66" t="s">
        <v>1971</v>
      </c>
    </row>
    <row r="187" spans="1:17" x14ac:dyDescent="0.3">
      <c r="A187" s="61" t="s">
        <v>2010</v>
      </c>
      <c r="B187" s="62" t="s">
        <v>704</v>
      </c>
      <c r="C187" s="62" t="s">
        <v>705</v>
      </c>
      <c r="D187" s="63">
        <v>44776</v>
      </c>
      <c r="E187" s="63">
        <v>46236</v>
      </c>
      <c r="F187" s="62" t="s">
        <v>1934</v>
      </c>
      <c r="G187" s="62" t="s">
        <v>524</v>
      </c>
      <c r="H187" s="62" t="s">
        <v>480</v>
      </c>
      <c r="I187" s="64">
        <v>250000</v>
      </c>
      <c r="J187" s="62" t="s">
        <v>481</v>
      </c>
      <c r="K187" s="62" t="s">
        <v>1957</v>
      </c>
      <c r="L187" s="65" t="s">
        <v>306</v>
      </c>
      <c r="M187" s="62" t="s">
        <v>354</v>
      </c>
      <c r="N187" s="62" t="s">
        <v>458</v>
      </c>
      <c r="O187" s="62" t="s">
        <v>459</v>
      </c>
      <c r="P187" s="62" t="s">
        <v>2421</v>
      </c>
      <c r="Q187" s="66" t="s">
        <v>1971</v>
      </c>
    </row>
    <row r="188" spans="1:17" x14ac:dyDescent="0.3">
      <c r="A188" s="61" t="s">
        <v>2010</v>
      </c>
      <c r="B188" s="62" t="s">
        <v>704</v>
      </c>
      <c r="C188" s="62" t="s">
        <v>705</v>
      </c>
      <c r="D188" s="63">
        <v>44776</v>
      </c>
      <c r="E188" s="63">
        <v>46236</v>
      </c>
      <c r="F188" s="62" t="s">
        <v>1934</v>
      </c>
      <c r="G188" s="62" t="s">
        <v>477</v>
      </c>
      <c r="H188" s="62" t="s">
        <v>480</v>
      </c>
      <c r="I188" s="64">
        <v>250000</v>
      </c>
      <c r="J188" s="62" t="s">
        <v>481</v>
      </c>
      <c r="K188" s="62" t="s">
        <v>1957</v>
      </c>
      <c r="L188" s="65" t="s">
        <v>306</v>
      </c>
      <c r="M188" s="62" t="s">
        <v>354</v>
      </c>
      <c r="N188" s="62" t="s">
        <v>458</v>
      </c>
      <c r="O188" s="62" t="s">
        <v>459</v>
      </c>
      <c r="P188" s="62" t="s">
        <v>2421</v>
      </c>
      <c r="Q188" s="66" t="s">
        <v>1971</v>
      </c>
    </row>
    <row r="189" spans="1:17" x14ac:dyDescent="0.3">
      <c r="A189" s="61" t="s">
        <v>2010</v>
      </c>
      <c r="B189" s="62" t="s">
        <v>704</v>
      </c>
      <c r="C189" s="62" t="s">
        <v>705</v>
      </c>
      <c r="D189" s="63">
        <v>44776</v>
      </c>
      <c r="E189" s="63">
        <v>46236</v>
      </c>
      <c r="F189" s="62" t="s">
        <v>1934</v>
      </c>
      <c r="G189" s="62" t="s">
        <v>526</v>
      </c>
      <c r="H189" s="62" t="s">
        <v>480</v>
      </c>
      <c r="I189" s="64">
        <v>250000</v>
      </c>
      <c r="J189" s="62" t="s">
        <v>481</v>
      </c>
      <c r="K189" s="62" t="s">
        <v>1957</v>
      </c>
      <c r="L189" s="65" t="s">
        <v>306</v>
      </c>
      <c r="M189" s="62" t="s">
        <v>354</v>
      </c>
      <c r="N189" s="62" t="s">
        <v>458</v>
      </c>
      <c r="O189" s="62" t="s">
        <v>459</v>
      </c>
      <c r="P189" s="62" t="s">
        <v>2421</v>
      </c>
      <c r="Q189" s="66" t="s">
        <v>1971</v>
      </c>
    </row>
    <row r="190" spans="1:17" x14ac:dyDescent="0.3">
      <c r="A190" s="61" t="s">
        <v>2010</v>
      </c>
      <c r="B190" s="62" t="s">
        <v>704</v>
      </c>
      <c r="C190" s="62" t="s">
        <v>705</v>
      </c>
      <c r="D190" s="63">
        <v>44776</v>
      </c>
      <c r="E190" s="63">
        <v>46236</v>
      </c>
      <c r="F190" s="62" t="s">
        <v>1921</v>
      </c>
      <c r="G190" s="62" t="s">
        <v>620</v>
      </c>
      <c r="H190" s="62" t="s">
        <v>480</v>
      </c>
      <c r="I190" s="64">
        <v>750000</v>
      </c>
      <c r="J190" s="62" t="s">
        <v>481</v>
      </c>
      <c r="K190" s="62" t="s">
        <v>1957</v>
      </c>
      <c r="L190" s="65" t="s">
        <v>306</v>
      </c>
      <c r="M190" s="62" t="s">
        <v>354</v>
      </c>
      <c r="N190" s="62" t="s">
        <v>458</v>
      </c>
      <c r="O190" s="62" t="s">
        <v>459</v>
      </c>
      <c r="P190" s="62" t="s">
        <v>2421</v>
      </c>
      <c r="Q190" s="66" t="s">
        <v>1971</v>
      </c>
    </row>
    <row r="191" spans="1:17" x14ac:dyDescent="0.3">
      <c r="A191" s="61" t="s">
        <v>2011</v>
      </c>
      <c r="B191" s="62" t="s">
        <v>707</v>
      </c>
      <c r="C191" s="62" t="s">
        <v>708</v>
      </c>
      <c r="D191" s="63">
        <v>44757</v>
      </c>
      <c r="E191" s="63">
        <v>46036</v>
      </c>
      <c r="F191" s="62" t="s">
        <v>1958</v>
      </c>
      <c r="G191" s="62" t="s">
        <v>328</v>
      </c>
      <c r="H191" s="62" t="s">
        <v>521</v>
      </c>
      <c r="I191" s="64">
        <v>245675.875</v>
      </c>
      <c r="J191" s="62" t="s">
        <v>522</v>
      </c>
      <c r="K191" s="62" t="s">
        <v>521</v>
      </c>
      <c r="L191" s="65" t="s">
        <v>2423</v>
      </c>
      <c r="M191" s="62" t="s">
        <v>356</v>
      </c>
      <c r="N191" s="62" t="s">
        <v>357</v>
      </c>
      <c r="O191" s="62" t="s">
        <v>358</v>
      </c>
      <c r="P191" s="62" t="s">
        <v>2421</v>
      </c>
      <c r="Q191" s="66" t="s">
        <v>1971</v>
      </c>
    </row>
    <row r="192" spans="1:17" x14ac:dyDescent="0.3">
      <c r="A192" s="61" t="s">
        <v>2011</v>
      </c>
      <c r="B192" s="62" t="s">
        <v>707</v>
      </c>
      <c r="C192" s="62" t="s">
        <v>708</v>
      </c>
      <c r="D192" s="63">
        <v>44757</v>
      </c>
      <c r="E192" s="63">
        <v>46036</v>
      </c>
      <c r="F192" s="62" t="s">
        <v>1958</v>
      </c>
      <c r="G192" s="62" t="s">
        <v>329</v>
      </c>
      <c r="H192" s="62" t="s">
        <v>521</v>
      </c>
      <c r="I192" s="64">
        <v>245675.875</v>
      </c>
      <c r="J192" s="62" t="s">
        <v>522</v>
      </c>
      <c r="K192" s="62" t="s">
        <v>521</v>
      </c>
      <c r="L192" s="65" t="s">
        <v>306</v>
      </c>
      <c r="M192" s="62" t="s">
        <v>356</v>
      </c>
      <c r="N192" s="62" t="s">
        <v>357</v>
      </c>
      <c r="O192" s="62" t="s">
        <v>358</v>
      </c>
      <c r="P192" s="62" t="s">
        <v>2421</v>
      </c>
      <c r="Q192" s="66" t="s">
        <v>1971</v>
      </c>
    </row>
    <row r="193" spans="1:17" x14ac:dyDescent="0.3">
      <c r="A193" s="61" t="s">
        <v>2011</v>
      </c>
      <c r="B193" s="62" t="s">
        <v>707</v>
      </c>
      <c r="C193" s="62" t="s">
        <v>708</v>
      </c>
      <c r="D193" s="63">
        <v>44757</v>
      </c>
      <c r="E193" s="63">
        <v>46036</v>
      </c>
      <c r="F193" s="62" t="s">
        <v>1958</v>
      </c>
      <c r="G193" s="62" t="s">
        <v>330</v>
      </c>
      <c r="H193" s="62" t="s">
        <v>521</v>
      </c>
      <c r="I193" s="64">
        <v>245675.875</v>
      </c>
      <c r="J193" s="62" t="s">
        <v>522</v>
      </c>
      <c r="K193" s="62" t="s">
        <v>521</v>
      </c>
      <c r="L193" s="65" t="s">
        <v>306</v>
      </c>
      <c r="M193" s="62" t="s">
        <v>356</v>
      </c>
      <c r="N193" s="62" t="s">
        <v>357</v>
      </c>
      <c r="O193" s="62" t="s">
        <v>358</v>
      </c>
      <c r="P193" s="62" t="s">
        <v>2421</v>
      </c>
      <c r="Q193" s="66" t="s">
        <v>1971</v>
      </c>
    </row>
    <row r="194" spans="1:17" x14ac:dyDescent="0.3">
      <c r="A194" s="61" t="s">
        <v>2011</v>
      </c>
      <c r="B194" s="62" t="s">
        <v>707</v>
      </c>
      <c r="C194" s="62" t="s">
        <v>708</v>
      </c>
      <c r="D194" s="63">
        <v>44757</v>
      </c>
      <c r="E194" s="63">
        <v>46036</v>
      </c>
      <c r="F194" s="62" t="s">
        <v>1958</v>
      </c>
      <c r="G194" s="62" t="s">
        <v>331</v>
      </c>
      <c r="H194" s="62" t="s">
        <v>521</v>
      </c>
      <c r="I194" s="64">
        <v>245675.875</v>
      </c>
      <c r="J194" s="62" t="s">
        <v>522</v>
      </c>
      <c r="K194" s="62" t="s">
        <v>521</v>
      </c>
      <c r="L194" s="65" t="s">
        <v>306</v>
      </c>
      <c r="M194" s="62" t="s">
        <v>356</v>
      </c>
      <c r="N194" s="62" t="s">
        <v>357</v>
      </c>
      <c r="O194" s="62" t="s">
        <v>358</v>
      </c>
      <c r="P194" s="62" t="s">
        <v>2421</v>
      </c>
      <c r="Q194" s="66" t="s">
        <v>1971</v>
      </c>
    </row>
    <row r="195" spans="1:17" x14ac:dyDescent="0.3">
      <c r="A195" s="61" t="s">
        <v>2011</v>
      </c>
      <c r="B195" s="62" t="s">
        <v>707</v>
      </c>
      <c r="C195" s="62" t="s">
        <v>708</v>
      </c>
      <c r="D195" s="63">
        <v>44757</v>
      </c>
      <c r="E195" s="63">
        <v>46036</v>
      </c>
      <c r="F195" s="62" t="s">
        <v>1958</v>
      </c>
      <c r="G195" s="62" t="s">
        <v>332</v>
      </c>
      <c r="H195" s="62" t="s">
        <v>521</v>
      </c>
      <c r="I195" s="64">
        <v>245675.875</v>
      </c>
      <c r="J195" s="62" t="s">
        <v>522</v>
      </c>
      <c r="K195" s="62" t="s">
        <v>521</v>
      </c>
      <c r="L195" s="65" t="s">
        <v>306</v>
      </c>
      <c r="M195" s="62" t="s">
        <v>356</v>
      </c>
      <c r="N195" s="62" t="s">
        <v>357</v>
      </c>
      <c r="O195" s="62" t="s">
        <v>358</v>
      </c>
      <c r="P195" s="62" t="s">
        <v>2421</v>
      </c>
      <c r="Q195" s="66" t="s">
        <v>1971</v>
      </c>
    </row>
    <row r="196" spans="1:17" x14ac:dyDescent="0.3">
      <c r="A196" s="61" t="s">
        <v>2011</v>
      </c>
      <c r="B196" s="62" t="s">
        <v>707</v>
      </c>
      <c r="C196" s="62" t="s">
        <v>708</v>
      </c>
      <c r="D196" s="63">
        <v>44757</v>
      </c>
      <c r="E196" s="63">
        <v>46036</v>
      </c>
      <c r="F196" s="62" t="s">
        <v>1958</v>
      </c>
      <c r="G196" s="62" t="s">
        <v>333</v>
      </c>
      <c r="H196" s="62" t="s">
        <v>521</v>
      </c>
      <c r="I196" s="64">
        <v>245675.875</v>
      </c>
      <c r="J196" s="62" t="s">
        <v>522</v>
      </c>
      <c r="K196" s="62" t="s">
        <v>521</v>
      </c>
      <c r="L196" s="65" t="s">
        <v>306</v>
      </c>
      <c r="M196" s="62" t="s">
        <v>356</v>
      </c>
      <c r="N196" s="62" t="s">
        <v>357</v>
      </c>
      <c r="O196" s="62" t="s">
        <v>358</v>
      </c>
      <c r="P196" s="62" t="s">
        <v>2421</v>
      </c>
      <c r="Q196" s="66" t="s">
        <v>1971</v>
      </c>
    </row>
    <row r="197" spans="1:17" x14ac:dyDescent="0.3">
      <c r="A197" s="61" t="s">
        <v>2011</v>
      </c>
      <c r="B197" s="62" t="s">
        <v>707</v>
      </c>
      <c r="C197" s="62" t="s">
        <v>708</v>
      </c>
      <c r="D197" s="63">
        <v>44757</v>
      </c>
      <c r="E197" s="63">
        <v>46036</v>
      </c>
      <c r="F197" s="62" t="s">
        <v>1958</v>
      </c>
      <c r="G197" s="62" t="s">
        <v>334</v>
      </c>
      <c r="H197" s="62" t="s">
        <v>521</v>
      </c>
      <c r="I197" s="64">
        <v>245675.875</v>
      </c>
      <c r="J197" s="62" t="s">
        <v>522</v>
      </c>
      <c r="K197" s="62" t="s">
        <v>521</v>
      </c>
      <c r="L197" s="65" t="s">
        <v>306</v>
      </c>
      <c r="M197" s="62" t="s">
        <v>356</v>
      </c>
      <c r="N197" s="62" t="s">
        <v>357</v>
      </c>
      <c r="O197" s="62" t="s">
        <v>358</v>
      </c>
      <c r="P197" s="62" t="s">
        <v>2421</v>
      </c>
      <c r="Q197" s="66" t="s">
        <v>1971</v>
      </c>
    </row>
    <row r="198" spans="1:17" x14ac:dyDescent="0.3">
      <c r="A198" s="61" t="s">
        <v>2011</v>
      </c>
      <c r="B198" s="62" t="s">
        <v>707</v>
      </c>
      <c r="C198" s="62" t="s">
        <v>708</v>
      </c>
      <c r="D198" s="63">
        <v>44757</v>
      </c>
      <c r="E198" s="63">
        <v>46036</v>
      </c>
      <c r="F198" s="62" t="s">
        <v>1958</v>
      </c>
      <c r="G198" s="62" t="s">
        <v>335</v>
      </c>
      <c r="H198" s="62" t="s">
        <v>521</v>
      </c>
      <c r="I198" s="64">
        <v>245675.875</v>
      </c>
      <c r="J198" s="62" t="s">
        <v>522</v>
      </c>
      <c r="K198" s="62" t="s">
        <v>521</v>
      </c>
      <c r="L198" s="65" t="s">
        <v>306</v>
      </c>
      <c r="M198" s="62" t="s">
        <v>356</v>
      </c>
      <c r="N198" s="62" t="s">
        <v>357</v>
      </c>
      <c r="O198" s="62" t="s">
        <v>358</v>
      </c>
      <c r="P198" s="62" t="s">
        <v>2421</v>
      </c>
      <c r="Q198" s="66" t="s">
        <v>1971</v>
      </c>
    </row>
    <row r="199" spans="1:17" x14ac:dyDescent="0.3">
      <c r="A199" s="61" t="s">
        <v>2012</v>
      </c>
      <c r="B199" s="62" t="s">
        <v>716</v>
      </c>
      <c r="C199" s="62" t="s">
        <v>717</v>
      </c>
      <c r="D199" s="63">
        <v>44522</v>
      </c>
      <c r="E199" s="63">
        <v>46112</v>
      </c>
      <c r="F199" s="62" t="s">
        <v>289</v>
      </c>
      <c r="G199" s="62" t="s">
        <v>304</v>
      </c>
      <c r="H199" s="62" t="s">
        <v>2420</v>
      </c>
      <c r="I199" s="64">
        <v>1000000</v>
      </c>
      <c r="J199" s="62" t="s">
        <v>2425</v>
      </c>
      <c r="K199" s="62" t="s">
        <v>377</v>
      </c>
      <c r="L199" s="65" t="s">
        <v>2423</v>
      </c>
      <c r="M199" s="62" t="s">
        <v>354</v>
      </c>
      <c r="N199" s="62" t="s">
        <v>458</v>
      </c>
      <c r="O199" s="62" t="s">
        <v>459</v>
      </c>
      <c r="P199" s="62" t="s">
        <v>2421</v>
      </c>
      <c r="Q199" s="66" t="s">
        <v>1971</v>
      </c>
    </row>
    <row r="200" spans="1:17" x14ac:dyDescent="0.3">
      <c r="A200" s="61" t="s">
        <v>2012</v>
      </c>
      <c r="B200" s="62" t="s">
        <v>716</v>
      </c>
      <c r="C200" s="62" t="s">
        <v>717</v>
      </c>
      <c r="D200" s="63">
        <v>44522</v>
      </c>
      <c r="E200" s="63">
        <v>46112</v>
      </c>
      <c r="F200" s="62" t="s">
        <v>289</v>
      </c>
      <c r="G200" s="62" t="s">
        <v>304</v>
      </c>
      <c r="H200" s="62" t="s">
        <v>2427</v>
      </c>
      <c r="I200" s="64">
        <v>210000</v>
      </c>
      <c r="J200" s="62" t="s">
        <v>718</v>
      </c>
      <c r="K200" s="62" t="s">
        <v>377</v>
      </c>
      <c r="L200" s="65" t="s">
        <v>2423</v>
      </c>
      <c r="M200" s="62" t="s">
        <v>354</v>
      </c>
      <c r="N200" s="62" t="s">
        <v>458</v>
      </c>
      <c r="O200" s="62" t="s">
        <v>459</v>
      </c>
      <c r="P200" s="62" t="s">
        <v>2421</v>
      </c>
      <c r="Q200" s="66" t="s">
        <v>1971</v>
      </c>
    </row>
    <row r="201" spans="1:17" x14ac:dyDescent="0.3">
      <c r="A201" s="61" t="s">
        <v>2428</v>
      </c>
      <c r="B201" s="62" t="s">
        <v>2429</v>
      </c>
      <c r="C201" s="62" t="s">
        <v>2430</v>
      </c>
      <c r="D201" s="63">
        <v>44749</v>
      </c>
      <c r="E201" s="63">
        <v>46210</v>
      </c>
      <c r="F201" s="62" t="s">
        <v>1944</v>
      </c>
      <c r="G201" s="62" t="s">
        <v>2431</v>
      </c>
      <c r="H201" s="62" t="s">
        <v>2427</v>
      </c>
      <c r="I201" s="64">
        <v>14285.714285714301</v>
      </c>
      <c r="J201" s="62" t="s">
        <v>2432</v>
      </c>
      <c r="K201" s="62" t="s">
        <v>2433</v>
      </c>
      <c r="L201" s="65" t="s">
        <v>359</v>
      </c>
      <c r="M201" s="62" t="s">
        <v>313</v>
      </c>
      <c r="N201" s="62" t="s">
        <v>724</v>
      </c>
      <c r="O201" s="62" t="s">
        <v>637</v>
      </c>
      <c r="P201" s="62" t="s">
        <v>2421</v>
      </c>
      <c r="Q201" s="66" t="s">
        <v>1969</v>
      </c>
    </row>
    <row r="202" spans="1:17" x14ac:dyDescent="0.3">
      <c r="A202" s="61" t="s">
        <v>2428</v>
      </c>
      <c r="B202" s="62" t="s">
        <v>2429</v>
      </c>
      <c r="C202" s="62" t="s">
        <v>2430</v>
      </c>
      <c r="D202" s="63">
        <v>44749</v>
      </c>
      <c r="E202" s="63">
        <v>46210</v>
      </c>
      <c r="F202" s="62" t="s">
        <v>1944</v>
      </c>
      <c r="G202" s="62" t="s">
        <v>680</v>
      </c>
      <c r="H202" s="62" t="s">
        <v>2427</v>
      </c>
      <c r="I202" s="64">
        <v>14285.714285714301</v>
      </c>
      <c r="J202" s="62" t="s">
        <v>2432</v>
      </c>
      <c r="K202" s="62" t="s">
        <v>2433</v>
      </c>
      <c r="L202" s="65" t="s">
        <v>359</v>
      </c>
      <c r="M202" s="62" t="s">
        <v>313</v>
      </c>
      <c r="N202" s="62" t="s">
        <v>724</v>
      </c>
      <c r="O202" s="62" t="s">
        <v>637</v>
      </c>
      <c r="P202" s="62" t="s">
        <v>2421</v>
      </c>
      <c r="Q202" s="66" t="s">
        <v>1969</v>
      </c>
    </row>
    <row r="203" spans="1:17" x14ac:dyDescent="0.3">
      <c r="A203" s="61" t="s">
        <v>2428</v>
      </c>
      <c r="B203" s="62" t="s">
        <v>2429</v>
      </c>
      <c r="C203" s="62" t="s">
        <v>2430</v>
      </c>
      <c r="D203" s="63">
        <v>44749</v>
      </c>
      <c r="E203" s="63">
        <v>46210</v>
      </c>
      <c r="F203" s="62" t="s">
        <v>1944</v>
      </c>
      <c r="G203" s="62" t="s">
        <v>2434</v>
      </c>
      <c r="H203" s="62" t="s">
        <v>2427</v>
      </c>
      <c r="I203" s="64">
        <v>14285.714285714301</v>
      </c>
      <c r="J203" s="62" t="s">
        <v>2432</v>
      </c>
      <c r="K203" s="62" t="s">
        <v>2433</v>
      </c>
      <c r="L203" s="65" t="s">
        <v>359</v>
      </c>
      <c r="M203" s="62" t="s">
        <v>313</v>
      </c>
      <c r="N203" s="62" t="s">
        <v>724</v>
      </c>
      <c r="O203" s="62" t="s">
        <v>637</v>
      </c>
      <c r="P203" s="62" t="s">
        <v>2421</v>
      </c>
      <c r="Q203" s="66" t="s">
        <v>1969</v>
      </c>
    </row>
    <row r="204" spans="1:17" x14ac:dyDescent="0.3">
      <c r="A204" s="61" t="s">
        <v>2428</v>
      </c>
      <c r="B204" s="62" t="s">
        <v>2429</v>
      </c>
      <c r="C204" s="62" t="s">
        <v>2430</v>
      </c>
      <c r="D204" s="63">
        <v>44749</v>
      </c>
      <c r="E204" s="63">
        <v>46210</v>
      </c>
      <c r="F204" s="62" t="s">
        <v>1944</v>
      </c>
      <c r="G204" s="62" t="s">
        <v>725</v>
      </c>
      <c r="H204" s="62" t="s">
        <v>2427</v>
      </c>
      <c r="I204" s="64">
        <v>14285.714285714301</v>
      </c>
      <c r="J204" s="62" t="s">
        <v>2432</v>
      </c>
      <c r="K204" s="62" t="s">
        <v>2433</v>
      </c>
      <c r="L204" s="65" t="s">
        <v>359</v>
      </c>
      <c r="M204" s="62" t="s">
        <v>313</v>
      </c>
      <c r="N204" s="62" t="s">
        <v>724</v>
      </c>
      <c r="O204" s="62" t="s">
        <v>637</v>
      </c>
      <c r="P204" s="62" t="s">
        <v>2421</v>
      </c>
      <c r="Q204" s="66" t="s">
        <v>1969</v>
      </c>
    </row>
    <row r="205" spans="1:17" x14ac:dyDescent="0.3">
      <c r="A205" s="61" t="s">
        <v>2428</v>
      </c>
      <c r="B205" s="62" t="s">
        <v>2429</v>
      </c>
      <c r="C205" s="62" t="s">
        <v>2430</v>
      </c>
      <c r="D205" s="63">
        <v>44749</v>
      </c>
      <c r="E205" s="63">
        <v>46210</v>
      </c>
      <c r="F205" s="62" t="s">
        <v>1944</v>
      </c>
      <c r="G205" s="62" t="s">
        <v>2435</v>
      </c>
      <c r="H205" s="62" t="s">
        <v>2427</v>
      </c>
      <c r="I205" s="64">
        <v>14285.714285714301</v>
      </c>
      <c r="J205" s="62" t="s">
        <v>2432</v>
      </c>
      <c r="K205" s="62" t="s">
        <v>2433</v>
      </c>
      <c r="L205" s="65" t="s">
        <v>359</v>
      </c>
      <c r="M205" s="62" t="s">
        <v>313</v>
      </c>
      <c r="N205" s="62" t="s">
        <v>724</v>
      </c>
      <c r="O205" s="62" t="s">
        <v>637</v>
      </c>
      <c r="P205" s="62" t="s">
        <v>2421</v>
      </c>
      <c r="Q205" s="66" t="s">
        <v>1969</v>
      </c>
    </row>
    <row r="206" spans="1:17" x14ac:dyDescent="0.3">
      <c r="A206" s="61" t="s">
        <v>2428</v>
      </c>
      <c r="B206" s="62" t="s">
        <v>2429</v>
      </c>
      <c r="C206" s="62" t="s">
        <v>2430</v>
      </c>
      <c r="D206" s="63">
        <v>44749</v>
      </c>
      <c r="E206" s="63">
        <v>46210</v>
      </c>
      <c r="F206" s="62" t="s">
        <v>1944</v>
      </c>
      <c r="G206" s="62" t="s">
        <v>518</v>
      </c>
      <c r="H206" s="62" t="s">
        <v>2427</v>
      </c>
      <c r="I206" s="64">
        <v>14285.714285714301</v>
      </c>
      <c r="J206" s="62" t="s">
        <v>2432</v>
      </c>
      <c r="K206" s="62" t="s">
        <v>2433</v>
      </c>
      <c r="L206" s="65" t="s">
        <v>306</v>
      </c>
      <c r="M206" s="62" t="s">
        <v>313</v>
      </c>
      <c r="N206" s="62" t="s">
        <v>724</v>
      </c>
      <c r="O206" s="62" t="s">
        <v>637</v>
      </c>
      <c r="P206" s="62" t="s">
        <v>2421</v>
      </c>
      <c r="Q206" s="66" t="s">
        <v>1969</v>
      </c>
    </row>
    <row r="207" spans="1:17" x14ac:dyDescent="0.3">
      <c r="A207" s="61" t="s">
        <v>2428</v>
      </c>
      <c r="B207" s="62" t="s">
        <v>2429</v>
      </c>
      <c r="C207" s="62" t="s">
        <v>2430</v>
      </c>
      <c r="D207" s="63">
        <v>44749</v>
      </c>
      <c r="E207" s="63">
        <v>46210</v>
      </c>
      <c r="F207" s="62" t="s">
        <v>1944</v>
      </c>
      <c r="G207" s="62" t="s">
        <v>726</v>
      </c>
      <c r="H207" s="62" t="s">
        <v>2427</v>
      </c>
      <c r="I207" s="64">
        <v>14285.714285714301</v>
      </c>
      <c r="J207" s="62" t="s">
        <v>2432</v>
      </c>
      <c r="K207" s="62" t="s">
        <v>2433</v>
      </c>
      <c r="L207" s="65" t="s">
        <v>306</v>
      </c>
      <c r="M207" s="62" t="s">
        <v>313</v>
      </c>
      <c r="N207" s="62" t="s">
        <v>724</v>
      </c>
      <c r="O207" s="62" t="s">
        <v>637</v>
      </c>
      <c r="P207" s="62" t="s">
        <v>2421</v>
      </c>
      <c r="Q207" s="66" t="s">
        <v>1969</v>
      </c>
    </row>
    <row r="208" spans="1:17" x14ac:dyDescent="0.3">
      <c r="A208" s="61" t="s">
        <v>2428</v>
      </c>
      <c r="B208" s="62" t="s">
        <v>2429</v>
      </c>
      <c r="C208" s="62" t="s">
        <v>2430</v>
      </c>
      <c r="D208" s="63">
        <v>44749</v>
      </c>
      <c r="E208" s="63">
        <v>46210</v>
      </c>
      <c r="F208" s="62" t="s">
        <v>1934</v>
      </c>
      <c r="G208" s="62" t="s">
        <v>727</v>
      </c>
      <c r="H208" s="62" t="s">
        <v>2427</v>
      </c>
      <c r="I208" s="64">
        <v>25000</v>
      </c>
      <c r="J208" s="62" t="s">
        <v>2432</v>
      </c>
      <c r="K208" s="62" t="s">
        <v>2433</v>
      </c>
      <c r="L208" s="65" t="s">
        <v>306</v>
      </c>
      <c r="M208" s="62" t="s">
        <v>313</v>
      </c>
      <c r="N208" s="62" t="s">
        <v>724</v>
      </c>
      <c r="O208" s="62" t="s">
        <v>637</v>
      </c>
      <c r="P208" s="62" t="s">
        <v>2421</v>
      </c>
      <c r="Q208" s="66" t="s">
        <v>1969</v>
      </c>
    </row>
    <row r="209" spans="1:17" x14ac:dyDescent="0.3">
      <c r="A209" s="61" t="s">
        <v>2428</v>
      </c>
      <c r="B209" s="62" t="s">
        <v>2429</v>
      </c>
      <c r="C209" s="62" t="s">
        <v>2430</v>
      </c>
      <c r="D209" s="63">
        <v>44749</v>
      </c>
      <c r="E209" s="63">
        <v>46210</v>
      </c>
      <c r="F209" s="62" t="s">
        <v>1934</v>
      </c>
      <c r="G209" s="62" t="s">
        <v>524</v>
      </c>
      <c r="H209" s="62" t="s">
        <v>2427</v>
      </c>
      <c r="I209" s="64">
        <v>25000</v>
      </c>
      <c r="J209" s="62" t="s">
        <v>2432</v>
      </c>
      <c r="K209" s="62" t="s">
        <v>2433</v>
      </c>
      <c r="L209" s="65" t="s">
        <v>306</v>
      </c>
      <c r="M209" s="62" t="s">
        <v>313</v>
      </c>
      <c r="N209" s="62" t="s">
        <v>724</v>
      </c>
      <c r="O209" s="62" t="s">
        <v>637</v>
      </c>
      <c r="P209" s="62" t="s">
        <v>2421</v>
      </c>
      <c r="Q209" s="66" t="s">
        <v>1969</v>
      </c>
    </row>
    <row r="210" spans="1:17" x14ac:dyDescent="0.3">
      <c r="A210" s="61" t="s">
        <v>2428</v>
      </c>
      <c r="B210" s="62" t="s">
        <v>2429</v>
      </c>
      <c r="C210" s="62" t="s">
        <v>2430</v>
      </c>
      <c r="D210" s="63">
        <v>44749</v>
      </c>
      <c r="E210" s="63">
        <v>46210</v>
      </c>
      <c r="F210" s="62" t="s">
        <v>1934</v>
      </c>
      <c r="G210" s="62" t="s">
        <v>525</v>
      </c>
      <c r="H210" s="62" t="s">
        <v>2427</v>
      </c>
      <c r="I210" s="64">
        <v>25000</v>
      </c>
      <c r="J210" s="62" t="s">
        <v>2432</v>
      </c>
      <c r="K210" s="62" t="s">
        <v>2433</v>
      </c>
      <c r="L210" s="65" t="s">
        <v>306</v>
      </c>
      <c r="M210" s="62" t="s">
        <v>313</v>
      </c>
      <c r="N210" s="62" t="s">
        <v>724</v>
      </c>
      <c r="O210" s="62" t="s">
        <v>637</v>
      </c>
      <c r="P210" s="62" t="s">
        <v>2421</v>
      </c>
      <c r="Q210" s="66" t="s">
        <v>1969</v>
      </c>
    </row>
    <row r="211" spans="1:17" x14ac:dyDescent="0.3">
      <c r="A211" s="61" t="s">
        <v>2428</v>
      </c>
      <c r="B211" s="62" t="s">
        <v>2429</v>
      </c>
      <c r="C211" s="62" t="s">
        <v>2430</v>
      </c>
      <c r="D211" s="63">
        <v>44749</v>
      </c>
      <c r="E211" s="63">
        <v>46210</v>
      </c>
      <c r="F211" s="62" t="s">
        <v>1934</v>
      </c>
      <c r="G211" s="62" t="s">
        <v>477</v>
      </c>
      <c r="H211" s="62" t="s">
        <v>2427</v>
      </c>
      <c r="I211" s="64">
        <v>25000</v>
      </c>
      <c r="J211" s="62" t="s">
        <v>2432</v>
      </c>
      <c r="K211" s="62" t="s">
        <v>2433</v>
      </c>
      <c r="L211" s="65" t="s">
        <v>306</v>
      </c>
      <c r="M211" s="62" t="s">
        <v>313</v>
      </c>
      <c r="N211" s="62" t="s">
        <v>724</v>
      </c>
      <c r="O211" s="62" t="s">
        <v>637</v>
      </c>
      <c r="P211" s="62" t="s">
        <v>2421</v>
      </c>
      <c r="Q211" s="66" t="s">
        <v>1969</v>
      </c>
    </row>
    <row r="212" spans="1:17" x14ac:dyDescent="0.3">
      <c r="A212" s="61" t="s">
        <v>2013</v>
      </c>
      <c r="B212" s="62" t="s">
        <v>728</v>
      </c>
      <c r="C212" s="62" t="s">
        <v>729</v>
      </c>
      <c r="D212" s="63">
        <v>44834</v>
      </c>
      <c r="E212" s="63">
        <v>46295</v>
      </c>
      <c r="F212" s="62" t="s">
        <v>1936</v>
      </c>
      <c r="G212" s="62" t="s">
        <v>730</v>
      </c>
      <c r="H212" s="62" t="s">
        <v>480</v>
      </c>
      <c r="I212" s="64">
        <v>27777.777777777799</v>
      </c>
      <c r="J212" s="62" t="s">
        <v>481</v>
      </c>
      <c r="K212" s="62" t="s">
        <v>1957</v>
      </c>
      <c r="L212" s="65" t="s">
        <v>306</v>
      </c>
      <c r="M212" s="62" t="s">
        <v>354</v>
      </c>
      <c r="N212" s="62" t="s">
        <v>616</v>
      </c>
      <c r="O212" s="62" t="s">
        <v>459</v>
      </c>
      <c r="P212" s="62" t="s">
        <v>2421</v>
      </c>
      <c r="Q212" s="66" t="s">
        <v>1969</v>
      </c>
    </row>
    <row r="213" spans="1:17" x14ac:dyDescent="0.3">
      <c r="A213" s="61" t="s">
        <v>2013</v>
      </c>
      <c r="B213" s="62" t="s">
        <v>728</v>
      </c>
      <c r="C213" s="62" t="s">
        <v>729</v>
      </c>
      <c r="D213" s="63">
        <v>44834</v>
      </c>
      <c r="E213" s="63">
        <v>46295</v>
      </c>
      <c r="F213" s="62" t="s">
        <v>1936</v>
      </c>
      <c r="G213" s="62" t="s">
        <v>547</v>
      </c>
      <c r="H213" s="62" t="s">
        <v>480</v>
      </c>
      <c r="I213" s="64">
        <v>27777.777777777799</v>
      </c>
      <c r="J213" s="62" t="s">
        <v>481</v>
      </c>
      <c r="K213" s="62" t="s">
        <v>1957</v>
      </c>
      <c r="L213" s="65" t="s">
        <v>306</v>
      </c>
      <c r="M213" s="62" t="s">
        <v>354</v>
      </c>
      <c r="N213" s="62" t="s">
        <v>616</v>
      </c>
      <c r="O213" s="62" t="s">
        <v>459</v>
      </c>
      <c r="P213" s="62" t="s">
        <v>2421</v>
      </c>
      <c r="Q213" s="66" t="s">
        <v>1969</v>
      </c>
    </row>
    <row r="214" spans="1:17" x14ac:dyDescent="0.3">
      <c r="A214" s="61" t="s">
        <v>2013</v>
      </c>
      <c r="B214" s="62" t="s">
        <v>728</v>
      </c>
      <c r="C214" s="62" t="s">
        <v>729</v>
      </c>
      <c r="D214" s="63">
        <v>44834</v>
      </c>
      <c r="E214" s="63">
        <v>46295</v>
      </c>
      <c r="F214" s="62" t="s">
        <v>1931</v>
      </c>
      <c r="G214" s="62" t="s">
        <v>304</v>
      </c>
      <c r="H214" s="62" t="s">
        <v>480</v>
      </c>
      <c r="I214" s="64">
        <v>55555.555555555598</v>
      </c>
      <c r="J214" s="62" t="s">
        <v>481</v>
      </c>
      <c r="K214" s="62" t="s">
        <v>1957</v>
      </c>
      <c r="L214" s="65" t="s">
        <v>306</v>
      </c>
      <c r="M214" s="62" t="s">
        <v>354</v>
      </c>
      <c r="N214" s="62" t="s">
        <v>616</v>
      </c>
      <c r="O214" s="62" t="s">
        <v>459</v>
      </c>
      <c r="P214" s="62" t="s">
        <v>2421</v>
      </c>
      <c r="Q214" s="66" t="s">
        <v>1969</v>
      </c>
    </row>
    <row r="215" spans="1:17" x14ac:dyDescent="0.3">
      <c r="A215" s="61" t="s">
        <v>2013</v>
      </c>
      <c r="B215" s="62" t="s">
        <v>728</v>
      </c>
      <c r="C215" s="62" t="s">
        <v>729</v>
      </c>
      <c r="D215" s="63">
        <v>44834</v>
      </c>
      <c r="E215" s="63">
        <v>46295</v>
      </c>
      <c r="F215" s="62" t="s">
        <v>282</v>
      </c>
      <c r="G215" s="62" t="s">
        <v>304</v>
      </c>
      <c r="H215" s="62" t="s">
        <v>480</v>
      </c>
      <c r="I215" s="64">
        <v>55555.555555555598</v>
      </c>
      <c r="J215" s="62" t="s">
        <v>481</v>
      </c>
      <c r="K215" s="62" t="s">
        <v>1957</v>
      </c>
      <c r="L215" s="65" t="s">
        <v>306</v>
      </c>
      <c r="M215" s="62" t="s">
        <v>354</v>
      </c>
      <c r="N215" s="62" t="s">
        <v>616</v>
      </c>
      <c r="O215" s="62" t="s">
        <v>459</v>
      </c>
      <c r="P215" s="62" t="s">
        <v>2421</v>
      </c>
      <c r="Q215" s="66" t="s">
        <v>1969</v>
      </c>
    </row>
    <row r="216" spans="1:17" x14ac:dyDescent="0.3">
      <c r="A216" s="61" t="s">
        <v>2013</v>
      </c>
      <c r="B216" s="62" t="s">
        <v>728</v>
      </c>
      <c r="C216" s="62" t="s">
        <v>729</v>
      </c>
      <c r="D216" s="63">
        <v>44834</v>
      </c>
      <c r="E216" s="63">
        <v>46295</v>
      </c>
      <c r="F216" s="62" t="s">
        <v>1935</v>
      </c>
      <c r="G216" s="62" t="s">
        <v>304</v>
      </c>
      <c r="H216" s="62" t="s">
        <v>480</v>
      </c>
      <c r="I216" s="64">
        <v>55555.555555555598</v>
      </c>
      <c r="J216" s="62" t="s">
        <v>481</v>
      </c>
      <c r="K216" s="62" t="s">
        <v>1957</v>
      </c>
      <c r="L216" s="65" t="s">
        <v>306</v>
      </c>
      <c r="M216" s="62" t="s">
        <v>354</v>
      </c>
      <c r="N216" s="62" t="s">
        <v>616</v>
      </c>
      <c r="O216" s="62" t="s">
        <v>459</v>
      </c>
      <c r="P216" s="62" t="s">
        <v>2421</v>
      </c>
      <c r="Q216" s="66" t="s">
        <v>1969</v>
      </c>
    </row>
    <row r="217" spans="1:17" x14ac:dyDescent="0.3">
      <c r="A217" s="61" t="s">
        <v>2013</v>
      </c>
      <c r="B217" s="62" t="s">
        <v>728</v>
      </c>
      <c r="C217" s="62" t="s">
        <v>729</v>
      </c>
      <c r="D217" s="63">
        <v>44834</v>
      </c>
      <c r="E217" s="63">
        <v>46295</v>
      </c>
      <c r="F217" s="62" t="s">
        <v>286</v>
      </c>
      <c r="G217" s="62" t="s">
        <v>304</v>
      </c>
      <c r="H217" s="62" t="s">
        <v>480</v>
      </c>
      <c r="I217" s="64">
        <v>55555.555555555598</v>
      </c>
      <c r="J217" s="62" t="s">
        <v>481</v>
      </c>
      <c r="K217" s="62" t="s">
        <v>1957</v>
      </c>
      <c r="L217" s="65" t="s">
        <v>306</v>
      </c>
      <c r="M217" s="62" t="s">
        <v>354</v>
      </c>
      <c r="N217" s="62" t="s">
        <v>616</v>
      </c>
      <c r="O217" s="62" t="s">
        <v>459</v>
      </c>
      <c r="P217" s="62" t="s">
        <v>2421</v>
      </c>
      <c r="Q217" s="66" t="s">
        <v>1969</v>
      </c>
    </row>
    <row r="218" spans="1:17" x14ac:dyDescent="0.3">
      <c r="A218" s="61" t="s">
        <v>2013</v>
      </c>
      <c r="B218" s="62" t="s">
        <v>728</v>
      </c>
      <c r="C218" s="62" t="s">
        <v>729</v>
      </c>
      <c r="D218" s="63">
        <v>44834</v>
      </c>
      <c r="E218" s="63">
        <v>46295</v>
      </c>
      <c r="F218" s="62" t="s">
        <v>1921</v>
      </c>
      <c r="G218" s="62" t="s">
        <v>304</v>
      </c>
      <c r="H218" s="62" t="s">
        <v>480</v>
      </c>
      <c r="I218" s="64">
        <v>55555.555555555598</v>
      </c>
      <c r="J218" s="62" t="s">
        <v>481</v>
      </c>
      <c r="K218" s="62" t="s">
        <v>1957</v>
      </c>
      <c r="L218" s="65" t="s">
        <v>306</v>
      </c>
      <c r="M218" s="62" t="s">
        <v>354</v>
      </c>
      <c r="N218" s="62" t="s">
        <v>616</v>
      </c>
      <c r="O218" s="62" t="s">
        <v>459</v>
      </c>
      <c r="P218" s="62" t="s">
        <v>2421</v>
      </c>
      <c r="Q218" s="66" t="s">
        <v>1969</v>
      </c>
    </row>
    <row r="219" spans="1:17" x14ac:dyDescent="0.3">
      <c r="A219" s="61" t="s">
        <v>2013</v>
      </c>
      <c r="B219" s="62" t="s">
        <v>728</v>
      </c>
      <c r="C219" s="62" t="s">
        <v>729</v>
      </c>
      <c r="D219" s="63">
        <v>44834</v>
      </c>
      <c r="E219" s="63">
        <v>46295</v>
      </c>
      <c r="F219" s="62" t="s">
        <v>1940</v>
      </c>
      <c r="G219" s="62" t="s">
        <v>304</v>
      </c>
      <c r="H219" s="62" t="s">
        <v>480</v>
      </c>
      <c r="I219" s="64">
        <v>55555.555555555598</v>
      </c>
      <c r="J219" s="62" t="s">
        <v>481</v>
      </c>
      <c r="K219" s="62" t="s">
        <v>1957</v>
      </c>
      <c r="L219" s="65" t="s">
        <v>306</v>
      </c>
      <c r="M219" s="62" t="s">
        <v>354</v>
      </c>
      <c r="N219" s="62" t="s">
        <v>616</v>
      </c>
      <c r="O219" s="62" t="s">
        <v>459</v>
      </c>
      <c r="P219" s="62" t="s">
        <v>2421</v>
      </c>
      <c r="Q219" s="66" t="s">
        <v>1969</v>
      </c>
    </row>
    <row r="220" spans="1:17" x14ac:dyDescent="0.3">
      <c r="A220" s="61" t="s">
        <v>2013</v>
      </c>
      <c r="B220" s="62" t="s">
        <v>728</v>
      </c>
      <c r="C220" s="62" t="s">
        <v>729</v>
      </c>
      <c r="D220" s="63">
        <v>44834</v>
      </c>
      <c r="E220" s="63">
        <v>46295</v>
      </c>
      <c r="F220" s="62" t="s">
        <v>289</v>
      </c>
      <c r="G220" s="62" t="s">
        <v>304</v>
      </c>
      <c r="H220" s="62" t="s">
        <v>480</v>
      </c>
      <c r="I220" s="64">
        <v>55555.555555555598</v>
      </c>
      <c r="J220" s="62" t="s">
        <v>481</v>
      </c>
      <c r="K220" s="62" t="s">
        <v>1957</v>
      </c>
      <c r="L220" s="65" t="s">
        <v>306</v>
      </c>
      <c r="M220" s="62" t="s">
        <v>354</v>
      </c>
      <c r="N220" s="62" t="s">
        <v>616</v>
      </c>
      <c r="O220" s="62" t="s">
        <v>459</v>
      </c>
      <c r="P220" s="62" t="s">
        <v>2421</v>
      </c>
      <c r="Q220" s="66" t="s">
        <v>1969</v>
      </c>
    </row>
    <row r="221" spans="1:17" x14ac:dyDescent="0.3">
      <c r="A221" s="61" t="s">
        <v>2013</v>
      </c>
      <c r="B221" s="62" t="s">
        <v>728</v>
      </c>
      <c r="C221" s="62" t="s">
        <v>729</v>
      </c>
      <c r="D221" s="63">
        <v>44834</v>
      </c>
      <c r="E221" s="63">
        <v>46295</v>
      </c>
      <c r="F221" s="62" t="s">
        <v>1933</v>
      </c>
      <c r="G221" s="62" t="s">
        <v>304</v>
      </c>
      <c r="H221" s="62" t="s">
        <v>480</v>
      </c>
      <c r="I221" s="64">
        <v>55555.555555555598</v>
      </c>
      <c r="J221" s="62" t="s">
        <v>481</v>
      </c>
      <c r="K221" s="62" t="s">
        <v>1957</v>
      </c>
      <c r="L221" s="65" t="s">
        <v>306</v>
      </c>
      <c r="M221" s="62" t="s">
        <v>354</v>
      </c>
      <c r="N221" s="62" t="s">
        <v>616</v>
      </c>
      <c r="O221" s="62" t="s">
        <v>459</v>
      </c>
      <c r="P221" s="62" t="s">
        <v>2421</v>
      </c>
      <c r="Q221" s="66" t="s">
        <v>1969</v>
      </c>
    </row>
    <row r="222" spans="1:17" x14ac:dyDescent="0.3">
      <c r="A222" s="61" t="s">
        <v>2013</v>
      </c>
      <c r="B222" s="62" t="s">
        <v>728</v>
      </c>
      <c r="C222" s="62" t="s">
        <v>729</v>
      </c>
      <c r="D222" s="63">
        <v>44834</v>
      </c>
      <c r="E222" s="63">
        <v>46295</v>
      </c>
      <c r="F222" s="62" t="s">
        <v>1937</v>
      </c>
      <c r="G222" s="62" t="s">
        <v>304</v>
      </c>
      <c r="H222" s="62" t="s">
        <v>480</v>
      </c>
      <c r="I222" s="64">
        <v>55555.555555555598</v>
      </c>
      <c r="J222" s="62" t="s">
        <v>481</v>
      </c>
      <c r="K222" s="62" t="s">
        <v>1957</v>
      </c>
      <c r="L222" s="65" t="s">
        <v>306</v>
      </c>
      <c r="M222" s="62" t="s">
        <v>354</v>
      </c>
      <c r="N222" s="62" t="s">
        <v>616</v>
      </c>
      <c r="O222" s="62" t="s">
        <v>459</v>
      </c>
      <c r="P222" s="62" t="s">
        <v>2421</v>
      </c>
      <c r="Q222" s="66" t="s">
        <v>1969</v>
      </c>
    </row>
    <row r="223" spans="1:17" x14ac:dyDescent="0.3">
      <c r="A223" s="61" t="s">
        <v>2013</v>
      </c>
      <c r="B223" s="62" t="s">
        <v>728</v>
      </c>
      <c r="C223" s="62" t="s">
        <v>729</v>
      </c>
      <c r="D223" s="63">
        <v>44834</v>
      </c>
      <c r="E223" s="63">
        <v>46295</v>
      </c>
      <c r="F223" s="62" t="s">
        <v>1922</v>
      </c>
      <c r="G223" s="62" t="s">
        <v>304</v>
      </c>
      <c r="H223" s="62" t="s">
        <v>480</v>
      </c>
      <c r="I223" s="64">
        <v>55555.555555555598</v>
      </c>
      <c r="J223" s="62" t="s">
        <v>481</v>
      </c>
      <c r="K223" s="62" t="s">
        <v>1957</v>
      </c>
      <c r="L223" s="65" t="s">
        <v>306</v>
      </c>
      <c r="M223" s="62" t="s">
        <v>354</v>
      </c>
      <c r="N223" s="62" t="s">
        <v>616</v>
      </c>
      <c r="O223" s="62" t="s">
        <v>459</v>
      </c>
      <c r="P223" s="62" t="s">
        <v>2421</v>
      </c>
      <c r="Q223" s="66" t="s">
        <v>1969</v>
      </c>
    </row>
    <row r="224" spans="1:17" x14ac:dyDescent="0.3">
      <c r="A224" s="61" t="s">
        <v>2013</v>
      </c>
      <c r="B224" s="62" t="s">
        <v>728</v>
      </c>
      <c r="C224" s="62" t="s">
        <v>729</v>
      </c>
      <c r="D224" s="63">
        <v>44834</v>
      </c>
      <c r="E224" s="63">
        <v>46295</v>
      </c>
      <c r="F224" s="62" t="s">
        <v>1943</v>
      </c>
      <c r="G224" s="62" t="s">
        <v>304</v>
      </c>
      <c r="H224" s="62" t="s">
        <v>480</v>
      </c>
      <c r="I224" s="64">
        <v>55555.555555555598</v>
      </c>
      <c r="J224" s="62" t="s">
        <v>481</v>
      </c>
      <c r="K224" s="62" t="s">
        <v>1957</v>
      </c>
      <c r="L224" s="65" t="s">
        <v>306</v>
      </c>
      <c r="M224" s="62" t="s">
        <v>354</v>
      </c>
      <c r="N224" s="62" t="s">
        <v>616</v>
      </c>
      <c r="O224" s="62" t="s">
        <v>459</v>
      </c>
      <c r="P224" s="62" t="s">
        <v>2421</v>
      </c>
      <c r="Q224" s="66" t="s">
        <v>1969</v>
      </c>
    </row>
    <row r="225" spans="1:17" x14ac:dyDescent="0.3">
      <c r="A225" s="61" t="s">
        <v>2013</v>
      </c>
      <c r="B225" s="62" t="s">
        <v>728</v>
      </c>
      <c r="C225" s="62" t="s">
        <v>729</v>
      </c>
      <c r="D225" s="63">
        <v>44834</v>
      </c>
      <c r="E225" s="63">
        <v>46295</v>
      </c>
      <c r="F225" s="62" t="s">
        <v>1934</v>
      </c>
      <c r="G225" s="62" t="s">
        <v>304</v>
      </c>
      <c r="H225" s="62" t="s">
        <v>480</v>
      </c>
      <c r="I225" s="64">
        <v>55555.555555555598</v>
      </c>
      <c r="J225" s="62" t="s">
        <v>481</v>
      </c>
      <c r="K225" s="62" t="s">
        <v>1957</v>
      </c>
      <c r="L225" s="65" t="s">
        <v>306</v>
      </c>
      <c r="M225" s="62" t="s">
        <v>354</v>
      </c>
      <c r="N225" s="62" t="s">
        <v>616</v>
      </c>
      <c r="O225" s="62" t="s">
        <v>459</v>
      </c>
      <c r="P225" s="62" t="s">
        <v>2421</v>
      </c>
      <c r="Q225" s="66" t="s">
        <v>1969</v>
      </c>
    </row>
    <row r="226" spans="1:17" x14ac:dyDescent="0.3">
      <c r="A226" s="61" t="s">
        <v>2013</v>
      </c>
      <c r="B226" s="62" t="s">
        <v>728</v>
      </c>
      <c r="C226" s="62" t="s">
        <v>729</v>
      </c>
      <c r="D226" s="63">
        <v>44834</v>
      </c>
      <c r="E226" s="63">
        <v>46295</v>
      </c>
      <c r="F226" s="62" t="s">
        <v>1939</v>
      </c>
      <c r="G226" s="62" t="s">
        <v>304</v>
      </c>
      <c r="H226" s="62" t="s">
        <v>480</v>
      </c>
      <c r="I226" s="64">
        <v>55555.555555555598</v>
      </c>
      <c r="J226" s="62" t="s">
        <v>481</v>
      </c>
      <c r="K226" s="62" t="s">
        <v>1957</v>
      </c>
      <c r="L226" s="65" t="s">
        <v>306</v>
      </c>
      <c r="M226" s="62" t="s">
        <v>354</v>
      </c>
      <c r="N226" s="62" t="s">
        <v>616</v>
      </c>
      <c r="O226" s="62" t="s">
        <v>459</v>
      </c>
      <c r="P226" s="62" t="s">
        <v>2421</v>
      </c>
      <c r="Q226" s="66" t="s">
        <v>1969</v>
      </c>
    </row>
    <row r="227" spans="1:17" x14ac:dyDescent="0.3">
      <c r="A227" s="61" t="s">
        <v>2013</v>
      </c>
      <c r="B227" s="62" t="s">
        <v>728</v>
      </c>
      <c r="C227" s="62" t="s">
        <v>729</v>
      </c>
      <c r="D227" s="63">
        <v>44834</v>
      </c>
      <c r="E227" s="63">
        <v>46295</v>
      </c>
      <c r="F227" s="62" t="s">
        <v>1958</v>
      </c>
      <c r="G227" s="62" t="s">
        <v>304</v>
      </c>
      <c r="H227" s="62" t="s">
        <v>480</v>
      </c>
      <c r="I227" s="64">
        <v>55555.555555555598</v>
      </c>
      <c r="J227" s="62" t="s">
        <v>481</v>
      </c>
      <c r="K227" s="62" t="s">
        <v>1957</v>
      </c>
      <c r="L227" s="65" t="s">
        <v>306</v>
      </c>
      <c r="M227" s="62" t="s">
        <v>354</v>
      </c>
      <c r="N227" s="62" t="s">
        <v>616</v>
      </c>
      <c r="O227" s="62" t="s">
        <v>459</v>
      </c>
      <c r="P227" s="62" t="s">
        <v>2421</v>
      </c>
      <c r="Q227" s="66" t="s">
        <v>1969</v>
      </c>
    </row>
    <row r="228" spans="1:17" x14ac:dyDescent="0.3">
      <c r="A228" s="61" t="s">
        <v>2013</v>
      </c>
      <c r="B228" s="62" t="s">
        <v>728</v>
      </c>
      <c r="C228" s="62" t="s">
        <v>729</v>
      </c>
      <c r="D228" s="63">
        <v>44834</v>
      </c>
      <c r="E228" s="63">
        <v>46295</v>
      </c>
      <c r="F228" s="62" t="s">
        <v>1944</v>
      </c>
      <c r="G228" s="62" t="s">
        <v>304</v>
      </c>
      <c r="H228" s="62" t="s">
        <v>480</v>
      </c>
      <c r="I228" s="64">
        <v>55555.555555555598</v>
      </c>
      <c r="J228" s="62" t="s">
        <v>481</v>
      </c>
      <c r="K228" s="62" t="s">
        <v>1957</v>
      </c>
      <c r="L228" s="65" t="s">
        <v>306</v>
      </c>
      <c r="M228" s="62" t="s">
        <v>354</v>
      </c>
      <c r="N228" s="62" t="s">
        <v>616</v>
      </c>
      <c r="O228" s="62" t="s">
        <v>459</v>
      </c>
      <c r="P228" s="62" t="s">
        <v>2421</v>
      </c>
      <c r="Q228" s="66" t="s">
        <v>1969</v>
      </c>
    </row>
    <row r="229" spans="1:17" x14ac:dyDescent="0.3">
      <c r="A229" s="61" t="s">
        <v>2013</v>
      </c>
      <c r="B229" s="62" t="s">
        <v>728</v>
      </c>
      <c r="C229" s="62" t="s">
        <v>729</v>
      </c>
      <c r="D229" s="63">
        <v>44834</v>
      </c>
      <c r="E229" s="63">
        <v>46295</v>
      </c>
      <c r="F229" s="62" t="s">
        <v>1930</v>
      </c>
      <c r="G229" s="62" t="s">
        <v>304</v>
      </c>
      <c r="H229" s="62" t="s">
        <v>480</v>
      </c>
      <c r="I229" s="64">
        <v>55555.555555555598</v>
      </c>
      <c r="J229" s="62" t="s">
        <v>481</v>
      </c>
      <c r="K229" s="62" t="s">
        <v>1957</v>
      </c>
      <c r="L229" s="65" t="s">
        <v>306</v>
      </c>
      <c r="M229" s="62" t="s">
        <v>354</v>
      </c>
      <c r="N229" s="62" t="s">
        <v>616</v>
      </c>
      <c r="O229" s="62" t="s">
        <v>459</v>
      </c>
      <c r="P229" s="62" t="s">
        <v>2421</v>
      </c>
      <c r="Q229" s="66" t="s">
        <v>1969</v>
      </c>
    </row>
    <row r="230" spans="1:17" x14ac:dyDescent="0.3">
      <c r="A230" s="61" t="s">
        <v>2013</v>
      </c>
      <c r="B230" s="62" t="s">
        <v>728</v>
      </c>
      <c r="C230" s="62" t="s">
        <v>729</v>
      </c>
      <c r="D230" s="63">
        <v>44834</v>
      </c>
      <c r="E230" s="63">
        <v>46295</v>
      </c>
      <c r="F230" s="62" t="s">
        <v>284</v>
      </c>
      <c r="G230" s="62" t="s">
        <v>304</v>
      </c>
      <c r="H230" s="62" t="s">
        <v>480</v>
      </c>
      <c r="I230" s="64">
        <v>55555.555555555598</v>
      </c>
      <c r="J230" s="62" t="s">
        <v>481</v>
      </c>
      <c r="K230" s="62" t="s">
        <v>1957</v>
      </c>
      <c r="L230" s="65" t="s">
        <v>306</v>
      </c>
      <c r="M230" s="62" t="s">
        <v>354</v>
      </c>
      <c r="N230" s="62" t="s">
        <v>616</v>
      </c>
      <c r="O230" s="62" t="s">
        <v>459</v>
      </c>
      <c r="P230" s="62" t="s">
        <v>2421</v>
      </c>
      <c r="Q230" s="66" t="s">
        <v>1969</v>
      </c>
    </row>
    <row r="231" spans="1:17" x14ac:dyDescent="0.3">
      <c r="A231" s="61" t="s">
        <v>2013</v>
      </c>
      <c r="B231" s="62" t="s">
        <v>728</v>
      </c>
      <c r="C231" s="62" t="s">
        <v>729</v>
      </c>
      <c r="D231" s="63">
        <v>44834</v>
      </c>
      <c r="E231" s="63">
        <v>46295</v>
      </c>
      <c r="F231" s="62" t="s">
        <v>1942</v>
      </c>
      <c r="G231" s="62" t="s">
        <v>304</v>
      </c>
      <c r="H231" s="62" t="s">
        <v>480</v>
      </c>
      <c r="I231" s="64">
        <v>55555.555555555598</v>
      </c>
      <c r="J231" s="62" t="s">
        <v>481</v>
      </c>
      <c r="K231" s="62" t="s">
        <v>1957</v>
      </c>
      <c r="L231" s="65" t="s">
        <v>306</v>
      </c>
      <c r="M231" s="62" t="s">
        <v>354</v>
      </c>
      <c r="N231" s="62" t="s">
        <v>616</v>
      </c>
      <c r="O231" s="62" t="s">
        <v>459</v>
      </c>
      <c r="P231" s="62" t="s">
        <v>2421</v>
      </c>
      <c r="Q231" s="66" t="s">
        <v>1969</v>
      </c>
    </row>
    <row r="232" spans="1:17" x14ac:dyDescent="0.3">
      <c r="A232" s="61" t="s">
        <v>2013</v>
      </c>
      <c r="B232" s="62" t="s">
        <v>728</v>
      </c>
      <c r="C232" s="62" t="s">
        <v>729</v>
      </c>
      <c r="D232" s="63">
        <v>44834</v>
      </c>
      <c r="E232" s="63">
        <v>46295</v>
      </c>
      <c r="F232" s="62" t="s">
        <v>288</v>
      </c>
      <c r="G232" s="62" t="s">
        <v>304</v>
      </c>
      <c r="H232" s="62" t="s">
        <v>480</v>
      </c>
      <c r="I232" s="64">
        <v>55555.555555555598</v>
      </c>
      <c r="J232" s="62" t="s">
        <v>481</v>
      </c>
      <c r="K232" s="62" t="s">
        <v>1957</v>
      </c>
      <c r="L232" s="65" t="s">
        <v>306</v>
      </c>
      <c r="M232" s="62" t="s">
        <v>354</v>
      </c>
      <c r="N232" s="62" t="s">
        <v>616</v>
      </c>
      <c r="O232" s="62" t="s">
        <v>459</v>
      </c>
      <c r="P232" s="62" t="s">
        <v>2421</v>
      </c>
      <c r="Q232" s="66" t="s">
        <v>1969</v>
      </c>
    </row>
    <row r="233" spans="1:17" x14ac:dyDescent="0.3">
      <c r="A233" s="61" t="s">
        <v>2013</v>
      </c>
      <c r="B233" s="62" t="s">
        <v>728</v>
      </c>
      <c r="C233" s="62" t="s">
        <v>729</v>
      </c>
      <c r="D233" s="63">
        <v>44834</v>
      </c>
      <c r="E233" s="63">
        <v>46295</v>
      </c>
      <c r="F233" s="62" t="s">
        <v>280</v>
      </c>
      <c r="G233" s="62" t="s">
        <v>304</v>
      </c>
      <c r="H233" s="62" t="s">
        <v>480</v>
      </c>
      <c r="I233" s="64">
        <v>55555.555555555598</v>
      </c>
      <c r="J233" s="62" t="s">
        <v>481</v>
      </c>
      <c r="K233" s="62" t="s">
        <v>1957</v>
      </c>
      <c r="L233" s="65" t="s">
        <v>306</v>
      </c>
      <c r="M233" s="62" t="s">
        <v>354</v>
      </c>
      <c r="N233" s="62" t="s">
        <v>616</v>
      </c>
      <c r="O233" s="62" t="s">
        <v>459</v>
      </c>
      <c r="P233" s="62" t="s">
        <v>2421</v>
      </c>
      <c r="Q233" s="66" t="s">
        <v>1969</v>
      </c>
    </row>
    <row r="234" spans="1:17" x14ac:dyDescent="0.3">
      <c r="A234" s="61" t="s">
        <v>2013</v>
      </c>
      <c r="B234" s="62" t="s">
        <v>728</v>
      </c>
      <c r="C234" s="62" t="s">
        <v>729</v>
      </c>
      <c r="D234" s="63">
        <v>44834</v>
      </c>
      <c r="E234" s="63">
        <v>46295</v>
      </c>
      <c r="F234" s="62" t="s">
        <v>1960</v>
      </c>
      <c r="G234" s="62" t="s">
        <v>304</v>
      </c>
      <c r="H234" s="62" t="s">
        <v>480</v>
      </c>
      <c r="I234" s="64">
        <v>55555.555555555598</v>
      </c>
      <c r="J234" s="62" t="s">
        <v>481</v>
      </c>
      <c r="K234" s="62" t="s">
        <v>1957</v>
      </c>
      <c r="L234" s="65" t="s">
        <v>306</v>
      </c>
      <c r="M234" s="62" t="s">
        <v>354</v>
      </c>
      <c r="N234" s="62" t="s">
        <v>616</v>
      </c>
      <c r="O234" s="62" t="s">
        <v>459</v>
      </c>
      <c r="P234" s="62" t="s">
        <v>2421</v>
      </c>
      <c r="Q234" s="66" t="s">
        <v>1969</v>
      </c>
    </row>
    <row r="235" spans="1:17" x14ac:dyDescent="0.3">
      <c r="A235" s="61" t="s">
        <v>2013</v>
      </c>
      <c r="B235" s="62" t="s">
        <v>728</v>
      </c>
      <c r="C235" s="62" t="s">
        <v>729</v>
      </c>
      <c r="D235" s="63">
        <v>44834</v>
      </c>
      <c r="E235" s="63">
        <v>46295</v>
      </c>
      <c r="F235" s="62" t="s">
        <v>1941</v>
      </c>
      <c r="G235" s="62" t="s">
        <v>304</v>
      </c>
      <c r="H235" s="62" t="s">
        <v>480</v>
      </c>
      <c r="I235" s="64">
        <v>55555.555555555598</v>
      </c>
      <c r="J235" s="62" t="s">
        <v>481</v>
      </c>
      <c r="K235" s="62" t="s">
        <v>1957</v>
      </c>
      <c r="L235" s="65" t="s">
        <v>306</v>
      </c>
      <c r="M235" s="62" t="s">
        <v>354</v>
      </c>
      <c r="N235" s="62" t="s">
        <v>616</v>
      </c>
      <c r="O235" s="62" t="s">
        <v>459</v>
      </c>
      <c r="P235" s="62" t="s">
        <v>2421</v>
      </c>
      <c r="Q235" s="66" t="s">
        <v>1969</v>
      </c>
    </row>
    <row r="236" spans="1:17" x14ac:dyDescent="0.3">
      <c r="A236" s="61" t="s">
        <v>2013</v>
      </c>
      <c r="B236" s="62" t="s">
        <v>728</v>
      </c>
      <c r="C236" s="62" t="s">
        <v>729</v>
      </c>
      <c r="D236" s="63">
        <v>44834</v>
      </c>
      <c r="E236" s="63">
        <v>46295</v>
      </c>
      <c r="F236" s="62" t="s">
        <v>1948</v>
      </c>
      <c r="G236" s="62" t="s">
        <v>304</v>
      </c>
      <c r="H236" s="62" t="s">
        <v>480</v>
      </c>
      <c r="I236" s="64">
        <v>55555.555555555598</v>
      </c>
      <c r="J236" s="62" t="s">
        <v>481</v>
      </c>
      <c r="K236" s="62" t="s">
        <v>1957</v>
      </c>
      <c r="L236" s="65" t="s">
        <v>353</v>
      </c>
      <c r="M236" s="62" t="s">
        <v>354</v>
      </c>
      <c r="N236" s="62" t="s">
        <v>616</v>
      </c>
      <c r="O236" s="62" t="s">
        <v>459</v>
      </c>
      <c r="P236" s="62" t="s">
        <v>2421</v>
      </c>
      <c r="Q236" s="66" t="s">
        <v>1969</v>
      </c>
    </row>
    <row r="237" spans="1:17" x14ac:dyDescent="0.3">
      <c r="A237" s="61" t="s">
        <v>2013</v>
      </c>
      <c r="B237" s="62" t="s">
        <v>728</v>
      </c>
      <c r="C237" s="62" t="s">
        <v>729</v>
      </c>
      <c r="D237" s="63">
        <v>44834</v>
      </c>
      <c r="E237" s="63">
        <v>46295</v>
      </c>
      <c r="F237" s="62" t="s">
        <v>1959</v>
      </c>
      <c r="G237" s="62" t="s">
        <v>304</v>
      </c>
      <c r="H237" s="62" t="s">
        <v>480</v>
      </c>
      <c r="I237" s="64">
        <v>55555.555555555598</v>
      </c>
      <c r="J237" s="62" t="s">
        <v>481</v>
      </c>
      <c r="K237" s="62" t="s">
        <v>1957</v>
      </c>
      <c r="L237" s="65" t="s">
        <v>353</v>
      </c>
      <c r="M237" s="62" t="s">
        <v>354</v>
      </c>
      <c r="N237" s="62" t="s">
        <v>616</v>
      </c>
      <c r="O237" s="62" t="s">
        <v>459</v>
      </c>
      <c r="P237" s="62" t="s">
        <v>2421</v>
      </c>
      <c r="Q237" s="66" t="s">
        <v>1969</v>
      </c>
    </row>
    <row r="238" spans="1:17" x14ac:dyDescent="0.3">
      <c r="A238" s="61" t="s">
        <v>2013</v>
      </c>
      <c r="B238" s="62" t="s">
        <v>728</v>
      </c>
      <c r="C238" s="62" t="s">
        <v>729</v>
      </c>
      <c r="D238" s="63">
        <v>44834</v>
      </c>
      <c r="E238" s="63">
        <v>46295</v>
      </c>
      <c r="F238" s="62" t="s">
        <v>287</v>
      </c>
      <c r="G238" s="62" t="s">
        <v>304</v>
      </c>
      <c r="H238" s="62" t="s">
        <v>480</v>
      </c>
      <c r="I238" s="64">
        <v>55555.555555555598</v>
      </c>
      <c r="J238" s="62" t="s">
        <v>481</v>
      </c>
      <c r="K238" s="62" t="s">
        <v>1957</v>
      </c>
      <c r="L238" s="65" t="s">
        <v>353</v>
      </c>
      <c r="M238" s="62" t="s">
        <v>354</v>
      </c>
      <c r="N238" s="62" t="s">
        <v>616</v>
      </c>
      <c r="O238" s="62" t="s">
        <v>459</v>
      </c>
      <c r="P238" s="62" t="s">
        <v>2421</v>
      </c>
      <c r="Q238" s="66" t="s">
        <v>1969</v>
      </c>
    </row>
    <row r="239" spans="1:17" x14ac:dyDescent="0.3">
      <c r="A239" s="61" t="s">
        <v>2013</v>
      </c>
      <c r="B239" s="62" t="s">
        <v>728</v>
      </c>
      <c r="C239" s="62" t="s">
        <v>729</v>
      </c>
      <c r="D239" s="63">
        <v>44834</v>
      </c>
      <c r="E239" s="63">
        <v>46295</v>
      </c>
      <c r="F239" s="62" t="s">
        <v>1945</v>
      </c>
      <c r="G239" s="62" t="s">
        <v>304</v>
      </c>
      <c r="H239" s="62" t="s">
        <v>480</v>
      </c>
      <c r="I239" s="64">
        <v>55555.555555555598</v>
      </c>
      <c r="J239" s="62" t="s">
        <v>481</v>
      </c>
      <c r="K239" s="62" t="s">
        <v>1957</v>
      </c>
      <c r="L239" s="65" t="s">
        <v>353</v>
      </c>
      <c r="M239" s="62" t="s">
        <v>354</v>
      </c>
      <c r="N239" s="62" t="s">
        <v>616</v>
      </c>
      <c r="O239" s="62" t="s">
        <v>459</v>
      </c>
      <c r="P239" s="62" t="s">
        <v>2421</v>
      </c>
      <c r="Q239" s="66" t="s">
        <v>1969</v>
      </c>
    </row>
    <row r="240" spans="1:17" x14ac:dyDescent="0.3">
      <c r="A240" s="61" t="s">
        <v>2014</v>
      </c>
      <c r="B240" s="62" t="s">
        <v>731</v>
      </c>
      <c r="C240" s="62" t="s">
        <v>732</v>
      </c>
      <c r="D240" s="63">
        <v>44740</v>
      </c>
      <c r="E240" s="63">
        <v>46203</v>
      </c>
      <c r="F240" s="62" t="s">
        <v>1939</v>
      </c>
      <c r="G240" s="62" t="s">
        <v>733</v>
      </c>
      <c r="H240" s="62" t="s">
        <v>362</v>
      </c>
      <c r="I240" s="64">
        <v>55170.523809523802</v>
      </c>
      <c r="J240" s="62" t="s">
        <v>740</v>
      </c>
      <c r="K240" s="62" t="s">
        <v>2436</v>
      </c>
      <c r="L240" s="65" t="s">
        <v>353</v>
      </c>
      <c r="M240" s="62" t="s">
        <v>457</v>
      </c>
      <c r="N240" s="62" t="s">
        <v>531</v>
      </c>
      <c r="O240" s="62" t="s">
        <v>459</v>
      </c>
      <c r="P240" s="62" t="s">
        <v>2421</v>
      </c>
      <c r="Q240" s="66" t="s">
        <v>1971</v>
      </c>
    </row>
    <row r="241" spans="1:17" x14ac:dyDescent="0.3">
      <c r="A241" s="61" t="s">
        <v>2014</v>
      </c>
      <c r="B241" s="62" t="s">
        <v>731</v>
      </c>
      <c r="C241" s="62" t="s">
        <v>732</v>
      </c>
      <c r="D241" s="63">
        <v>44740</v>
      </c>
      <c r="E241" s="63">
        <v>46203</v>
      </c>
      <c r="F241" s="62" t="s">
        <v>1939</v>
      </c>
      <c r="G241" s="62" t="s">
        <v>734</v>
      </c>
      <c r="H241" s="62" t="s">
        <v>362</v>
      </c>
      <c r="I241" s="64">
        <v>55170.523809523802</v>
      </c>
      <c r="J241" s="62" t="s">
        <v>740</v>
      </c>
      <c r="K241" s="62" t="s">
        <v>2436</v>
      </c>
      <c r="L241" s="65" t="s">
        <v>353</v>
      </c>
      <c r="M241" s="62" t="s">
        <v>457</v>
      </c>
      <c r="N241" s="62" t="s">
        <v>531</v>
      </c>
      <c r="O241" s="62" t="s">
        <v>459</v>
      </c>
      <c r="P241" s="62" t="s">
        <v>2421</v>
      </c>
      <c r="Q241" s="66" t="s">
        <v>1971</v>
      </c>
    </row>
    <row r="242" spans="1:17" x14ac:dyDescent="0.3">
      <c r="A242" s="61" t="s">
        <v>2014</v>
      </c>
      <c r="B242" s="62" t="s">
        <v>731</v>
      </c>
      <c r="C242" s="62" t="s">
        <v>732</v>
      </c>
      <c r="D242" s="63">
        <v>44740</v>
      </c>
      <c r="E242" s="63">
        <v>46203</v>
      </c>
      <c r="F242" s="62" t="s">
        <v>1939</v>
      </c>
      <c r="G242" s="62" t="s">
        <v>735</v>
      </c>
      <c r="H242" s="62" t="s">
        <v>362</v>
      </c>
      <c r="I242" s="64">
        <v>55170.523809523802</v>
      </c>
      <c r="J242" s="62" t="s">
        <v>740</v>
      </c>
      <c r="K242" s="62" t="s">
        <v>2436</v>
      </c>
      <c r="L242" s="65" t="s">
        <v>353</v>
      </c>
      <c r="M242" s="62" t="s">
        <v>457</v>
      </c>
      <c r="N242" s="62" t="s">
        <v>531</v>
      </c>
      <c r="O242" s="62" t="s">
        <v>459</v>
      </c>
      <c r="P242" s="62" t="s">
        <v>2421</v>
      </c>
      <c r="Q242" s="66" t="s">
        <v>1971</v>
      </c>
    </row>
    <row r="243" spans="1:17" x14ac:dyDescent="0.3">
      <c r="A243" s="61" t="s">
        <v>2014</v>
      </c>
      <c r="B243" s="62" t="s">
        <v>731</v>
      </c>
      <c r="C243" s="62" t="s">
        <v>732</v>
      </c>
      <c r="D243" s="63">
        <v>44740</v>
      </c>
      <c r="E243" s="63">
        <v>46203</v>
      </c>
      <c r="F243" s="62" t="s">
        <v>1939</v>
      </c>
      <c r="G243" s="62" t="s">
        <v>736</v>
      </c>
      <c r="H243" s="62" t="s">
        <v>362</v>
      </c>
      <c r="I243" s="64">
        <v>55170.523809523802</v>
      </c>
      <c r="J243" s="62" t="s">
        <v>740</v>
      </c>
      <c r="K243" s="62" t="s">
        <v>2436</v>
      </c>
      <c r="L243" s="65" t="s">
        <v>353</v>
      </c>
      <c r="M243" s="62" t="s">
        <v>457</v>
      </c>
      <c r="N243" s="62" t="s">
        <v>531</v>
      </c>
      <c r="O243" s="62" t="s">
        <v>459</v>
      </c>
      <c r="P243" s="62" t="s">
        <v>2421</v>
      </c>
      <c r="Q243" s="66" t="s">
        <v>1971</v>
      </c>
    </row>
    <row r="244" spans="1:17" x14ac:dyDescent="0.3">
      <c r="A244" s="61" t="s">
        <v>2014</v>
      </c>
      <c r="B244" s="62" t="s">
        <v>731</v>
      </c>
      <c r="C244" s="62" t="s">
        <v>732</v>
      </c>
      <c r="D244" s="63">
        <v>44740</v>
      </c>
      <c r="E244" s="63">
        <v>46203</v>
      </c>
      <c r="F244" s="62" t="s">
        <v>1939</v>
      </c>
      <c r="G244" s="62" t="s">
        <v>737</v>
      </c>
      <c r="H244" s="62" t="s">
        <v>362</v>
      </c>
      <c r="I244" s="64">
        <v>55170.523809523802</v>
      </c>
      <c r="J244" s="62" t="s">
        <v>740</v>
      </c>
      <c r="K244" s="62" t="s">
        <v>2436</v>
      </c>
      <c r="L244" s="65" t="s">
        <v>353</v>
      </c>
      <c r="M244" s="62" t="s">
        <v>457</v>
      </c>
      <c r="N244" s="62" t="s">
        <v>531</v>
      </c>
      <c r="O244" s="62" t="s">
        <v>459</v>
      </c>
      <c r="P244" s="62" t="s">
        <v>2421</v>
      </c>
      <c r="Q244" s="66" t="s">
        <v>1971</v>
      </c>
    </row>
    <row r="245" spans="1:17" x14ac:dyDescent="0.3">
      <c r="A245" s="61" t="s">
        <v>2014</v>
      </c>
      <c r="B245" s="62" t="s">
        <v>731</v>
      </c>
      <c r="C245" s="62" t="s">
        <v>732</v>
      </c>
      <c r="D245" s="63">
        <v>44740</v>
      </c>
      <c r="E245" s="63">
        <v>46203</v>
      </c>
      <c r="F245" s="62" t="s">
        <v>1939</v>
      </c>
      <c r="G245" s="62" t="s">
        <v>738</v>
      </c>
      <c r="H245" s="62" t="s">
        <v>362</v>
      </c>
      <c r="I245" s="64">
        <v>55170.523809523802</v>
      </c>
      <c r="J245" s="62" t="s">
        <v>740</v>
      </c>
      <c r="K245" s="62" t="s">
        <v>2436</v>
      </c>
      <c r="L245" s="65" t="s">
        <v>353</v>
      </c>
      <c r="M245" s="62" t="s">
        <v>457</v>
      </c>
      <c r="N245" s="62" t="s">
        <v>531</v>
      </c>
      <c r="O245" s="62" t="s">
        <v>459</v>
      </c>
      <c r="P245" s="62" t="s">
        <v>2421</v>
      </c>
      <c r="Q245" s="66" t="s">
        <v>1971</v>
      </c>
    </row>
    <row r="246" spans="1:17" x14ac:dyDescent="0.3">
      <c r="A246" s="61" t="s">
        <v>2014</v>
      </c>
      <c r="B246" s="62" t="s">
        <v>731</v>
      </c>
      <c r="C246" s="62" t="s">
        <v>732</v>
      </c>
      <c r="D246" s="63">
        <v>44740</v>
      </c>
      <c r="E246" s="63">
        <v>46203</v>
      </c>
      <c r="F246" s="62" t="s">
        <v>1939</v>
      </c>
      <c r="G246" s="62" t="s">
        <v>540</v>
      </c>
      <c r="H246" s="62" t="s">
        <v>362</v>
      </c>
      <c r="I246" s="64">
        <v>55170.523809523802</v>
      </c>
      <c r="J246" s="62" t="s">
        <v>740</v>
      </c>
      <c r="K246" s="62" t="s">
        <v>2436</v>
      </c>
      <c r="L246" s="65" t="s">
        <v>353</v>
      </c>
      <c r="M246" s="62" t="s">
        <v>457</v>
      </c>
      <c r="N246" s="62" t="s">
        <v>531</v>
      </c>
      <c r="O246" s="62" t="s">
        <v>459</v>
      </c>
      <c r="P246" s="62" t="s">
        <v>2421</v>
      </c>
      <c r="Q246" s="66" t="s">
        <v>1971</v>
      </c>
    </row>
    <row r="247" spans="1:17" x14ac:dyDescent="0.3">
      <c r="A247" s="61" t="s">
        <v>2014</v>
      </c>
      <c r="B247" s="62" t="s">
        <v>731</v>
      </c>
      <c r="C247" s="62" t="s">
        <v>732</v>
      </c>
      <c r="D247" s="63">
        <v>44740</v>
      </c>
      <c r="E247" s="63">
        <v>46203</v>
      </c>
      <c r="F247" s="62" t="s">
        <v>1959</v>
      </c>
      <c r="G247" s="62" t="s">
        <v>612</v>
      </c>
      <c r="H247" s="62" t="s">
        <v>362</v>
      </c>
      <c r="I247" s="64">
        <v>128731.222222222</v>
      </c>
      <c r="J247" s="62" t="s">
        <v>740</v>
      </c>
      <c r="K247" s="62" t="s">
        <v>2436</v>
      </c>
      <c r="L247" s="65" t="s">
        <v>353</v>
      </c>
      <c r="M247" s="62" t="s">
        <v>457</v>
      </c>
      <c r="N247" s="62" t="s">
        <v>531</v>
      </c>
      <c r="O247" s="62" t="s">
        <v>459</v>
      </c>
      <c r="P247" s="62" t="s">
        <v>2421</v>
      </c>
      <c r="Q247" s="66" t="s">
        <v>1971</v>
      </c>
    </row>
    <row r="248" spans="1:17" x14ac:dyDescent="0.3">
      <c r="A248" s="61" t="s">
        <v>2014</v>
      </c>
      <c r="B248" s="62" t="s">
        <v>731</v>
      </c>
      <c r="C248" s="62" t="s">
        <v>732</v>
      </c>
      <c r="D248" s="63">
        <v>44740</v>
      </c>
      <c r="E248" s="63">
        <v>46203</v>
      </c>
      <c r="F248" s="62" t="s">
        <v>1959</v>
      </c>
      <c r="G248" s="62" t="s">
        <v>739</v>
      </c>
      <c r="H248" s="62" t="s">
        <v>362</v>
      </c>
      <c r="I248" s="64">
        <v>128731.222222222</v>
      </c>
      <c r="J248" s="62" t="s">
        <v>740</v>
      </c>
      <c r="K248" s="62" t="s">
        <v>2436</v>
      </c>
      <c r="L248" s="65" t="s">
        <v>353</v>
      </c>
      <c r="M248" s="62" t="s">
        <v>457</v>
      </c>
      <c r="N248" s="62" t="s">
        <v>531</v>
      </c>
      <c r="O248" s="62" t="s">
        <v>459</v>
      </c>
      <c r="P248" s="62" t="s">
        <v>2421</v>
      </c>
      <c r="Q248" s="66" t="s">
        <v>1971</v>
      </c>
    </row>
    <row r="249" spans="1:17" x14ac:dyDescent="0.3">
      <c r="A249" s="61" t="s">
        <v>2014</v>
      </c>
      <c r="B249" s="62" t="s">
        <v>731</v>
      </c>
      <c r="C249" s="62" t="s">
        <v>732</v>
      </c>
      <c r="D249" s="63">
        <v>44740</v>
      </c>
      <c r="E249" s="63">
        <v>46203</v>
      </c>
      <c r="F249" s="62" t="s">
        <v>1959</v>
      </c>
      <c r="G249" s="62" t="s">
        <v>669</v>
      </c>
      <c r="H249" s="62" t="s">
        <v>362</v>
      </c>
      <c r="I249" s="64">
        <v>128731.222222222</v>
      </c>
      <c r="J249" s="62" t="s">
        <v>740</v>
      </c>
      <c r="K249" s="62" t="s">
        <v>2436</v>
      </c>
      <c r="L249" s="65" t="s">
        <v>353</v>
      </c>
      <c r="M249" s="62" t="s">
        <v>457</v>
      </c>
      <c r="N249" s="62" t="s">
        <v>531</v>
      </c>
      <c r="O249" s="62" t="s">
        <v>459</v>
      </c>
      <c r="P249" s="62" t="s">
        <v>2421</v>
      </c>
      <c r="Q249" s="66" t="s">
        <v>1971</v>
      </c>
    </row>
    <row r="250" spans="1:17" x14ac:dyDescent="0.3">
      <c r="A250" s="61" t="s">
        <v>2014</v>
      </c>
      <c r="B250" s="62" t="s">
        <v>731</v>
      </c>
      <c r="C250" s="62" t="s">
        <v>732</v>
      </c>
      <c r="D250" s="63">
        <v>44740</v>
      </c>
      <c r="E250" s="63">
        <v>46203</v>
      </c>
      <c r="F250" s="62" t="s">
        <v>1945</v>
      </c>
      <c r="G250" s="62" t="s">
        <v>402</v>
      </c>
      <c r="H250" s="62" t="s">
        <v>362</v>
      </c>
      <c r="I250" s="64">
        <v>193096.83333333299</v>
      </c>
      <c r="J250" s="62" t="s">
        <v>740</v>
      </c>
      <c r="K250" s="62" t="s">
        <v>2436</v>
      </c>
      <c r="L250" s="65" t="s">
        <v>353</v>
      </c>
      <c r="M250" s="62" t="s">
        <v>457</v>
      </c>
      <c r="N250" s="62" t="s">
        <v>531</v>
      </c>
      <c r="O250" s="62" t="s">
        <v>459</v>
      </c>
      <c r="P250" s="62" t="s">
        <v>2421</v>
      </c>
      <c r="Q250" s="66" t="s">
        <v>1971</v>
      </c>
    </row>
    <row r="251" spans="1:17" x14ac:dyDescent="0.3">
      <c r="A251" s="61" t="s">
        <v>2014</v>
      </c>
      <c r="B251" s="62" t="s">
        <v>731</v>
      </c>
      <c r="C251" s="62" t="s">
        <v>732</v>
      </c>
      <c r="D251" s="63">
        <v>44740</v>
      </c>
      <c r="E251" s="63">
        <v>46203</v>
      </c>
      <c r="F251" s="62" t="s">
        <v>1945</v>
      </c>
      <c r="G251" s="62" t="s">
        <v>404</v>
      </c>
      <c r="H251" s="62" t="s">
        <v>362</v>
      </c>
      <c r="I251" s="64">
        <v>193096.83333333299</v>
      </c>
      <c r="J251" s="62" t="s">
        <v>740</v>
      </c>
      <c r="K251" s="62" t="s">
        <v>2436</v>
      </c>
      <c r="L251" s="65" t="s">
        <v>353</v>
      </c>
      <c r="M251" s="62" t="s">
        <v>457</v>
      </c>
      <c r="N251" s="62" t="s">
        <v>531</v>
      </c>
      <c r="O251" s="62" t="s">
        <v>459</v>
      </c>
      <c r="P251" s="62" t="s">
        <v>2421</v>
      </c>
      <c r="Q251" s="66" t="s">
        <v>1971</v>
      </c>
    </row>
    <row r="252" spans="1:17" x14ac:dyDescent="0.3">
      <c r="A252" s="61" t="s">
        <v>2014</v>
      </c>
      <c r="B252" s="62" t="s">
        <v>731</v>
      </c>
      <c r="C252" s="62" t="s">
        <v>732</v>
      </c>
      <c r="D252" s="63">
        <v>44740</v>
      </c>
      <c r="E252" s="63">
        <v>46203</v>
      </c>
      <c r="F252" s="62" t="s">
        <v>1939</v>
      </c>
      <c r="G252" s="62" t="s">
        <v>733</v>
      </c>
      <c r="H252" s="62" t="s">
        <v>443</v>
      </c>
      <c r="I252" s="64">
        <v>111362.47619047599</v>
      </c>
      <c r="J252" s="62" t="s">
        <v>685</v>
      </c>
      <c r="K252" s="62" t="s">
        <v>2436</v>
      </c>
      <c r="L252" s="65" t="s">
        <v>353</v>
      </c>
      <c r="M252" s="62" t="s">
        <v>457</v>
      </c>
      <c r="N252" s="62" t="s">
        <v>531</v>
      </c>
      <c r="O252" s="62" t="s">
        <v>459</v>
      </c>
      <c r="P252" s="62" t="s">
        <v>2421</v>
      </c>
      <c r="Q252" s="66" t="s">
        <v>1971</v>
      </c>
    </row>
    <row r="253" spans="1:17" x14ac:dyDescent="0.3">
      <c r="A253" s="61" t="s">
        <v>2014</v>
      </c>
      <c r="B253" s="62" t="s">
        <v>731</v>
      </c>
      <c r="C253" s="62" t="s">
        <v>732</v>
      </c>
      <c r="D253" s="63">
        <v>44740</v>
      </c>
      <c r="E253" s="63">
        <v>46203</v>
      </c>
      <c r="F253" s="62" t="s">
        <v>1939</v>
      </c>
      <c r="G253" s="62" t="s">
        <v>734</v>
      </c>
      <c r="H253" s="62" t="s">
        <v>443</v>
      </c>
      <c r="I253" s="64">
        <v>111362.47619047599</v>
      </c>
      <c r="J253" s="62" t="s">
        <v>685</v>
      </c>
      <c r="K253" s="62" t="s">
        <v>2436</v>
      </c>
      <c r="L253" s="65" t="s">
        <v>353</v>
      </c>
      <c r="M253" s="62" t="s">
        <v>457</v>
      </c>
      <c r="N253" s="62" t="s">
        <v>531</v>
      </c>
      <c r="O253" s="62" t="s">
        <v>459</v>
      </c>
      <c r="P253" s="62" t="s">
        <v>2421</v>
      </c>
      <c r="Q253" s="66" t="s">
        <v>1971</v>
      </c>
    </row>
    <row r="254" spans="1:17" x14ac:dyDescent="0.3">
      <c r="A254" s="61" t="s">
        <v>2014</v>
      </c>
      <c r="B254" s="62" t="s">
        <v>731</v>
      </c>
      <c r="C254" s="62" t="s">
        <v>732</v>
      </c>
      <c r="D254" s="63">
        <v>44740</v>
      </c>
      <c r="E254" s="63">
        <v>46203</v>
      </c>
      <c r="F254" s="62" t="s">
        <v>1939</v>
      </c>
      <c r="G254" s="62" t="s">
        <v>735</v>
      </c>
      <c r="H254" s="62" t="s">
        <v>443</v>
      </c>
      <c r="I254" s="64">
        <v>111362.47619047599</v>
      </c>
      <c r="J254" s="62" t="s">
        <v>685</v>
      </c>
      <c r="K254" s="62" t="s">
        <v>2436</v>
      </c>
      <c r="L254" s="65" t="s">
        <v>353</v>
      </c>
      <c r="M254" s="62" t="s">
        <v>457</v>
      </c>
      <c r="N254" s="62" t="s">
        <v>531</v>
      </c>
      <c r="O254" s="62" t="s">
        <v>459</v>
      </c>
      <c r="P254" s="62" t="s">
        <v>2421</v>
      </c>
      <c r="Q254" s="66" t="s">
        <v>1971</v>
      </c>
    </row>
    <row r="255" spans="1:17" x14ac:dyDescent="0.3">
      <c r="A255" s="61" t="s">
        <v>2014</v>
      </c>
      <c r="B255" s="62" t="s">
        <v>731</v>
      </c>
      <c r="C255" s="62" t="s">
        <v>732</v>
      </c>
      <c r="D255" s="63">
        <v>44740</v>
      </c>
      <c r="E255" s="63">
        <v>46203</v>
      </c>
      <c r="F255" s="62" t="s">
        <v>1939</v>
      </c>
      <c r="G255" s="62" t="s">
        <v>736</v>
      </c>
      <c r="H255" s="62" t="s">
        <v>443</v>
      </c>
      <c r="I255" s="64">
        <v>111362.47619047599</v>
      </c>
      <c r="J255" s="62" t="s">
        <v>685</v>
      </c>
      <c r="K255" s="62" t="s">
        <v>2436</v>
      </c>
      <c r="L255" s="65" t="s">
        <v>353</v>
      </c>
      <c r="M255" s="62" t="s">
        <v>457</v>
      </c>
      <c r="N255" s="62" t="s">
        <v>531</v>
      </c>
      <c r="O255" s="62" t="s">
        <v>459</v>
      </c>
      <c r="P255" s="62" t="s">
        <v>2421</v>
      </c>
      <c r="Q255" s="66" t="s">
        <v>1971</v>
      </c>
    </row>
    <row r="256" spans="1:17" x14ac:dyDescent="0.3">
      <c r="A256" s="61" t="s">
        <v>2014</v>
      </c>
      <c r="B256" s="62" t="s">
        <v>731</v>
      </c>
      <c r="C256" s="62" t="s">
        <v>732</v>
      </c>
      <c r="D256" s="63">
        <v>44740</v>
      </c>
      <c r="E256" s="63">
        <v>46203</v>
      </c>
      <c r="F256" s="62" t="s">
        <v>1939</v>
      </c>
      <c r="G256" s="62" t="s">
        <v>737</v>
      </c>
      <c r="H256" s="62" t="s">
        <v>443</v>
      </c>
      <c r="I256" s="64">
        <v>111362.47619047599</v>
      </c>
      <c r="J256" s="62" t="s">
        <v>685</v>
      </c>
      <c r="K256" s="62" t="s">
        <v>2436</v>
      </c>
      <c r="L256" s="65" t="s">
        <v>353</v>
      </c>
      <c r="M256" s="62" t="s">
        <v>457</v>
      </c>
      <c r="N256" s="62" t="s">
        <v>531</v>
      </c>
      <c r="O256" s="62" t="s">
        <v>459</v>
      </c>
      <c r="P256" s="62" t="s">
        <v>2421</v>
      </c>
      <c r="Q256" s="66" t="s">
        <v>1971</v>
      </c>
    </row>
    <row r="257" spans="1:17" x14ac:dyDescent="0.3">
      <c r="A257" s="61" t="s">
        <v>2014</v>
      </c>
      <c r="B257" s="62" t="s">
        <v>731</v>
      </c>
      <c r="C257" s="62" t="s">
        <v>732</v>
      </c>
      <c r="D257" s="63">
        <v>44740</v>
      </c>
      <c r="E257" s="63">
        <v>46203</v>
      </c>
      <c r="F257" s="62" t="s">
        <v>1939</v>
      </c>
      <c r="G257" s="62" t="s">
        <v>738</v>
      </c>
      <c r="H257" s="62" t="s">
        <v>443</v>
      </c>
      <c r="I257" s="64">
        <v>111362.47619047599</v>
      </c>
      <c r="J257" s="62" t="s">
        <v>685</v>
      </c>
      <c r="K257" s="62" t="s">
        <v>2436</v>
      </c>
      <c r="L257" s="65" t="s">
        <v>353</v>
      </c>
      <c r="M257" s="62" t="s">
        <v>457</v>
      </c>
      <c r="N257" s="62" t="s">
        <v>531</v>
      </c>
      <c r="O257" s="62" t="s">
        <v>459</v>
      </c>
      <c r="P257" s="62" t="s">
        <v>2421</v>
      </c>
      <c r="Q257" s="66" t="s">
        <v>1971</v>
      </c>
    </row>
    <row r="258" spans="1:17" x14ac:dyDescent="0.3">
      <c r="A258" s="61" t="s">
        <v>2014</v>
      </c>
      <c r="B258" s="62" t="s">
        <v>731</v>
      </c>
      <c r="C258" s="62" t="s">
        <v>732</v>
      </c>
      <c r="D258" s="63">
        <v>44740</v>
      </c>
      <c r="E258" s="63">
        <v>46203</v>
      </c>
      <c r="F258" s="62" t="s">
        <v>1939</v>
      </c>
      <c r="G258" s="62" t="s">
        <v>540</v>
      </c>
      <c r="H258" s="62" t="s">
        <v>443</v>
      </c>
      <c r="I258" s="64">
        <v>111362.47619047599</v>
      </c>
      <c r="J258" s="62" t="s">
        <v>685</v>
      </c>
      <c r="K258" s="62" t="s">
        <v>2436</v>
      </c>
      <c r="L258" s="65" t="s">
        <v>353</v>
      </c>
      <c r="M258" s="62" t="s">
        <v>457</v>
      </c>
      <c r="N258" s="62" t="s">
        <v>531</v>
      </c>
      <c r="O258" s="62" t="s">
        <v>459</v>
      </c>
      <c r="P258" s="62" t="s">
        <v>2421</v>
      </c>
      <c r="Q258" s="66" t="s">
        <v>1971</v>
      </c>
    </row>
    <row r="259" spans="1:17" x14ac:dyDescent="0.3">
      <c r="A259" s="61" t="s">
        <v>2014</v>
      </c>
      <c r="B259" s="62" t="s">
        <v>731</v>
      </c>
      <c r="C259" s="62" t="s">
        <v>732</v>
      </c>
      <c r="D259" s="63">
        <v>44740</v>
      </c>
      <c r="E259" s="63">
        <v>46203</v>
      </c>
      <c r="F259" s="62" t="s">
        <v>1959</v>
      </c>
      <c r="G259" s="62" t="s">
        <v>612</v>
      </c>
      <c r="H259" s="62" t="s">
        <v>443</v>
      </c>
      <c r="I259" s="64">
        <v>259845.77777777801</v>
      </c>
      <c r="J259" s="62" t="s">
        <v>685</v>
      </c>
      <c r="K259" s="62" t="s">
        <v>2436</v>
      </c>
      <c r="L259" s="65" t="s">
        <v>353</v>
      </c>
      <c r="M259" s="62" t="s">
        <v>457</v>
      </c>
      <c r="N259" s="62" t="s">
        <v>531</v>
      </c>
      <c r="O259" s="62" t="s">
        <v>459</v>
      </c>
      <c r="P259" s="62" t="s">
        <v>2421</v>
      </c>
      <c r="Q259" s="66" t="s">
        <v>1971</v>
      </c>
    </row>
    <row r="260" spans="1:17" x14ac:dyDescent="0.3">
      <c r="A260" s="61" t="s">
        <v>2014</v>
      </c>
      <c r="B260" s="62" t="s">
        <v>731</v>
      </c>
      <c r="C260" s="62" t="s">
        <v>732</v>
      </c>
      <c r="D260" s="63">
        <v>44740</v>
      </c>
      <c r="E260" s="63">
        <v>46203</v>
      </c>
      <c r="F260" s="62" t="s">
        <v>1959</v>
      </c>
      <c r="G260" s="62" t="s">
        <v>739</v>
      </c>
      <c r="H260" s="62" t="s">
        <v>443</v>
      </c>
      <c r="I260" s="64">
        <v>259845.77777777801</v>
      </c>
      <c r="J260" s="62" t="s">
        <v>685</v>
      </c>
      <c r="K260" s="62" t="s">
        <v>2436</v>
      </c>
      <c r="L260" s="65" t="s">
        <v>353</v>
      </c>
      <c r="M260" s="62" t="s">
        <v>457</v>
      </c>
      <c r="N260" s="62" t="s">
        <v>531</v>
      </c>
      <c r="O260" s="62" t="s">
        <v>459</v>
      </c>
      <c r="P260" s="62" t="s">
        <v>2421</v>
      </c>
      <c r="Q260" s="66" t="s">
        <v>1971</v>
      </c>
    </row>
    <row r="261" spans="1:17" x14ac:dyDescent="0.3">
      <c r="A261" s="61" t="s">
        <v>2014</v>
      </c>
      <c r="B261" s="62" t="s">
        <v>731</v>
      </c>
      <c r="C261" s="62" t="s">
        <v>732</v>
      </c>
      <c r="D261" s="63">
        <v>44740</v>
      </c>
      <c r="E261" s="63">
        <v>46203</v>
      </c>
      <c r="F261" s="62" t="s">
        <v>1959</v>
      </c>
      <c r="G261" s="62" t="s">
        <v>669</v>
      </c>
      <c r="H261" s="62" t="s">
        <v>443</v>
      </c>
      <c r="I261" s="64">
        <v>259845.77777777801</v>
      </c>
      <c r="J261" s="62" t="s">
        <v>685</v>
      </c>
      <c r="K261" s="62" t="s">
        <v>2436</v>
      </c>
      <c r="L261" s="65" t="s">
        <v>353</v>
      </c>
      <c r="M261" s="62" t="s">
        <v>457</v>
      </c>
      <c r="N261" s="62" t="s">
        <v>531</v>
      </c>
      <c r="O261" s="62" t="s">
        <v>459</v>
      </c>
      <c r="P261" s="62" t="s">
        <v>2421</v>
      </c>
      <c r="Q261" s="66" t="s">
        <v>1971</v>
      </c>
    </row>
    <row r="262" spans="1:17" x14ac:dyDescent="0.3">
      <c r="A262" s="61" t="s">
        <v>2014</v>
      </c>
      <c r="B262" s="62" t="s">
        <v>731</v>
      </c>
      <c r="C262" s="62" t="s">
        <v>732</v>
      </c>
      <c r="D262" s="63">
        <v>44740</v>
      </c>
      <c r="E262" s="63">
        <v>46203</v>
      </c>
      <c r="F262" s="62" t="s">
        <v>1945</v>
      </c>
      <c r="G262" s="62" t="s">
        <v>402</v>
      </c>
      <c r="H262" s="62" t="s">
        <v>443</v>
      </c>
      <c r="I262" s="64">
        <v>389768.66666666698</v>
      </c>
      <c r="J262" s="62" t="s">
        <v>685</v>
      </c>
      <c r="K262" s="62" t="s">
        <v>2436</v>
      </c>
      <c r="L262" s="65" t="s">
        <v>353</v>
      </c>
      <c r="M262" s="62" t="s">
        <v>457</v>
      </c>
      <c r="N262" s="62" t="s">
        <v>531</v>
      </c>
      <c r="O262" s="62" t="s">
        <v>459</v>
      </c>
      <c r="P262" s="62" t="s">
        <v>2421</v>
      </c>
      <c r="Q262" s="66" t="s">
        <v>1971</v>
      </c>
    </row>
    <row r="263" spans="1:17" x14ac:dyDescent="0.3">
      <c r="A263" s="61" t="s">
        <v>2014</v>
      </c>
      <c r="B263" s="62" t="s">
        <v>731</v>
      </c>
      <c r="C263" s="62" t="s">
        <v>732</v>
      </c>
      <c r="D263" s="63">
        <v>44740</v>
      </c>
      <c r="E263" s="63">
        <v>46203</v>
      </c>
      <c r="F263" s="62" t="s">
        <v>1945</v>
      </c>
      <c r="G263" s="62" t="s">
        <v>404</v>
      </c>
      <c r="H263" s="62" t="s">
        <v>443</v>
      </c>
      <c r="I263" s="64">
        <v>389768.66666666698</v>
      </c>
      <c r="J263" s="62" t="s">
        <v>685</v>
      </c>
      <c r="K263" s="62" t="s">
        <v>2436</v>
      </c>
      <c r="L263" s="65" t="s">
        <v>353</v>
      </c>
      <c r="M263" s="62" t="s">
        <v>457</v>
      </c>
      <c r="N263" s="62" t="s">
        <v>531</v>
      </c>
      <c r="O263" s="62" t="s">
        <v>459</v>
      </c>
      <c r="P263" s="62" t="s">
        <v>2421</v>
      </c>
      <c r="Q263" s="66" t="s">
        <v>1971</v>
      </c>
    </row>
    <row r="264" spans="1:17" x14ac:dyDescent="0.3">
      <c r="A264" s="61" t="s">
        <v>2015</v>
      </c>
      <c r="B264" s="62" t="s">
        <v>741</v>
      </c>
      <c r="C264" s="62" t="s">
        <v>742</v>
      </c>
      <c r="D264" s="63">
        <v>44803</v>
      </c>
      <c r="E264" s="63">
        <v>46265</v>
      </c>
      <c r="F264" s="62" t="s">
        <v>1936</v>
      </c>
      <c r="G264" s="62" t="s">
        <v>709</v>
      </c>
      <c r="H264" s="62" t="s">
        <v>533</v>
      </c>
      <c r="I264" s="64">
        <v>592776</v>
      </c>
      <c r="J264" s="62" t="s">
        <v>534</v>
      </c>
      <c r="K264" s="62" t="s">
        <v>533</v>
      </c>
      <c r="L264" s="65" t="s">
        <v>353</v>
      </c>
      <c r="M264" s="62" t="s">
        <v>354</v>
      </c>
      <c r="N264" s="62" t="s">
        <v>743</v>
      </c>
      <c r="O264" s="62" t="s">
        <v>744</v>
      </c>
      <c r="P264" s="62" t="s">
        <v>2421</v>
      </c>
      <c r="Q264" s="66" t="s">
        <v>1971</v>
      </c>
    </row>
    <row r="265" spans="1:17" x14ac:dyDescent="0.3">
      <c r="A265" s="61" t="s">
        <v>2015</v>
      </c>
      <c r="B265" s="62" t="s">
        <v>741</v>
      </c>
      <c r="C265" s="62" t="s">
        <v>742</v>
      </c>
      <c r="D265" s="63">
        <v>44803</v>
      </c>
      <c r="E265" s="63">
        <v>46265</v>
      </c>
      <c r="F265" s="62" t="s">
        <v>1936</v>
      </c>
      <c r="G265" s="62" t="s">
        <v>745</v>
      </c>
      <c r="H265" s="62" t="s">
        <v>533</v>
      </c>
      <c r="I265" s="64">
        <v>592776</v>
      </c>
      <c r="J265" s="62" t="s">
        <v>534</v>
      </c>
      <c r="K265" s="62" t="s">
        <v>533</v>
      </c>
      <c r="L265" s="65" t="s">
        <v>353</v>
      </c>
      <c r="M265" s="62" t="s">
        <v>354</v>
      </c>
      <c r="N265" s="62" t="s">
        <v>743</v>
      </c>
      <c r="O265" s="62" t="s">
        <v>744</v>
      </c>
      <c r="P265" s="62" t="s">
        <v>2421</v>
      </c>
      <c r="Q265" s="66" t="s">
        <v>1971</v>
      </c>
    </row>
    <row r="266" spans="1:17" x14ac:dyDescent="0.3">
      <c r="A266" s="61" t="s">
        <v>2015</v>
      </c>
      <c r="B266" s="62" t="s">
        <v>741</v>
      </c>
      <c r="C266" s="62" t="s">
        <v>742</v>
      </c>
      <c r="D266" s="63">
        <v>44803</v>
      </c>
      <c r="E266" s="63">
        <v>46265</v>
      </c>
      <c r="F266" s="62" t="s">
        <v>1936</v>
      </c>
      <c r="G266" s="62" t="s">
        <v>746</v>
      </c>
      <c r="H266" s="62" t="s">
        <v>533</v>
      </c>
      <c r="I266" s="64">
        <v>592776</v>
      </c>
      <c r="J266" s="62" t="s">
        <v>534</v>
      </c>
      <c r="K266" s="62" t="s">
        <v>533</v>
      </c>
      <c r="L266" s="65" t="s">
        <v>353</v>
      </c>
      <c r="M266" s="62" t="s">
        <v>354</v>
      </c>
      <c r="N266" s="62" t="s">
        <v>743</v>
      </c>
      <c r="O266" s="62" t="s">
        <v>744</v>
      </c>
      <c r="P266" s="62" t="s">
        <v>2421</v>
      </c>
      <c r="Q266" s="66" t="s">
        <v>1971</v>
      </c>
    </row>
    <row r="267" spans="1:17" x14ac:dyDescent="0.3">
      <c r="A267" s="61" t="s">
        <v>2015</v>
      </c>
      <c r="B267" s="62" t="s">
        <v>741</v>
      </c>
      <c r="C267" s="62" t="s">
        <v>742</v>
      </c>
      <c r="D267" s="63">
        <v>44803</v>
      </c>
      <c r="E267" s="63">
        <v>46265</v>
      </c>
      <c r="F267" s="62" t="s">
        <v>1936</v>
      </c>
      <c r="G267" s="62" t="s">
        <v>747</v>
      </c>
      <c r="H267" s="62" t="s">
        <v>533</v>
      </c>
      <c r="I267" s="64">
        <v>592776</v>
      </c>
      <c r="J267" s="62" t="s">
        <v>534</v>
      </c>
      <c r="K267" s="62" t="s">
        <v>533</v>
      </c>
      <c r="L267" s="65" t="s">
        <v>353</v>
      </c>
      <c r="M267" s="62" t="s">
        <v>354</v>
      </c>
      <c r="N267" s="62" t="s">
        <v>743</v>
      </c>
      <c r="O267" s="62" t="s">
        <v>744</v>
      </c>
      <c r="P267" s="62" t="s">
        <v>2421</v>
      </c>
      <c r="Q267" s="66" t="s">
        <v>1971</v>
      </c>
    </row>
    <row r="268" spans="1:17" x14ac:dyDescent="0.3">
      <c r="A268" s="61" t="s">
        <v>2015</v>
      </c>
      <c r="B268" s="62" t="s">
        <v>741</v>
      </c>
      <c r="C268" s="62" t="s">
        <v>742</v>
      </c>
      <c r="D268" s="63">
        <v>44803</v>
      </c>
      <c r="E268" s="63">
        <v>46265</v>
      </c>
      <c r="F268" s="62" t="s">
        <v>1936</v>
      </c>
      <c r="G268" s="62" t="s">
        <v>748</v>
      </c>
      <c r="H268" s="62" t="s">
        <v>533</v>
      </c>
      <c r="I268" s="64">
        <v>592776</v>
      </c>
      <c r="J268" s="62" t="s">
        <v>534</v>
      </c>
      <c r="K268" s="62" t="s">
        <v>533</v>
      </c>
      <c r="L268" s="65" t="s">
        <v>353</v>
      </c>
      <c r="M268" s="62" t="s">
        <v>354</v>
      </c>
      <c r="N268" s="62" t="s">
        <v>743</v>
      </c>
      <c r="O268" s="62" t="s">
        <v>744</v>
      </c>
      <c r="P268" s="62" t="s">
        <v>2421</v>
      </c>
      <c r="Q268" s="66" t="s">
        <v>1971</v>
      </c>
    </row>
    <row r="269" spans="1:17" x14ac:dyDescent="0.3">
      <c r="A269" s="61" t="s">
        <v>2017</v>
      </c>
      <c r="B269" s="62" t="s">
        <v>751</v>
      </c>
      <c r="C269" s="62" t="s">
        <v>752</v>
      </c>
      <c r="D269" s="63">
        <v>44802</v>
      </c>
      <c r="E269" s="63">
        <v>46626</v>
      </c>
      <c r="F269" s="62" t="s">
        <v>1931</v>
      </c>
      <c r="G269" s="62" t="s">
        <v>304</v>
      </c>
      <c r="H269" s="62" t="s">
        <v>2426</v>
      </c>
      <c r="I269" s="64">
        <v>4109589</v>
      </c>
      <c r="J269" s="62" t="s">
        <v>601</v>
      </c>
      <c r="K269" s="62" t="s">
        <v>377</v>
      </c>
      <c r="L269" s="65" t="s">
        <v>2423</v>
      </c>
      <c r="M269" s="62" t="s">
        <v>354</v>
      </c>
      <c r="N269" s="62" t="s">
        <v>743</v>
      </c>
      <c r="O269" s="62" t="s">
        <v>744</v>
      </c>
      <c r="P269" s="62" t="s">
        <v>2421</v>
      </c>
      <c r="Q269" s="66" t="s">
        <v>1971</v>
      </c>
    </row>
    <row r="270" spans="1:17" x14ac:dyDescent="0.3">
      <c r="A270" s="61" t="s">
        <v>2017</v>
      </c>
      <c r="B270" s="62" t="s">
        <v>751</v>
      </c>
      <c r="C270" s="62" t="s">
        <v>752</v>
      </c>
      <c r="D270" s="63">
        <v>44802</v>
      </c>
      <c r="E270" s="63">
        <v>46626</v>
      </c>
      <c r="F270" s="62" t="s">
        <v>1940</v>
      </c>
      <c r="G270" s="62" t="s">
        <v>304</v>
      </c>
      <c r="H270" s="62" t="s">
        <v>2426</v>
      </c>
      <c r="I270" s="64">
        <v>4109589</v>
      </c>
      <c r="J270" s="62" t="s">
        <v>601</v>
      </c>
      <c r="K270" s="62" t="s">
        <v>377</v>
      </c>
      <c r="L270" s="65" t="s">
        <v>2423</v>
      </c>
      <c r="M270" s="62" t="s">
        <v>354</v>
      </c>
      <c r="N270" s="62" t="s">
        <v>743</v>
      </c>
      <c r="O270" s="62" t="s">
        <v>744</v>
      </c>
      <c r="P270" s="62" t="s">
        <v>2421</v>
      </c>
      <c r="Q270" s="66" t="s">
        <v>1971</v>
      </c>
    </row>
    <row r="271" spans="1:17" x14ac:dyDescent="0.3">
      <c r="A271" s="61" t="s">
        <v>2018</v>
      </c>
      <c r="B271" s="62" t="s">
        <v>753</v>
      </c>
      <c r="C271" s="62" t="s">
        <v>754</v>
      </c>
      <c r="D271" s="63">
        <v>44599</v>
      </c>
      <c r="E271" s="63">
        <v>46425</v>
      </c>
      <c r="F271" s="62" t="s">
        <v>348</v>
      </c>
      <c r="G271" s="62" t="s">
        <v>348</v>
      </c>
      <c r="H271" s="62" t="s">
        <v>2426</v>
      </c>
      <c r="I271" s="64">
        <v>518700</v>
      </c>
      <c r="J271" s="62" t="s">
        <v>601</v>
      </c>
      <c r="K271" s="62" t="s">
        <v>377</v>
      </c>
      <c r="L271" s="65" t="s">
        <v>306</v>
      </c>
      <c r="M271" s="62" t="s">
        <v>457</v>
      </c>
      <c r="N271" s="62" t="s">
        <v>755</v>
      </c>
      <c r="O271" s="62" t="s">
        <v>365</v>
      </c>
      <c r="P271" s="62" t="s">
        <v>2421</v>
      </c>
      <c r="Q271" s="66" t="s">
        <v>1971</v>
      </c>
    </row>
    <row r="272" spans="1:17" x14ac:dyDescent="0.3">
      <c r="A272" s="61" t="s">
        <v>2018</v>
      </c>
      <c r="B272" s="62" t="s">
        <v>753</v>
      </c>
      <c r="C272" s="62" t="s">
        <v>754</v>
      </c>
      <c r="D272" s="63">
        <v>44599</v>
      </c>
      <c r="E272" s="63">
        <v>46425</v>
      </c>
      <c r="F272" s="62" t="s">
        <v>1933</v>
      </c>
      <c r="G272" s="62" t="s">
        <v>756</v>
      </c>
      <c r="H272" s="62" t="s">
        <v>2426</v>
      </c>
      <c r="I272" s="64">
        <v>518700</v>
      </c>
      <c r="J272" s="62" t="s">
        <v>601</v>
      </c>
      <c r="K272" s="62" t="s">
        <v>377</v>
      </c>
      <c r="L272" s="65" t="s">
        <v>306</v>
      </c>
      <c r="M272" s="62" t="s">
        <v>457</v>
      </c>
      <c r="N272" s="62" t="s">
        <v>755</v>
      </c>
      <c r="O272" s="62" t="s">
        <v>365</v>
      </c>
      <c r="P272" s="62" t="s">
        <v>2421</v>
      </c>
      <c r="Q272" s="66" t="s">
        <v>1971</v>
      </c>
    </row>
    <row r="273" spans="1:17" x14ac:dyDescent="0.3">
      <c r="A273" s="61" t="s">
        <v>2018</v>
      </c>
      <c r="B273" s="62" t="s">
        <v>753</v>
      </c>
      <c r="C273" s="62" t="s">
        <v>754</v>
      </c>
      <c r="D273" s="63">
        <v>44599</v>
      </c>
      <c r="E273" s="63">
        <v>46425</v>
      </c>
      <c r="F273" s="62" t="s">
        <v>1922</v>
      </c>
      <c r="G273" s="62" t="s">
        <v>349</v>
      </c>
      <c r="H273" s="62" t="s">
        <v>2426</v>
      </c>
      <c r="I273" s="64">
        <v>518700</v>
      </c>
      <c r="J273" s="62" t="s">
        <v>601</v>
      </c>
      <c r="K273" s="62" t="s">
        <v>377</v>
      </c>
      <c r="L273" s="65" t="s">
        <v>306</v>
      </c>
      <c r="M273" s="62" t="s">
        <v>457</v>
      </c>
      <c r="N273" s="62" t="s">
        <v>755</v>
      </c>
      <c r="O273" s="62" t="s">
        <v>365</v>
      </c>
      <c r="P273" s="62" t="s">
        <v>2421</v>
      </c>
      <c r="Q273" s="66" t="s">
        <v>1971</v>
      </c>
    </row>
    <row r="274" spans="1:17" x14ac:dyDescent="0.3">
      <c r="A274" s="61" t="s">
        <v>2018</v>
      </c>
      <c r="B274" s="62" t="s">
        <v>753</v>
      </c>
      <c r="C274" s="62" t="s">
        <v>754</v>
      </c>
      <c r="D274" s="63">
        <v>44599</v>
      </c>
      <c r="E274" s="63">
        <v>46425</v>
      </c>
      <c r="F274" s="62" t="s">
        <v>1943</v>
      </c>
      <c r="G274" s="62" t="s">
        <v>452</v>
      </c>
      <c r="H274" s="62" t="s">
        <v>2426</v>
      </c>
      <c r="I274" s="64">
        <v>518700</v>
      </c>
      <c r="J274" s="62" t="s">
        <v>601</v>
      </c>
      <c r="K274" s="62" t="s">
        <v>377</v>
      </c>
      <c r="L274" s="65" t="s">
        <v>306</v>
      </c>
      <c r="M274" s="62" t="s">
        <v>457</v>
      </c>
      <c r="N274" s="62" t="s">
        <v>755</v>
      </c>
      <c r="O274" s="62" t="s">
        <v>365</v>
      </c>
      <c r="P274" s="62" t="s">
        <v>2421</v>
      </c>
      <c r="Q274" s="66" t="s">
        <v>1971</v>
      </c>
    </row>
    <row r="275" spans="1:17" x14ac:dyDescent="0.3">
      <c r="A275" s="61" t="s">
        <v>2018</v>
      </c>
      <c r="B275" s="62" t="s">
        <v>753</v>
      </c>
      <c r="C275" s="62" t="s">
        <v>754</v>
      </c>
      <c r="D275" s="63">
        <v>44599</v>
      </c>
      <c r="E275" s="63">
        <v>46425</v>
      </c>
      <c r="F275" s="62" t="s">
        <v>1939</v>
      </c>
      <c r="G275" s="62" t="s">
        <v>539</v>
      </c>
      <c r="H275" s="62" t="s">
        <v>2426</v>
      </c>
      <c r="I275" s="64">
        <v>518700</v>
      </c>
      <c r="J275" s="62" t="s">
        <v>601</v>
      </c>
      <c r="K275" s="62" t="s">
        <v>377</v>
      </c>
      <c r="L275" s="65" t="s">
        <v>306</v>
      </c>
      <c r="M275" s="62" t="s">
        <v>457</v>
      </c>
      <c r="N275" s="62" t="s">
        <v>755</v>
      </c>
      <c r="O275" s="62" t="s">
        <v>365</v>
      </c>
      <c r="P275" s="62" t="s">
        <v>2421</v>
      </c>
      <c r="Q275" s="66" t="s">
        <v>1971</v>
      </c>
    </row>
    <row r="276" spans="1:17" x14ac:dyDescent="0.3">
      <c r="A276" s="61" t="s">
        <v>2018</v>
      </c>
      <c r="B276" s="62" t="s">
        <v>753</v>
      </c>
      <c r="C276" s="62" t="s">
        <v>754</v>
      </c>
      <c r="D276" s="63">
        <v>44599</v>
      </c>
      <c r="E276" s="63">
        <v>46425</v>
      </c>
      <c r="F276" s="62" t="s">
        <v>1930</v>
      </c>
      <c r="G276" s="62" t="s">
        <v>453</v>
      </c>
      <c r="H276" s="62" t="s">
        <v>2426</v>
      </c>
      <c r="I276" s="64">
        <v>518700</v>
      </c>
      <c r="J276" s="62" t="s">
        <v>601</v>
      </c>
      <c r="K276" s="62" t="s">
        <v>377</v>
      </c>
      <c r="L276" s="65" t="s">
        <v>306</v>
      </c>
      <c r="M276" s="62" t="s">
        <v>457</v>
      </c>
      <c r="N276" s="62" t="s">
        <v>755</v>
      </c>
      <c r="O276" s="62" t="s">
        <v>365</v>
      </c>
      <c r="P276" s="62" t="s">
        <v>2421</v>
      </c>
      <c r="Q276" s="66" t="s">
        <v>1971</v>
      </c>
    </row>
    <row r="277" spans="1:17" x14ac:dyDescent="0.3">
      <c r="A277" s="61" t="s">
        <v>2018</v>
      </c>
      <c r="B277" s="62" t="s">
        <v>753</v>
      </c>
      <c r="C277" s="62" t="s">
        <v>754</v>
      </c>
      <c r="D277" s="63">
        <v>44599</v>
      </c>
      <c r="E277" s="63">
        <v>46425</v>
      </c>
      <c r="F277" s="62" t="s">
        <v>284</v>
      </c>
      <c r="G277" s="62" t="s">
        <v>285</v>
      </c>
      <c r="H277" s="62" t="s">
        <v>2426</v>
      </c>
      <c r="I277" s="64">
        <v>518700</v>
      </c>
      <c r="J277" s="62" t="s">
        <v>601</v>
      </c>
      <c r="K277" s="62" t="s">
        <v>377</v>
      </c>
      <c r="L277" s="65" t="s">
        <v>306</v>
      </c>
      <c r="M277" s="62" t="s">
        <v>457</v>
      </c>
      <c r="N277" s="62" t="s">
        <v>755</v>
      </c>
      <c r="O277" s="62" t="s">
        <v>365</v>
      </c>
      <c r="P277" s="62" t="s">
        <v>2421</v>
      </c>
      <c r="Q277" s="66" t="s">
        <v>1971</v>
      </c>
    </row>
    <row r="278" spans="1:17" x14ac:dyDescent="0.3">
      <c r="A278" s="61" t="s">
        <v>2018</v>
      </c>
      <c r="B278" s="62" t="s">
        <v>753</v>
      </c>
      <c r="C278" s="62" t="s">
        <v>754</v>
      </c>
      <c r="D278" s="63">
        <v>44599</v>
      </c>
      <c r="E278" s="63">
        <v>46425</v>
      </c>
      <c r="F278" s="62" t="s">
        <v>1942</v>
      </c>
      <c r="G278" s="62" t="s">
        <v>757</v>
      </c>
      <c r="H278" s="62" t="s">
        <v>2426</v>
      </c>
      <c r="I278" s="64">
        <v>518700</v>
      </c>
      <c r="J278" s="62" t="s">
        <v>601</v>
      </c>
      <c r="K278" s="62" t="s">
        <v>377</v>
      </c>
      <c r="L278" s="65" t="s">
        <v>306</v>
      </c>
      <c r="M278" s="62" t="s">
        <v>457</v>
      </c>
      <c r="N278" s="62" t="s">
        <v>755</v>
      </c>
      <c r="O278" s="62" t="s">
        <v>365</v>
      </c>
      <c r="P278" s="62" t="s">
        <v>2421</v>
      </c>
      <c r="Q278" s="66" t="s">
        <v>1971</v>
      </c>
    </row>
    <row r="279" spans="1:17" x14ac:dyDescent="0.3">
      <c r="A279" s="61" t="s">
        <v>2018</v>
      </c>
      <c r="B279" s="62" t="s">
        <v>753</v>
      </c>
      <c r="C279" s="62" t="s">
        <v>754</v>
      </c>
      <c r="D279" s="63">
        <v>44599</v>
      </c>
      <c r="E279" s="63">
        <v>46425</v>
      </c>
      <c r="F279" s="62" t="s">
        <v>288</v>
      </c>
      <c r="G279" s="62" t="s">
        <v>454</v>
      </c>
      <c r="H279" s="62" t="s">
        <v>2426</v>
      </c>
      <c r="I279" s="64">
        <v>518700</v>
      </c>
      <c r="J279" s="62" t="s">
        <v>601</v>
      </c>
      <c r="K279" s="62" t="s">
        <v>377</v>
      </c>
      <c r="L279" s="65" t="s">
        <v>306</v>
      </c>
      <c r="M279" s="62" t="s">
        <v>457</v>
      </c>
      <c r="N279" s="62" t="s">
        <v>755</v>
      </c>
      <c r="O279" s="62" t="s">
        <v>365</v>
      </c>
      <c r="P279" s="62" t="s">
        <v>2421</v>
      </c>
      <c r="Q279" s="66" t="s">
        <v>1971</v>
      </c>
    </row>
    <row r="280" spans="1:17" x14ac:dyDescent="0.3">
      <c r="A280" s="61" t="s">
        <v>2018</v>
      </c>
      <c r="B280" s="62" t="s">
        <v>753</v>
      </c>
      <c r="C280" s="62" t="s">
        <v>754</v>
      </c>
      <c r="D280" s="63">
        <v>44599</v>
      </c>
      <c r="E280" s="63">
        <v>46425</v>
      </c>
      <c r="F280" s="62" t="s">
        <v>1959</v>
      </c>
      <c r="G280" s="62" t="s">
        <v>612</v>
      </c>
      <c r="H280" s="62" t="s">
        <v>2426</v>
      </c>
      <c r="I280" s="64">
        <v>518700</v>
      </c>
      <c r="J280" s="62" t="s">
        <v>601</v>
      </c>
      <c r="K280" s="62" t="s">
        <v>377</v>
      </c>
      <c r="L280" s="65" t="s">
        <v>306</v>
      </c>
      <c r="M280" s="62" t="s">
        <v>457</v>
      </c>
      <c r="N280" s="62" t="s">
        <v>755</v>
      </c>
      <c r="O280" s="62" t="s">
        <v>365</v>
      </c>
      <c r="P280" s="62" t="s">
        <v>2421</v>
      </c>
      <c r="Q280" s="66" t="s">
        <v>1971</v>
      </c>
    </row>
    <row r="281" spans="1:17" x14ac:dyDescent="0.3">
      <c r="A281" s="61" t="s">
        <v>2019</v>
      </c>
      <c r="B281" s="62" t="s">
        <v>758</v>
      </c>
      <c r="C281" s="62" t="s">
        <v>759</v>
      </c>
      <c r="D281" s="63">
        <v>44771</v>
      </c>
      <c r="E281" s="63">
        <v>46203</v>
      </c>
      <c r="F281" s="62" t="s">
        <v>1930</v>
      </c>
      <c r="G281" s="62" t="s">
        <v>760</v>
      </c>
      <c r="H281" s="62" t="s">
        <v>360</v>
      </c>
      <c r="I281" s="64">
        <v>53022.390666666703</v>
      </c>
      <c r="J281" s="62" t="s">
        <v>361</v>
      </c>
      <c r="K281" s="62" t="s">
        <v>360</v>
      </c>
      <c r="L281" s="65" t="s">
        <v>306</v>
      </c>
      <c r="M281" s="62" t="s">
        <v>354</v>
      </c>
      <c r="N281" s="62" t="s">
        <v>364</v>
      </c>
      <c r="O281" s="62" t="s">
        <v>365</v>
      </c>
      <c r="P281" s="62" t="s">
        <v>2421</v>
      </c>
      <c r="Q281" s="66" t="s">
        <v>1974</v>
      </c>
    </row>
    <row r="282" spans="1:17" x14ac:dyDescent="0.3">
      <c r="A282" s="61" t="s">
        <v>2019</v>
      </c>
      <c r="B282" s="62" t="s">
        <v>758</v>
      </c>
      <c r="C282" s="62" t="s">
        <v>759</v>
      </c>
      <c r="D282" s="63">
        <v>44771</v>
      </c>
      <c r="E282" s="63">
        <v>46203</v>
      </c>
      <c r="F282" s="62" t="s">
        <v>1930</v>
      </c>
      <c r="G282" s="62" t="s">
        <v>418</v>
      </c>
      <c r="H282" s="62" t="s">
        <v>360</v>
      </c>
      <c r="I282" s="64">
        <v>53022.390666666703</v>
      </c>
      <c r="J282" s="62" t="s">
        <v>361</v>
      </c>
      <c r="K282" s="62" t="s">
        <v>360</v>
      </c>
      <c r="L282" s="65" t="s">
        <v>306</v>
      </c>
      <c r="M282" s="62" t="s">
        <v>354</v>
      </c>
      <c r="N282" s="62" t="s">
        <v>364</v>
      </c>
      <c r="O282" s="62" t="s">
        <v>365</v>
      </c>
      <c r="P282" s="62" t="s">
        <v>2421</v>
      </c>
      <c r="Q282" s="66" t="s">
        <v>1974</v>
      </c>
    </row>
    <row r="283" spans="1:17" x14ac:dyDescent="0.3">
      <c r="A283" s="61" t="s">
        <v>2019</v>
      </c>
      <c r="B283" s="62" t="s">
        <v>758</v>
      </c>
      <c r="C283" s="62" t="s">
        <v>759</v>
      </c>
      <c r="D283" s="63">
        <v>44771</v>
      </c>
      <c r="E283" s="63">
        <v>46203</v>
      </c>
      <c r="F283" s="62" t="s">
        <v>1930</v>
      </c>
      <c r="G283" s="62" t="s">
        <v>419</v>
      </c>
      <c r="H283" s="62" t="s">
        <v>360</v>
      </c>
      <c r="I283" s="64">
        <v>53022.390666666703</v>
      </c>
      <c r="J283" s="62" t="s">
        <v>361</v>
      </c>
      <c r="K283" s="62" t="s">
        <v>360</v>
      </c>
      <c r="L283" s="65" t="s">
        <v>306</v>
      </c>
      <c r="M283" s="62" t="s">
        <v>354</v>
      </c>
      <c r="N283" s="62" t="s">
        <v>364</v>
      </c>
      <c r="O283" s="62" t="s">
        <v>365</v>
      </c>
      <c r="P283" s="62" t="s">
        <v>2421</v>
      </c>
      <c r="Q283" s="66" t="s">
        <v>1974</v>
      </c>
    </row>
    <row r="284" spans="1:17" x14ac:dyDescent="0.3">
      <c r="A284" s="61" t="s">
        <v>2019</v>
      </c>
      <c r="B284" s="62" t="s">
        <v>758</v>
      </c>
      <c r="C284" s="62" t="s">
        <v>759</v>
      </c>
      <c r="D284" s="63">
        <v>44771</v>
      </c>
      <c r="E284" s="63">
        <v>46203</v>
      </c>
      <c r="F284" s="62" t="s">
        <v>1930</v>
      </c>
      <c r="G284" s="62" t="s">
        <v>501</v>
      </c>
      <c r="H284" s="62" t="s">
        <v>360</v>
      </c>
      <c r="I284" s="64">
        <v>53022.390666666703</v>
      </c>
      <c r="J284" s="62" t="s">
        <v>361</v>
      </c>
      <c r="K284" s="62" t="s">
        <v>360</v>
      </c>
      <c r="L284" s="65" t="s">
        <v>306</v>
      </c>
      <c r="M284" s="62" t="s">
        <v>354</v>
      </c>
      <c r="N284" s="62" t="s">
        <v>364</v>
      </c>
      <c r="O284" s="62" t="s">
        <v>365</v>
      </c>
      <c r="P284" s="62" t="s">
        <v>2421</v>
      </c>
      <c r="Q284" s="66" t="s">
        <v>1974</v>
      </c>
    </row>
    <row r="285" spans="1:17" x14ac:dyDescent="0.3">
      <c r="A285" s="61" t="s">
        <v>2019</v>
      </c>
      <c r="B285" s="62" t="s">
        <v>758</v>
      </c>
      <c r="C285" s="62" t="s">
        <v>759</v>
      </c>
      <c r="D285" s="63">
        <v>44771</v>
      </c>
      <c r="E285" s="63">
        <v>46203</v>
      </c>
      <c r="F285" s="62" t="s">
        <v>1930</v>
      </c>
      <c r="G285" s="62" t="s">
        <v>502</v>
      </c>
      <c r="H285" s="62" t="s">
        <v>360</v>
      </c>
      <c r="I285" s="64">
        <v>53022.390666666703</v>
      </c>
      <c r="J285" s="62" t="s">
        <v>361</v>
      </c>
      <c r="K285" s="62" t="s">
        <v>360</v>
      </c>
      <c r="L285" s="65" t="s">
        <v>306</v>
      </c>
      <c r="M285" s="62" t="s">
        <v>354</v>
      </c>
      <c r="N285" s="62" t="s">
        <v>364</v>
      </c>
      <c r="O285" s="62" t="s">
        <v>365</v>
      </c>
      <c r="P285" s="62" t="s">
        <v>2421</v>
      </c>
      <c r="Q285" s="66" t="s">
        <v>1974</v>
      </c>
    </row>
    <row r="286" spans="1:17" x14ac:dyDescent="0.3">
      <c r="A286" s="61" t="s">
        <v>2019</v>
      </c>
      <c r="B286" s="62" t="s">
        <v>758</v>
      </c>
      <c r="C286" s="62" t="s">
        <v>759</v>
      </c>
      <c r="D286" s="63">
        <v>44771</v>
      </c>
      <c r="E286" s="63">
        <v>46203</v>
      </c>
      <c r="F286" s="62" t="s">
        <v>1930</v>
      </c>
      <c r="G286" s="62" t="s">
        <v>421</v>
      </c>
      <c r="H286" s="62" t="s">
        <v>360</v>
      </c>
      <c r="I286" s="64">
        <v>53022.390666666703</v>
      </c>
      <c r="J286" s="62" t="s">
        <v>361</v>
      </c>
      <c r="K286" s="62" t="s">
        <v>360</v>
      </c>
      <c r="L286" s="65" t="s">
        <v>306</v>
      </c>
      <c r="M286" s="62" t="s">
        <v>354</v>
      </c>
      <c r="N286" s="62" t="s">
        <v>364</v>
      </c>
      <c r="O286" s="62" t="s">
        <v>365</v>
      </c>
      <c r="P286" s="62" t="s">
        <v>2421</v>
      </c>
      <c r="Q286" s="66" t="s">
        <v>1974</v>
      </c>
    </row>
    <row r="287" spans="1:17" x14ac:dyDescent="0.3">
      <c r="A287" s="61" t="s">
        <v>2019</v>
      </c>
      <c r="B287" s="62" t="s">
        <v>758</v>
      </c>
      <c r="C287" s="62" t="s">
        <v>759</v>
      </c>
      <c r="D287" s="63">
        <v>44771</v>
      </c>
      <c r="E287" s="63">
        <v>46203</v>
      </c>
      <c r="F287" s="62" t="s">
        <v>1936</v>
      </c>
      <c r="G287" s="62" t="s">
        <v>761</v>
      </c>
      <c r="H287" s="62" t="s">
        <v>360</v>
      </c>
      <c r="I287" s="64">
        <v>106044.781333333</v>
      </c>
      <c r="J287" s="62" t="s">
        <v>361</v>
      </c>
      <c r="K287" s="62" t="s">
        <v>360</v>
      </c>
      <c r="L287" s="65" t="s">
        <v>306</v>
      </c>
      <c r="M287" s="62" t="s">
        <v>354</v>
      </c>
      <c r="N287" s="62" t="s">
        <v>364</v>
      </c>
      <c r="O287" s="62" t="s">
        <v>365</v>
      </c>
      <c r="P287" s="62" t="s">
        <v>2421</v>
      </c>
      <c r="Q287" s="66" t="s">
        <v>1974</v>
      </c>
    </row>
    <row r="288" spans="1:17" x14ac:dyDescent="0.3">
      <c r="A288" s="61" t="s">
        <v>2019</v>
      </c>
      <c r="B288" s="62" t="s">
        <v>758</v>
      </c>
      <c r="C288" s="62" t="s">
        <v>759</v>
      </c>
      <c r="D288" s="63">
        <v>44771</v>
      </c>
      <c r="E288" s="63">
        <v>46203</v>
      </c>
      <c r="F288" s="62" t="s">
        <v>1936</v>
      </c>
      <c r="G288" s="62" t="s">
        <v>604</v>
      </c>
      <c r="H288" s="62" t="s">
        <v>360</v>
      </c>
      <c r="I288" s="64">
        <v>106044.781333333</v>
      </c>
      <c r="J288" s="62" t="s">
        <v>361</v>
      </c>
      <c r="K288" s="62" t="s">
        <v>360</v>
      </c>
      <c r="L288" s="65" t="s">
        <v>306</v>
      </c>
      <c r="M288" s="62" t="s">
        <v>354</v>
      </c>
      <c r="N288" s="62" t="s">
        <v>364</v>
      </c>
      <c r="O288" s="62" t="s">
        <v>365</v>
      </c>
      <c r="P288" s="62" t="s">
        <v>2421</v>
      </c>
      <c r="Q288" s="66" t="s">
        <v>1974</v>
      </c>
    </row>
    <row r="289" spans="1:17" x14ac:dyDescent="0.3">
      <c r="A289" s="61" t="s">
        <v>2019</v>
      </c>
      <c r="B289" s="62" t="s">
        <v>758</v>
      </c>
      <c r="C289" s="62" t="s">
        <v>759</v>
      </c>
      <c r="D289" s="63">
        <v>44771</v>
      </c>
      <c r="E289" s="63">
        <v>46203</v>
      </c>
      <c r="F289" s="62" t="s">
        <v>1936</v>
      </c>
      <c r="G289" s="62" t="s">
        <v>411</v>
      </c>
      <c r="H289" s="62" t="s">
        <v>360</v>
      </c>
      <c r="I289" s="64">
        <v>106044.781333333</v>
      </c>
      <c r="J289" s="62" t="s">
        <v>361</v>
      </c>
      <c r="K289" s="62" t="s">
        <v>360</v>
      </c>
      <c r="L289" s="65" t="s">
        <v>306</v>
      </c>
      <c r="M289" s="62" t="s">
        <v>354</v>
      </c>
      <c r="N289" s="62" t="s">
        <v>364</v>
      </c>
      <c r="O289" s="62" t="s">
        <v>365</v>
      </c>
      <c r="P289" s="62" t="s">
        <v>2421</v>
      </c>
      <c r="Q289" s="66" t="s">
        <v>1974</v>
      </c>
    </row>
    <row r="290" spans="1:17" x14ac:dyDescent="0.3">
      <c r="A290" s="61" t="s">
        <v>2019</v>
      </c>
      <c r="B290" s="62" t="s">
        <v>758</v>
      </c>
      <c r="C290" s="62" t="s">
        <v>759</v>
      </c>
      <c r="D290" s="63">
        <v>44771</v>
      </c>
      <c r="E290" s="63">
        <v>46203</v>
      </c>
      <c r="F290" s="62" t="s">
        <v>1944</v>
      </c>
      <c r="G290" s="62" t="s">
        <v>675</v>
      </c>
      <c r="H290" s="62" t="s">
        <v>360</v>
      </c>
      <c r="I290" s="64">
        <v>159067.17199999999</v>
      </c>
      <c r="J290" s="62" t="s">
        <v>361</v>
      </c>
      <c r="K290" s="62" t="s">
        <v>360</v>
      </c>
      <c r="L290" s="65" t="s">
        <v>306</v>
      </c>
      <c r="M290" s="62" t="s">
        <v>354</v>
      </c>
      <c r="N290" s="62" t="s">
        <v>364</v>
      </c>
      <c r="O290" s="62" t="s">
        <v>365</v>
      </c>
      <c r="P290" s="62" t="s">
        <v>2421</v>
      </c>
      <c r="Q290" s="66" t="s">
        <v>1974</v>
      </c>
    </row>
    <row r="291" spans="1:17" x14ac:dyDescent="0.3">
      <c r="A291" s="61" t="s">
        <v>2019</v>
      </c>
      <c r="B291" s="62" t="s">
        <v>758</v>
      </c>
      <c r="C291" s="62" t="s">
        <v>759</v>
      </c>
      <c r="D291" s="63">
        <v>44771</v>
      </c>
      <c r="E291" s="63">
        <v>46203</v>
      </c>
      <c r="F291" s="62" t="s">
        <v>1944</v>
      </c>
      <c r="G291" s="62" t="s">
        <v>676</v>
      </c>
      <c r="H291" s="62" t="s">
        <v>360</v>
      </c>
      <c r="I291" s="64">
        <v>159067.17199999999</v>
      </c>
      <c r="J291" s="62" t="s">
        <v>361</v>
      </c>
      <c r="K291" s="62" t="s">
        <v>360</v>
      </c>
      <c r="L291" s="65" t="s">
        <v>306</v>
      </c>
      <c r="M291" s="62" t="s">
        <v>354</v>
      </c>
      <c r="N291" s="62" t="s">
        <v>364</v>
      </c>
      <c r="O291" s="62" t="s">
        <v>365</v>
      </c>
      <c r="P291" s="62" t="s">
        <v>2421</v>
      </c>
      <c r="Q291" s="66" t="s">
        <v>1974</v>
      </c>
    </row>
    <row r="292" spans="1:17" x14ac:dyDescent="0.3">
      <c r="A292" s="61" t="s">
        <v>2019</v>
      </c>
      <c r="B292" s="62" t="s">
        <v>758</v>
      </c>
      <c r="C292" s="62" t="s">
        <v>759</v>
      </c>
      <c r="D292" s="63">
        <v>44771</v>
      </c>
      <c r="E292" s="63">
        <v>46203</v>
      </c>
      <c r="F292" s="62" t="s">
        <v>1943</v>
      </c>
      <c r="G292" s="62" t="s">
        <v>762</v>
      </c>
      <c r="H292" s="62" t="s">
        <v>360</v>
      </c>
      <c r="I292" s="64">
        <v>318134.34399999998</v>
      </c>
      <c r="J292" s="62" t="s">
        <v>361</v>
      </c>
      <c r="K292" s="62" t="s">
        <v>360</v>
      </c>
      <c r="L292" s="65" t="s">
        <v>306</v>
      </c>
      <c r="M292" s="62" t="s">
        <v>354</v>
      </c>
      <c r="N292" s="62" t="s">
        <v>364</v>
      </c>
      <c r="O292" s="62" t="s">
        <v>365</v>
      </c>
      <c r="P292" s="62" t="s">
        <v>2421</v>
      </c>
      <c r="Q292" s="66" t="s">
        <v>1974</v>
      </c>
    </row>
    <row r="293" spans="1:17" x14ac:dyDescent="0.3">
      <c r="A293" s="61" t="s">
        <v>2019</v>
      </c>
      <c r="B293" s="62" t="s">
        <v>758</v>
      </c>
      <c r="C293" s="62" t="s">
        <v>759</v>
      </c>
      <c r="D293" s="63">
        <v>44771</v>
      </c>
      <c r="E293" s="63">
        <v>46203</v>
      </c>
      <c r="F293" s="62" t="s">
        <v>1939</v>
      </c>
      <c r="G293" s="62" t="s">
        <v>539</v>
      </c>
      <c r="H293" s="62" t="s">
        <v>360</v>
      </c>
      <c r="I293" s="64">
        <v>318134.34399999998</v>
      </c>
      <c r="J293" s="62" t="s">
        <v>361</v>
      </c>
      <c r="K293" s="62" t="s">
        <v>360</v>
      </c>
      <c r="L293" s="65" t="s">
        <v>306</v>
      </c>
      <c r="M293" s="62" t="s">
        <v>354</v>
      </c>
      <c r="N293" s="62" t="s">
        <v>364</v>
      </c>
      <c r="O293" s="62" t="s">
        <v>365</v>
      </c>
      <c r="P293" s="62" t="s">
        <v>2421</v>
      </c>
      <c r="Q293" s="66" t="s">
        <v>1974</v>
      </c>
    </row>
    <row r="294" spans="1:17" x14ac:dyDescent="0.3">
      <c r="A294" s="61" t="s">
        <v>2020</v>
      </c>
      <c r="B294" s="62" t="s">
        <v>775</v>
      </c>
      <c r="C294" s="62" t="s">
        <v>776</v>
      </c>
      <c r="D294" s="63">
        <v>44818</v>
      </c>
      <c r="E294" s="63">
        <v>46279</v>
      </c>
      <c r="F294" s="62" t="s">
        <v>1943</v>
      </c>
      <c r="G294" s="62" t="s">
        <v>777</v>
      </c>
      <c r="H294" s="62" t="s">
        <v>480</v>
      </c>
      <c r="I294" s="64">
        <v>416666.66666666698</v>
      </c>
      <c r="J294" s="62" t="s">
        <v>481</v>
      </c>
      <c r="K294" s="62" t="s">
        <v>1957</v>
      </c>
      <c r="L294" s="65" t="s">
        <v>306</v>
      </c>
      <c r="M294" s="62" t="s">
        <v>457</v>
      </c>
      <c r="N294" s="62" t="s">
        <v>778</v>
      </c>
      <c r="O294" s="62" t="s">
        <v>459</v>
      </c>
      <c r="P294" s="62" t="s">
        <v>2421</v>
      </c>
      <c r="Q294" s="66" t="s">
        <v>1971</v>
      </c>
    </row>
    <row r="295" spans="1:17" x14ac:dyDescent="0.3">
      <c r="A295" s="61" t="s">
        <v>2020</v>
      </c>
      <c r="B295" s="62" t="s">
        <v>775</v>
      </c>
      <c r="C295" s="62" t="s">
        <v>776</v>
      </c>
      <c r="D295" s="63">
        <v>44818</v>
      </c>
      <c r="E295" s="63">
        <v>46279</v>
      </c>
      <c r="F295" s="62" t="s">
        <v>1943</v>
      </c>
      <c r="G295" s="62" t="s">
        <v>779</v>
      </c>
      <c r="H295" s="62" t="s">
        <v>480</v>
      </c>
      <c r="I295" s="64">
        <v>416666.66666666698</v>
      </c>
      <c r="J295" s="62" t="s">
        <v>481</v>
      </c>
      <c r="K295" s="62" t="s">
        <v>1957</v>
      </c>
      <c r="L295" s="65" t="s">
        <v>353</v>
      </c>
      <c r="M295" s="62" t="s">
        <v>457</v>
      </c>
      <c r="N295" s="62" t="s">
        <v>778</v>
      </c>
      <c r="O295" s="62" t="s">
        <v>459</v>
      </c>
      <c r="P295" s="62" t="s">
        <v>2421</v>
      </c>
      <c r="Q295" s="66" t="s">
        <v>1971</v>
      </c>
    </row>
    <row r="296" spans="1:17" x14ac:dyDescent="0.3">
      <c r="A296" s="61" t="s">
        <v>2020</v>
      </c>
      <c r="B296" s="62" t="s">
        <v>775</v>
      </c>
      <c r="C296" s="62" t="s">
        <v>776</v>
      </c>
      <c r="D296" s="63">
        <v>44818</v>
      </c>
      <c r="E296" s="63">
        <v>46279</v>
      </c>
      <c r="F296" s="62" t="s">
        <v>1943</v>
      </c>
      <c r="G296" s="62" t="s">
        <v>780</v>
      </c>
      <c r="H296" s="62" t="s">
        <v>480</v>
      </c>
      <c r="I296" s="64">
        <v>416666.66666666698</v>
      </c>
      <c r="J296" s="62" t="s">
        <v>481</v>
      </c>
      <c r="K296" s="62" t="s">
        <v>1957</v>
      </c>
      <c r="L296" s="65" t="s">
        <v>353</v>
      </c>
      <c r="M296" s="62" t="s">
        <v>457</v>
      </c>
      <c r="N296" s="62" t="s">
        <v>778</v>
      </c>
      <c r="O296" s="62" t="s">
        <v>459</v>
      </c>
      <c r="P296" s="62" t="s">
        <v>2421</v>
      </c>
      <c r="Q296" s="66" t="s">
        <v>1971</v>
      </c>
    </row>
    <row r="297" spans="1:17" x14ac:dyDescent="0.3">
      <c r="A297" s="61" t="s">
        <v>2020</v>
      </c>
      <c r="B297" s="62" t="s">
        <v>775</v>
      </c>
      <c r="C297" s="62" t="s">
        <v>776</v>
      </c>
      <c r="D297" s="63">
        <v>44818</v>
      </c>
      <c r="E297" s="63">
        <v>46279</v>
      </c>
      <c r="F297" s="62" t="s">
        <v>1959</v>
      </c>
      <c r="G297" s="62" t="s">
        <v>578</v>
      </c>
      <c r="H297" s="62" t="s">
        <v>480</v>
      </c>
      <c r="I297" s="64">
        <v>625000</v>
      </c>
      <c r="J297" s="62" t="s">
        <v>481</v>
      </c>
      <c r="K297" s="62" t="s">
        <v>1957</v>
      </c>
      <c r="L297" s="65" t="s">
        <v>353</v>
      </c>
      <c r="M297" s="62" t="s">
        <v>457</v>
      </c>
      <c r="N297" s="62" t="s">
        <v>778</v>
      </c>
      <c r="O297" s="62" t="s">
        <v>459</v>
      </c>
      <c r="P297" s="62" t="s">
        <v>2421</v>
      </c>
      <c r="Q297" s="66" t="s">
        <v>1971</v>
      </c>
    </row>
    <row r="298" spans="1:17" x14ac:dyDescent="0.3">
      <c r="A298" s="61" t="s">
        <v>2020</v>
      </c>
      <c r="B298" s="62" t="s">
        <v>775</v>
      </c>
      <c r="C298" s="62" t="s">
        <v>776</v>
      </c>
      <c r="D298" s="63">
        <v>44818</v>
      </c>
      <c r="E298" s="63">
        <v>46279</v>
      </c>
      <c r="F298" s="62" t="s">
        <v>1959</v>
      </c>
      <c r="G298" s="62" t="s">
        <v>781</v>
      </c>
      <c r="H298" s="62" t="s">
        <v>480</v>
      </c>
      <c r="I298" s="64">
        <v>625000</v>
      </c>
      <c r="J298" s="62" t="s">
        <v>481</v>
      </c>
      <c r="K298" s="62" t="s">
        <v>1957</v>
      </c>
      <c r="L298" s="65" t="s">
        <v>353</v>
      </c>
      <c r="M298" s="62" t="s">
        <v>457</v>
      </c>
      <c r="N298" s="62" t="s">
        <v>778</v>
      </c>
      <c r="O298" s="62" t="s">
        <v>459</v>
      </c>
      <c r="P298" s="62" t="s">
        <v>2421</v>
      </c>
      <c r="Q298" s="66" t="s">
        <v>1971</v>
      </c>
    </row>
    <row r="299" spans="1:17" x14ac:dyDescent="0.3">
      <c r="A299" s="61" t="s">
        <v>2020</v>
      </c>
      <c r="B299" s="62" t="s">
        <v>775</v>
      </c>
      <c r="C299" s="62" t="s">
        <v>776</v>
      </c>
      <c r="D299" s="63">
        <v>44818</v>
      </c>
      <c r="E299" s="63">
        <v>46279</v>
      </c>
      <c r="F299" s="62" t="s">
        <v>1943</v>
      </c>
      <c r="G299" s="62" t="s">
        <v>777</v>
      </c>
      <c r="H299" s="62" t="s">
        <v>2427</v>
      </c>
      <c r="I299" s="64">
        <v>23658.166666666701</v>
      </c>
      <c r="J299" s="62" t="s">
        <v>782</v>
      </c>
      <c r="K299" s="62" t="s">
        <v>1957</v>
      </c>
      <c r="L299" s="65" t="s">
        <v>353</v>
      </c>
      <c r="M299" s="62" t="s">
        <v>457</v>
      </c>
      <c r="N299" s="62" t="s">
        <v>778</v>
      </c>
      <c r="O299" s="62" t="s">
        <v>459</v>
      </c>
      <c r="P299" s="62" t="s">
        <v>2421</v>
      </c>
      <c r="Q299" s="66" t="s">
        <v>1971</v>
      </c>
    </row>
    <row r="300" spans="1:17" x14ac:dyDescent="0.3">
      <c r="A300" s="61" t="s">
        <v>2020</v>
      </c>
      <c r="B300" s="62" t="s">
        <v>775</v>
      </c>
      <c r="C300" s="62" t="s">
        <v>776</v>
      </c>
      <c r="D300" s="63">
        <v>44818</v>
      </c>
      <c r="E300" s="63">
        <v>46279</v>
      </c>
      <c r="F300" s="62" t="s">
        <v>1943</v>
      </c>
      <c r="G300" s="62" t="s">
        <v>779</v>
      </c>
      <c r="H300" s="62" t="s">
        <v>2427</v>
      </c>
      <c r="I300" s="64">
        <v>23658.166666666701</v>
      </c>
      <c r="J300" s="62" t="s">
        <v>782</v>
      </c>
      <c r="K300" s="62" t="s">
        <v>1957</v>
      </c>
      <c r="L300" s="65" t="s">
        <v>353</v>
      </c>
      <c r="M300" s="62" t="s">
        <v>457</v>
      </c>
      <c r="N300" s="62" t="s">
        <v>778</v>
      </c>
      <c r="O300" s="62" t="s">
        <v>459</v>
      </c>
      <c r="P300" s="62" t="s">
        <v>2421</v>
      </c>
      <c r="Q300" s="66" t="s">
        <v>1971</v>
      </c>
    </row>
    <row r="301" spans="1:17" x14ac:dyDescent="0.3">
      <c r="A301" s="61" t="s">
        <v>2020</v>
      </c>
      <c r="B301" s="62" t="s">
        <v>775</v>
      </c>
      <c r="C301" s="62" t="s">
        <v>776</v>
      </c>
      <c r="D301" s="63">
        <v>44818</v>
      </c>
      <c r="E301" s="63">
        <v>46279</v>
      </c>
      <c r="F301" s="62" t="s">
        <v>1943</v>
      </c>
      <c r="G301" s="62" t="s">
        <v>780</v>
      </c>
      <c r="H301" s="62" t="s">
        <v>2427</v>
      </c>
      <c r="I301" s="64">
        <v>23658.166666666701</v>
      </c>
      <c r="J301" s="62" t="s">
        <v>782</v>
      </c>
      <c r="K301" s="62" t="s">
        <v>1957</v>
      </c>
      <c r="L301" s="65" t="s">
        <v>353</v>
      </c>
      <c r="M301" s="62" t="s">
        <v>457</v>
      </c>
      <c r="N301" s="62" t="s">
        <v>778</v>
      </c>
      <c r="O301" s="62" t="s">
        <v>459</v>
      </c>
      <c r="P301" s="62" t="s">
        <v>2421</v>
      </c>
      <c r="Q301" s="66" t="s">
        <v>1971</v>
      </c>
    </row>
    <row r="302" spans="1:17" x14ac:dyDescent="0.3">
      <c r="A302" s="61" t="s">
        <v>2020</v>
      </c>
      <c r="B302" s="62" t="s">
        <v>775</v>
      </c>
      <c r="C302" s="62" t="s">
        <v>776</v>
      </c>
      <c r="D302" s="63">
        <v>44818</v>
      </c>
      <c r="E302" s="63">
        <v>46279</v>
      </c>
      <c r="F302" s="62" t="s">
        <v>1959</v>
      </c>
      <c r="G302" s="62" t="s">
        <v>578</v>
      </c>
      <c r="H302" s="62" t="s">
        <v>2427</v>
      </c>
      <c r="I302" s="64">
        <v>35487.25</v>
      </c>
      <c r="J302" s="62" t="s">
        <v>782</v>
      </c>
      <c r="K302" s="62" t="s">
        <v>1957</v>
      </c>
      <c r="L302" s="65" t="s">
        <v>353</v>
      </c>
      <c r="M302" s="62" t="s">
        <v>457</v>
      </c>
      <c r="N302" s="62" t="s">
        <v>778</v>
      </c>
      <c r="O302" s="62" t="s">
        <v>459</v>
      </c>
      <c r="P302" s="62" t="s">
        <v>2421</v>
      </c>
      <c r="Q302" s="66" t="s">
        <v>1971</v>
      </c>
    </row>
    <row r="303" spans="1:17" x14ac:dyDescent="0.3">
      <c r="A303" s="61" t="s">
        <v>2020</v>
      </c>
      <c r="B303" s="62" t="s">
        <v>775</v>
      </c>
      <c r="C303" s="62" t="s">
        <v>776</v>
      </c>
      <c r="D303" s="63">
        <v>44818</v>
      </c>
      <c r="E303" s="63">
        <v>46279</v>
      </c>
      <c r="F303" s="62" t="s">
        <v>1959</v>
      </c>
      <c r="G303" s="62" t="s">
        <v>781</v>
      </c>
      <c r="H303" s="62" t="s">
        <v>2427</v>
      </c>
      <c r="I303" s="64">
        <v>35487.25</v>
      </c>
      <c r="J303" s="62" t="s">
        <v>782</v>
      </c>
      <c r="K303" s="62" t="s">
        <v>1957</v>
      </c>
      <c r="L303" s="65" t="s">
        <v>353</v>
      </c>
      <c r="M303" s="62" t="s">
        <v>457</v>
      </c>
      <c r="N303" s="62" t="s">
        <v>778</v>
      </c>
      <c r="O303" s="62" t="s">
        <v>459</v>
      </c>
      <c r="P303" s="62" t="s">
        <v>2421</v>
      </c>
      <c r="Q303" s="66" t="s">
        <v>1971</v>
      </c>
    </row>
    <row r="304" spans="1:17" x14ac:dyDescent="0.3">
      <c r="A304" s="61" t="s">
        <v>2022</v>
      </c>
      <c r="B304" s="62" t="s">
        <v>783</v>
      </c>
      <c r="C304" s="62" t="s">
        <v>784</v>
      </c>
      <c r="D304" s="63">
        <v>44858</v>
      </c>
      <c r="E304" s="63">
        <v>46319</v>
      </c>
      <c r="F304" s="62" t="s">
        <v>1934</v>
      </c>
      <c r="G304" s="62" t="s">
        <v>497</v>
      </c>
      <c r="H304" s="62" t="s">
        <v>480</v>
      </c>
      <c r="I304" s="64">
        <v>156250</v>
      </c>
      <c r="J304" s="62" t="s">
        <v>481</v>
      </c>
      <c r="K304" s="62" t="s">
        <v>1957</v>
      </c>
      <c r="L304" s="65" t="s">
        <v>353</v>
      </c>
      <c r="M304" s="62" t="s">
        <v>313</v>
      </c>
      <c r="N304" s="62" t="s">
        <v>357</v>
      </c>
      <c r="O304" s="62" t="s">
        <v>358</v>
      </c>
      <c r="P304" s="62" t="s">
        <v>2421</v>
      </c>
      <c r="Q304" s="66" t="s">
        <v>1969</v>
      </c>
    </row>
    <row r="305" spans="1:17" x14ac:dyDescent="0.3">
      <c r="A305" s="61" t="s">
        <v>2022</v>
      </c>
      <c r="B305" s="62" t="s">
        <v>783</v>
      </c>
      <c r="C305" s="62" t="s">
        <v>784</v>
      </c>
      <c r="D305" s="63">
        <v>44858</v>
      </c>
      <c r="E305" s="63">
        <v>46319</v>
      </c>
      <c r="F305" s="62" t="s">
        <v>1934</v>
      </c>
      <c r="G305" s="62" t="s">
        <v>526</v>
      </c>
      <c r="H305" s="62" t="s">
        <v>480</v>
      </c>
      <c r="I305" s="64">
        <v>156250</v>
      </c>
      <c r="J305" s="62" t="s">
        <v>481</v>
      </c>
      <c r="K305" s="62" t="s">
        <v>1957</v>
      </c>
      <c r="L305" s="65" t="s">
        <v>353</v>
      </c>
      <c r="M305" s="62" t="s">
        <v>313</v>
      </c>
      <c r="N305" s="62" t="s">
        <v>357</v>
      </c>
      <c r="O305" s="62" t="s">
        <v>358</v>
      </c>
      <c r="P305" s="62" t="s">
        <v>2421</v>
      </c>
      <c r="Q305" s="66" t="s">
        <v>1969</v>
      </c>
    </row>
    <row r="306" spans="1:17" x14ac:dyDescent="0.3">
      <c r="A306" s="61" t="s">
        <v>2022</v>
      </c>
      <c r="B306" s="62" t="s">
        <v>783</v>
      </c>
      <c r="C306" s="62" t="s">
        <v>784</v>
      </c>
      <c r="D306" s="63">
        <v>44858</v>
      </c>
      <c r="E306" s="63">
        <v>46319</v>
      </c>
      <c r="F306" s="62" t="s">
        <v>1934</v>
      </c>
      <c r="G306" s="62" t="s">
        <v>498</v>
      </c>
      <c r="H306" s="62" t="s">
        <v>480</v>
      </c>
      <c r="I306" s="64">
        <v>156250</v>
      </c>
      <c r="J306" s="62" t="s">
        <v>481</v>
      </c>
      <c r="K306" s="62" t="s">
        <v>1957</v>
      </c>
      <c r="L306" s="65" t="s">
        <v>353</v>
      </c>
      <c r="M306" s="62" t="s">
        <v>313</v>
      </c>
      <c r="N306" s="62" t="s">
        <v>357</v>
      </c>
      <c r="O306" s="62" t="s">
        <v>358</v>
      </c>
      <c r="P306" s="62" t="s">
        <v>2421</v>
      </c>
      <c r="Q306" s="66" t="s">
        <v>1969</v>
      </c>
    </row>
    <row r="307" spans="1:17" x14ac:dyDescent="0.3">
      <c r="A307" s="61" t="s">
        <v>2022</v>
      </c>
      <c r="B307" s="62" t="s">
        <v>783</v>
      </c>
      <c r="C307" s="62" t="s">
        <v>784</v>
      </c>
      <c r="D307" s="63">
        <v>44858</v>
      </c>
      <c r="E307" s="63">
        <v>46319</v>
      </c>
      <c r="F307" s="62" t="s">
        <v>1934</v>
      </c>
      <c r="G307" s="62" t="s">
        <v>500</v>
      </c>
      <c r="H307" s="62" t="s">
        <v>480</v>
      </c>
      <c r="I307" s="64">
        <v>156250</v>
      </c>
      <c r="J307" s="62" t="s">
        <v>481</v>
      </c>
      <c r="K307" s="62" t="s">
        <v>1957</v>
      </c>
      <c r="L307" s="65" t="s">
        <v>353</v>
      </c>
      <c r="M307" s="62" t="s">
        <v>313</v>
      </c>
      <c r="N307" s="62" t="s">
        <v>357</v>
      </c>
      <c r="O307" s="62" t="s">
        <v>358</v>
      </c>
      <c r="P307" s="62" t="s">
        <v>2421</v>
      </c>
      <c r="Q307" s="66" t="s">
        <v>1969</v>
      </c>
    </row>
    <row r="308" spans="1:17" x14ac:dyDescent="0.3">
      <c r="A308" s="61" t="s">
        <v>2022</v>
      </c>
      <c r="B308" s="62" t="s">
        <v>783</v>
      </c>
      <c r="C308" s="62" t="s">
        <v>784</v>
      </c>
      <c r="D308" s="63">
        <v>44858</v>
      </c>
      <c r="E308" s="63">
        <v>46319</v>
      </c>
      <c r="F308" s="62" t="s">
        <v>282</v>
      </c>
      <c r="G308" s="62" t="s">
        <v>785</v>
      </c>
      <c r="H308" s="62" t="s">
        <v>480</v>
      </c>
      <c r="I308" s="64">
        <v>208333.33333333299</v>
      </c>
      <c r="J308" s="62" t="s">
        <v>481</v>
      </c>
      <c r="K308" s="62" t="s">
        <v>1957</v>
      </c>
      <c r="L308" s="65" t="s">
        <v>353</v>
      </c>
      <c r="M308" s="62" t="s">
        <v>313</v>
      </c>
      <c r="N308" s="62" t="s">
        <v>357</v>
      </c>
      <c r="O308" s="62" t="s">
        <v>358</v>
      </c>
      <c r="P308" s="62" t="s">
        <v>2421</v>
      </c>
      <c r="Q308" s="66" t="s">
        <v>1969</v>
      </c>
    </row>
    <row r="309" spans="1:17" x14ac:dyDescent="0.3">
      <c r="A309" s="61" t="s">
        <v>2022</v>
      </c>
      <c r="B309" s="62" t="s">
        <v>783</v>
      </c>
      <c r="C309" s="62" t="s">
        <v>784</v>
      </c>
      <c r="D309" s="63">
        <v>44858</v>
      </c>
      <c r="E309" s="63">
        <v>46319</v>
      </c>
      <c r="F309" s="62" t="s">
        <v>282</v>
      </c>
      <c r="G309" s="62" t="s">
        <v>786</v>
      </c>
      <c r="H309" s="62" t="s">
        <v>480</v>
      </c>
      <c r="I309" s="64">
        <v>208333.33333333299</v>
      </c>
      <c r="J309" s="62" t="s">
        <v>481</v>
      </c>
      <c r="K309" s="62" t="s">
        <v>1957</v>
      </c>
      <c r="L309" s="65" t="s">
        <v>353</v>
      </c>
      <c r="M309" s="62" t="s">
        <v>313</v>
      </c>
      <c r="N309" s="62" t="s">
        <v>357</v>
      </c>
      <c r="O309" s="62" t="s">
        <v>358</v>
      </c>
      <c r="P309" s="62" t="s">
        <v>2421</v>
      </c>
      <c r="Q309" s="66" t="s">
        <v>1969</v>
      </c>
    </row>
    <row r="310" spans="1:17" x14ac:dyDescent="0.3">
      <c r="A310" s="61" t="s">
        <v>2022</v>
      </c>
      <c r="B310" s="62" t="s">
        <v>783</v>
      </c>
      <c r="C310" s="62" t="s">
        <v>784</v>
      </c>
      <c r="D310" s="63">
        <v>44858</v>
      </c>
      <c r="E310" s="63">
        <v>46319</v>
      </c>
      <c r="F310" s="62" t="s">
        <v>282</v>
      </c>
      <c r="G310" s="62" t="s">
        <v>787</v>
      </c>
      <c r="H310" s="62" t="s">
        <v>480</v>
      </c>
      <c r="I310" s="64">
        <v>208333.33333333299</v>
      </c>
      <c r="J310" s="62" t="s">
        <v>481</v>
      </c>
      <c r="K310" s="62" t="s">
        <v>1957</v>
      </c>
      <c r="L310" s="65" t="s">
        <v>353</v>
      </c>
      <c r="M310" s="62" t="s">
        <v>313</v>
      </c>
      <c r="N310" s="62" t="s">
        <v>357</v>
      </c>
      <c r="O310" s="62" t="s">
        <v>358</v>
      </c>
      <c r="P310" s="62" t="s">
        <v>2421</v>
      </c>
      <c r="Q310" s="66" t="s">
        <v>1969</v>
      </c>
    </row>
    <row r="311" spans="1:17" x14ac:dyDescent="0.3">
      <c r="A311" s="61" t="s">
        <v>2022</v>
      </c>
      <c r="B311" s="62" t="s">
        <v>783</v>
      </c>
      <c r="C311" s="62" t="s">
        <v>784</v>
      </c>
      <c r="D311" s="63">
        <v>44858</v>
      </c>
      <c r="E311" s="63">
        <v>46319</v>
      </c>
      <c r="F311" s="62" t="s">
        <v>1938</v>
      </c>
      <c r="G311" s="62" t="s">
        <v>503</v>
      </c>
      <c r="H311" s="62" t="s">
        <v>480</v>
      </c>
      <c r="I311" s="64">
        <v>208333.33333333299</v>
      </c>
      <c r="J311" s="62" t="s">
        <v>481</v>
      </c>
      <c r="K311" s="62" t="s">
        <v>1957</v>
      </c>
      <c r="L311" s="65" t="s">
        <v>353</v>
      </c>
      <c r="M311" s="62" t="s">
        <v>313</v>
      </c>
      <c r="N311" s="62" t="s">
        <v>357</v>
      </c>
      <c r="O311" s="62" t="s">
        <v>358</v>
      </c>
      <c r="P311" s="62" t="s">
        <v>2421</v>
      </c>
      <c r="Q311" s="66" t="s">
        <v>1969</v>
      </c>
    </row>
    <row r="312" spans="1:17" x14ac:dyDescent="0.3">
      <c r="A312" s="61" t="s">
        <v>2022</v>
      </c>
      <c r="B312" s="62" t="s">
        <v>783</v>
      </c>
      <c r="C312" s="62" t="s">
        <v>784</v>
      </c>
      <c r="D312" s="63">
        <v>44858</v>
      </c>
      <c r="E312" s="63">
        <v>46319</v>
      </c>
      <c r="F312" s="62" t="s">
        <v>1938</v>
      </c>
      <c r="G312" s="62" t="s">
        <v>504</v>
      </c>
      <c r="H312" s="62" t="s">
        <v>480</v>
      </c>
      <c r="I312" s="64">
        <v>208333.33333333299</v>
      </c>
      <c r="J312" s="62" t="s">
        <v>481</v>
      </c>
      <c r="K312" s="62" t="s">
        <v>1957</v>
      </c>
      <c r="L312" s="65" t="s">
        <v>353</v>
      </c>
      <c r="M312" s="62" t="s">
        <v>313</v>
      </c>
      <c r="N312" s="62" t="s">
        <v>357</v>
      </c>
      <c r="O312" s="62" t="s">
        <v>358</v>
      </c>
      <c r="P312" s="62" t="s">
        <v>2421</v>
      </c>
      <c r="Q312" s="66" t="s">
        <v>1969</v>
      </c>
    </row>
    <row r="313" spans="1:17" x14ac:dyDescent="0.3">
      <c r="A313" s="61" t="s">
        <v>2022</v>
      </c>
      <c r="B313" s="62" t="s">
        <v>783</v>
      </c>
      <c r="C313" s="62" t="s">
        <v>784</v>
      </c>
      <c r="D313" s="63">
        <v>44858</v>
      </c>
      <c r="E313" s="63">
        <v>46319</v>
      </c>
      <c r="F313" s="62" t="s">
        <v>1938</v>
      </c>
      <c r="G313" s="62" t="s">
        <v>506</v>
      </c>
      <c r="H313" s="62" t="s">
        <v>480</v>
      </c>
      <c r="I313" s="64">
        <v>208333.33333333299</v>
      </c>
      <c r="J313" s="62" t="s">
        <v>481</v>
      </c>
      <c r="K313" s="62" t="s">
        <v>1957</v>
      </c>
      <c r="L313" s="65" t="s">
        <v>353</v>
      </c>
      <c r="M313" s="62" t="s">
        <v>313</v>
      </c>
      <c r="N313" s="62" t="s">
        <v>357</v>
      </c>
      <c r="O313" s="62" t="s">
        <v>358</v>
      </c>
      <c r="P313" s="62" t="s">
        <v>2421</v>
      </c>
      <c r="Q313" s="66" t="s">
        <v>1969</v>
      </c>
    </row>
    <row r="314" spans="1:17" x14ac:dyDescent="0.3">
      <c r="A314" s="61" t="s">
        <v>2023</v>
      </c>
      <c r="B314" s="62" t="s">
        <v>788</v>
      </c>
      <c r="C314" s="62" t="s">
        <v>789</v>
      </c>
      <c r="D314" s="63">
        <v>44755</v>
      </c>
      <c r="E314" s="63">
        <v>46581</v>
      </c>
      <c r="F314" s="62" t="s">
        <v>1941</v>
      </c>
      <c r="G314" s="62" t="s">
        <v>325</v>
      </c>
      <c r="H314" s="62" t="s">
        <v>345</v>
      </c>
      <c r="I314" s="64">
        <v>4500</v>
      </c>
      <c r="J314" s="62" t="s">
        <v>963</v>
      </c>
      <c r="K314" s="62" t="s">
        <v>345</v>
      </c>
      <c r="L314" s="65" t="s">
        <v>306</v>
      </c>
      <c r="M314" s="62" t="s">
        <v>457</v>
      </c>
      <c r="N314" s="62" t="s">
        <v>790</v>
      </c>
      <c r="O314" s="62" t="s">
        <v>465</v>
      </c>
      <c r="P314" s="62" t="s">
        <v>2421</v>
      </c>
      <c r="Q314" s="66" t="s">
        <v>1964</v>
      </c>
    </row>
    <row r="315" spans="1:17" x14ac:dyDescent="0.3">
      <c r="A315" s="61" t="s">
        <v>2024</v>
      </c>
      <c r="B315" s="62" t="s">
        <v>791</v>
      </c>
      <c r="C315" s="62" t="s">
        <v>792</v>
      </c>
      <c r="D315" s="63">
        <v>44652</v>
      </c>
      <c r="E315" s="63">
        <v>46113</v>
      </c>
      <c r="F315" s="62" t="s">
        <v>348</v>
      </c>
      <c r="G315" s="62" t="s">
        <v>348</v>
      </c>
      <c r="H315" s="62" t="s">
        <v>373</v>
      </c>
      <c r="I315" s="64">
        <v>1781674</v>
      </c>
      <c r="J315" s="62" t="s">
        <v>373</v>
      </c>
      <c r="K315" s="62" t="s">
        <v>1693</v>
      </c>
      <c r="L315" s="65" t="s">
        <v>306</v>
      </c>
      <c r="M315" s="62" t="s">
        <v>424</v>
      </c>
      <c r="N315" s="62" t="s">
        <v>793</v>
      </c>
      <c r="O315" s="62" t="s">
        <v>358</v>
      </c>
      <c r="P315" s="62" t="s">
        <v>2421</v>
      </c>
      <c r="Q315" s="66" t="s">
        <v>1983</v>
      </c>
    </row>
    <row r="316" spans="1:17" x14ac:dyDescent="0.3">
      <c r="A316" s="61" t="s">
        <v>2025</v>
      </c>
      <c r="B316" s="62" t="s">
        <v>800</v>
      </c>
      <c r="C316" s="62" t="s">
        <v>801</v>
      </c>
      <c r="D316" s="63">
        <v>44880</v>
      </c>
      <c r="E316" s="63">
        <v>46568</v>
      </c>
      <c r="F316" s="62" t="s">
        <v>1922</v>
      </c>
      <c r="G316" s="62" t="s">
        <v>349</v>
      </c>
      <c r="H316" s="62" t="s">
        <v>467</v>
      </c>
      <c r="I316" s="64">
        <v>357644</v>
      </c>
      <c r="J316" s="62" t="s">
        <v>468</v>
      </c>
      <c r="K316" s="62" t="s">
        <v>467</v>
      </c>
      <c r="L316" s="65" t="s">
        <v>306</v>
      </c>
      <c r="M316" s="62" t="s">
        <v>346</v>
      </c>
      <c r="N316" s="62" t="s">
        <v>640</v>
      </c>
      <c r="O316" s="62" t="s">
        <v>417</v>
      </c>
      <c r="P316" s="62" t="s">
        <v>2421</v>
      </c>
      <c r="Q316" s="66" t="s">
        <v>1985</v>
      </c>
    </row>
    <row r="317" spans="1:17" x14ac:dyDescent="0.3">
      <c r="A317" s="61" t="s">
        <v>2025</v>
      </c>
      <c r="B317" s="62" t="s">
        <v>800</v>
      </c>
      <c r="C317" s="62" t="s">
        <v>801</v>
      </c>
      <c r="D317" s="63">
        <v>44880</v>
      </c>
      <c r="E317" s="63">
        <v>46568</v>
      </c>
      <c r="F317" s="62" t="s">
        <v>1922</v>
      </c>
      <c r="G317" s="62" t="s">
        <v>553</v>
      </c>
      <c r="H317" s="62" t="s">
        <v>467</v>
      </c>
      <c r="I317" s="64">
        <v>357644</v>
      </c>
      <c r="J317" s="62" t="s">
        <v>468</v>
      </c>
      <c r="K317" s="62" t="s">
        <v>467</v>
      </c>
      <c r="L317" s="65" t="s">
        <v>306</v>
      </c>
      <c r="M317" s="62" t="s">
        <v>346</v>
      </c>
      <c r="N317" s="62" t="s">
        <v>640</v>
      </c>
      <c r="O317" s="62" t="s">
        <v>417</v>
      </c>
      <c r="P317" s="62" t="s">
        <v>2421</v>
      </c>
      <c r="Q317" s="66" t="s">
        <v>1985</v>
      </c>
    </row>
    <row r="318" spans="1:17" x14ac:dyDescent="0.3">
      <c r="A318" s="61" t="s">
        <v>2025</v>
      </c>
      <c r="B318" s="62" t="s">
        <v>800</v>
      </c>
      <c r="C318" s="62" t="s">
        <v>801</v>
      </c>
      <c r="D318" s="63">
        <v>44880</v>
      </c>
      <c r="E318" s="63">
        <v>46568</v>
      </c>
      <c r="F318" s="62" t="s">
        <v>1922</v>
      </c>
      <c r="G318" s="62" t="s">
        <v>349</v>
      </c>
      <c r="H318" s="62" t="s">
        <v>2427</v>
      </c>
      <c r="I318" s="64">
        <v>44876</v>
      </c>
      <c r="J318" s="62" t="s">
        <v>802</v>
      </c>
      <c r="K318" s="62" t="s">
        <v>467</v>
      </c>
      <c r="L318" s="65" t="s">
        <v>306</v>
      </c>
      <c r="M318" s="62" t="s">
        <v>346</v>
      </c>
      <c r="N318" s="62" t="s">
        <v>640</v>
      </c>
      <c r="O318" s="62" t="s">
        <v>417</v>
      </c>
      <c r="P318" s="62" t="s">
        <v>2421</v>
      </c>
      <c r="Q318" s="66" t="s">
        <v>1985</v>
      </c>
    </row>
    <row r="319" spans="1:17" x14ac:dyDescent="0.3">
      <c r="A319" s="61" t="s">
        <v>2025</v>
      </c>
      <c r="B319" s="62" t="s">
        <v>800</v>
      </c>
      <c r="C319" s="62" t="s">
        <v>801</v>
      </c>
      <c r="D319" s="63">
        <v>44880</v>
      </c>
      <c r="E319" s="63">
        <v>46568</v>
      </c>
      <c r="F319" s="62" t="s">
        <v>1922</v>
      </c>
      <c r="G319" s="62" t="s">
        <v>553</v>
      </c>
      <c r="H319" s="62" t="s">
        <v>2427</v>
      </c>
      <c r="I319" s="64">
        <v>44876</v>
      </c>
      <c r="J319" s="62" t="s">
        <v>802</v>
      </c>
      <c r="K319" s="62" t="s">
        <v>467</v>
      </c>
      <c r="L319" s="65" t="s">
        <v>306</v>
      </c>
      <c r="M319" s="62" t="s">
        <v>346</v>
      </c>
      <c r="N319" s="62" t="s">
        <v>640</v>
      </c>
      <c r="O319" s="62" t="s">
        <v>417</v>
      </c>
      <c r="P319" s="62" t="s">
        <v>2421</v>
      </c>
      <c r="Q319" s="66" t="s">
        <v>1985</v>
      </c>
    </row>
    <row r="320" spans="1:17" x14ac:dyDescent="0.3">
      <c r="A320" s="61" t="s">
        <v>2026</v>
      </c>
      <c r="B320" s="62" t="s">
        <v>814</v>
      </c>
      <c r="C320" s="62" t="s">
        <v>815</v>
      </c>
      <c r="D320" s="63">
        <v>44714</v>
      </c>
      <c r="E320" s="63">
        <v>46540</v>
      </c>
      <c r="F320" s="62" t="s">
        <v>350</v>
      </c>
      <c r="G320" s="62" t="s">
        <v>350</v>
      </c>
      <c r="H320" s="62" t="s">
        <v>2427</v>
      </c>
      <c r="I320" s="64">
        <v>2420017</v>
      </c>
      <c r="J320" s="62" t="s">
        <v>2437</v>
      </c>
      <c r="K320" s="62" t="s">
        <v>2433</v>
      </c>
      <c r="L320" s="65" t="s">
        <v>306</v>
      </c>
      <c r="M320" s="62" t="s">
        <v>457</v>
      </c>
      <c r="N320" s="62" t="s">
        <v>684</v>
      </c>
      <c r="O320" s="62" t="s">
        <v>459</v>
      </c>
      <c r="P320" s="62" t="s">
        <v>2421</v>
      </c>
      <c r="Q320" s="66" t="s">
        <v>1971</v>
      </c>
    </row>
    <row r="321" spans="1:17" x14ac:dyDescent="0.3">
      <c r="A321" s="61" t="s">
        <v>2026</v>
      </c>
      <c r="B321" s="62" t="s">
        <v>814</v>
      </c>
      <c r="C321" s="62" t="s">
        <v>815</v>
      </c>
      <c r="D321" s="63">
        <v>44714</v>
      </c>
      <c r="E321" s="63">
        <v>46540</v>
      </c>
      <c r="F321" s="62" t="s">
        <v>350</v>
      </c>
      <c r="G321" s="62" t="s">
        <v>350</v>
      </c>
      <c r="H321" s="62" t="s">
        <v>2426</v>
      </c>
      <c r="I321" s="64">
        <v>2072853</v>
      </c>
      <c r="J321" s="62" t="s">
        <v>2438</v>
      </c>
      <c r="K321" s="62" t="s">
        <v>2433</v>
      </c>
      <c r="L321" s="65" t="s">
        <v>306</v>
      </c>
      <c r="M321" s="62" t="s">
        <v>457</v>
      </c>
      <c r="N321" s="62" t="s">
        <v>684</v>
      </c>
      <c r="O321" s="62" t="s">
        <v>459</v>
      </c>
      <c r="P321" s="62" t="s">
        <v>2421</v>
      </c>
      <c r="Q321" s="66" t="s">
        <v>1971</v>
      </c>
    </row>
    <row r="322" spans="1:17" x14ac:dyDescent="0.3">
      <c r="A322" s="61" t="s">
        <v>2026</v>
      </c>
      <c r="B322" s="62" t="s">
        <v>814</v>
      </c>
      <c r="C322" s="62" t="s">
        <v>815</v>
      </c>
      <c r="D322" s="63">
        <v>44714</v>
      </c>
      <c r="E322" s="63">
        <v>46540</v>
      </c>
      <c r="F322" s="62" t="s">
        <v>350</v>
      </c>
      <c r="G322" s="62" t="s">
        <v>350</v>
      </c>
      <c r="H322" s="62" t="s">
        <v>2427</v>
      </c>
      <c r="I322" s="64">
        <v>1701920</v>
      </c>
      <c r="J322" s="62" t="s">
        <v>2439</v>
      </c>
      <c r="K322" s="62" t="s">
        <v>2433</v>
      </c>
      <c r="L322" s="65" t="s">
        <v>306</v>
      </c>
      <c r="M322" s="62" t="s">
        <v>457</v>
      </c>
      <c r="N322" s="62" t="s">
        <v>684</v>
      </c>
      <c r="O322" s="62" t="s">
        <v>459</v>
      </c>
      <c r="P322" s="62" t="s">
        <v>2421</v>
      </c>
      <c r="Q322" s="66" t="s">
        <v>1971</v>
      </c>
    </row>
    <row r="323" spans="1:17" x14ac:dyDescent="0.3">
      <c r="A323" s="61" t="s">
        <v>2026</v>
      </c>
      <c r="B323" s="62" t="s">
        <v>814</v>
      </c>
      <c r="C323" s="62" t="s">
        <v>815</v>
      </c>
      <c r="D323" s="63">
        <v>44714</v>
      </c>
      <c r="E323" s="63">
        <v>46540</v>
      </c>
      <c r="F323" s="62" t="s">
        <v>350</v>
      </c>
      <c r="G323" s="62" t="s">
        <v>350</v>
      </c>
      <c r="H323" s="62" t="s">
        <v>2427</v>
      </c>
      <c r="I323" s="64">
        <v>1133405</v>
      </c>
      <c r="J323" s="62" t="s">
        <v>2440</v>
      </c>
      <c r="K323" s="62" t="s">
        <v>2433</v>
      </c>
      <c r="L323" s="65" t="s">
        <v>306</v>
      </c>
      <c r="M323" s="62" t="s">
        <v>457</v>
      </c>
      <c r="N323" s="62" t="s">
        <v>684</v>
      </c>
      <c r="O323" s="62" t="s">
        <v>459</v>
      </c>
      <c r="P323" s="62" t="s">
        <v>2421</v>
      </c>
      <c r="Q323" s="66" t="s">
        <v>1971</v>
      </c>
    </row>
    <row r="324" spans="1:17" x14ac:dyDescent="0.3">
      <c r="A324" s="61" t="s">
        <v>2026</v>
      </c>
      <c r="B324" s="62" t="s">
        <v>814</v>
      </c>
      <c r="C324" s="62" t="s">
        <v>815</v>
      </c>
      <c r="D324" s="63">
        <v>44714</v>
      </c>
      <c r="E324" s="63">
        <v>46540</v>
      </c>
      <c r="F324" s="62" t="s">
        <v>350</v>
      </c>
      <c r="G324" s="62" t="s">
        <v>350</v>
      </c>
      <c r="H324" s="62" t="s">
        <v>362</v>
      </c>
      <c r="I324" s="64">
        <v>1903783</v>
      </c>
      <c r="J324" s="62" t="s">
        <v>740</v>
      </c>
      <c r="K324" s="62" t="s">
        <v>2433</v>
      </c>
      <c r="L324" s="65" t="s">
        <v>306</v>
      </c>
      <c r="M324" s="62" t="s">
        <v>457</v>
      </c>
      <c r="N324" s="62" t="s">
        <v>684</v>
      </c>
      <c r="O324" s="62" t="s">
        <v>459</v>
      </c>
      <c r="P324" s="62" t="s">
        <v>2421</v>
      </c>
      <c r="Q324" s="66" t="s">
        <v>1971</v>
      </c>
    </row>
    <row r="325" spans="1:17" x14ac:dyDescent="0.3">
      <c r="A325" s="61" t="s">
        <v>2026</v>
      </c>
      <c r="B325" s="62" t="s">
        <v>814</v>
      </c>
      <c r="C325" s="62" t="s">
        <v>815</v>
      </c>
      <c r="D325" s="63">
        <v>44714</v>
      </c>
      <c r="E325" s="63">
        <v>46540</v>
      </c>
      <c r="F325" s="62" t="s">
        <v>350</v>
      </c>
      <c r="G325" s="62" t="s">
        <v>350</v>
      </c>
      <c r="H325" s="62" t="s">
        <v>2427</v>
      </c>
      <c r="I325" s="64">
        <v>1063333</v>
      </c>
      <c r="J325" s="62" t="s">
        <v>2441</v>
      </c>
      <c r="K325" s="62" t="s">
        <v>2433</v>
      </c>
      <c r="L325" s="65" t="s">
        <v>306</v>
      </c>
      <c r="M325" s="62" t="s">
        <v>457</v>
      </c>
      <c r="N325" s="62" t="s">
        <v>684</v>
      </c>
      <c r="O325" s="62" t="s">
        <v>459</v>
      </c>
      <c r="P325" s="62" t="s">
        <v>2421</v>
      </c>
      <c r="Q325" s="66" t="s">
        <v>1971</v>
      </c>
    </row>
    <row r="326" spans="1:17" x14ac:dyDescent="0.3">
      <c r="A326" s="61" t="s">
        <v>2026</v>
      </c>
      <c r="B326" s="62" t="s">
        <v>814</v>
      </c>
      <c r="C326" s="62" t="s">
        <v>815</v>
      </c>
      <c r="D326" s="63">
        <v>44714</v>
      </c>
      <c r="E326" s="63">
        <v>46540</v>
      </c>
      <c r="F326" s="62" t="s">
        <v>350</v>
      </c>
      <c r="G326" s="62" t="s">
        <v>350</v>
      </c>
      <c r="H326" s="62" t="s">
        <v>2427</v>
      </c>
      <c r="I326" s="64">
        <v>200000</v>
      </c>
      <c r="J326" s="62" t="s">
        <v>2442</v>
      </c>
      <c r="K326" s="62" t="s">
        <v>2433</v>
      </c>
      <c r="L326" s="65" t="s">
        <v>306</v>
      </c>
      <c r="M326" s="62" t="s">
        <v>457</v>
      </c>
      <c r="N326" s="62" t="s">
        <v>684</v>
      </c>
      <c r="O326" s="62" t="s">
        <v>459</v>
      </c>
      <c r="P326" s="62" t="s">
        <v>2421</v>
      </c>
      <c r="Q326" s="66" t="s">
        <v>1971</v>
      </c>
    </row>
    <row r="327" spans="1:17" x14ac:dyDescent="0.3">
      <c r="A327" s="61" t="s">
        <v>2026</v>
      </c>
      <c r="B327" s="62" t="s">
        <v>814</v>
      </c>
      <c r="C327" s="62" t="s">
        <v>815</v>
      </c>
      <c r="D327" s="63">
        <v>44714</v>
      </c>
      <c r="E327" s="63">
        <v>46540</v>
      </c>
      <c r="F327" s="62" t="s">
        <v>350</v>
      </c>
      <c r="G327" s="62" t="s">
        <v>350</v>
      </c>
      <c r="H327" s="62" t="s">
        <v>2426</v>
      </c>
      <c r="I327" s="64">
        <v>13611468</v>
      </c>
      <c r="J327" s="62" t="s">
        <v>601</v>
      </c>
      <c r="K327" s="62" t="s">
        <v>2433</v>
      </c>
      <c r="L327" s="65" t="s">
        <v>306</v>
      </c>
      <c r="M327" s="62" t="s">
        <v>457</v>
      </c>
      <c r="N327" s="62" t="s">
        <v>684</v>
      </c>
      <c r="O327" s="62" t="s">
        <v>459</v>
      </c>
      <c r="P327" s="62" t="s">
        <v>2421</v>
      </c>
      <c r="Q327" s="66" t="s">
        <v>1971</v>
      </c>
    </row>
    <row r="328" spans="1:17" x14ac:dyDescent="0.3">
      <c r="A328" s="61" t="s">
        <v>2026</v>
      </c>
      <c r="B328" s="62" t="s">
        <v>814</v>
      </c>
      <c r="C328" s="62" t="s">
        <v>815</v>
      </c>
      <c r="D328" s="63">
        <v>44714</v>
      </c>
      <c r="E328" s="63">
        <v>46540</v>
      </c>
      <c r="F328" s="62" t="s">
        <v>350</v>
      </c>
      <c r="G328" s="62" t="s">
        <v>350</v>
      </c>
      <c r="H328" s="62" t="s">
        <v>443</v>
      </c>
      <c r="I328" s="64">
        <v>500000</v>
      </c>
      <c r="J328" s="62" t="s">
        <v>685</v>
      </c>
      <c r="K328" s="62" t="s">
        <v>2433</v>
      </c>
      <c r="L328" s="65" t="s">
        <v>306</v>
      </c>
      <c r="M328" s="62" t="s">
        <v>457</v>
      </c>
      <c r="N328" s="62" t="s">
        <v>684</v>
      </c>
      <c r="O328" s="62" t="s">
        <v>459</v>
      </c>
      <c r="P328" s="62" t="s">
        <v>2421</v>
      </c>
      <c r="Q328" s="66" t="s">
        <v>1971</v>
      </c>
    </row>
    <row r="329" spans="1:17" x14ac:dyDescent="0.3">
      <c r="A329" s="61" t="s">
        <v>2027</v>
      </c>
      <c r="B329" s="62" t="s">
        <v>819</v>
      </c>
      <c r="C329" s="62" t="s">
        <v>820</v>
      </c>
      <c r="D329" s="63">
        <v>44909</v>
      </c>
      <c r="E329" s="63">
        <v>46387</v>
      </c>
      <c r="F329" s="62" t="s">
        <v>1916</v>
      </c>
      <c r="G329" s="62" t="s">
        <v>304</v>
      </c>
      <c r="H329" s="62" t="s">
        <v>489</v>
      </c>
      <c r="I329" s="64">
        <v>2366109.1111111101</v>
      </c>
      <c r="J329" s="62" t="s">
        <v>821</v>
      </c>
      <c r="K329" s="62" t="s">
        <v>489</v>
      </c>
      <c r="L329" s="65" t="s">
        <v>306</v>
      </c>
      <c r="M329" s="62" t="s">
        <v>457</v>
      </c>
      <c r="N329" s="62" t="s">
        <v>458</v>
      </c>
      <c r="O329" s="62" t="s">
        <v>459</v>
      </c>
      <c r="P329" s="62" t="s">
        <v>2421</v>
      </c>
      <c r="Q329" s="66" t="s">
        <v>1971</v>
      </c>
    </row>
    <row r="330" spans="1:17" x14ac:dyDescent="0.3">
      <c r="A330" s="61" t="s">
        <v>2027</v>
      </c>
      <c r="B330" s="62" t="s">
        <v>819</v>
      </c>
      <c r="C330" s="62" t="s">
        <v>820</v>
      </c>
      <c r="D330" s="63">
        <v>44909</v>
      </c>
      <c r="E330" s="63">
        <v>46387</v>
      </c>
      <c r="F330" s="62" t="s">
        <v>1934</v>
      </c>
      <c r="G330" s="62" t="s">
        <v>304</v>
      </c>
      <c r="H330" s="62" t="s">
        <v>489</v>
      </c>
      <c r="I330" s="64">
        <v>2366109.1111111101</v>
      </c>
      <c r="J330" s="62" t="s">
        <v>821</v>
      </c>
      <c r="K330" s="62" t="s">
        <v>489</v>
      </c>
      <c r="L330" s="65" t="s">
        <v>306</v>
      </c>
      <c r="M330" s="62" t="s">
        <v>457</v>
      </c>
      <c r="N330" s="62" t="s">
        <v>458</v>
      </c>
      <c r="O330" s="62" t="s">
        <v>459</v>
      </c>
      <c r="P330" s="62" t="s">
        <v>2421</v>
      </c>
      <c r="Q330" s="66" t="s">
        <v>1971</v>
      </c>
    </row>
    <row r="331" spans="1:17" x14ac:dyDescent="0.3">
      <c r="A331" s="61" t="s">
        <v>2027</v>
      </c>
      <c r="B331" s="62" t="s">
        <v>819</v>
      </c>
      <c r="C331" s="62" t="s">
        <v>820</v>
      </c>
      <c r="D331" s="63">
        <v>44909</v>
      </c>
      <c r="E331" s="63">
        <v>46387</v>
      </c>
      <c r="F331" s="62" t="s">
        <v>1958</v>
      </c>
      <c r="G331" s="62" t="s">
        <v>304</v>
      </c>
      <c r="H331" s="62" t="s">
        <v>489</v>
      </c>
      <c r="I331" s="64">
        <v>2366109.1111111101</v>
      </c>
      <c r="J331" s="62" t="s">
        <v>821</v>
      </c>
      <c r="K331" s="62" t="s">
        <v>489</v>
      </c>
      <c r="L331" s="65" t="s">
        <v>306</v>
      </c>
      <c r="M331" s="62" t="s">
        <v>457</v>
      </c>
      <c r="N331" s="62" t="s">
        <v>458</v>
      </c>
      <c r="O331" s="62" t="s">
        <v>459</v>
      </c>
      <c r="P331" s="62" t="s">
        <v>2421</v>
      </c>
      <c r="Q331" s="66" t="s">
        <v>1971</v>
      </c>
    </row>
    <row r="332" spans="1:17" x14ac:dyDescent="0.3">
      <c r="A332" s="61" t="s">
        <v>2027</v>
      </c>
      <c r="B332" s="62" t="s">
        <v>819</v>
      </c>
      <c r="C332" s="62" t="s">
        <v>820</v>
      </c>
      <c r="D332" s="63">
        <v>44909</v>
      </c>
      <c r="E332" s="63">
        <v>46387</v>
      </c>
      <c r="F332" s="62" t="s">
        <v>1961</v>
      </c>
      <c r="G332" s="62" t="s">
        <v>304</v>
      </c>
      <c r="H332" s="62" t="s">
        <v>489</v>
      </c>
      <c r="I332" s="64">
        <v>2366109.1111111101</v>
      </c>
      <c r="J332" s="62" t="s">
        <v>821</v>
      </c>
      <c r="K332" s="62" t="s">
        <v>489</v>
      </c>
      <c r="L332" s="65" t="s">
        <v>306</v>
      </c>
      <c r="M332" s="62" t="s">
        <v>457</v>
      </c>
      <c r="N332" s="62" t="s">
        <v>458</v>
      </c>
      <c r="O332" s="62" t="s">
        <v>459</v>
      </c>
      <c r="P332" s="62" t="s">
        <v>2421</v>
      </c>
      <c r="Q332" s="66" t="s">
        <v>1971</v>
      </c>
    </row>
    <row r="333" spans="1:17" x14ac:dyDescent="0.3">
      <c r="A333" s="61" t="s">
        <v>2027</v>
      </c>
      <c r="B333" s="62" t="s">
        <v>819</v>
      </c>
      <c r="C333" s="62" t="s">
        <v>820</v>
      </c>
      <c r="D333" s="63">
        <v>44909</v>
      </c>
      <c r="E333" s="63">
        <v>46387</v>
      </c>
      <c r="F333" s="62" t="s">
        <v>1938</v>
      </c>
      <c r="G333" s="62" t="s">
        <v>304</v>
      </c>
      <c r="H333" s="62" t="s">
        <v>489</v>
      </c>
      <c r="I333" s="64">
        <v>2366109.1111111101</v>
      </c>
      <c r="J333" s="62" t="s">
        <v>821</v>
      </c>
      <c r="K333" s="62" t="s">
        <v>489</v>
      </c>
      <c r="L333" s="65" t="s">
        <v>306</v>
      </c>
      <c r="M333" s="62" t="s">
        <v>457</v>
      </c>
      <c r="N333" s="62" t="s">
        <v>458</v>
      </c>
      <c r="O333" s="62" t="s">
        <v>459</v>
      </c>
      <c r="P333" s="62" t="s">
        <v>2421</v>
      </c>
      <c r="Q333" s="66" t="s">
        <v>1971</v>
      </c>
    </row>
    <row r="334" spans="1:17" x14ac:dyDescent="0.3">
      <c r="A334" s="61" t="s">
        <v>2027</v>
      </c>
      <c r="B334" s="62" t="s">
        <v>819</v>
      </c>
      <c r="C334" s="62" t="s">
        <v>820</v>
      </c>
      <c r="D334" s="63">
        <v>44909</v>
      </c>
      <c r="E334" s="63">
        <v>46387</v>
      </c>
      <c r="F334" s="62" t="s">
        <v>1941</v>
      </c>
      <c r="G334" s="62" t="s">
        <v>304</v>
      </c>
      <c r="H334" s="62" t="s">
        <v>489</v>
      </c>
      <c r="I334" s="64">
        <v>2366109.1111111101</v>
      </c>
      <c r="J334" s="62" t="s">
        <v>821</v>
      </c>
      <c r="K334" s="62" t="s">
        <v>489</v>
      </c>
      <c r="L334" s="65" t="s">
        <v>306</v>
      </c>
      <c r="M334" s="62" t="s">
        <v>457</v>
      </c>
      <c r="N334" s="62" t="s">
        <v>458</v>
      </c>
      <c r="O334" s="62" t="s">
        <v>459</v>
      </c>
      <c r="P334" s="62" t="s">
        <v>2421</v>
      </c>
      <c r="Q334" s="66" t="s">
        <v>1971</v>
      </c>
    </row>
    <row r="335" spans="1:17" x14ac:dyDescent="0.3">
      <c r="A335" s="61" t="s">
        <v>2027</v>
      </c>
      <c r="B335" s="62" t="s">
        <v>819</v>
      </c>
      <c r="C335" s="62" t="s">
        <v>820</v>
      </c>
      <c r="D335" s="63">
        <v>44909</v>
      </c>
      <c r="E335" s="63">
        <v>46387</v>
      </c>
      <c r="F335" s="62" t="s">
        <v>1963</v>
      </c>
      <c r="G335" s="62" t="s">
        <v>304</v>
      </c>
      <c r="H335" s="62" t="s">
        <v>489</v>
      </c>
      <c r="I335" s="64">
        <v>2366109.1111111101</v>
      </c>
      <c r="J335" s="62" t="s">
        <v>821</v>
      </c>
      <c r="K335" s="62" t="s">
        <v>489</v>
      </c>
      <c r="L335" s="65" t="s">
        <v>306</v>
      </c>
      <c r="M335" s="62" t="s">
        <v>457</v>
      </c>
      <c r="N335" s="62" t="s">
        <v>458</v>
      </c>
      <c r="O335" s="62" t="s">
        <v>459</v>
      </c>
      <c r="P335" s="62" t="s">
        <v>2421</v>
      </c>
      <c r="Q335" s="66" t="s">
        <v>1971</v>
      </c>
    </row>
    <row r="336" spans="1:17" x14ac:dyDescent="0.3">
      <c r="A336" s="61" t="s">
        <v>2027</v>
      </c>
      <c r="B336" s="62" t="s">
        <v>819</v>
      </c>
      <c r="C336" s="62" t="s">
        <v>820</v>
      </c>
      <c r="D336" s="63">
        <v>44909</v>
      </c>
      <c r="E336" s="63">
        <v>46387</v>
      </c>
      <c r="F336" s="62" t="s">
        <v>1948</v>
      </c>
      <c r="G336" s="62" t="s">
        <v>304</v>
      </c>
      <c r="H336" s="62" t="s">
        <v>489</v>
      </c>
      <c r="I336" s="64">
        <v>2366109.1111111101</v>
      </c>
      <c r="J336" s="62" t="s">
        <v>821</v>
      </c>
      <c r="K336" s="62" t="s">
        <v>489</v>
      </c>
      <c r="L336" s="65" t="s">
        <v>306</v>
      </c>
      <c r="M336" s="62" t="s">
        <v>457</v>
      </c>
      <c r="N336" s="62" t="s">
        <v>458</v>
      </c>
      <c r="O336" s="62" t="s">
        <v>459</v>
      </c>
      <c r="P336" s="62" t="s">
        <v>2421</v>
      </c>
      <c r="Q336" s="66" t="s">
        <v>1971</v>
      </c>
    </row>
    <row r="337" spans="1:17" x14ac:dyDescent="0.3">
      <c r="A337" s="61" t="s">
        <v>2027</v>
      </c>
      <c r="B337" s="62" t="s">
        <v>819</v>
      </c>
      <c r="C337" s="62" t="s">
        <v>820</v>
      </c>
      <c r="D337" s="63">
        <v>44909</v>
      </c>
      <c r="E337" s="63">
        <v>46387</v>
      </c>
      <c r="F337" s="62" t="s">
        <v>1959</v>
      </c>
      <c r="G337" s="62" t="s">
        <v>304</v>
      </c>
      <c r="H337" s="62" t="s">
        <v>489</v>
      </c>
      <c r="I337" s="64">
        <v>2366109.1111111101</v>
      </c>
      <c r="J337" s="62" t="s">
        <v>821</v>
      </c>
      <c r="K337" s="62" t="s">
        <v>489</v>
      </c>
      <c r="L337" s="65" t="s">
        <v>306</v>
      </c>
      <c r="M337" s="62" t="s">
        <v>457</v>
      </c>
      <c r="N337" s="62" t="s">
        <v>458</v>
      </c>
      <c r="O337" s="62" t="s">
        <v>459</v>
      </c>
      <c r="P337" s="62" t="s">
        <v>2421</v>
      </c>
      <c r="Q337" s="66" t="s">
        <v>1971</v>
      </c>
    </row>
    <row r="338" spans="1:17" x14ac:dyDescent="0.3">
      <c r="A338" s="61" t="s">
        <v>2027</v>
      </c>
      <c r="B338" s="62" t="s">
        <v>819</v>
      </c>
      <c r="C338" s="62" t="s">
        <v>820</v>
      </c>
      <c r="D338" s="63">
        <v>44909</v>
      </c>
      <c r="E338" s="63">
        <v>46387</v>
      </c>
      <c r="F338" s="62" t="s">
        <v>1916</v>
      </c>
      <c r="G338" s="62" t="s">
        <v>304</v>
      </c>
      <c r="H338" s="62" t="s">
        <v>533</v>
      </c>
      <c r="I338" s="64">
        <v>1713633.33333333</v>
      </c>
      <c r="J338" s="62" t="s">
        <v>822</v>
      </c>
      <c r="K338" s="62" t="s">
        <v>489</v>
      </c>
      <c r="L338" s="65" t="s">
        <v>306</v>
      </c>
      <c r="M338" s="62" t="s">
        <v>457</v>
      </c>
      <c r="N338" s="62" t="s">
        <v>458</v>
      </c>
      <c r="O338" s="62" t="s">
        <v>459</v>
      </c>
      <c r="P338" s="62" t="s">
        <v>2421</v>
      </c>
      <c r="Q338" s="66" t="s">
        <v>1971</v>
      </c>
    </row>
    <row r="339" spans="1:17" x14ac:dyDescent="0.3">
      <c r="A339" s="61" t="s">
        <v>2027</v>
      </c>
      <c r="B339" s="62" t="s">
        <v>819</v>
      </c>
      <c r="C339" s="62" t="s">
        <v>820</v>
      </c>
      <c r="D339" s="63">
        <v>44909</v>
      </c>
      <c r="E339" s="63">
        <v>46387</v>
      </c>
      <c r="F339" s="62" t="s">
        <v>1934</v>
      </c>
      <c r="G339" s="62" t="s">
        <v>304</v>
      </c>
      <c r="H339" s="62" t="s">
        <v>533</v>
      </c>
      <c r="I339" s="64">
        <v>1713633.33333333</v>
      </c>
      <c r="J339" s="62" t="s">
        <v>822</v>
      </c>
      <c r="K339" s="62" t="s">
        <v>489</v>
      </c>
      <c r="L339" s="65" t="s">
        <v>306</v>
      </c>
      <c r="M339" s="62" t="s">
        <v>457</v>
      </c>
      <c r="N339" s="62" t="s">
        <v>458</v>
      </c>
      <c r="O339" s="62" t="s">
        <v>459</v>
      </c>
      <c r="P339" s="62" t="s">
        <v>2421</v>
      </c>
      <c r="Q339" s="66" t="s">
        <v>1971</v>
      </c>
    </row>
    <row r="340" spans="1:17" x14ac:dyDescent="0.3">
      <c r="A340" s="61" t="s">
        <v>2027</v>
      </c>
      <c r="B340" s="62" t="s">
        <v>819</v>
      </c>
      <c r="C340" s="62" t="s">
        <v>820</v>
      </c>
      <c r="D340" s="63">
        <v>44909</v>
      </c>
      <c r="E340" s="63">
        <v>46387</v>
      </c>
      <c r="F340" s="62" t="s">
        <v>1958</v>
      </c>
      <c r="G340" s="62" t="s">
        <v>304</v>
      </c>
      <c r="H340" s="62" t="s">
        <v>533</v>
      </c>
      <c r="I340" s="64">
        <v>1713633.33333333</v>
      </c>
      <c r="J340" s="62" t="s">
        <v>822</v>
      </c>
      <c r="K340" s="62" t="s">
        <v>489</v>
      </c>
      <c r="L340" s="65" t="s">
        <v>306</v>
      </c>
      <c r="M340" s="62" t="s">
        <v>457</v>
      </c>
      <c r="N340" s="62" t="s">
        <v>458</v>
      </c>
      <c r="O340" s="62" t="s">
        <v>459</v>
      </c>
      <c r="P340" s="62" t="s">
        <v>2421</v>
      </c>
      <c r="Q340" s="66" t="s">
        <v>1971</v>
      </c>
    </row>
    <row r="341" spans="1:17" x14ac:dyDescent="0.3">
      <c r="A341" s="61" t="s">
        <v>2027</v>
      </c>
      <c r="B341" s="62" t="s">
        <v>819</v>
      </c>
      <c r="C341" s="62" t="s">
        <v>820</v>
      </c>
      <c r="D341" s="63">
        <v>44909</v>
      </c>
      <c r="E341" s="63">
        <v>46387</v>
      </c>
      <c r="F341" s="62" t="s">
        <v>1961</v>
      </c>
      <c r="G341" s="62" t="s">
        <v>304</v>
      </c>
      <c r="H341" s="62" t="s">
        <v>533</v>
      </c>
      <c r="I341" s="64">
        <v>1713633.33333333</v>
      </c>
      <c r="J341" s="62" t="s">
        <v>822</v>
      </c>
      <c r="K341" s="62" t="s">
        <v>489</v>
      </c>
      <c r="L341" s="65" t="s">
        <v>306</v>
      </c>
      <c r="M341" s="62" t="s">
        <v>457</v>
      </c>
      <c r="N341" s="62" t="s">
        <v>458</v>
      </c>
      <c r="O341" s="62" t="s">
        <v>459</v>
      </c>
      <c r="P341" s="62" t="s">
        <v>2421</v>
      </c>
      <c r="Q341" s="66" t="s">
        <v>1971</v>
      </c>
    </row>
    <row r="342" spans="1:17" x14ac:dyDescent="0.3">
      <c r="A342" s="61" t="s">
        <v>2027</v>
      </c>
      <c r="B342" s="62" t="s">
        <v>819</v>
      </c>
      <c r="C342" s="62" t="s">
        <v>820</v>
      </c>
      <c r="D342" s="63">
        <v>44909</v>
      </c>
      <c r="E342" s="63">
        <v>46387</v>
      </c>
      <c r="F342" s="62" t="s">
        <v>1938</v>
      </c>
      <c r="G342" s="62" t="s">
        <v>304</v>
      </c>
      <c r="H342" s="62" t="s">
        <v>533</v>
      </c>
      <c r="I342" s="64">
        <v>1713633.33333333</v>
      </c>
      <c r="J342" s="62" t="s">
        <v>822</v>
      </c>
      <c r="K342" s="62" t="s">
        <v>489</v>
      </c>
      <c r="L342" s="65" t="s">
        <v>306</v>
      </c>
      <c r="M342" s="62" t="s">
        <v>457</v>
      </c>
      <c r="N342" s="62" t="s">
        <v>458</v>
      </c>
      <c r="O342" s="62" t="s">
        <v>459</v>
      </c>
      <c r="P342" s="62" t="s">
        <v>2421</v>
      </c>
      <c r="Q342" s="66" t="s">
        <v>1971</v>
      </c>
    </row>
    <row r="343" spans="1:17" x14ac:dyDescent="0.3">
      <c r="A343" s="61" t="s">
        <v>2027</v>
      </c>
      <c r="B343" s="62" t="s">
        <v>819</v>
      </c>
      <c r="C343" s="62" t="s">
        <v>820</v>
      </c>
      <c r="D343" s="63">
        <v>44909</v>
      </c>
      <c r="E343" s="63">
        <v>46387</v>
      </c>
      <c r="F343" s="62" t="s">
        <v>1941</v>
      </c>
      <c r="G343" s="62" t="s">
        <v>304</v>
      </c>
      <c r="H343" s="62" t="s">
        <v>533</v>
      </c>
      <c r="I343" s="64">
        <v>1713633.33333333</v>
      </c>
      <c r="J343" s="62" t="s">
        <v>822</v>
      </c>
      <c r="K343" s="62" t="s">
        <v>489</v>
      </c>
      <c r="L343" s="65" t="s">
        <v>306</v>
      </c>
      <c r="M343" s="62" t="s">
        <v>457</v>
      </c>
      <c r="N343" s="62" t="s">
        <v>458</v>
      </c>
      <c r="O343" s="62" t="s">
        <v>459</v>
      </c>
      <c r="P343" s="62" t="s">
        <v>2421</v>
      </c>
      <c r="Q343" s="66" t="s">
        <v>1971</v>
      </c>
    </row>
    <row r="344" spans="1:17" x14ac:dyDescent="0.3">
      <c r="A344" s="61" t="s">
        <v>2027</v>
      </c>
      <c r="B344" s="62" t="s">
        <v>819</v>
      </c>
      <c r="C344" s="62" t="s">
        <v>820</v>
      </c>
      <c r="D344" s="63">
        <v>44909</v>
      </c>
      <c r="E344" s="63">
        <v>46387</v>
      </c>
      <c r="F344" s="62" t="s">
        <v>1963</v>
      </c>
      <c r="G344" s="62" t="s">
        <v>304</v>
      </c>
      <c r="H344" s="62" t="s">
        <v>533</v>
      </c>
      <c r="I344" s="64">
        <v>1713633.33333333</v>
      </c>
      <c r="J344" s="62" t="s">
        <v>822</v>
      </c>
      <c r="K344" s="62" t="s">
        <v>489</v>
      </c>
      <c r="L344" s="65" t="s">
        <v>306</v>
      </c>
      <c r="M344" s="62" t="s">
        <v>457</v>
      </c>
      <c r="N344" s="62" t="s">
        <v>458</v>
      </c>
      <c r="O344" s="62" t="s">
        <v>459</v>
      </c>
      <c r="P344" s="62" t="s">
        <v>2421</v>
      </c>
      <c r="Q344" s="66" t="s">
        <v>1971</v>
      </c>
    </row>
    <row r="345" spans="1:17" x14ac:dyDescent="0.3">
      <c r="A345" s="61" t="s">
        <v>2027</v>
      </c>
      <c r="B345" s="62" t="s">
        <v>819</v>
      </c>
      <c r="C345" s="62" t="s">
        <v>820</v>
      </c>
      <c r="D345" s="63">
        <v>44909</v>
      </c>
      <c r="E345" s="63">
        <v>46387</v>
      </c>
      <c r="F345" s="62" t="s">
        <v>1948</v>
      </c>
      <c r="G345" s="62" t="s">
        <v>304</v>
      </c>
      <c r="H345" s="62" t="s">
        <v>533</v>
      </c>
      <c r="I345" s="64">
        <v>1713633.33333333</v>
      </c>
      <c r="J345" s="62" t="s">
        <v>822</v>
      </c>
      <c r="K345" s="62" t="s">
        <v>489</v>
      </c>
      <c r="L345" s="65" t="s">
        <v>306</v>
      </c>
      <c r="M345" s="62" t="s">
        <v>457</v>
      </c>
      <c r="N345" s="62" t="s">
        <v>458</v>
      </c>
      <c r="O345" s="62" t="s">
        <v>459</v>
      </c>
      <c r="P345" s="62" t="s">
        <v>2421</v>
      </c>
      <c r="Q345" s="66" t="s">
        <v>1971</v>
      </c>
    </row>
    <row r="346" spans="1:17" x14ac:dyDescent="0.3">
      <c r="A346" s="61" t="s">
        <v>2027</v>
      </c>
      <c r="B346" s="62" t="s">
        <v>819</v>
      </c>
      <c r="C346" s="62" t="s">
        <v>820</v>
      </c>
      <c r="D346" s="63">
        <v>44909</v>
      </c>
      <c r="E346" s="63">
        <v>46387</v>
      </c>
      <c r="F346" s="62" t="s">
        <v>1959</v>
      </c>
      <c r="G346" s="62" t="s">
        <v>304</v>
      </c>
      <c r="H346" s="62" t="s">
        <v>533</v>
      </c>
      <c r="I346" s="64">
        <v>1713633.33333333</v>
      </c>
      <c r="J346" s="62" t="s">
        <v>822</v>
      </c>
      <c r="K346" s="62" t="s">
        <v>489</v>
      </c>
      <c r="L346" s="65" t="s">
        <v>306</v>
      </c>
      <c r="M346" s="62" t="s">
        <v>457</v>
      </c>
      <c r="N346" s="62" t="s">
        <v>458</v>
      </c>
      <c r="O346" s="62" t="s">
        <v>459</v>
      </c>
      <c r="P346" s="62" t="s">
        <v>2421</v>
      </c>
      <c r="Q346" s="66" t="s">
        <v>1971</v>
      </c>
    </row>
    <row r="347" spans="1:17" x14ac:dyDescent="0.3">
      <c r="A347" s="61" t="s">
        <v>2028</v>
      </c>
      <c r="B347" s="62" t="s">
        <v>823</v>
      </c>
      <c r="C347" s="62" t="s">
        <v>824</v>
      </c>
      <c r="D347" s="63">
        <v>44958</v>
      </c>
      <c r="E347" s="63">
        <v>46053</v>
      </c>
      <c r="F347" s="62" t="s">
        <v>1935</v>
      </c>
      <c r="G347" s="62" t="s">
        <v>625</v>
      </c>
      <c r="H347" s="62" t="s">
        <v>373</v>
      </c>
      <c r="I347" s="64">
        <v>249043</v>
      </c>
      <c r="J347" s="62" t="s">
        <v>373</v>
      </c>
      <c r="K347" s="62" t="s">
        <v>1693</v>
      </c>
      <c r="L347" s="65" t="s">
        <v>306</v>
      </c>
      <c r="M347" s="62" t="s">
        <v>825</v>
      </c>
      <c r="N347" s="62" t="s">
        <v>552</v>
      </c>
      <c r="O347" s="62" t="s">
        <v>371</v>
      </c>
      <c r="P347" s="62" t="s">
        <v>2421</v>
      </c>
      <c r="Q347" s="66" t="s">
        <v>1976</v>
      </c>
    </row>
    <row r="348" spans="1:17" x14ac:dyDescent="0.3">
      <c r="A348" s="61" t="s">
        <v>2028</v>
      </c>
      <c r="B348" s="62" t="s">
        <v>823</v>
      </c>
      <c r="C348" s="62" t="s">
        <v>824</v>
      </c>
      <c r="D348" s="63">
        <v>44958</v>
      </c>
      <c r="E348" s="63">
        <v>46053</v>
      </c>
      <c r="F348" s="62" t="s">
        <v>288</v>
      </c>
      <c r="G348" s="62" t="s">
        <v>826</v>
      </c>
      <c r="H348" s="62" t="s">
        <v>373</v>
      </c>
      <c r="I348" s="64">
        <v>249043</v>
      </c>
      <c r="J348" s="62" t="s">
        <v>373</v>
      </c>
      <c r="K348" s="62" t="s">
        <v>1693</v>
      </c>
      <c r="L348" s="65" t="s">
        <v>306</v>
      </c>
      <c r="M348" s="62" t="s">
        <v>825</v>
      </c>
      <c r="N348" s="62" t="s">
        <v>552</v>
      </c>
      <c r="O348" s="62" t="s">
        <v>371</v>
      </c>
      <c r="P348" s="62" t="s">
        <v>2421</v>
      </c>
      <c r="Q348" s="66" t="s">
        <v>1976</v>
      </c>
    </row>
    <row r="349" spans="1:17" x14ac:dyDescent="0.3">
      <c r="A349" s="61" t="s">
        <v>2028</v>
      </c>
      <c r="B349" s="62" t="s">
        <v>823</v>
      </c>
      <c r="C349" s="62" t="s">
        <v>824</v>
      </c>
      <c r="D349" s="63">
        <v>44958</v>
      </c>
      <c r="E349" s="63">
        <v>46053</v>
      </c>
      <c r="F349" s="62" t="s">
        <v>1938</v>
      </c>
      <c r="G349" s="62" t="s">
        <v>506</v>
      </c>
      <c r="H349" s="62" t="s">
        <v>373</v>
      </c>
      <c r="I349" s="64">
        <v>249043</v>
      </c>
      <c r="J349" s="62" t="s">
        <v>373</v>
      </c>
      <c r="K349" s="62" t="s">
        <v>1693</v>
      </c>
      <c r="L349" s="65" t="s">
        <v>306</v>
      </c>
      <c r="M349" s="62" t="s">
        <v>825</v>
      </c>
      <c r="N349" s="62" t="s">
        <v>552</v>
      </c>
      <c r="O349" s="62" t="s">
        <v>371</v>
      </c>
      <c r="P349" s="62" t="s">
        <v>2421</v>
      </c>
      <c r="Q349" s="66" t="s">
        <v>1976</v>
      </c>
    </row>
    <row r="350" spans="1:17" x14ac:dyDescent="0.3">
      <c r="A350" s="61" t="s">
        <v>2028</v>
      </c>
      <c r="B350" s="62" t="s">
        <v>823</v>
      </c>
      <c r="C350" s="62" t="s">
        <v>824</v>
      </c>
      <c r="D350" s="63">
        <v>44958</v>
      </c>
      <c r="E350" s="63">
        <v>46053</v>
      </c>
      <c r="F350" s="62" t="s">
        <v>1959</v>
      </c>
      <c r="G350" s="62" t="s">
        <v>679</v>
      </c>
      <c r="H350" s="62" t="s">
        <v>373</v>
      </c>
      <c r="I350" s="64">
        <v>249043</v>
      </c>
      <c r="J350" s="62" t="s">
        <v>373</v>
      </c>
      <c r="K350" s="62" t="s">
        <v>1693</v>
      </c>
      <c r="L350" s="65" t="s">
        <v>306</v>
      </c>
      <c r="M350" s="62" t="s">
        <v>825</v>
      </c>
      <c r="N350" s="62" t="s">
        <v>552</v>
      </c>
      <c r="O350" s="62" t="s">
        <v>371</v>
      </c>
      <c r="P350" s="62" t="s">
        <v>2421</v>
      </c>
      <c r="Q350" s="66" t="s">
        <v>1976</v>
      </c>
    </row>
    <row r="351" spans="1:17" x14ac:dyDescent="0.3">
      <c r="A351" s="61" t="s">
        <v>2028</v>
      </c>
      <c r="B351" s="62" t="s">
        <v>823</v>
      </c>
      <c r="C351" s="62" t="s">
        <v>824</v>
      </c>
      <c r="D351" s="63">
        <v>44958</v>
      </c>
      <c r="E351" s="63">
        <v>46053</v>
      </c>
      <c r="F351" s="62" t="s">
        <v>1936</v>
      </c>
      <c r="G351" s="62" t="s">
        <v>604</v>
      </c>
      <c r="H351" s="62" t="s">
        <v>373</v>
      </c>
      <c r="I351" s="64">
        <v>249043</v>
      </c>
      <c r="J351" s="62" t="s">
        <v>373</v>
      </c>
      <c r="K351" s="62" t="s">
        <v>1693</v>
      </c>
      <c r="L351" s="65" t="s">
        <v>2423</v>
      </c>
      <c r="M351" s="62" t="s">
        <v>825</v>
      </c>
      <c r="N351" s="62" t="s">
        <v>552</v>
      </c>
      <c r="O351" s="62" t="s">
        <v>371</v>
      </c>
      <c r="P351" s="62" t="s">
        <v>2421</v>
      </c>
      <c r="Q351" s="66" t="s">
        <v>1976</v>
      </c>
    </row>
    <row r="352" spans="1:17" x14ac:dyDescent="0.3">
      <c r="A352" s="61" t="s">
        <v>2029</v>
      </c>
      <c r="B352" s="62" t="s">
        <v>828</v>
      </c>
      <c r="C352" s="62" t="s">
        <v>829</v>
      </c>
      <c r="D352" s="63">
        <v>44927</v>
      </c>
      <c r="E352" s="63">
        <v>46023</v>
      </c>
      <c r="F352" s="62" t="s">
        <v>289</v>
      </c>
      <c r="G352" s="62" t="s">
        <v>830</v>
      </c>
      <c r="H352" s="62" t="s">
        <v>373</v>
      </c>
      <c r="I352" s="64">
        <v>46425.24</v>
      </c>
      <c r="J352" s="62" t="s">
        <v>373</v>
      </c>
      <c r="K352" s="62" t="s">
        <v>1693</v>
      </c>
      <c r="L352" s="65" t="s">
        <v>2423</v>
      </c>
      <c r="M352" s="62" t="s">
        <v>424</v>
      </c>
      <c r="N352" s="62" t="s">
        <v>551</v>
      </c>
      <c r="O352" s="62" t="s">
        <v>428</v>
      </c>
      <c r="P352" s="62" t="s">
        <v>2421</v>
      </c>
      <c r="Q352" s="66" t="s">
        <v>1972</v>
      </c>
    </row>
    <row r="353" spans="1:17" x14ac:dyDescent="0.3">
      <c r="A353" s="61" t="s">
        <v>2029</v>
      </c>
      <c r="B353" s="62" t="s">
        <v>828</v>
      </c>
      <c r="C353" s="62" t="s">
        <v>829</v>
      </c>
      <c r="D353" s="63">
        <v>44927</v>
      </c>
      <c r="E353" s="63">
        <v>46023</v>
      </c>
      <c r="F353" s="62" t="s">
        <v>289</v>
      </c>
      <c r="G353" s="62" t="s">
        <v>831</v>
      </c>
      <c r="H353" s="62" t="s">
        <v>373</v>
      </c>
      <c r="I353" s="64">
        <v>46425.24</v>
      </c>
      <c r="J353" s="62" t="s">
        <v>373</v>
      </c>
      <c r="K353" s="62" t="s">
        <v>1693</v>
      </c>
      <c r="L353" s="65" t="s">
        <v>306</v>
      </c>
      <c r="M353" s="62" t="s">
        <v>424</v>
      </c>
      <c r="N353" s="62" t="s">
        <v>551</v>
      </c>
      <c r="O353" s="62" t="s">
        <v>428</v>
      </c>
      <c r="P353" s="62" t="s">
        <v>2421</v>
      </c>
      <c r="Q353" s="66" t="s">
        <v>1972</v>
      </c>
    </row>
    <row r="354" spans="1:17" x14ac:dyDescent="0.3">
      <c r="A354" s="61" t="s">
        <v>2029</v>
      </c>
      <c r="B354" s="62" t="s">
        <v>828</v>
      </c>
      <c r="C354" s="62" t="s">
        <v>829</v>
      </c>
      <c r="D354" s="63">
        <v>44927</v>
      </c>
      <c r="E354" s="63">
        <v>46023</v>
      </c>
      <c r="F354" s="62" t="s">
        <v>289</v>
      </c>
      <c r="G354" s="62" t="s">
        <v>832</v>
      </c>
      <c r="H354" s="62" t="s">
        <v>373</v>
      </c>
      <c r="I354" s="64">
        <v>46425.24</v>
      </c>
      <c r="J354" s="62" t="s">
        <v>373</v>
      </c>
      <c r="K354" s="62" t="s">
        <v>1693</v>
      </c>
      <c r="L354" s="65" t="s">
        <v>2423</v>
      </c>
      <c r="M354" s="62" t="s">
        <v>424</v>
      </c>
      <c r="N354" s="62" t="s">
        <v>551</v>
      </c>
      <c r="O354" s="62" t="s">
        <v>428</v>
      </c>
      <c r="P354" s="62" t="s">
        <v>2421</v>
      </c>
      <c r="Q354" s="66" t="s">
        <v>1972</v>
      </c>
    </row>
    <row r="355" spans="1:17" x14ac:dyDescent="0.3">
      <c r="A355" s="61" t="s">
        <v>2029</v>
      </c>
      <c r="B355" s="62" t="s">
        <v>828</v>
      </c>
      <c r="C355" s="62" t="s">
        <v>829</v>
      </c>
      <c r="D355" s="63">
        <v>44927</v>
      </c>
      <c r="E355" s="63">
        <v>46023</v>
      </c>
      <c r="F355" s="62" t="s">
        <v>289</v>
      </c>
      <c r="G355" s="62" t="s">
        <v>565</v>
      </c>
      <c r="H355" s="62" t="s">
        <v>373</v>
      </c>
      <c r="I355" s="64">
        <v>46425.24</v>
      </c>
      <c r="J355" s="62" t="s">
        <v>373</v>
      </c>
      <c r="K355" s="62" t="s">
        <v>1693</v>
      </c>
      <c r="L355" s="65" t="s">
        <v>2423</v>
      </c>
      <c r="M355" s="62" t="s">
        <v>424</v>
      </c>
      <c r="N355" s="62" t="s">
        <v>551</v>
      </c>
      <c r="O355" s="62" t="s">
        <v>428</v>
      </c>
      <c r="P355" s="62" t="s">
        <v>2421</v>
      </c>
      <c r="Q355" s="66" t="s">
        <v>1972</v>
      </c>
    </row>
    <row r="356" spans="1:17" x14ac:dyDescent="0.3">
      <c r="A356" s="61" t="s">
        <v>2029</v>
      </c>
      <c r="B356" s="62" t="s">
        <v>828</v>
      </c>
      <c r="C356" s="62" t="s">
        <v>829</v>
      </c>
      <c r="D356" s="63">
        <v>44927</v>
      </c>
      <c r="E356" s="63">
        <v>46023</v>
      </c>
      <c r="F356" s="62" t="s">
        <v>289</v>
      </c>
      <c r="G356" s="62" t="s">
        <v>576</v>
      </c>
      <c r="H356" s="62" t="s">
        <v>373</v>
      </c>
      <c r="I356" s="64">
        <v>46425.24</v>
      </c>
      <c r="J356" s="62" t="s">
        <v>373</v>
      </c>
      <c r="K356" s="62" t="s">
        <v>1693</v>
      </c>
      <c r="L356" s="65" t="s">
        <v>2423</v>
      </c>
      <c r="M356" s="62" t="s">
        <v>424</v>
      </c>
      <c r="N356" s="62" t="s">
        <v>551</v>
      </c>
      <c r="O356" s="62" t="s">
        <v>428</v>
      </c>
      <c r="P356" s="62" t="s">
        <v>2421</v>
      </c>
      <c r="Q356" s="66" t="s">
        <v>1972</v>
      </c>
    </row>
    <row r="357" spans="1:17" x14ac:dyDescent="0.3">
      <c r="A357" s="61" t="s">
        <v>2029</v>
      </c>
      <c r="B357" s="62" t="s">
        <v>828</v>
      </c>
      <c r="C357" s="62" t="s">
        <v>829</v>
      </c>
      <c r="D357" s="63">
        <v>44927</v>
      </c>
      <c r="E357" s="63">
        <v>46023</v>
      </c>
      <c r="F357" s="62" t="s">
        <v>282</v>
      </c>
      <c r="G357" s="62" t="s">
        <v>470</v>
      </c>
      <c r="H357" s="62" t="s">
        <v>373</v>
      </c>
      <c r="I357" s="64">
        <v>58031.55</v>
      </c>
      <c r="J357" s="62" t="s">
        <v>373</v>
      </c>
      <c r="K357" s="62" t="s">
        <v>1693</v>
      </c>
      <c r="L357" s="65" t="s">
        <v>2423</v>
      </c>
      <c r="M357" s="62" t="s">
        <v>424</v>
      </c>
      <c r="N357" s="62" t="s">
        <v>551</v>
      </c>
      <c r="O357" s="62" t="s">
        <v>428</v>
      </c>
      <c r="P357" s="62" t="s">
        <v>2421</v>
      </c>
      <c r="Q357" s="66" t="s">
        <v>1972</v>
      </c>
    </row>
    <row r="358" spans="1:17" x14ac:dyDescent="0.3">
      <c r="A358" s="61" t="s">
        <v>2029</v>
      </c>
      <c r="B358" s="62" t="s">
        <v>828</v>
      </c>
      <c r="C358" s="62" t="s">
        <v>829</v>
      </c>
      <c r="D358" s="63">
        <v>44927</v>
      </c>
      <c r="E358" s="63">
        <v>46023</v>
      </c>
      <c r="F358" s="62" t="s">
        <v>282</v>
      </c>
      <c r="G358" s="62" t="s">
        <v>833</v>
      </c>
      <c r="H358" s="62" t="s">
        <v>373</v>
      </c>
      <c r="I358" s="64">
        <v>58031.55</v>
      </c>
      <c r="J358" s="62" t="s">
        <v>373</v>
      </c>
      <c r="K358" s="62" t="s">
        <v>1693</v>
      </c>
      <c r="L358" s="65" t="s">
        <v>2423</v>
      </c>
      <c r="M358" s="62" t="s">
        <v>424</v>
      </c>
      <c r="N358" s="62" t="s">
        <v>551</v>
      </c>
      <c r="O358" s="62" t="s">
        <v>428</v>
      </c>
      <c r="P358" s="62" t="s">
        <v>2421</v>
      </c>
      <c r="Q358" s="66" t="s">
        <v>1972</v>
      </c>
    </row>
    <row r="359" spans="1:17" x14ac:dyDescent="0.3">
      <c r="A359" s="61" t="s">
        <v>2029</v>
      </c>
      <c r="B359" s="62" t="s">
        <v>828</v>
      </c>
      <c r="C359" s="62" t="s">
        <v>829</v>
      </c>
      <c r="D359" s="63">
        <v>44927</v>
      </c>
      <c r="E359" s="63">
        <v>46023</v>
      </c>
      <c r="F359" s="62" t="s">
        <v>282</v>
      </c>
      <c r="G359" s="62" t="s">
        <v>473</v>
      </c>
      <c r="H359" s="62" t="s">
        <v>373</v>
      </c>
      <c r="I359" s="64">
        <v>58031.55</v>
      </c>
      <c r="J359" s="62" t="s">
        <v>373</v>
      </c>
      <c r="K359" s="62" t="s">
        <v>1693</v>
      </c>
      <c r="L359" s="65" t="s">
        <v>2423</v>
      </c>
      <c r="M359" s="62" t="s">
        <v>424</v>
      </c>
      <c r="N359" s="62" t="s">
        <v>551</v>
      </c>
      <c r="O359" s="62" t="s">
        <v>428</v>
      </c>
      <c r="P359" s="62" t="s">
        <v>2421</v>
      </c>
      <c r="Q359" s="66" t="s">
        <v>1972</v>
      </c>
    </row>
    <row r="360" spans="1:17" x14ac:dyDescent="0.3">
      <c r="A360" s="61" t="s">
        <v>2029</v>
      </c>
      <c r="B360" s="62" t="s">
        <v>828</v>
      </c>
      <c r="C360" s="62" t="s">
        <v>829</v>
      </c>
      <c r="D360" s="63">
        <v>44927</v>
      </c>
      <c r="E360" s="63">
        <v>46023</v>
      </c>
      <c r="F360" s="62" t="s">
        <v>282</v>
      </c>
      <c r="G360" s="62" t="s">
        <v>834</v>
      </c>
      <c r="H360" s="62" t="s">
        <v>373</v>
      </c>
      <c r="I360" s="64">
        <v>58031.55</v>
      </c>
      <c r="J360" s="62" t="s">
        <v>373</v>
      </c>
      <c r="K360" s="62" t="s">
        <v>1693</v>
      </c>
      <c r="L360" s="65" t="s">
        <v>2423</v>
      </c>
      <c r="M360" s="62" t="s">
        <v>424</v>
      </c>
      <c r="N360" s="62" t="s">
        <v>551</v>
      </c>
      <c r="O360" s="62" t="s">
        <v>428</v>
      </c>
      <c r="P360" s="62" t="s">
        <v>2421</v>
      </c>
      <c r="Q360" s="66" t="s">
        <v>1972</v>
      </c>
    </row>
    <row r="361" spans="1:17" x14ac:dyDescent="0.3">
      <c r="A361" s="61" t="s">
        <v>2029</v>
      </c>
      <c r="B361" s="62" t="s">
        <v>828</v>
      </c>
      <c r="C361" s="62" t="s">
        <v>829</v>
      </c>
      <c r="D361" s="63">
        <v>44927</v>
      </c>
      <c r="E361" s="63">
        <v>46023</v>
      </c>
      <c r="F361" s="62" t="s">
        <v>1941</v>
      </c>
      <c r="G361" s="62" t="s">
        <v>367</v>
      </c>
      <c r="H361" s="62" t="s">
        <v>373</v>
      </c>
      <c r="I361" s="64">
        <v>77375.399999999994</v>
      </c>
      <c r="J361" s="62" t="s">
        <v>373</v>
      </c>
      <c r="K361" s="62" t="s">
        <v>1693</v>
      </c>
      <c r="L361" s="65" t="s">
        <v>2423</v>
      </c>
      <c r="M361" s="62" t="s">
        <v>424</v>
      </c>
      <c r="N361" s="62" t="s">
        <v>551</v>
      </c>
      <c r="O361" s="62" t="s">
        <v>428</v>
      </c>
      <c r="P361" s="62" t="s">
        <v>2421</v>
      </c>
      <c r="Q361" s="66" t="s">
        <v>1972</v>
      </c>
    </row>
    <row r="362" spans="1:17" x14ac:dyDescent="0.3">
      <c r="A362" s="61" t="s">
        <v>2029</v>
      </c>
      <c r="B362" s="62" t="s">
        <v>828</v>
      </c>
      <c r="C362" s="62" t="s">
        <v>829</v>
      </c>
      <c r="D362" s="63">
        <v>44927</v>
      </c>
      <c r="E362" s="63">
        <v>46023</v>
      </c>
      <c r="F362" s="62" t="s">
        <v>1941</v>
      </c>
      <c r="G362" s="62" t="s">
        <v>324</v>
      </c>
      <c r="H362" s="62" t="s">
        <v>373</v>
      </c>
      <c r="I362" s="64">
        <v>77375.399999999994</v>
      </c>
      <c r="J362" s="62" t="s">
        <v>373</v>
      </c>
      <c r="K362" s="62" t="s">
        <v>1693</v>
      </c>
      <c r="L362" s="65" t="s">
        <v>2423</v>
      </c>
      <c r="M362" s="62" t="s">
        <v>424</v>
      </c>
      <c r="N362" s="62" t="s">
        <v>551</v>
      </c>
      <c r="O362" s="62" t="s">
        <v>428</v>
      </c>
      <c r="P362" s="62" t="s">
        <v>2421</v>
      </c>
      <c r="Q362" s="66" t="s">
        <v>1972</v>
      </c>
    </row>
    <row r="363" spans="1:17" x14ac:dyDescent="0.3">
      <c r="A363" s="61" t="s">
        <v>2029</v>
      </c>
      <c r="B363" s="62" t="s">
        <v>828</v>
      </c>
      <c r="C363" s="62" t="s">
        <v>829</v>
      </c>
      <c r="D363" s="63">
        <v>44927</v>
      </c>
      <c r="E363" s="63">
        <v>46023</v>
      </c>
      <c r="F363" s="62" t="s">
        <v>1941</v>
      </c>
      <c r="G363" s="62" t="s">
        <v>399</v>
      </c>
      <c r="H363" s="62" t="s">
        <v>373</v>
      </c>
      <c r="I363" s="64">
        <v>77375.399999999994</v>
      </c>
      <c r="J363" s="62" t="s">
        <v>373</v>
      </c>
      <c r="K363" s="62" t="s">
        <v>1693</v>
      </c>
      <c r="L363" s="65" t="s">
        <v>306</v>
      </c>
      <c r="M363" s="62" t="s">
        <v>424</v>
      </c>
      <c r="N363" s="62" t="s">
        <v>551</v>
      </c>
      <c r="O363" s="62" t="s">
        <v>428</v>
      </c>
      <c r="P363" s="62" t="s">
        <v>2421</v>
      </c>
      <c r="Q363" s="66" t="s">
        <v>1972</v>
      </c>
    </row>
    <row r="364" spans="1:17" x14ac:dyDescent="0.3">
      <c r="A364" s="61" t="s">
        <v>2029</v>
      </c>
      <c r="B364" s="62" t="s">
        <v>828</v>
      </c>
      <c r="C364" s="62" t="s">
        <v>829</v>
      </c>
      <c r="D364" s="63">
        <v>44927</v>
      </c>
      <c r="E364" s="63">
        <v>46023</v>
      </c>
      <c r="F364" s="62" t="s">
        <v>348</v>
      </c>
      <c r="G364" s="62" t="s">
        <v>348</v>
      </c>
      <c r="H364" s="62" t="s">
        <v>373</v>
      </c>
      <c r="I364" s="64">
        <v>232126.2</v>
      </c>
      <c r="J364" s="62" t="s">
        <v>373</v>
      </c>
      <c r="K364" s="62" t="s">
        <v>1693</v>
      </c>
      <c r="L364" s="65" t="s">
        <v>2423</v>
      </c>
      <c r="M364" s="62" t="s">
        <v>424</v>
      </c>
      <c r="N364" s="62" t="s">
        <v>551</v>
      </c>
      <c r="O364" s="62" t="s">
        <v>428</v>
      </c>
      <c r="P364" s="62" t="s">
        <v>2421</v>
      </c>
      <c r="Q364" s="66" t="s">
        <v>1972</v>
      </c>
    </row>
    <row r="365" spans="1:17" x14ac:dyDescent="0.3">
      <c r="A365" s="61" t="s">
        <v>2029</v>
      </c>
      <c r="B365" s="62" t="s">
        <v>828</v>
      </c>
      <c r="C365" s="62" t="s">
        <v>829</v>
      </c>
      <c r="D365" s="63">
        <v>44927</v>
      </c>
      <c r="E365" s="63">
        <v>46023</v>
      </c>
      <c r="F365" s="62" t="s">
        <v>1945</v>
      </c>
      <c r="G365" s="62" t="s">
        <v>400</v>
      </c>
      <c r="H365" s="62" t="s">
        <v>373</v>
      </c>
      <c r="I365" s="64">
        <v>232126.2</v>
      </c>
      <c r="J365" s="62" t="s">
        <v>373</v>
      </c>
      <c r="K365" s="62" t="s">
        <v>1693</v>
      </c>
      <c r="L365" s="65" t="s">
        <v>2423</v>
      </c>
      <c r="M365" s="62" t="s">
        <v>424</v>
      </c>
      <c r="N365" s="62" t="s">
        <v>551</v>
      </c>
      <c r="O365" s="62" t="s">
        <v>428</v>
      </c>
      <c r="P365" s="62" t="s">
        <v>2421</v>
      </c>
      <c r="Q365" s="66" t="s">
        <v>1972</v>
      </c>
    </row>
    <row r="366" spans="1:17" x14ac:dyDescent="0.3">
      <c r="A366" s="61" t="s">
        <v>2030</v>
      </c>
      <c r="B366" s="62" t="s">
        <v>837</v>
      </c>
      <c r="C366" s="62" t="s">
        <v>838</v>
      </c>
      <c r="D366" s="63">
        <v>44915</v>
      </c>
      <c r="E366" s="63">
        <v>46446</v>
      </c>
      <c r="F366" s="62" t="s">
        <v>1930</v>
      </c>
      <c r="G366" s="62" t="s">
        <v>512</v>
      </c>
      <c r="H366" s="62" t="s">
        <v>373</v>
      </c>
      <c r="I366" s="64">
        <v>106394.33333333299</v>
      </c>
      <c r="J366" s="62" t="s">
        <v>373</v>
      </c>
      <c r="K366" s="62" t="s">
        <v>1693</v>
      </c>
      <c r="L366" s="65" t="s">
        <v>306</v>
      </c>
      <c r="M366" s="62" t="s">
        <v>354</v>
      </c>
      <c r="N366" s="62" t="s">
        <v>357</v>
      </c>
      <c r="O366" s="62" t="s">
        <v>358</v>
      </c>
      <c r="P366" s="62" t="s">
        <v>2421</v>
      </c>
      <c r="Q366" s="66" t="s">
        <v>1971</v>
      </c>
    </row>
    <row r="367" spans="1:17" x14ac:dyDescent="0.3">
      <c r="A367" s="61" t="s">
        <v>2030</v>
      </c>
      <c r="B367" s="62" t="s">
        <v>837</v>
      </c>
      <c r="C367" s="62" t="s">
        <v>838</v>
      </c>
      <c r="D367" s="63">
        <v>44915</v>
      </c>
      <c r="E367" s="63">
        <v>46446</v>
      </c>
      <c r="F367" s="62" t="s">
        <v>1930</v>
      </c>
      <c r="G367" s="62" t="s">
        <v>342</v>
      </c>
      <c r="H367" s="62" t="s">
        <v>373</v>
      </c>
      <c r="I367" s="64">
        <v>106394.33333333299</v>
      </c>
      <c r="J367" s="62" t="s">
        <v>373</v>
      </c>
      <c r="K367" s="62" t="s">
        <v>1693</v>
      </c>
      <c r="L367" s="65" t="s">
        <v>306</v>
      </c>
      <c r="M367" s="62" t="s">
        <v>354</v>
      </c>
      <c r="N367" s="62" t="s">
        <v>357</v>
      </c>
      <c r="O367" s="62" t="s">
        <v>358</v>
      </c>
      <c r="P367" s="62" t="s">
        <v>2421</v>
      </c>
      <c r="Q367" s="66" t="s">
        <v>1971</v>
      </c>
    </row>
    <row r="368" spans="1:17" x14ac:dyDescent="0.3">
      <c r="A368" s="61" t="s">
        <v>2030</v>
      </c>
      <c r="B368" s="62" t="s">
        <v>837</v>
      </c>
      <c r="C368" s="62" t="s">
        <v>838</v>
      </c>
      <c r="D368" s="63">
        <v>44915</v>
      </c>
      <c r="E368" s="63">
        <v>46446</v>
      </c>
      <c r="F368" s="62" t="s">
        <v>1930</v>
      </c>
      <c r="G368" s="62" t="s">
        <v>839</v>
      </c>
      <c r="H368" s="62" t="s">
        <v>373</v>
      </c>
      <c r="I368" s="64">
        <v>106394.33333333299</v>
      </c>
      <c r="J368" s="62" t="s">
        <v>373</v>
      </c>
      <c r="K368" s="62" t="s">
        <v>1693</v>
      </c>
      <c r="L368" s="65" t="s">
        <v>306</v>
      </c>
      <c r="M368" s="62" t="s">
        <v>354</v>
      </c>
      <c r="N368" s="62" t="s">
        <v>357</v>
      </c>
      <c r="O368" s="62" t="s">
        <v>358</v>
      </c>
      <c r="P368" s="62" t="s">
        <v>2421</v>
      </c>
      <c r="Q368" s="66" t="s">
        <v>1971</v>
      </c>
    </row>
    <row r="369" spans="1:17" x14ac:dyDescent="0.3">
      <c r="A369" s="61" t="s">
        <v>2030</v>
      </c>
      <c r="B369" s="62" t="s">
        <v>837</v>
      </c>
      <c r="C369" s="62" t="s">
        <v>838</v>
      </c>
      <c r="D369" s="63">
        <v>44915</v>
      </c>
      <c r="E369" s="63">
        <v>46446</v>
      </c>
      <c r="F369" s="62" t="s">
        <v>1930</v>
      </c>
      <c r="G369" s="62" t="s">
        <v>517</v>
      </c>
      <c r="H369" s="62" t="s">
        <v>373</v>
      </c>
      <c r="I369" s="64">
        <v>106394.33333333299</v>
      </c>
      <c r="J369" s="62" t="s">
        <v>373</v>
      </c>
      <c r="K369" s="62" t="s">
        <v>1693</v>
      </c>
      <c r="L369" s="65" t="s">
        <v>306</v>
      </c>
      <c r="M369" s="62" t="s">
        <v>354</v>
      </c>
      <c r="N369" s="62" t="s">
        <v>357</v>
      </c>
      <c r="O369" s="62" t="s">
        <v>358</v>
      </c>
      <c r="P369" s="62" t="s">
        <v>2421</v>
      </c>
      <c r="Q369" s="66" t="s">
        <v>1971</v>
      </c>
    </row>
    <row r="370" spans="1:17" x14ac:dyDescent="0.3">
      <c r="A370" s="61" t="s">
        <v>2030</v>
      </c>
      <c r="B370" s="62" t="s">
        <v>837</v>
      </c>
      <c r="C370" s="62" t="s">
        <v>838</v>
      </c>
      <c r="D370" s="63">
        <v>44915</v>
      </c>
      <c r="E370" s="63">
        <v>46446</v>
      </c>
      <c r="F370" s="62" t="s">
        <v>1930</v>
      </c>
      <c r="G370" s="62" t="s">
        <v>518</v>
      </c>
      <c r="H370" s="62" t="s">
        <v>373</v>
      </c>
      <c r="I370" s="64">
        <v>106394.33333333299</v>
      </c>
      <c r="J370" s="62" t="s">
        <v>373</v>
      </c>
      <c r="K370" s="62" t="s">
        <v>1693</v>
      </c>
      <c r="L370" s="65" t="s">
        <v>306</v>
      </c>
      <c r="M370" s="62" t="s">
        <v>354</v>
      </c>
      <c r="N370" s="62" t="s">
        <v>357</v>
      </c>
      <c r="O370" s="62" t="s">
        <v>358</v>
      </c>
      <c r="P370" s="62" t="s">
        <v>2421</v>
      </c>
      <c r="Q370" s="66" t="s">
        <v>1971</v>
      </c>
    </row>
    <row r="371" spans="1:17" x14ac:dyDescent="0.3">
      <c r="A371" s="61" t="s">
        <v>2030</v>
      </c>
      <c r="B371" s="62" t="s">
        <v>837</v>
      </c>
      <c r="C371" s="62" t="s">
        <v>838</v>
      </c>
      <c r="D371" s="63">
        <v>44915</v>
      </c>
      <c r="E371" s="63">
        <v>46446</v>
      </c>
      <c r="F371" s="62" t="s">
        <v>1930</v>
      </c>
      <c r="G371" s="62" t="s">
        <v>520</v>
      </c>
      <c r="H371" s="62" t="s">
        <v>373</v>
      </c>
      <c r="I371" s="64">
        <v>106394.33333333299</v>
      </c>
      <c r="J371" s="62" t="s">
        <v>373</v>
      </c>
      <c r="K371" s="62" t="s">
        <v>1693</v>
      </c>
      <c r="L371" s="65" t="s">
        <v>306</v>
      </c>
      <c r="M371" s="62" t="s">
        <v>354</v>
      </c>
      <c r="N371" s="62" t="s">
        <v>357</v>
      </c>
      <c r="O371" s="62" t="s">
        <v>358</v>
      </c>
      <c r="P371" s="62" t="s">
        <v>2421</v>
      </c>
      <c r="Q371" s="66" t="s">
        <v>1971</v>
      </c>
    </row>
    <row r="372" spans="1:17" x14ac:dyDescent="0.3">
      <c r="A372" s="61" t="s">
        <v>2030</v>
      </c>
      <c r="B372" s="62" t="s">
        <v>837</v>
      </c>
      <c r="C372" s="62" t="s">
        <v>838</v>
      </c>
      <c r="D372" s="63">
        <v>44915</v>
      </c>
      <c r="E372" s="63">
        <v>46446</v>
      </c>
      <c r="F372" s="62" t="s">
        <v>1940</v>
      </c>
      <c r="G372" s="62" t="s">
        <v>304</v>
      </c>
      <c r="H372" s="62" t="s">
        <v>373</v>
      </c>
      <c r="I372" s="64">
        <v>638366</v>
      </c>
      <c r="J372" s="62" t="s">
        <v>373</v>
      </c>
      <c r="K372" s="62" t="s">
        <v>1693</v>
      </c>
      <c r="L372" s="65" t="s">
        <v>306</v>
      </c>
      <c r="M372" s="62" t="s">
        <v>354</v>
      </c>
      <c r="N372" s="62" t="s">
        <v>357</v>
      </c>
      <c r="O372" s="62" t="s">
        <v>358</v>
      </c>
      <c r="P372" s="62" t="s">
        <v>2421</v>
      </c>
      <c r="Q372" s="66" t="s">
        <v>1971</v>
      </c>
    </row>
    <row r="373" spans="1:17" x14ac:dyDescent="0.3">
      <c r="A373" s="61" t="s">
        <v>2031</v>
      </c>
      <c r="B373" s="62" t="s">
        <v>840</v>
      </c>
      <c r="C373" s="62" t="s">
        <v>841</v>
      </c>
      <c r="D373" s="63">
        <v>44896</v>
      </c>
      <c r="E373" s="63">
        <v>46172</v>
      </c>
      <c r="F373" s="62" t="s">
        <v>1922</v>
      </c>
      <c r="G373" s="62" t="s">
        <v>387</v>
      </c>
      <c r="H373" s="62" t="s">
        <v>2427</v>
      </c>
      <c r="I373" s="64">
        <v>13890905</v>
      </c>
      <c r="J373" s="62" t="s">
        <v>664</v>
      </c>
      <c r="K373" s="62" t="s">
        <v>377</v>
      </c>
      <c r="L373" s="65" t="s">
        <v>306</v>
      </c>
      <c r="M373" s="62" t="s">
        <v>356</v>
      </c>
      <c r="N373" s="62" t="s">
        <v>314</v>
      </c>
      <c r="O373" s="62" t="s">
        <v>315</v>
      </c>
      <c r="P373" s="62" t="s">
        <v>2421</v>
      </c>
      <c r="Q373" s="66" t="s">
        <v>1969</v>
      </c>
    </row>
    <row r="374" spans="1:17" x14ac:dyDescent="0.3">
      <c r="A374" s="61" t="s">
        <v>2032</v>
      </c>
      <c r="B374" s="62" t="s">
        <v>844</v>
      </c>
      <c r="C374" s="62" t="s">
        <v>845</v>
      </c>
      <c r="D374" s="63">
        <v>44868</v>
      </c>
      <c r="E374" s="63">
        <v>46115</v>
      </c>
      <c r="F374" s="62" t="s">
        <v>282</v>
      </c>
      <c r="G374" s="62" t="s">
        <v>304</v>
      </c>
      <c r="H374" s="62" t="s">
        <v>467</v>
      </c>
      <c r="I374" s="64">
        <v>62454.400000000001</v>
      </c>
      <c r="J374" s="62" t="s">
        <v>468</v>
      </c>
      <c r="K374" s="62" t="s">
        <v>467</v>
      </c>
      <c r="L374" s="65" t="s">
        <v>306</v>
      </c>
      <c r="M374" s="62" t="s">
        <v>509</v>
      </c>
      <c r="N374" s="62" t="s">
        <v>551</v>
      </c>
      <c r="O374" s="62" t="s">
        <v>428</v>
      </c>
      <c r="P374" s="62" t="s">
        <v>2421</v>
      </c>
      <c r="Q374" s="66" t="s">
        <v>1972</v>
      </c>
    </row>
    <row r="375" spans="1:17" x14ac:dyDescent="0.3">
      <c r="A375" s="61" t="s">
        <v>2032</v>
      </c>
      <c r="B375" s="62" t="s">
        <v>844</v>
      </c>
      <c r="C375" s="62" t="s">
        <v>845</v>
      </c>
      <c r="D375" s="63">
        <v>44868</v>
      </c>
      <c r="E375" s="63">
        <v>46115</v>
      </c>
      <c r="F375" s="62" t="s">
        <v>348</v>
      </c>
      <c r="G375" s="62" t="s">
        <v>304</v>
      </c>
      <c r="H375" s="62" t="s">
        <v>467</v>
      </c>
      <c r="I375" s="64">
        <v>62454.400000000001</v>
      </c>
      <c r="J375" s="62" t="s">
        <v>468</v>
      </c>
      <c r="K375" s="62" t="s">
        <v>467</v>
      </c>
      <c r="L375" s="65" t="s">
        <v>306</v>
      </c>
      <c r="M375" s="62" t="s">
        <v>509</v>
      </c>
      <c r="N375" s="62" t="s">
        <v>551</v>
      </c>
      <c r="O375" s="62" t="s">
        <v>428</v>
      </c>
      <c r="P375" s="62" t="s">
        <v>2421</v>
      </c>
      <c r="Q375" s="66" t="s">
        <v>1972</v>
      </c>
    </row>
    <row r="376" spans="1:17" x14ac:dyDescent="0.3">
      <c r="A376" s="61" t="s">
        <v>2032</v>
      </c>
      <c r="B376" s="62" t="s">
        <v>844</v>
      </c>
      <c r="C376" s="62" t="s">
        <v>845</v>
      </c>
      <c r="D376" s="63">
        <v>44868</v>
      </c>
      <c r="E376" s="63">
        <v>46115</v>
      </c>
      <c r="F376" s="62" t="s">
        <v>1933</v>
      </c>
      <c r="G376" s="62" t="s">
        <v>304</v>
      </c>
      <c r="H376" s="62" t="s">
        <v>467</v>
      </c>
      <c r="I376" s="64">
        <v>62454.400000000001</v>
      </c>
      <c r="J376" s="62" t="s">
        <v>468</v>
      </c>
      <c r="K376" s="62" t="s">
        <v>467</v>
      </c>
      <c r="L376" s="65" t="s">
        <v>306</v>
      </c>
      <c r="M376" s="62" t="s">
        <v>509</v>
      </c>
      <c r="N376" s="62" t="s">
        <v>551</v>
      </c>
      <c r="O376" s="62" t="s">
        <v>428</v>
      </c>
      <c r="P376" s="62" t="s">
        <v>2421</v>
      </c>
      <c r="Q376" s="66" t="s">
        <v>1972</v>
      </c>
    </row>
    <row r="377" spans="1:17" x14ac:dyDescent="0.3">
      <c r="A377" s="61" t="s">
        <v>2032</v>
      </c>
      <c r="B377" s="62" t="s">
        <v>844</v>
      </c>
      <c r="C377" s="62" t="s">
        <v>845</v>
      </c>
      <c r="D377" s="63">
        <v>44868</v>
      </c>
      <c r="E377" s="63">
        <v>46115</v>
      </c>
      <c r="F377" s="62" t="s">
        <v>1922</v>
      </c>
      <c r="G377" s="62" t="s">
        <v>304</v>
      </c>
      <c r="H377" s="62" t="s">
        <v>467</v>
      </c>
      <c r="I377" s="64">
        <v>62454.400000000001</v>
      </c>
      <c r="J377" s="62" t="s">
        <v>468</v>
      </c>
      <c r="K377" s="62" t="s">
        <v>467</v>
      </c>
      <c r="L377" s="65" t="s">
        <v>306</v>
      </c>
      <c r="M377" s="62" t="s">
        <v>509</v>
      </c>
      <c r="N377" s="62" t="s">
        <v>551</v>
      </c>
      <c r="O377" s="62" t="s">
        <v>428</v>
      </c>
      <c r="P377" s="62" t="s">
        <v>2421</v>
      </c>
      <c r="Q377" s="66" t="s">
        <v>1972</v>
      </c>
    </row>
    <row r="378" spans="1:17" x14ac:dyDescent="0.3">
      <c r="A378" s="61" t="s">
        <v>2032</v>
      </c>
      <c r="B378" s="62" t="s">
        <v>844</v>
      </c>
      <c r="C378" s="62" t="s">
        <v>845</v>
      </c>
      <c r="D378" s="63">
        <v>44868</v>
      </c>
      <c r="E378" s="63">
        <v>46115</v>
      </c>
      <c r="F378" s="62" t="s">
        <v>1943</v>
      </c>
      <c r="G378" s="62" t="s">
        <v>304</v>
      </c>
      <c r="H378" s="62" t="s">
        <v>467</v>
      </c>
      <c r="I378" s="64">
        <v>62454.400000000001</v>
      </c>
      <c r="J378" s="62" t="s">
        <v>468</v>
      </c>
      <c r="K378" s="62" t="s">
        <v>467</v>
      </c>
      <c r="L378" s="65" t="s">
        <v>306</v>
      </c>
      <c r="M378" s="62" t="s">
        <v>509</v>
      </c>
      <c r="N378" s="62" t="s">
        <v>551</v>
      </c>
      <c r="O378" s="62" t="s">
        <v>428</v>
      </c>
      <c r="P378" s="62" t="s">
        <v>2421</v>
      </c>
      <c r="Q378" s="66" t="s">
        <v>1972</v>
      </c>
    </row>
    <row r="379" spans="1:17" x14ac:dyDescent="0.3">
      <c r="A379" s="61" t="s">
        <v>2032</v>
      </c>
      <c r="B379" s="62" t="s">
        <v>844</v>
      </c>
      <c r="C379" s="62" t="s">
        <v>845</v>
      </c>
      <c r="D379" s="63">
        <v>44868</v>
      </c>
      <c r="E379" s="63">
        <v>46115</v>
      </c>
      <c r="F379" s="62" t="s">
        <v>284</v>
      </c>
      <c r="G379" s="62" t="s">
        <v>304</v>
      </c>
      <c r="H379" s="62" t="s">
        <v>467</v>
      </c>
      <c r="I379" s="64">
        <v>62454.400000000001</v>
      </c>
      <c r="J379" s="62" t="s">
        <v>468</v>
      </c>
      <c r="K379" s="62" t="s">
        <v>467</v>
      </c>
      <c r="L379" s="65" t="s">
        <v>306</v>
      </c>
      <c r="M379" s="62" t="s">
        <v>509</v>
      </c>
      <c r="N379" s="62" t="s">
        <v>551</v>
      </c>
      <c r="O379" s="62" t="s">
        <v>428</v>
      </c>
      <c r="P379" s="62" t="s">
        <v>2421</v>
      </c>
      <c r="Q379" s="66" t="s">
        <v>1972</v>
      </c>
    </row>
    <row r="380" spans="1:17" x14ac:dyDescent="0.3">
      <c r="A380" s="61" t="s">
        <v>2032</v>
      </c>
      <c r="B380" s="62" t="s">
        <v>844</v>
      </c>
      <c r="C380" s="62" t="s">
        <v>845</v>
      </c>
      <c r="D380" s="63">
        <v>44868</v>
      </c>
      <c r="E380" s="63">
        <v>46115</v>
      </c>
      <c r="F380" s="62" t="s">
        <v>1959</v>
      </c>
      <c r="G380" s="62" t="s">
        <v>304</v>
      </c>
      <c r="H380" s="62" t="s">
        <v>467</v>
      </c>
      <c r="I380" s="64">
        <v>62454.400000000001</v>
      </c>
      <c r="J380" s="62" t="s">
        <v>468</v>
      </c>
      <c r="K380" s="62" t="s">
        <v>467</v>
      </c>
      <c r="L380" s="65" t="s">
        <v>306</v>
      </c>
      <c r="M380" s="62" t="s">
        <v>509</v>
      </c>
      <c r="N380" s="62" t="s">
        <v>551</v>
      </c>
      <c r="O380" s="62" t="s">
        <v>428</v>
      </c>
      <c r="P380" s="62" t="s">
        <v>2421</v>
      </c>
      <c r="Q380" s="66" t="s">
        <v>1972</v>
      </c>
    </row>
    <row r="381" spans="1:17" x14ac:dyDescent="0.3">
      <c r="A381" s="61" t="s">
        <v>2032</v>
      </c>
      <c r="B381" s="62" t="s">
        <v>844</v>
      </c>
      <c r="C381" s="62" t="s">
        <v>845</v>
      </c>
      <c r="D381" s="63">
        <v>44868</v>
      </c>
      <c r="E381" s="63">
        <v>46115</v>
      </c>
      <c r="F381" s="62" t="s">
        <v>1936</v>
      </c>
      <c r="G381" s="62" t="s">
        <v>304</v>
      </c>
      <c r="H381" s="62" t="s">
        <v>467</v>
      </c>
      <c r="I381" s="64">
        <v>62454.400000000001</v>
      </c>
      <c r="J381" s="62" t="s">
        <v>468</v>
      </c>
      <c r="K381" s="62" t="s">
        <v>467</v>
      </c>
      <c r="L381" s="65" t="s">
        <v>306</v>
      </c>
      <c r="M381" s="62" t="s">
        <v>509</v>
      </c>
      <c r="N381" s="62" t="s">
        <v>551</v>
      </c>
      <c r="O381" s="62" t="s">
        <v>428</v>
      </c>
      <c r="P381" s="62" t="s">
        <v>2421</v>
      </c>
      <c r="Q381" s="66" t="s">
        <v>1972</v>
      </c>
    </row>
    <row r="382" spans="1:17" x14ac:dyDescent="0.3">
      <c r="A382" s="61" t="s">
        <v>2032</v>
      </c>
      <c r="B382" s="62" t="s">
        <v>844</v>
      </c>
      <c r="C382" s="62" t="s">
        <v>845</v>
      </c>
      <c r="D382" s="63">
        <v>44868</v>
      </c>
      <c r="E382" s="63">
        <v>46115</v>
      </c>
      <c r="F382" s="62" t="s">
        <v>287</v>
      </c>
      <c r="G382" s="62" t="s">
        <v>304</v>
      </c>
      <c r="H382" s="62" t="s">
        <v>467</v>
      </c>
      <c r="I382" s="64">
        <v>62454.400000000001</v>
      </c>
      <c r="J382" s="62" t="s">
        <v>468</v>
      </c>
      <c r="K382" s="62" t="s">
        <v>467</v>
      </c>
      <c r="L382" s="65" t="s">
        <v>306</v>
      </c>
      <c r="M382" s="62" t="s">
        <v>509</v>
      </c>
      <c r="N382" s="62" t="s">
        <v>551</v>
      </c>
      <c r="O382" s="62" t="s">
        <v>428</v>
      </c>
      <c r="P382" s="62" t="s">
        <v>2421</v>
      </c>
      <c r="Q382" s="66" t="s">
        <v>1972</v>
      </c>
    </row>
    <row r="383" spans="1:17" x14ac:dyDescent="0.3">
      <c r="A383" s="61" t="s">
        <v>2032</v>
      </c>
      <c r="B383" s="62" t="s">
        <v>844</v>
      </c>
      <c r="C383" s="62" t="s">
        <v>845</v>
      </c>
      <c r="D383" s="63">
        <v>44868</v>
      </c>
      <c r="E383" s="63">
        <v>46115</v>
      </c>
      <c r="F383" s="62" t="s">
        <v>1945</v>
      </c>
      <c r="G383" s="62" t="s">
        <v>304</v>
      </c>
      <c r="H383" s="62" t="s">
        <v>467</v>
      </c>
      <c r="I383" s="64">
        <v>62454.400000000001</v>
      </c>
      <c r="J383" s="62" t="s">
        <v>468</v>
      </c>
      <c r="K383" s="62" t="s">
        <v>467</v>
      </c>
      <c r="L383" s="65" t="s">
        <v>306</v>
      </c>
      <c r="M383" s="62" t="s">
        <v>509</v>
      </c>
      <c r="N383" s="62" t="s">
        <v>551</v>
      </c>
      <c r="O383" s="62" t="s">
        <v>428</v>
      </c>
      <c r="P383" s="62" t="s">
        <v>2421</v>
      </c>
      <c r="Q383" s="66" t="s">
        <v>1972</v>
      </c>
    </row>
    <row r="384" spans="1:17" x14ac:dyDescent="0.3">
      <c r="A384" s="61" t="s">
        <v>2033</v>
      </c>
      <c r="B384" s="62" t="s">
        <v>846</v>
      </c>
      <c r="C384" s="62" t="s">
        <v>847</v>
      </c>
      <c r="D384" s="63">
        <v>44774</v>
      </c>
      <c r="E384" s="63">
        <v>46264</v>
      </c>
      <c r="F384" s="62" t="s">
        <v>350</v>
      </c>
      <c r="G384" s="62" t="s">
        <v>350</v>
      </c>
      <c r="H384" s="62" t="s">
        <v>2427</v>
      </c>
      <c r="I384" s="64">
        <v>2052000</v>
      </c>
      <c r="J384" s="62" t="s">
        <v>848</v>
      </c>
      <c r="K384" s="62" t="s">
        <v>377</v>
      </c>
      <c r="L384" s="65" t="s">
        <v>353</v>
      </c>
      <c r="M384" s="62" t="s">
        <v>457</v>
      </c>
      <c r="N384" s="62" t="s">
        <v>616</v>
      </c>
      <c r="O384" s="62" t="s">
        <v>459</v>
      </c>
      <c r="P384" s="62" t="s">
        <v>2421</v>
      </c>
      <c r="Q384" s="66" t="s">
        <v>1971</v>
      </c>
    </row>
    <row r="385" spans="1:17" x14ac:dyDescent="0.3">
      <c r="A385" s="61" t="s">
        <v>2034</v>
      </c>
      <c r="B385" s="62" t="s">
        <v>849</v>
      </c>
      <c r="C385" s="62" t="s">
        <v>850</v>
      </c>
      <c r="D385" s="63">
        <v>44784</v>
      </c>
      <c r="E385" s="63">
        <v>46610</v>
      </c>
      <c r="F385" s="62" t="s">
        <v>286</v>
      </c>
      <c r="G385" s="62" t="s">
        <v>304</v>
      </c>
      <c r="H385" s="62" t="s">
        <v>608</v>
      </c>
      <c r="I385" s="64">
        <v>2710000</v>
      </c>
      <c r="J385" s="62" t="s">
        <v>609</v>
      </c>
      <c r="K385" s="62" t="s">
        <v>608</v>
      </c>
      <c r="L385" s="65" t="s">
        <v>306</v>
      </c>
      <c r="M385" s="62" t="s">
        <v>457</v>
      </c>
      <c r="N385" s="62" t="s">
        <v>851</v>
      </c>
      <c r="O385" s="62" t="s">
        <v>637</v>
      </c>
      <c r="P385" s="62" t="s">
        <v>2421</v>
      </c>
      <c r="Q385" s="66" t="s">
        <v>1969</v>
      </c>
    </row>
    <row r="386" spans="1:17" x14ac:dyDescent="0.3">
      <c r="A386" s="61" t="s">
        <v>2035</v>
      </c>
      <c r="B386" s="62" t="s">
        <v>852</v>
      </c>
      <c r="C386" s="62" t="s">
        <v>853</v>
      </c>
      <c r="D386" s="63">
        <v>44958</v>
      </c>
      <c r="E386" s="63">
        <v>46053</v>
      </c>
      <c r="F386" s="62" t="s">
        <v>282</v>
      </c>
      <c r="G386" s="62" t="s">
        <v>854</v>
      </c>
      <c r="H386" s="62" t="s">
        <v>373</v>
      </c>
      <c r="I386" s="64">
        <v>218329.83333333299</v>
      </c>
      <c r="J386" s="62" t="s">
        <v>373</v>
      </c>
      <c r="K386" s="62" t="s">
        <v>1693</v>
      </c>
      <c r="L386" s="65" t="s">
        <v>306</v>
      </c>
      <c r="M386" s="62" t="s">
        <v>825</v>
      </c>
      <c r="N386" s="62" t="s">
        <v>471</v>
      </c>
      <c r="O386" s="62" t="s">
        <v>371</v>
      </c>
      <c r="P386" s="62" t="s">
        <v>2421</v>
      </c>
      <c r="Q386" s="66" t="s">
        <v>1972</v>
      </c>
    </row>
    <row r="387" spans="1:17" x14ac:dyDescent="0.3">
      <c r="A387" s="61" t="s">
        <v>2035</v>
      </c>
      <c r="B387" s="62" t="s">
        <v>852</v>
      </c>
      <c r="C387" s="62" t="s">
        <v>853</v>
      </c>
      <c r="D387" s="63">
        <v>44958</v>
      </c>
      <c r="E387" s="63">
        <v>46053</v>
      </c>
      <c r="F387" s="62" t="s">
        <v>282</v>
      </c>
      <c r="G387" s="62" t="s">
        <v>785</v>
      </c>
      <c r="H387" s="62" t="s">
        <v>373</v>
      </c>
      <c r="I387" s="64">
        <v>218329.83333333299</v>
      </c>
      <c r="J387" s="62" t="s">
        <v>373</v>
      </c>
      <c r="K387" s="62" t="s">
        <v>1693</v>
      </c>
      <c r="L387" s="65" t="s">
        <v>306</v>
      </c>
      <c r="M387" s="62" t="s">
        <v>825</v>
      </c>
      <c r="N387" s="62" t="s">
        <v>471</v>
      </c>
      <c r="O387" s="62" t="s">
        <v>371</v>
      </c>
      <c r="P387" s="62" t="s">
        <v>2421</v>
      </c>
      <c r="Q387" s="66" t="s">
        <v>1972</v>
      </c>
    </row>
    <row r="388" spans="1:17" x14ac:dyDescent="0.3">
      <c r="A388" s="61" t="s">
        <v>2035</v>
      </c>
      <c r="B388" s="62" t="s">
        <v>852</v>
      </c>
      <c r="C388" s="62" t="s">
        <v>853</v>
      </c>
      <c r="D388" s="63">
        <v>44958</v>
      </c>
      <c r="E388" s="63">
        <v>46053</v>
      </c>
      <c r="F388" s="62" t="s">
        <v>282</v>
      </c>
      <c r="G388" s="62" t="s">
        <v>668</v>
      </c>
      <c r="H388" s="62" t="s">
        <v>373</v>
      </c>
      <c r="I388" s="64">
        <v>218329.83333333299</v>
      </c>
      <c r="J388" s="62" t="s">
        <v>373</v>
      </c>
      <c r="K388" s="62" t="s">
        <v>1693</v>
      </c>
      <c r="L388" s="65" t="s">
        <v>306</v>
      </c>
      <c r="M388" s="62" t="s">
        <v>825</v>
      </c>
      <c r="N388" s="62" t="s">
        <v>471</v>
      </c>
      <c r="O388" s="62" t="s">
        <v>371</v>
      </c>
      <c r="P388" s="62" t="s">
        <v>2421</v>
      </c>
      <c r="Q388" s="66" t="s">
        <v>1972</v>
      </c>
    </row>
    <row r="389" spans="1:17" x14ac:dyDescent="0.3">
      <c r="A389" s="61" t="s">
        <v>2035</v>
      </c>
      <c r="B389" s="62" t="s">
        <v>852</v>
      </c>
      <c r="C389" s="62" t="s">
        <v>853</v>
      </c>
      <c r="D389" s="63">
        <v>44958</v>
      </c>
      <c r="E389" s="63">
        <v>46053</v>
      </c>
      <c r="F389" s="62" t="s">
        <v>282</v>
      </c>
      <c r="G389" s="62" t="s">
        <v>786</v>
      </c>
      <c r="H389" s="62" t="s">
        <v>373</v>
      </c>
      <c r="I389" s="64">
        <v>218329.83333333299</v>
      </c>
      <c r="J389" s="62" t="s">
        <v>373</v>
      </c>
      <c r="K389" s="62" t="s">
        <v>1693</v>
      </c>
      <c r="L389" s="65" t="s">
        <v>306</v>
      </c>
      <c r="M389" s="62" t="s">
        <v>825</v>
      </c>
      <c r="N389" s="62" t="s">
        <v>471</v>
      </c>
      <c r="O389" s="62" t="s">
        <v>371</v>
      </c>
      <c r="P389" s="62" t="s">
        <v>2421</v>
      </c>
      <c r="Q389" s="66" t="s">
        <v>1972</v>
      </c>
    </row>
    <row r="390" spans="1:17" x14ac:dyDescent="0.3">
      <c r="A390" s="61" t="s">
        <v>2035</v>
      </c>
      <c r="B390" s="62" t="s">
        <v>852</v>
      </c>
      <c r="C390" s="62" t="s">
        <v>853</v>
      </c>
      <c r="D390" s="63">
        <v>44958</v>
      </c>
      <c r="E390" s="63">
        <v>46053</v>
      </c>
      <c r="F390" s="62" t="s">
        <v>282</v>
      </c>
      <c r="G390" s="62" t="s">
        <v>806</v>
      </c>
      <c r="H390" s="62" t="s">
        <v>373</v>
      </c>
      <c r="I390" s="64">
        <v>218329.83333333299</v>
      </c>
      <c r="J390" s="62" t="s">
        <v>373</v>
      </c>
      <c r="K390" s="62" t="s">
        <v>1693</v>
      </c>
      <c r="L390" s="65" t="s">
        <v>306</v>
      </c>
      <c r="M390" s="62" t="s">
        <v>825</v>
      </c>
      <c r="N390" s="62" t="s">
        <v>471</v>
      </c>
      <c r="O390" s="62" t="s">
        <v>371</v>
      </c>
      <c r="P390" s="62" t="s">
        <v>2421</v>
      </c>
      <c r="Q390" s="66" t="s">
        <v>1972</v>
      </c>
    </row>
    <row r="391" spans="1:17" x14ac:dyDescent="0.3">
      <c r="A391" s="61" t="s">
        <v>2035</v>
      </c>
      <c r="B391" s="62" t="s">
        <v>852</v>
      </c>
      <c r="C391" s="62" t="s">
        <v>853</v>
      </c>
      <c r="D391" s="63">
        <v>44958</v>
      </c>
      <c r="E391" s="63">
        <v>46053</v>
      </c>
      <c r="F391" s="62" t="s">
        <v>282</v>
      </c>
      <c r="G391" s="62" t="s">
        <v>787</v>
      </c>
      <c r="H391" s="62" t="s">
        <v>373</v>
      </c>
      <c r="I391" s="64">
        <v>218329.83333333299</v>
      </c>
      <c r="J391" s="62" t="s">
        <v>373</v>
      </c>
      <c r="K391" s="62" t="s">
        <v>1693</v>
      </c>
      <c r="L391" s="65" t="s">
        <v>306</v>
      </c>
      <c r="M391" s="62" t="s">
        <v>825</v>
      </c>
      <c r="N391" s="62" t="s">
        <v>471</v>
      </c>
      <c r="O391" s="62" t="s">
        <v>371</v>
      </c>
      <c r="P391" s="62" t="s">
        <v>2421</v>
      </c>
      <c r="Q391" s="66" t="s">
        <v>1972</v>
      </c>
    </row>
    <row r="392" spans="1:17" x14ac:dyDescent="0.3">
      <c r="A392" s="61" t="s">
        <v>2036</v>
      </c>
      <c r="B392" s="62" t="s">
        <v>856</v>
      </c>
      <c r="C392" s="62" t="s">
        <v>857</v>
      </c>
      <c r="D392" s="63">
        <v>44755</v>
      </c>
      <c r="E392" s="63">
        <v>46307</v>
      </c>
      <c r="F392" s="62" t="s">
        <v>1931</v>
      </c>
      <c r="G392" s="62" t="s">
        <v>304</v>
      </c>
      <c r="H392" s="62" t="s">
        <v>373</v>
      </c>
      <c r="I392" s="64">
        <v>66270.461538461503</v>
      </c>
      <c r="J392" s="62" t="s">
        <v>373</v>
      </c>
      <c r="K392" s="62" t="s">
        <v>1693</v>
      </c>
      <c r="L392" s="65" t="s">
        <v>306</v>
      </c>
      <c r="M392" s="62" t="s">
        <v>346</v>
      </c>
      <c r="N392" s="62" t="s">
        <v>640</v>
      </c>
      <c r="O392" s="62" t="s">
        <v>417</v>
      </c>
      <c r="P392" s="62" t="s">
        <v>2421</v>
      </c>
      <c r="Q392" s="66" t="s">
        <v>1965</v>
      </c>
    </row>
    <row r="393" spans="1:17" x14ac:dyDescent="0.3">
      <c r="A393" s="61" t="s">
        <v>2036</v>
      </c>
      <c r="B393" s="62" t="s">
        <v>856</v>
      </c>
      <c r="C393" s="62" t="s">
        <v>857</v>
      </c>
      <c r="D393" s="63">
        <v>44755</v>
      </c>
      <c r="E393" s="63">
        <v>46307</v>
      </c>
      <c r="F393" s="62" t="s">
        <v>282</v>
      </c>
      <c r="G393" s="62" t="s">
        <v>304</v>
      </c>
      <c r="H393" s="62" t="s">
        <v>373</v>
      </c>
      <c r="I393" s="64">
        <v>66270.461538461503</v>
      </c>
      <c r="J393" s="62" t="s">
        <v>373</v>
      </c>
      <c r="K393" s="62" t="s">
        <v>1693</v>
      </c>
      <c r="L393" s="65" t="s">
        <v>306</v>
      </c>
      <c r="M393" s="62" t="s">
        <v>346</v>
      </c>
      <c r="N393" s="62" t="s">
        <v>640</v>
      </c>
      <c r="O393" s="62" t="s">
        <v>417</v>
      </c>
      <c r="P393" s="62" t="s">
        <v>2421</v>
      </c>
      <c r="Q393" s="66" t="s">
        <v>1965</v>
      </c>
    </row>
    <row r="394" spans="1:17" x14ac:dyDescent="0.3">
      <c r="A394" s="61" t="s">
        <v>2036</v>
      </c>
      <c r="B394" s="62" t="s">
        <v>856</v>
      </c>
      <c r="C394" s="62" t="s">
        <v>857</v>
      </c>
      <c r="D394" s="63">
        <v>44755</v>
      </c>
      <c r="E394" s="63">
        <v>46307</v>
      </c>
      <c r="F394" s="62" t="s">
        <v>1935</v>
      </c>
      <c r="G394" s="62" t="s">
        <v>304</v>
      </c>
      <c r="H394" s="62" t="s">
        <v>373</v>
      </c>
      <c r="I394" s="64">
        <v>66270.461538461503</v>
      </c>
      <c r="J394" s="62" t="s">
        <v>373</v>
      </c>
      <c r="K394" s="62" t="s">
        <v>1693</v>
      </c>
      <c r="L394" s="65" t="s">
        <v>306</v>
      </c>
      <c r="M394" s="62" t="s">
        <v>346</v>
      </c>
      <c r="N394" s="62" t="s">
        <v>640</v>
      </c>
      <c r="O394" s="62" t="s">
        <v>417</v>
      </c>
      <c r="P394" s="62" t="s">
        <v>2421</v>
      </c>
      <c r="Q394" s="66" t="s">
        <v>1965</v>
      </c>
    </row>
    <row r="395" spans="1:17" x14ac:dyDescent="0.3">
      <c r="A395" s="61" t="s">
        <v>2036</v>
      </c>
      <c r="B395" s="62" t="s">
        <v>856</v>
      </c>
      <c r="C395" s="62" t="s">
        <v>857</v>
      </c>
      <c r="D395" s="63">
        <v>44755</v>
      </c>
      <c r="E395" s="63">
        <v>46307</v>
      </c>
      <c r="F395" s="62" t="s">
        <v>286</v>
      </c>
      <c r="G395" s="62" t="s">
        <v>304</v>
      </c>
      <c r="H395" s="62" t="s">
        <v>373</v>
      </c>
      <c r="I395" s="64">
        <v>66270.461538461503</v>
      </c>
      <c r="J395" s="62" t="s">
        <v>373</v>
      </c>
      <c r="K395" s="62" t="s">
        <v>1693</v>
      </c>
      <c r="L395" s="65" t="s">
        <v>306</v>
      </c>
      <c r="M395" s="62" t="s">
        <v>346</v>
      </c>
      <c r="N395" s="62" t="s">
        <v>640</v>
      </c>
      <c r="O395" s="62" t="s">
        <v>417</v>
      </c>
      <c r="P395" s="62" t="s">
        <v>2421</v>
      </c>
      <c r="Q395" s="66" t="s">
        <v>1965</v>
      </c>
    </row>
    <row r="396" spans="1:17" x14ac:dyDescent="0.3">
      <c r="A396" s="61" t="s">
        <v>2036</v>
      </c>
      <c r="B396" s="62" t="s">
        <v>856</v>
      </c>
      <c r="C396" s="62" t="s">
        <v>857</v>
      </c>
      <c r="D396" s="63">
        <v>44755</v>
      </c>
      <c r="E396" s="63">
        <v>46307</v>
      </c>
      <c r="F396" s="62" t="s">
        <v>1921</v>
      </c>
      <c r="G396" s="62" t="s">
        <v>304</v>
      </c>
      <c r="H396" s="62" t="s">
        <v>373</v>
      </c>
      <c r="I396" s="64">
        <v>66270.461538461503</v>
      </c>
      <c r="J396" s="62" t="s">
        <v>373</v>
      </c>
      <c r="K396" s="62" t="s">
        <v>1693</v>
      </c>
      <c r="L396" s="65" t="s">
        <v>306</v>
      </c>
      <c r="M396" s="62" t="s">
        <v>346</v>
      </c>
      <c r="N396" s="62" t="s">
        <v>640</v>
      </c>
      <c r="O396" s="62" t="s">
        <v>417</v>
      </c>
      <c r="P396" s="62" t="s">
        <v>2421</v>
      </c>
      <c r="Q396" s="66" t="s">
        <v>1965</v>
      </c>
    </row>
    <row r="397" spans="1:17" x14ac:dyDescent="0.3">
      <c r="A397" s="61" t="s">
        <v>2036</v>
      </c>
      <c r="B397" s="62" t="s">
        <v>856</v>
      </c>
      <c r="C397" s="62" t="s">
        <v>857</v>
      </c>
      <c r="D397" s="63">
        <v>44755</v>
      </c>
      <c r="E397" s="63">
        <v>46307</v>
      </c>
      <c r="F397" s="62" t="s">
        <v>289</v>
      </c>
      <c r="G397" s="62" t="s">
        <v>304</v>
      </c>
      <c r="H397" s="62" t="s">
        <v>373</v>
      </c>
      <c r="I397" s="64">
        <v>66270.461538461503</v>
      </c>
      <c r="J397" s="62" t="s">
        <v>373</v>
      </c>
      <c r="K397" s="62" t="s">
        <v>1693</v>
      </c>
      <c r="L397" s="65" t="s">
        <v>306</v>
      </c>
      <c r="M397" s="62" t="s">
        <v>346</v>
      </c>
      <c r="N397" s="62" t="s">
        <v>640</v>
      </c>
      <c r="O397" s="62" t="s">
        <v>417</v>
      </c>
      <c r="P397" s="62" t="s">
        <v>2421</v>
      </c>
      <c r="Q397" s="66" t="s">
        <v>1965</v>
      </c>
    </row>
    <row r="398" spans="1:17" x14ac:dyDescent="0.3">
      <c r="A398" s="61" t="s">
        <v>2036</v>
      </c>
      <c r="B398" s="62" t="s">
        <v>856</v>
      </c>
      <c r="C398" s="62" t="s">
        <v>857</v>
      </c>
      <c r="D398" s="63">
        <v>44755</v>
      </c>
      <c r="E398" s="63">
        <v>46307</v>
      </c>
      <c r="F398" s="62" t="s">
        <v>348</v>
      </c>
      <c r="G398" s="62" t="s">
        <v>304</v>
      </c>
      <c r="H398" s="62" t="s">
        <v>373</v>
      </c>
      <c r="I398" s="64">
        <v>66270.461538461503</v>
      </c>
      <c r="J398" s="62" t="s">
        <v>373</v>
      </c>
      <c r="K398" s="62" t="s">
        <v>1693</v>
      </c>
      <c r="L398" s="65" t="s">
        <v>306</v>
      </c>
      <c r="M398" s="62" t="s">
        <v>346</v>
      </c>
      <c r="N398" s="62" t="s">
        <v>640</v>
      </c>
      <c r="O398" s="62" t="s">
        <v>417</v>
      </c>
      <c r="P398" s="62" t="s">
        <v>2421</v>
      </c>
      <c r="Q398" s="66" t="s">
        <v>1965</v>
      </c>
    </row>
    <row r="399" spans="1:17" x14ac:dyDescent="0.3">
      <c r="A399" s="61" t="s">
        <v>2036</v>
      </c>
      <c r="B399" s="62" t="s">
        <v>856</v>
      </c>
      <c r="C399" s="62" t="s">
        <v>857</v>
      </c>
      <c r="D399" s="63">
        <v>44755</v>
      </c>
      <c r="E399" s="63">
        <v>46307</v>
      </c>
      <c r="F399" s="62" t="s">
        <v>1933</v>
      </c>
      <c r="G399" s="62" t="s">
        <v>304</v>
      </c>
      <c r="H399" s="62" t="s">
        <v>373</v>
      </c>
      <c r="I399" s="64">
        <v>66270.461538461503</v>
      </c>
      <c r="J399" s="62" t="s">
        <v>373</v>
      </c>
      <c r="K399" s="62" t="s">
        <v>1693</v>
      </c>
      <c r="L399" s="65" t="s">
        <v>306</v>
      </c>
      <c r="M399" s="62" t="s">
        <v>346</v>
      </c>
      <c r="N399" s="62" t="s">
        <v>640</v>
      </c>
      <c r="O399" s="62" t="s">
        <v>417</v>
      </c>
      <c r="P399" s="62" t="s">
        <v>2421</v>
      </c>
      <c r="Q399" s="66" t="s">
        <v>1965</v>
      </c>
    </row>
    <row r="400" spans="1:17" x14ac:dyDescent="0.3">
      <c r="A400" s="61" t="s">
        <v>2036</v>
      </c>
      <c r="B400" s="62" t="s">
        <v>856</v>
      </c>
      <c r="C400" s="62" t="s">
        <v>857</v>
      </c>
      <c r="D400" s="63">
        <v>44755</v>
      </c>
      <c r="E400" s="63">
        <v>46307</v>
      </c>
      <c r="F400" s="62" t="s">
        <v>1937</v>
      </c>
      <c r="G400" s="62" t="s">
        <v>304</v>
      </c>
      <c r="H400" s="62" t="s">
        <v>373</v>
      </c>
      <c r="I400" s="64">
        <v>66270.461538461503</v>
      </c>
      <c r="J400" s="62" t="s">
        <v>373</v>
      </c>
      <c r="K400" s="62" t="s">
        <v>1693</v>
      </c>
      <c r="L400" s="65" t="s">
        <v>306</v>
      </c>
      <c r="M400" s="62" t="s">
        <v>346</v>
      </c>
      <c r="N400" s="62" t="s">
        <v>640</v>
      </c>
      <c r="O400" s="62" t="s">
        <v>417</v>
      </c>
      <c r="P400" s="62" t="s">
        <v>2421</v>
      </c>
      <c r="Q400" s="66" t="s">
        <v>1965</v>
      </c>
    </row>
    <row r="401" spans="1:17" x14ac:dyDescent="0.3">
      <c r="A401" s="61" t="s">
        <v>2036</v>
      </c>
      <c r="B401" s="62" t="s">
        <v>856</v>
      </c>
      <c r="C401" s="62" t="s">
        <v>857</v>
      </c>
      <c r="D401" s="63">
        <v>44755</v>
      </c>
      <c r="E401" s="63">
        <v>46307</v>
      </c>
      <c r="F401" s="62" t="s">
        <v>1922</v>
      </c>
      <c r="G401" s="62" t="s">
        <v>304</v>
      </c>
      <c r="H401" s="62" t="s">
        <v>373</v>
      </c>
      <c r="I401" s="64">
        <v>66270.461538461503</v>
      </c>
      <c r="J401" s="62" t="s">
        <v>373</v>
      </c>
      <c r="K401" s="62" t="s">
        <v>1693</v>
      </c>
      <c r="L401" s="65" t="s">
        <v>353</v>
      </c>
      <c r="M401" s="62" t="s">
        <v>346</v>
      </c>
      <c r="N401" s="62" t="s">
        <v>640</v>
      </c>
      <c r="O401" s="62" t="s">
        <v>417</v>
      </c>
      <c r="P401" s="62" t="s">
        <v>2421</v>
      </c>
      <c r="Q401" s="66" t="s">
        <v>1965</v>
      </c>
    </row>
    <row r="402" spans="1:17" x14ac:dyDescent="0.3">
      <c r="A402" s="61" t="s">
        <v>2036</v>
      </c>
      <c r="B402" s="62" t="s">
        <v>856</v>
      </c>
      <c r="C402" s="62" t="s">
        <v>857</v>
      </c>
      <c r="D402" s="63">
        <v>44755</v>
      </c>
      <c r="E402" s="63">
        <v>46307</v>
      </c>
      <c r="F402" s="62" t="s">
        <v>1943</v>
      </c>
      <c r="G402" s="62" t="s">
        <v>304</v>
      </c>
      <c r="H402" s="62" t="s">
        <v>373</v>
      </c>
      <c r="I402" s="64">
        <v>66270.461538461503</v>
      </c>
      <c r="J402" s="62" t="s">
        <v>373</v>
      </c>
      <c r="K402" s="62" t="s">
        <v>1693</v>
      </c>
      <c r="L402" s="65" t="s">
        <v>2423</v>
      </c>
      <c r="M402" s="62" t="s">
        <v>346</v>
      </c>
      <c r="N402" s="62" t="s">
        <v>640</v>
      </c>
      <c r="O402" s="62" t="s">
        <v>417</v>
      </c>
      <c r="P402" s="62" t="s">
        <v>2421</v>
      </c>
      <c r="Q402" s="66" t="s">
        <v>1965</v>
      </c>
    </row>
    <row r="403" spans="1:17" x14ac:dyDescent="0.3">
      <c r="A403" s="61" t="s">
        <v>2036</v>
      </c>
      <c r="B403" s="62" t="s">
        <v>856</v>
      </c>
      <c r="C403" s="62" t="s">
        <v>857</v>
      </c>
      <c r="D403" s="63">
        <v>44755</v>
      </c>
      <c r="E403" s="63">
        <v>46307</v>
      </c>
      <c r="F403" s="62" t="s">
        <v>1939</v>
      </c>
      <c r="G403" s="62" t="s">
        <v>304</v>
      </c>
      <c r="H403" s="62" t="s">
        <v>373</v>
      </c>
      <c r="I403" s="64">
        <v>66270.461538461503</v>
      </c>
      <c r="J403" s="62" t="s">
        <v>373</v>
      </c>
      <c r="K403" s="62" t="s">
        <v>1693</v>
      </c>
      <c r="L403" s="65" t="s">
        <v>306</v>
      </c>
      <c r="M403" s="62" t="s">
        <v>346</v>
      </c>
      <c r="N403" s="62" t="s">
        <v>640</v>
      </c>
      <c r="O403" s="62" t="s">
        <v>417</v>
      </c>
      <c r="P403" s="62" t="s">
        <v>2421</v>
      </c>
      <c r="Q403" s="66" t="s">
        <v>1965</v>
      </c>
    </row>
    <row r="404" spans="1:17" x14ac:dyDescent="0.3">
      <c r="A404" s="61" t="s">
        <v>2036</v>
      </c>
      <c r="B404" s="62" t="s">
        <v>856</v>
      </c>
      <c r="C404" s="62" t="s">
        <v>857</v>
      </c>
      <c r="D404" s="63">
        <v>44755</v>
      </c>
      <c r="E404" s="63">
        <v>46307</v>
      </c>
      <c r="F404" s="62" t="s">
        <v>1958</v>
      </c>
      <c r="G404" s="62" t="s">
        <v>304</v>
      </c>
      <c r="H404" s="62" t="s">
        <v>373</v>
      </c>
      <c r="I404" s="64">
        <v>66270.461538461503</v>
      </c>
      <c r="J404" s="62" t="s">
        <v>373</v>
      </c>
      <c r="K404" s="62" t="s">
        <v>1693</v>
      </c>
      <c r="L404" s="65" t="s">
        <v>306</v>
      </c>
      <c r="M404" s="62" t="s">
        <v>346</v>
      </c>
      <c r="N404" s="62" t="s">
        <v>640</v>
      </c>
      <c r="O404" s="62" t="s">
        <v>417</v>
      </c>
      <c r="P404" s="62" t="s">
        <v>2421</v>
      </c>
      <c r="Q404" s="66" t="s">
        <v>1965</v>
      </c>
    </row>
    <row r="405" spans="1:17" x14ac:dyDescent="0.3">
      <c r="A405" s="61" t="s">
        <v>2036</v>
      </c>
      <c r="B405" s="62" t="s">
        <v>856</v>
      </c>
      <c r="C405" s="62" t="s">
        <v>857</v>
      </c>
      <c r="D405" s="63">
        <v>44755</v>
      </c>
      <c r="E405" s="63">
        <v>46307</v>
      </c>
      <c r="F405" s="62" t="s">
        <v>1944</v>
      </c>
      <c r="G405" s="62" t="s">
        <v>304</v>
      </c>
      <c r="H405" s="62" t="s">
        <v>373</v>
      </c>
      <c r="I405" s="64">
        <v>66270.461538461503</v>
      </c>
      <c r="J405" s="62" t="s">
        <v>373</v>
      </c>
      <c r="K405" s="62" t="s">
        <v>1693</v>
      </c>
      <c r="L405" s="65" t="s">
        <v>306</v>
      </c>
      <c r="M405" s="62" t="s">
        <v>346</v>
      </c>
      <c r="N405" s="62" t="s">
        <v>640</v>
      </c>
      <c r="O405" s="62" t="s">
        <v>417</v>
      </c>
      <c r="P405" s="62" t="s">
        <v>2421</v>
      </c>
      <c r="Q405" s="66" t="s">
        <v>1965</v>
      </c>
    </row>
    <row r="406" spans="1:17" x14ac:dyDescent="0.3">
      <c r="A406" s="61" t="s">
        <v>2036</v>
      </c>
      <c r="B406" s="62" t="s">
        <v>856</v>
      </c>
      <c r="C406" s="62" t="s">
        <v>857</v>
      </c>
      <c r="D406" s="63">
        <v>44755</v>
      </c>
      <c r="E406" s="63">
        <v>46307</v>
      </c>
      <c r="F406" s="62" t="s">
        <v>1930</v>
      </c>
      <c r="G406" s="62" t="s">
        <v>304</v>
      </c>
      <c r="H406" s="62" t="s">
        <v>373</v>
      </c>
      <c r="I406" s="64">
        <v>66270.461538461503</v>
      </c>
      <c r="J406" s="62" t="s">
        <v>373</v>
      </c>
      <c r="K406" s="62" t="s">
        <v>1693</v>
      </c>
      <c r="L406" s="65" t="s">
        <v>306</v>
      </c>
      <c r="M406" s="62" t="s">
        <v>346</v>
      </c>
      <c r="N406" s="62" t="s">
        <v>640</v>
      </c>
      <c r="O406" s="62" t="s">
        <v>417</v>
      </c>
      <c r="P406" s="62" t="s">
        <v>2421</v>
      </c>
      <c r="Q406" s="66" t="s">
        <v>1965</v>
      </c>
    </row>
    <row r="407" spans="1:17" x14ac:dyDescent="0.3">
      <c r="A407" s="61" t="s">
        <v>2036</v>
      </c>
      <c r="B407" s="62" t="s">
        <v>856</v>
      </c>
      <c r="C407" s="62" t="s">
        <v>857</v>
      </c>
      <c r="D407" s="63">
        <v>44755</v>
      </c>
      <c r="E407" s="63">
        <v>46307</v>
      </c>
      <c r="F407" s="62" t="s">
        <v>284</v>
      </c>
      <c r="G407" s="62" t="s">
        <v>304</v>
      </c>
      <c r="H407" s="62" t="s">
        <v>373</v>
      </c>
      <c r="I407" s="64">
        <v>66270.461538461503</v>
      </c>
      <c r="J407" s="62" t="s">
        <v>373</v>
      </c>
      <c r="K407" s="62" t="s">
        <v>1693</v>
      </c>
      <c r="L407" s="65" t="s">
        <v>2423</v>
      </c>
      <c r="M407" s="62" t="s">
        <v>346</v>
      </c>
      <c r="N407" s="62" t="s">
        <v>640</v>
      </c>
      <c r="O407" s="62" t="s">
        <v>417</v>
      </c>
      <c r="P407" s="62" t="s">
        <v>2421</v>
      </c>
      <c r="Q407" s="66" t="s">
        <v>1965</v>
      </c>
    </row>
    <row r="408" spans="1:17" x14ac:dyDescent="0.3">
      <c r="A408" s="61" t="s">
        <v>2036</v>
      </c>
      <c r="B408" s="62" t="s">
        <v>856</v>
      </c>
      <c r="C408" s="62" t="s">
        <v>857</v>
      </c>
      <c r="D408" s="63">
        <v>44755</v>
      </c>
      <c r="E408" s="63">
        <v>46307</v>
      </c>
      <c r="F408" s="62" t="s">
        <v>1942</v>
      </c>
      <c r="G408" s="62" t="s">
        <v>304</v>
      </c>
      <c r="H408" s="62" t="s">
        <v>373</v>
      </c>
      <c r="I408" s="64">
        <v>66270.461538461503</v>
      </c>
      <c r="J408" s="62" t="s">
        <v>373</v>
      </c>
      <c r="K408" s="62" t="s">
        <v>1693</v>
      </c>
      <c r="L408" s="65" t="s">
        <v>2423</v>
      </c>
      <c r="M408" s="62" t="s">
        <v>346</v>
      </c>
      <c r="N408" s="62" t="s">
        <v>640</v>
      </c>
      <c r="O408" s="62" t="s">
        <v>417</v>
      </c>
      <c r="P408" s="62" t="s">
        <v>2421</v>
      </c>
      <c r="Q408" s="66" t="s">
        <v>1965</v>
      </c>
    </row>
    <row r="409" spans="1:17" x14ac:dyDescent="0.3">
      <c r="A409" s="61" t="s">
        <v>2036</v>
      </c>
      <c r="B409" s="62" t="s">
        <v>856</v>
      </c>
      <c r="C409" s="62" t="s">
        <v>857</v>
      </c>
      <c r="D409" s="63">
        <v>44755</v>
      </c>
      <c r="E409" s="63">
        <v>46307</v>
      </c>
      <c r="F409" s="62" t="s">
        <v>288</v>
      </c>
      <c r="G409" s="62" t="s">
        <v>304</v>
      </c>
      <c r="H409" s="62" t="s">
        <v>373</v>
      </c>
      <c r="I409" s="64">
        <v>66270.461538461503</v>
      </c>
      <c r="J409" s="62" t="s">
        <v>373</v>
      </c>
      <c r="K409" s="62" t="s">
        <v>1693</v>
      </c>
      <c r="L409" s="65" t="s">
        <v>2423</v>
      </c>
      <c r="M409" s="62" t="s">
        <v>346</v>
      </c>
      <c r="N409" s="62" t="s">
        <v>640</v>
      </c>
      <c r="O409" s="62" t="s">
        <v>417</v>
      </c>
      <c r="P409" s="62" t="s">
        <v>2421</v>
      </c>
      <c r="Q409" s="66" t="s">
        <v>1965</v>
      </c>
    </row>
    <row r="410" spans="1:17" x14ac:dyDescent="0.3">
      <c r="A410" s="61" t="s">
        <v>2036</v>
      </c>
      <c r="B410" s="62" t="s">
        <v>856</v>
      </c>
      <c r="C410" s="62" t="s">
        <v>857</v>
      </c>
      <c r="D410" s="63">
        <v>44755</v>
      </c>
      <c r="E410" s="63">
        <v>46307</v>
      </c>
      <c r="F410" s="62" t="s">
        <v>280</v>
      </c>
      <c r="G410" s="62" t="s">
        <v>304</v>
      </c>
      <c r="H410" s="62" t="s">
        <v>373</v>
      </c>
      <c r="I410" s="64">
        <v>66270.461538461503</v>
      </c>
      <c r="J410" s="62" t="s">
        <v>373</v>
      </c>
      <c r="K410" s="62" t="s">
        <v>1693</v>
      </c>
      <c r="L410" s="65" t="s">
        <v>306</v>
      </c>
      <c r="M410" s="62" t="s">
        <v>346</v>
      </c>
      <c r="N410" s="62" t="s">
        <v>640</v>
      </c>
      <c r="O410" s="62" t="s">
        <v>417</v>
      </c>
      <c r="P410" s="62" t="s">
        <v>2421</v>
      </c>
      <c r="Q410" s="66" t="s">
        <v>1965</v>
      </c>
    </row>
    <row r="411" spans="1:17" x14ac:dyDescent="0.3">
      <c r="A411" s="61" t="s">
        <v>2036</v>
      </c>
      <c r="B411" s="62" t="s">
        <v>856</v>
      </c>
      <c r="C411" s="62" t="s">
        <v>857</v>
      </c>
      <c r="D411" s="63">
        <v>44755</v>
      </c>
      <c r="E411" s="63">
        <v>46307</v>
      </c>
      <c r="F411" s="62" t="s">
        <v>1960</v>
      </c>
      <c r="G411" s="62" t="s">
        <v>304</v>
      </c>
      <c r="H411" s="62" t="s">
        <v>373</v>
      </c>
      <c r="I411" s="64">
        <v>66270.461538461503</v>
      </c>
      <c r="J411" s="62" t="s">
        <v>373</v>
      </c>
      <c r="K411" s="62" t="s">
        <v>1693</v>
      </c>
      <c r="L411" s="65" t="s">
        <v>306</v>
      </c>
      <c r="M411" s="62" t="s">
        <v>346</v>
      </c>
      <c r="N411" s="62" t="s">
        <v>640</v>
      </c>
      <c r="O411" s="62" t="s">
        <v>417</v>
      </c>
      <c r="P411" s="62" t="s">
        <v>2421</v>
      </c>
      <c r="Q411" s="66" t="s">
        <v>1965</v>
      </c>
    </row>
    <row r="412" spans="1:17" x14ac:dyDescent="0.3">
      <c r="A412" s="61" t="s">
        <v>2036</v>
      </c>
      <c r="B412" s="62" t="s">
        <v>856</v>
      </c>
      <c r="C412" s="62" t="s">
        <v>857</v>
      </c>
      <c r="D412" s="63">
        <v>44755</v>
      </c>
      <c r="E412" s="63">
        <v>46307</v>
      </c>
      <c r="F412" s="62" t="s">
        <v>1961</v>
      </c>
      <c r="G412" s="62" t="s">
        <v>304</v>
      </c>
      <c r="H412" s="62" t="s">
        <v>373</v>
      </c>
      <c r="I412" s="64">
        <v>66270.461538461503</v>
      </c>
      <c r="J412" s="62" t="s">
        <v>373</v>
      </c>
      <c r="K412" s="62" t="s">
        <v>1693</v>
      </c>
      <c r="L412" s="65" t="s">
        <v>306</v>
      </c>
      <c r="M412" s="62" t="s">
        <v>346</v>
      </c>
      <c r="N412" s="62" t="s">
        <v>640</v>
      </c>
      <c r="O412" s="62" t="s">
        <v>417</v>
      </c>
      <c r="P412" s="62" t="s">
        <v>2421</v>
      </c>
      <c r="Q412" s="66" t="s">
        <v>1965</v>
      </c>
    </row>
    <row r="413" spans="1:17" x14ac:dyDescent="0.3">
      <c r="A413" s="61" t="s">
        <v>2036</v>
      </c>
      <c r="B413" s="62" t="s">
        <v>856</v>
      </c>
      <c r="C413" s="62" t="s">
        <v>857</v>
      </c>
      <c r="D413" s="63">
        <v>44755</v>
      </c>
      <c r="E413" s="63">
        <v>46307</v>
      </c>
      <c r="F413" s="62" t="s">
        <v>1941</v>
      </c>
      <c r="G413" s="62" t="s">
        <v>304</v>
      </c>
      <c r="H413" s="62" t="s">
        <v>373</v>
      </c>
      <c r="I413" s="64">
        <v>66270.461538461503</v>
      </c>
      <c r="J413" s="62" t="s">
        <v>373</v>
      </c>
      <c r="K413" s="62" t="s">
        <v>1693</v>
      </c>
      <c r="L413" s="65" t="s">
        <v>306</v>
      </c>
      <c r="M413" s="62" t="s">
        <v>346</v>
      </c>
      <c r="N413" s="62" t="s">
        <v>640</v>
      </c>
      <c r="O413" s="62" t="s">
        <v>417</v>
      </c>
      <c r="P413" s="62" t="s">
        <v>2421</v>
      </c>
      <c r="Q413" s="66" t="s">
        <v>1965</v>
      </c>
    </row>
    <row r="414" spans="1:17" x14ac:dyDescent="0.3">
      <c r="A414" s="61" t="s">
        <v>2036</v>
      </c>
      <c r="B414" s="62" t="s">
        <v>856</v>
      </c>
      <c r="C414" s="62" t="s">
        <v>857</v>
      </c>
      <c r="D414" s="63">
        <v>44755</v>
      </c>
      <c r="E414" s="63">
        <v>46307</v>
      </c>
      <c r="F414" s="62" t="s">
        <v>1948</v>
      </c>
      <c r="G414" s="62" t="s">
        <v>304</v>
      </c>
      <c r="H414" s="62" t="s">
        <v>373</v>
      </c>
      <c r="I414" s="64">
        <v>66270.461538461503</v>
      </c>
      <c r="J414" s="62" t="s">
        <v>373</v>
      </c>
      <c r="K414" s="62" t="s">
        <v>1693</v>
      </c>
      <c r="L414" s="65" t="s">
        <v>306</v>
      </c>
      <c r="M414" s="62" t="s">
        <v>346</v>
      </c>
      <c r="N414" s="62" t="s">
        <v>640</v>
      </c>
      <c r="O414" s="62" t="s">
        <v>417</v>
      </c>
      <c r="P414" s="62" t="s">
        <v>2421</v>
      </c>
      <c r="Q414" s="66" t="s">
        <v>1965</v>
      </c>
    </row>
    <row r="415" spans="1:17" x14ac:dyDescent="0.3">
      <c r="A415" s="61" t="s">
        <v>2036</v>
      </c>
      <c r="B415" s="62" t="s">
        <v>856</v>
      </c>
      <c r="C415" s="62" t="s">
        <v>857</v>
      </c>
      <c r="D415" s="63">
        <v>44755</v>
      </c>
      <c r="E415" s="63">
        <v>46307</v>
      </c>
      <c r="F415" s="62" t="s">
        <v>1959</v>
      </c>
      <c r="G415" s="62" t="s">
        <v>304</v>
      </c>
      <c r="H415" s="62" t="s">
        <v>373</v>
      </c>
      <c r="I415" s="64">
        <v>66270.461538461503</v>
      </c>
      <c r="J415" s="62" t="s">
        <v>373</v>
      </c>
      <c r="K415" s="62" t="s">
        <v>1693</v>
      </c>
      <c r="L415" s="65" t="s">
        <v>306</v>
      </c>
      <c r="M415" s="62" t="s">
        <v>346</v>
      </c>
      <c r="N415" s="62" t="s">
        <v>640</v>
      </c>
      <c r="O415" s="62" t="s">
        <v>417</v>
      </c>
      <c r="P415" s="62" t="s">
        <v>2421</v>
      </c>
      <c r="Q415" s="66" t="s">
        <v>1965</v>
      </c>
    </row>
    <row r="416" spans="1:17" x14ac:dyDescent="0.3">
      <c r="A416" s="61" t="s">
        <v>2036</v>
      </c>
      <c r="B416" s="62" t="s">
        <v>856</v>
      </c>
      <c r="C416" s="62" t="s">
        <v>857</v>
      </c>
      <c r="D416" s="63">
        <v>44755</v>
      </c>
      <c r="E416" s="63">
        <v>46307</v>
      </c>
      <c r="F416" s="62" t="s">
        <v>287</v>
      </c>
      <c r="G416" s="62" t="s">
        <v>304</v>
      </c>
      <c r="H416" s="62" t="s">
        <v>373</v>
      </c>
      <c r="I416" s="64">
        <v>66270.461538461503</v>
      </c>
      <c r="J416" s="62" t="s">
        <v>373</v>
      </c>
      <c r="K416" s="62" t="s">
        <v>1693</v>
      </c>
      <c r="L416" s="65" t="s">
        <v>306</v>
      </c>
      <c r="M416" s="62" t="s">
        <v>346</v>
      </c>
      <c r="N416" s="62" t="s">
        <v>640</v>
      </c>
      <c r="O416" s="62" t="s">
        <v>417</v>
      </c>
      <c r="P416" s="62" t="s">
        <v>2421</v>
      </c>
      <c r="Q416" s="66" t="s">
        <v>1965</v>
      </c>
    </row>
    <row r="417" spans="1:17" x14ac:dyDescent="0.3">
      <c r="A417" s="61" t="s">
        <v>2036</v>
      </c>
      <c r="B417" s="62" t="s">
        <v>856</v>
      </c>
      <c r="C417" s="62" t="s">
        <v>857</v>
      </c>
      <c r="D417" s="63">
        <v>44755</v>
      </c>
      <c r="E417" s="63">
        <v>46307</v>
      </c>
      <c r="F417" s="62" t="s">
        <v>1945</v>
      </c>
      <c r="G417" s="62" t="s">
        <v>304</v>
      </c>
      <c r="H417" s="62" t="s">
        <v>373</v>
      </c>
      <c r="I417" s="64">
        <v>66270.461538461503</v>
      </c>
      <c r="J417" s="62" t="s">
        <v>373</v>
      </c>
      <c r="K417" s="62" t="s">
        <v>1693</v>
      </c>
      <c r="L417" s="65" t="s">
        <v>306</v>
      </c>
      <c r="M417" s="62" t="s">
        <v>346</v>
      </c>
      <c r="N417" s="62" t="s">
        <v>640</v>
      </c>
      <c r="O417" s="62" t="s">
        <v>417</v>
      </c>
      <c r="P417" s="62" t="s">
        <v>2421</v>
      </c>
      <c r="Q417" s="66" t="s">
        <v>1965</v>
      </c>
    </row>
    <row r="418" spans="1:17" x14ac:dyDescent="0.3">
      <c r="A418" s="61" t="s">
        <v>2037</v>
      </c>
      <c r="B418" s="62" t="s">
        <v>858</v>
      </c>
      <c r="C418" s="62" t="s">
        <v>857</v>
      </c>
      <c r="D418" s="63">
        <v>44755</v>
      </c>
      <c r="E418" s="63">
        <v>46308</v>
      </c>
      <c r="F418" s="62" t="s">
        <v>1931</v>
      </c>
      <c r="G418" s="62" t="s">
        <v>304</v>
      </c>
      <c r="H418" s="62" t="s">
        <v>467</v>
      </c>
      <c r="I418" s="64">
        <v>135159.85714285701</v>
      </c>
      <c r="J418" s="62" t="s">
        <v>468</v>
      </c>
      <c r="K418" s="62" t="s">
        <v>467</v>
      </c>
      <c r="L418" s="65" t="s">
        <v>306</v>
      </c>
      <c r="M418" s="62" t="s">
        <v>346</v>
      </c>
      <c r="N418" s="62" t="s">
        <v>640</v>
      </c>
      <c r="O418" s="62" t="s">
        <v>417</v>
      </c>
      <c r="P418" s="62" t="s">
        <v>2421</v>
      </c>
      <c r="Q418" s="66" t="s">
        <v>1965</v>
      </c>
    </row>
    <row r="419" spans="1:17" x14ac:dyDescent="0.3">
      <c r="A419" s="61" t="s">
        <v>2037</v>
      </c>
      <c r="B419" s="62" t="s">
        <v>858</v>
      </c>
      <c r="C419" s="62" t="s">
        <v>857</v>
      </c>
      <c r="D419" s="63">
        <v>44755</v>
      </c>
      <c r="E419" s="63">
        <v>46308</v>
      </c>
      <c r="F419" s="62" t="s">
        <v>282</v>
      </c>
      <c r="G419" s="62" t="s">
        <v>304</v>
      </c>
      <c r="H419" s="62" t="s">
        <v>467</v>
      </c>
      <c r="I419" s="64">
        <v>135159.85714285701</v>
      </c>
      <c r="J419" s="62" t="s">
        <v>468</v>
      </c>
      <c r="K419" s="62" t="s">
        <v>467</v>
      </c>
      <c r="L419" s="65" t="s">
        <v>306</v>
      </c>
      <c r="M419" s="62" t="s">
        <v>346</v>
      </c>
      <c r="N419" s="62" t="s">
        <v>640</v>
      </c>
      <c r="O419" s="62" t="s">
        <v>417</v>
      </c>
      <c r="P419" s="62" t="s">
        <v>2421</v>
      </c>
      <c r="Q419" s="66" t="s">
        <v>1965</v>
      </c>
    </row>
    <row r="420" spans="1:17" x14ac:dyDescent="0.3">
      <c r="A420" s="61" t="s">
        <v>2037</v>
      </c>
      <c r="B420" s="62" t="s">
        <v>858</v>
      </c>
      <c r="C420" s="62" t="s">
        <v>857</v>
      </c>
      <c r="D420" s="63">
        <v>44755</v>
      </c>
      <c r="E420" s="63">
        <v>46308</v>
      </c>
      <c r="F420" s="62" t="s">
        <v>1921</v>
      </c>
      <c r="G420" s="62" t="s">
        <v>304</v>
      </c>
      <c r="H420" s="62" t="s">
        <v>467</v>
      </c>
      <c r="I420" s="64">
        <v>135159.85714285701</v>
      </c>
      <c r="J420" s="62" t="s">
        <v>468</v>
      </c>
      <c r="K420" s="62" t="s">
        <v>467</v>
      </c>
      <c r="L420" s="65" t="s">
        <v>306</v>
      </c>
      <c r="M420" s="62" t="s">
        <v>346</v>
      </c>
      <c r="N420" s="62" t="s">
        <v>640</v>
      </c>
      <c r="O420" s="62" t="s">
        <v>417</v>
      </c>
      <c r="P420" s="62" t="s">
        <v>2421</v>
      </c>
      <c r="Q420" s="66" t="s">
        <v>1965</v>
      </c>
    </row>
    <row r="421" spans="1:17" x14ac:dyDescent="0.3">
      <c r="A421" s="61" t="s">
        <v>2037</v>
      </c>
      <c r="B421" s="62" t="s">
        <v>858</v>
      </c>
      <c r="C421" s="62" t="s">
        <v>857</v>
      </c>
      <c r="D421" s="63">
        <v>44755</v>
      </c>
      <c r="E421" s="63">
        <v>46308</v>
      </c>
      <c r="F421" s="62" t="s">
        <v>348</v>
      </c>
      <c r="G421" s="62" t="s">
        <v>304</v>
      </c>
      <c r="H421" s="62" t="s">
        <v>467</v>
      </c>
      <c r="I421" s="64">
        <v>135159.85714285701</v>
      </c>
      <c r="J421" s="62" t="s">
        <v>468</v>
      </c>
      <c r="K421" s="62" t="s">
        <v>467</v>
      </c>
      <c r="L421" s="65" t="s">
        <v>306</v>
      </c>
      <c r="M421" s="62" t="s">
        <v>346</v>
      </c>
      <c r="N421" s="62" t="s">
        <v>640</v>
      </c>
      <c r="O421" s="62" t="s">
        <v>417</v>
      </c>
      <c r="P421" s="62" t="s">
        <v>2421</v>
      </c>
      <c r="Q421" s="66" t="s">
        <v>1965</v>
      </c>
    </row>
    <row r="422" spans="1:17" x14ac:dyDescent="0.3">
      <c r="A422" s="61" t="s">
        <v>2037</v>
      </c>
      <c r="B422" s="62" t="s">
        <v>858</v>
      </c>
      <c r="C422" s="62" t="s">
        <v>857</v>
      </c>
      <c r="D422" s="63">
        <v>44755</v>
      </c>
      <c r="E422" s="63">
        <v>46308</v>
      </c>
      <c r="F422" s="62" t="s">
        <v>1937</v>
      </c>
      <c r="G422" s="62" t="s">
        <v>304</v>
      </c>
      <c r="H422" s="62" t="s">
        <v>467</v>
      </c>
      <c r="I422" s="64">
        <v>135159.85714285701</v>
      </c>
      <c r="J422" s="62" t="s">
        <v>468</v>
      </c>
      <c r="K422" s="62" t="s">
        <v>467</v>
      </c>
      <c r="L422" s="65" t="s">
        <v>306</v>
      </c>
      <c r="M422" s="62" t="s">
        <v>346</v>
      </c>
      <c r="N422" s="62" t="s">
        <v>640</v>
      </c>
      <c r="O422" s="62" t="s">
        <v>417</v>
      </c>
      <c r="P422" s="62" t="s">
        <v>2421</v>
      </c>
      <c r="Q422" s="66" t="s">
        <v>1965</v>
      </c>
    </row>
    <row r="423" spans="1:17" x14ac:dyDescent="0.3">
      <c r="A423" s="61" t="s">
        <v>2037</v>
      </c>
      <c r="B423" s="62" t="s">
        <v>858</v>
      </c>
      <c r="C423" s="62" t="s">
        <v>857</v>
      </c>
      <c r="D423" s="63">
        <v>44755</v>
      </c>
      <c r="E423" s="63">
        <v>46308</v>
      </c>
      <c r="F423" s="62" t="s">
        <v>1922</v>
      </c>
      <c r="G423" s="62" t="s">
        <v>304</v>
      </c>
      <c r="H423" s="62" t="s">
        <v>467</v>
      </c>
      <c r="I423" s="64">
        <v>135159.85714285701</v>
      </c>
      <c r="J423" s="62" t="s">
        <v>468</v>
      </c>
      <c r="K423" s="62" t="s">
        <v>467</v>
      </c>
      <c r="L423" s="65" t="s">
        <v>306</v>
      </c>
      <c r="M423" s="62" t="s">
        <v>346</v>
      </c>
      <c r="N423" s="62" t="s">
        <v>640</v>
      </c>
      <c r="O423" s="62" t="s">
        <v>417</v>
      </c>
      <c r="P423" s="62" t="s">
        <v>2421</v>
      </c>
      <c r="Q423" s="66" t="s">
        <v>1965</v>
      </c>
    </row>
    <row r="424" spans="1:17" x14ac:dyDescent="0.3">
      <c r="A424" s="61" t="s">
        <v>2037</v>
      </c>
      <c r="B424" s="62" t="s">
        <v>858</v>
      </c>
      <c r="C424" s="62" t="s">
        <v>857</v>
      </c>
      <c r="D424" s="63">
        <v>44755</v>
      </c>
      <c r="E424" s="63">
        <v>46308</v>
      </c>
      <c r="F424" s="62" t="s">
        <v>280</v>
      </c>
      <c r="G424" s="62" t="s">
        <v>304</v>
      </c>
      <c r="H424" s="62" t="s">
        <v>467</v>
      </c>
      <c r="I424" s="64">
        <v>135159.85714285701</v>
      </c>
      <c r="J424" s="62" t="s">
        <v>468</v>
      </c>
      <c r="K424" s="62" t="s">
        <v>467</v>
      </c>
      <c r="L424" s="65" t="s">
        <v>306</v>
      </c>
      <c r="M424" s="62" t="s">
        <v>346</v>
      </c>
      <c r="N424" s="62" t="s">
        <v>640</v>
      </c>
      <c r="O424" s="62" t="s">
        <v>417</v>
      </c>
      <c r="P424" s="62" t="s">
        <v>2421</v>
      </c>
      <c r="Q424" s="66" t="s">
        <v>1965</v>
      </c>
    </row>
    <row r="425" spans="1:17" x14ac:dyDescent="0.3">
      <c r="A425" s="61" t="s">
        <v>2037</v>
      </c>
      <c r="B425" s="62" t="s">
        <v>858</v>
      </c>
      <c r="C425" s="62" t="s">
        <v>857</v>
      </c>
      <c r="D425" s="63">
        <v>44755</v>
      </c>
      <c r="E425" s="63">
        <v>46308</v>
      </c>
      <c r="F425" s="62" t="s">
        <v>1931</v>
      </c>
      <c r="G425" s="62" t="s">
        <v>304</v>
      </c>
      <c r="H425" s="62" t="s">
        <v>373</v>
      </c>
      <c r="I425" s="64">
        <v>33587.142857142899</v>
      </c>
      <c r="J425" s="62" t="s">
        <v>373</v>
      </c>
      <c r="K425" s="62" t="s">
        <v>467</v>
      </c>
      <c r="L425" s="65" t="s">
        <v>306</v>
      </c>
      <c r="M425" s="62" t="s">
        <v>346</v>
      </c>
      <c r="N425" s="62" t="s">
        <v>640</v>
      </c>
      <c r="O425" s="62" t="s">
        <v>417</v>
      </c>
      <c r="P425" s="62" t="s">
        <v>2421</v>
      </c>
      <c r="Q425" s="66" t="s">
        <v>1965</v>
      </c>
    </row>
    <row r="426" spans="1:17" x14ac:dyDescent="0.3">
      <c r="A426" s="61" t="s">
        <v>2037</v>
      </c>
      <c r="B426" s="62" t="s">
        <v>858</v>
      </c>
      <c r="C426" s="62" t="s">
        <v>857</v>
      </c>
      <c r="D426" s="63">
        <v>44755</v>
      </c>
      <c r="E426" s="63">
        <v>46308</v>
      </c>
      <c r="F426" s="62" t="s">
        <v>282</v>
      </c>
      <c r="G426" s="62" t="s">
        <v>304</v>
      </c>
      <c r="H426" s="62" t="s">
        <v>373</v>
      </c>
      <c r="I426" s="64">
        <v>33587.142857142899</v>
      </c>
      <c r="J426" s="62" t="s">
        <v>373</v>
      </c>
      <c r="K426" s="62" t="s">
        <v>467</v>
      </c>
      <c r="L426" s="65" t="s">
        <v>306</v>
      </c>
      <c r="M426" s="62" t="s">
        <v>346</v>
      </c>
      <c r="N426" s="62" t="s">
        <v>640</v>
      </c>
      <c r="O426" s="62" t="s">
        <v>417</v>
      </c>
      <c r="P426" s="62" t="s">
        <v>2421</v>
      </c>
      <c r="Q426" s="66" t="s">
        <v>1965</v>
      </c>
    </row>
    <row r="427" spans="1:17" x14ac:dyDescent="0.3">
      <c r="A427" s="61" t="s">
        <v>2037</v>
      </c>
      <c r="B427" s="62" t="s">
        <v>858</v>
      </c>
      <c r="C427" s="62" t="s">
        <v>857</v>
      </c>
      <c r="D427" s="63">
        <v>44755</v>
      </c>
      <c r="E427" s="63">
        <v>46308</v>
      </c>
      <c r="F427" s="62" t="s">
        <v>1921</v>
      </c>
      <c r="G427" s="62" t="s">
        <v>304</v>
      </c>
      <c r="H427" s="62" t="s">
        <v>373</v>
      </c>
      <c r="I427" s="64">
        <v>33587.142857142899</v>
      </c>
      <c r="J427" s="62" t="s">
        <v>373</v>
      </c>
      <c r="K427" s="62" t="s">
        <v>467</v>
      </c>
      <c r="L427" s="65" t="s">
        <v>306</v>
      </c>
      <c r="M427" s="62" t="s">
        <v>346</v>
      </c>
      <c r="N427" s="62" t="s">
        <v>640</v>
      </c>
      <c r="O427" s="62" t="s">
        <v>417</v>
      </c>
      <c r="P427" s="62" t="s">
        <v>2421</v>
      </c>
      <c r="Q427" s="66" t="s">
        <v>1965</v>
      </c>
    </row>
    <row r="428" spans="1:17" x14ac:dyDescent="0.3">
      <c r="A428" s="61" t="s">
        <v>2037</v>
      </c>
      <c r="B428" s="62" t="s">
        <v>858</v>
      </c>
      <c r="C428" s="62" t="s">
        <v>857</v>
      </c>
      <c r="D428" s="63">
        <v>44755</v>
      </c>
      <c r="E428" s="63">
        <v>46308</v>
      </c>
      <c r="F428" s="62" t="s">
        <v>348</v>
      </c>
      <c r="G428" s="62" t="s">
        <v>304</v>
      </c>
      <c r="H428" s="62" t="s">
        <v>373</v>
      </c>
      <c r="I428" s="64">
        <v>33587.142857142899</v>
      </c>
      <c r="J428" s="62" t="s">
        <v>373</v>
      </c>
      <c r="K428" s="62" t="s">
        <v>467</v>
      </c>
      <c r="L428" s="65" t="s">
        <v>306</v>
      </c>
      <c r="M428" s="62" t="s">
        <v>346</v>
      </c>
      <c r="N428" s="62" t="s">
        <v>640</v>
      </c>
      <c r="O428" s="62" t="s">
        <v>417</v>
      </c>
      <c r="P428" s="62" t="s">
        <v>2421</v>
      </c>
      <c r="Q428" s="66" t="s">
        <v>1965</v>
      </c>
    </row>
    <row r="429" spans="1:17" x14ac:dyDescent="0.3">
      <c r="A429" s="61" t="s">
        <v>2037</v>
      </c>
      <c r="B429" s="62" t="s">
        <v>858</v>
      </c>
      <c r="C429" s="62" t="s">
        <v>857</v>
      </c>
      <c r="D429" s="63">
        <v>44755</v>
      </c>
      <c r="E429" s="63">
        <v>46308</v>
      </c>
      <c r="F429" s="62" t="s">
        <v>1937</v>
      </c>
      <c r="G429" s="62" t="s">
        <v>304</v>
      </c>
      <c r="H429" s="62" t="s">
        <v>373</v>
      </c>
      <c r="I429" s="64">
        <v>33587.142857142899</v>
      </c>
      <c r="J429" s="62" t="s">
        <v>373</v>
      </c>
      <c r="K429" s="62" t="s">
        <v>467</v>
      </c>
      <c r="L429" s="65" t="s">
        <v>306</v>
      </c>
      <c r="M429" s="62" t="s">
        <v>346</v>
      </c>
      <c r="N429" s="62" t="s">
        <v>640</v>
      </c>
      <c r="O429" s="62" t="s">
        <v>417</v>
      </c>
      <c r="P429" s="62" t="s">
        <v>2421</v>
      </c>
      <c r="Q429" s="66" t="s">
        <v>1965</v>
      </c>
    </row>
    <row r="430" spans="1:17" x14ac:dyDescent="0.3">
      <c r="A430" s="61" t="s">
        <v>2037</v>
      </c>
      <c r="B430" s="62" t="s">
        <v>858</v>
      </c>
      <c r="C430" s="62" t="s">
        <v>857</v>
      </c>
      <c r="D430" s="63">
        <v>44755</v>
      </c>
      <c r="E430" s="63">
        <v>46308</v>
      </c>
      <c r="F430" s="62" t="s">
        <v>1922</v>
      </c>
      <c r="G430" s="62" t="s">
        <v>304</v>
      </c>
      <c r="H430" s="62" t="s">
        <v>373</v>
      </c>
      <c r="I430" s="64">
        <v>33587.142857142899</v>
      </c>
      <c r="J430" s="62" t="s">
        <v>373</v>
      </c>
      <c r="K430" s="62" t="s">
        <v>467</v>
      </c>
      <c r="L430" s="65" t="s">
        <v>306</v>
      </c>
      <c r="M430" s="62" t="s">
        <v>346</v>
      </c>
      <c r="N430" s="62" t="s">
        <v>640</v>
      </c>
      <c r="O430" s="62" t="s">
        <v>417</v>
      </c>
      <c r="P430" s="62" t="s">
        <v>2421</v>
      </c>
      <c r="Q430" s="66" t="s">
        <v>1965</v>
      </c>
    </row>
    <row r="431" spans="1:17" x14ac:dyDescent="0.3">
      <c r="A431" s="61" t="s">
        <v>2037</v>
      </c>
      <c r="B431" s="62" t="s">
        <v>858</v>
      </c>
      <c r="C431" s="62" t="s">
        <v>857</v>
      </c>
      <c r="D431" s="63">
        <v>44755</v>
      </c>
      <c r="E431" s="63">
        <v>46308</v>
      </c>
      <c r="F431" s="62" t="s">
        <v>280</v>
      </c>
      <c r="G431" s="62" t="s">
        <v>304</v>
      </c>
      <c r="H431" s="62" t="s">
        <v>373</v>
      </c>
      <c r="I431" s="64">
        <v>33587.142857142899</v>
      </c>
      <c r="J431" s="62" t="s">
        <v>373</v>
      </c>
      <c r="K431" s="62" t="s">
        <v>467</v>
      </c>
      <c r="L431" s="65" t="s">
        <v>306</v>
      </c>
      <c r="M431" s="62" t="s">
        <v>346</v>
      </c>
      <c r="N431" s="62" t="s">
        <v>640</v>
      </c>
      <c r="O431" s="62" t="s">
        <v>417</v>
      </c>
      <c r="P431" s="62" t="s">
        <v>2421</v>
      </c>
      <c r="Q431" s="66" t="s">
        <v>1965</v>
      </c>
    </row>
    <row r="432" spans="1:17" x14ac:dyDescent="0.3">
      <c r="A432" s="61" t="s">
        <v>2038</v>
      </c>
      <c r="B432" s="62" t="s">
        <v>859</v>
      </c>
      <c r="C432" s="62" t="s">
        <v>857</v>
      </c>
      <c r="D432" s="63">
        <v>44928</v>
      </c>
      <c r="E432" s="63">
        <v>46308</v>
      </c>
      <c r="F432" s="62" t="s">
        <v>1921</v>
      </c>
      <c r="G432" s="62" t="s">
        <v>559</v>
      </c>
      <c r="H432" s="62" t="s">
        <v>373</v>
      </c>
      <c r="I432" s="64">
        <v>118990.142857143</v>
      </c>
      <c r="J432" s="62" t="s">
        <v>373</v>
      </c>
      <c r="K432" s="62" t="s">
        <v>1693</v>
      </c>
      <c r="L432" s="65" t="s">
        <v>306</v>
      </c>
      <c r="M432" s="62" t="s">
        <v>2443</v>
      </c>
      <c r="N432" s="62" t="s">
        <v>640</v>
      </c>
      <c r="O432" s="62" t="s">
        <v>417</v>
      </c>
      <c r="P432" s="62" t="s">
        <v>2421</v>
      </c>
      <c r="Q432" s="66" t="s">
        <v>1965</v>
      </c>
    </row>
    <row r="433" spans="1:17" x14ac:dyDescent="0.3">
      <c r="A433" s="61" t="s">
        <v>2038</v>
      </c>
      <c r="B433" s="62" t="s">
        <v>859</v>
      </c>
      <c r="C433" s="62" t="s">
        <v>857</v>
      </c>
      <c r="D433" s="63">
        <v>44928</v>
      </c>
      <c r="E433" s="63">
        <v>46308</v>
      </c>
      <c r="F433" s="62" t="s">
        <v>1921</v>
      </c>
      <c r="G433" s="62" t="s">
        <v>487</v>
      </c>
      <c r="H433" s="62" t="s">
        <v>373</v>
      </c>
      <c r="I433" s="64">
        <v>118990.142857143</v>
      </c>
      <c r="J433" s="62" t="s">
        <v>373</v>
      </c>
      <c r="K433" s="62" t="s">
        <v>1693</v>
      </c>
      <c r="L433" s="65" t="s">
        <v>306</v>
      </c>
      <c r="M433" s="62" t="s">
        <v>2443</v>
      </c>
      <c r="N433" s="62" t="s">
        <v>640</v>
      </c>
      <c r="O433" s="62" t="s">
        <v>417</v>
      </c>
      <c r="P433" s="62" t="s">
        <v>2421</v>
      </c>
      <c r="Q433" s="66" t="s">
        <v>1965</v>
      </c>
    </row>
    <row r="434" spans="1:17" x14ac:dyDescent="0.3">
      <c r="A434" s="61" t="s">
        <v>2038</v>
      </c>
      <c r="B434" s="62" t="s">
        <v>859</v>
      </c>
      <c r="C434" s="62" t="s">
        <v>857</v>
      </c>
      <c r="D434" s="63">
        <v>44928</v>
      </c>
      <c r="E434" s="63">
        <v>46308</v>
      </c>
      <c r="F434" s="62" t="s">
        <v>1921</v>
      </c>
      <c r="G434" s="62" t="s">
        <v>560</v>
      </c>
      <c r="H434" s="62" t="s">
        <v>373</v>
      </c>
      <c r="I434" s="64">
        <v>118990.142857143</v>
      </c>
      <c r="J434" s="62" t="s">
        <v>373</v>
      </c>
      <c r="K434" s="62" t="s">
        <v>1693</v>
      </c>
      <c r="L434" s="65" t="s">
        <v>306</v>
      </c>
      <c r="M434" s="62" t="s">
        <v>2443</v>
      </c>
      <c r="N434" s="62" t="s">
        <v>640</v>
      </c>
      <c r="O434" s="62" t="s">
        <v>417</v>
      </c>
      <c r="P434" s="62" t="s">
        <v>2421</v>
      </c>
      <c r="Q434" s="66" t="s">
        <v>1965</v>
      </c>
    </row>
    <row r="435" spans="1:17" x14ac:dyDescent="0.3">
      <c r="A435" s="61" t="s">
        <v>2038</v>
      </c>
      <c r="B435" s="62" t="s">
        <v>859</v>
      </c>
      <c r="C435" s="62" t="s">
        <v>857</v>
      </c>
      <c r="D435" s="63">
        <v>44928</v>
      </c>
      <c r="E435" s="63">
        <v>46308</v>
      </c>
      <c r="F435" s="62" t="s">
        <v>1922</v>
      </c>
      <c r="G435" s="62" t="s">
        <v>349</v>
      </c>
      <c r="H435" s="62" t="s">
        <v>373</v>
      </c>
      <c r="I435" s="64">
        <v>118990.142857143</v>
      </c>
      <c r="J435" s="62" t="s">
        <v>373</v>
      </c>
      <c r="K435" s="62" t="s">
        <v>1693</v>
      </c>
      <c r="L435" s="65" t="s">
        <v>306</v>
      </c>
      <c r="M435" s="62" t="s">
        <v>2443</v>
      </c>
      <c r="N435" s="62" t="s">
        <v>640</v>
      </c>
      <c r="O435" s="62" t="s">
        <v>417</v>
      </c>
      <c r="P435" s="62" t="s">
        <v>2421</v>
      </c>
      <c r="Q435" s="66" t="s">
        <v>1965</v>
      </c>
    </row>
    <row r="436" spans="1:17" x14ac:dyDescent="0.3">
      <c r="A436" s="61" t="s">
        <v>2038</v>
      </c>
      <c r="B436" s="62" t="s">
        <v>859</v>
      </c>
      <c r="C436" s="62" t="s">
        <v>857</v>
      </c>
      <c r="D436" s="63">
        <v>44928</v>
      </c>
      <c r="E436" s="63">
        <v>46308</v>
      </c>
      <c r="F436" s="62" t="s">
        <v>1922</v>
      </c>
      <c r="G436" s="62" t="s">
        <v>387</v>
      </c>
      <c r="H436" s="62" t="s">
        <v>373</v>
      </c>
      <c r="I436" s="64">
        <v>118990.142857143</v>
      </c>
      <c r="J436" s="62" t="s">
        <v>373</v>
      </c>
      <c r="K436" s="62" t="s">
        <v>1693</v>
      </c>
      <c r="L436" s="65" t="s">
        <v>306</v>
      </c>
      <c r="M436" s="62" t="s">
        <v>2443</v>
      </c>
      <c r="N436" s="62" t="s">
        <v>640</v>
      </c>
      <c r="O436" s="62" t="s">
        <v>417</v>
      </c>
      <c r="P436" s="62" t="s">
        <v>2421</v>
      </c>
      <c r="Q436" s="66" t="s">
        <v>1965</v>
      </c>
    </row>
    <row r="437" spans="1:17" x14ac:dyDescent="0.3">
      <c r="A437" s="61" t="s">
        <v>2038</v>
      </c>
      <c r="B437" s="62" t="s">
        <v>859</v>
      </c>
      <c r="C437" s="62" t="s">
        <v>857</v>
      </c>
      <c r="D437" s="63">
        <v>44928</v>
      </c>
      <c r="E437" s="63">
        <v>46308</v>
      </c>
      <c r="F437" s="62" t="s">
        <v>1922</v>
      </c>
      <c r="G437" s="62" t="s">
        <v>553</v>
      </c>
      <c r="H437" s="62" t="s">
        <v>373</v>
      </c>
      <c r="I437" s="64">
        <v>118990.142857143</v>
      </c>
      <c r="J437" s="62" t="s">
        <v>373</v>
      </c>
      <c r="K437" s="62" t="s">
        <v>1693</v>
      </c>
      <c r="L437" s="65" t="s">
        <v>306</v>
      </c>
      <c r="M437" s="62" t="s">
        <v>2443</v>
      </c>
      <c r="N437" s="62" t="s">
        <v>640</v>
      </c>
      <c r="O437" s="62" t="s">
        <v>417</v>
      </c>
      <c r="P437" s="62" t="s">
        <v>2421</v>
      </c>
      <c r="Q437" s="66" t="s">
        <v>1965</v>
      </c>
    </row>
    <row r="438" spans="1:17" x14ac:dyDescent="0.3">
      <c r="A438" s="61" t="s">
        <v>2038</v>
      </c>
      <c r="B438" s="62" t="s">
        <v>859</v>
      </c>
      <c r="C438" s="62" t="s">
        <v>857</v>
      </c>
      <c r="D438" s="63">
        <v>44928</v>
      </c>
      <c r="E438" s="63">
        <v>46308</v>
      </c>
      <c r="F438" s="62" t="s">
        <v>1931</v>
      </c>
      <c r="G438" s="62" t="s">
        <v>281</v>
      </c>
      <c r="H438" s="62" t="s">
        <v>373</v>
      </c>
      <c r="I438" s="64">
        <v>178485.214285714</v>
      </c>
      <c r="J438" s="62" t="s">
        <v>373</v>
      </c>
      <c r="K438" s="62" t="s">
        <v>1693</v>
      </c>
      <c r="L438" s="65" t="s">
        <v>306</v>
      </c>
      <c r="M438" s="62" t="s">
        <v>2443</v>
      </c>
      <c r="N438" s="62" t="s">
        <v>640</v>
      </c>
      <c r="O438" s="62" t="s">
        <v>417</v>
      </c>
      <c r="P438" s="62" t="s">
        <v>2421</v>
      </c>
      <c r="Q438" s="66" t="s">
        <v>1965</v>
      </c>
    </row>
    <row r="439" spans="1:17" x14ac:dyDescent="0.3">
      <c r="A439" s="61" t="s">
        <v>2038</v>
      </c>
      <c r="B439" s="62" t="s">
        <v>859</v>
      </c>
      <c r="C439" s="62" t="s">
        <v>857</v>
      </c>
      <c r="D439" s="63">
        <v>44928</v>
      </c>
      <c r="E439" s="63">
        <v>46308</v>
      </c>
      <c r="F439" s="62" t="s">
        <v>1931</v>
      </c>
      <c r="G439" s="62" t="s">
        <v>344</v>
      </c>
      <c r="H439" s="62" t="s">
        <v>373</v>
      </c>
      <c r="I439" s="64">
        <v>178485.214285714</v>
      </c>
      <c r="J439" s="62" t="s">
        <v>373</v>
      </c>
      <c r="K439" s="62" t="s">
        <v>1693</v>
      </c>
      <c r="L439" s="65" t="s">
        <v>306</v>
      </c>
      <c r="M439" s="62" t="s">
        <v>2443</v>
      </c>
      <c r="N439" s="62" t="s">
        <v>640</v>
      </c>
      <c r="O439" s="62" t="s">
        <v>417</v>
      </c>
      <c r="P439" s="62" t="s">
        <v>2421</v>
      </c>
      <c r="Q439" s="66" t="s">
        <v>1965</v>
      </c>
    </row>
    <row r="440" spans="1:17" x14ac:dyDescent="0.3">
      <c r="A440" s="61" t="s">
        <v>2038</v>
      </c>
      <c r="B440" s="62" t="s">
        <v>859</v>
      </c>
      <c r="C440" s="62" t="s">
        <v>857</v>
      </c>
      <c r="D440" s="63">
        <v>44928</v>
      </c>
      <c r="E440" s="63">
        <v>46308</v>
      </c>
      <c r="F440" s="62" t="s">
        <v>280</v>
      </c>
      <c r="G440" s="62" t="s">
        <v>280</v>
      </c>
      <c r="H440" s="62" t="s">
        <v>373</v>
      </c>
      <c r="I440" s="64">
        <v>178485.214285714</v>
      </c>
      <c r="J440" s="62" t="s">
        <v>373</v>
      </c>
      <c r="K440" s="62" t="s">
        <v>1693</v>
      </c>
      <c r="L440" s="65" t="s">
        <v>306</v>
      </c>
      <c r="M440" s="62" t="s">
        <v>2443</v>
      </c>
      <c r="N440" s="62" t="s">
        <v>640</v>
      </c>
      <c r="O440" s="62" t="s">
        <v>417</v>
      </c>
      <c r="P440" s="62" t="s">
        <v>2421</v>
      </c>
      <c r="Q440" s="66" t="s">
        <v>1965</v>
      </c>
    </row>
    <row r="441" spans="1:17" x14ac:dyDescent="0.3">
      <c r="A441" s="61" t="s">
        <v>2038</v>
      </c>
      <c r="B441" s="62" t="s">
        <v>859</v>
      </c>
      <c r="C441" s="62" t="s">
        <v>857</v>
      </c>
      <c r="D441" s="63">
        <v>44928</v>
      </c>
      <c r="E441" s="63">
        <v>46308</v>
      </c>
      <c r="F441" s="62" t="s">
        <v>280</v>
      </c>
      <c r="G441" s="62" t="s">
        <v>409</v>
      </c>
      <c r="H441" s="62" t="s">
        <v>373</v>
      </c>
      <c r="I441" s="64">
        <v>178485.214285714</v>
      </c>
      <c r="J441" s="62" t="s">
        <v>373</v>
      </c>
      <c r="K441" s="62" t="s">
        <v>1693</v>
      </c>
      <c r="L441" s="65" t="s">
        <v>306</v>
      </c>
      <c r="M441" s="62" t="s">
        <v>2443</v>
      </c>
      <c r="N441" s="62" t="s">
        <v>640</v>
      </c>
      <c r="O441" s="62" t="s">
        <v>417</v>
      </c>
      <c r="P441" s="62" t="s">
        <v>2421</v>
      </c>
      <c r="Q441" s="66" t="s">
        <v>1965</v>
      </c>
    </row>
    <row r="442" spans="1:17" x14ac:dyDescent="0.3">
      <c r="A442" s="61" t="s">
        <v>2038</v>
      </c>
      <c r="B442" s="62" t="s">
        <v>859</v>
      </c>
      <c r="C442" s="62" t="s">
        <v>857</v>
      </c>
      <c r="D442" s="63">
        <v>44928</v>
      </c>
      <c r="E442" s="63">
        <v>46308</v>
      </c>
      <c r="F442" s="62" t="s">
        <v>282</v>
      </c>
      <c r="G442" s="62" t="s">
        <v>283</v>
      </c>
      <c r="H442" s="62" t="s">
        <v>373</v>
      </c>
      <c r="I442" s="64">
        <v>356970.42857142899</v>
      </c>
      <c r="J442" s="62" t="s">
        <v>373</v>
      </c>
      <c r="K442" s="62" t="s">
        <v>1693</v>
      </c>
      <c r="L442" s="65" t="s">
        <v>306</v>
      </c>
      <c r="M442" s="62" t="s">
        <v>2443</v>
      </c>
      <c r="N442" s="62" t="s">
        <v>640</v>
      </c>
      <c r="O442" s="62" t="s">
        <v>417</v>
      </c>
      <c r="P442" s="62" t="s">
        <v>2421</v>
      </c>
      <c r="Q442" s="66" t="s">
        <v>1965</v>
      </c>
    </row>
    <row r="443" spans="1:17" x14ac:dyDescent="0.3">
      <c r="A443" s="61" t="s">
        <v>2038</v>
      </c>
      <c r="B443" s="62" t="s">
        <v>859</v>
      </c>
      <c r="C443" s="62" t="s">
        <v>857</v>
      </c>
      <c r="D443" s="63">
        <v>44928</v>
      </c>
      <c r="E443" s="63">
        <v>46308</v>
      </c>
      <c r="F443" s="62" t="s">
        <v>348</v>
      </c>
      <c r="G443" s="62" t="s">
        <v>348</v>
      </c>
      <c r="H443" s="62" t="s">
        <v>373</v>
      </c>
      <c r="I443" s="64">
        <v>356970.42857142899</v>
      </c>
      <c r="J443" s="62" t="s">
        <v>373</v>
      </c>
      <c r="K443" s="62" t="s">
        <v>1693</v>
      </c>
      <c r="L443" s="65" t="s">
        <v>306</v>
      </c>
      <c r="M443" s="62" t="s">
        <v>2443</v>
      </c>
      <c r="N443" s="62" t="s">
        <v>640</v>
      </c>
      <c r="O443" s="62" t="s">
        <v>417</v>
      </c>
      <c r="P443" s="62" t="s">
        <v>2421</v>
      </c>
      <c r="Q443" s="66" t="s">
        <v>1965</v>
      </c>
    </row>
    <row r="444" spans="1:17" x14ac:dyDescent="0.3">
      <c r="A444" s="61" t="s">
        <v>2038</v>
      </c>
      <c r="B444" s="62" t="s">
        <v>859</v>
      </c>
      <c r="C444" s="62" t="s">
        <v>857</v>
      </c>
      <c r="D444" s="63">
        <v>44928</v>
      </c>
      <c r="E444" s="63">
        <v>46308</v>
      </c>
      <c r="F444" s="62" t="s">
        <v>1937</v>
      </c>
      <c r="G444" s="62" t="s">
        <v>566</v>
      </c>
      <c r="H444" s="62" t="s">
        <v>373</v>
      </c>
      <c r="I444" s="64">
        <v>356970.42857142899</v>
      </c>
      <c r="J444" s="62" t="s">
        <v>373</v>
      </c>
      <c r="K444" s="62" t="s">
        <v>1693</v>
      </c>
      <c r="L444" s="65" t="s">
        <v>306</v>
      </c>
      <c r="M444" s="62" t="s">
        <v>2443</v>
      </c>
      <c r="N444" s="62" t="s">
        <v>640</v>
      </c>
      <c r="O444" s="62" t="s">
        <v>417</v>
      </c>
      <c r="P444" s="62" t="s">
        <v>2421</v>
      </c>
      <c r="Q444" s="66" t="s">
        <v>1965</v>
      </c>
    </row>
    <row r="445" spans="1:17" x14ac:dyDescent="0.3">
      <c r="A445" s="61" t="s">
        <v>2039</v>
      </c>
      <c r="B445" s="62" t="s">
        <v>860</v>
      </c>
      <c r="C445" s="62" t="s">
        <v>861</v>
      </c>
      <c r="D445" s="63">
        <v>44958</v>
      </c>
      <c r="E445" s="63">
        <v>46053</v>
      </c>
      <c r="F445" s="62" t="s">
        <v>1922</v>
      </c>
      <c r="G445" s="62" t="s">
        <v>304</v>
      </c>
      <c r="H445" s="62" t="s">
        <v>489</v>
      </c>
      <c r="I445" s="64">
        <v>2184597.6666666698</v>
      </c>
      <c r="J445" s="62" t="s">
        <v>490</v>
      </c>
      <c r="K445" s="62" t="s">
        <v>489</v>
      </c>
      <c r="L445" s="65" t="s">
        <v>306</v>
      </c>
      <c r="M445" s="62" t="s">
        <v>825</v>
      </c>
      <c r="N445" s="62" t="s">
        <v>579</v>
      </c>
      <c r="O445" s="62" t="s">
        <v>428</v>
      </c>
      <c r="P445" s="62" t="s">
        <v>2421</v>
      </c>
      <c r="Q445" s="66" t="s">
        <v>1972</v>
      </c>
    </row>
    <row r="446" spans="1:17" x14ac:dyDescent="0.3">
      <c r="A446" s="61" t="s">
        <v>2039</v>
      </c>
      <c r="B446" s="62" t="s">
        <v>860</v>
      </c>
      <c r="C446" s="62" t="s">
        <v>861</v>
      </c>
      <c r="D446" s="63">
        <v>44958</v>
      </c>
      <c r="E446" s="63">
        <v>46053</v>
      </c>
      <c r="F446" s="62" t="s">
        <v>1934</v>
      </c>
      <c r="G446" s="62" t="s">
        <v>304</v>
      </c>
      <c r="H446" s="62" t="s">
        <v>489</v>
      </c>
      <c r="I446" s="64">
        <v>2184597.6666666698</v>
      </c>
      <c r="J446" s="62" t="s">
        <v>490</v>
      </c>
      <c r="K446" s="62" t="s">
        <v>489</v>
      </c>
      <c r="L446" s="65" t="s">
        <v>306</v>
      </c>
      <c r="M446" s="62" t="s">
        <v>825</v>
      </c>
      <c r="N446" s="62" t="s">
        <v>579</v>
      </c>
      <c r="O446" s="62" t="s">
        <v>428</v>
      </c>
      <c r="P446" s="62" t="s">
        <v>2421</v>
      </c>
      <c r="Q446" s="66" t="s">
        <v>1972</v>
      </c>
    </row>
    <row r="447" spans="1:17" x14ac:dyDescent="0.3">
      <c r="A447" s="61" t="s">
        <v>2039</v>
      </c>
      <c r="B447" s="62" t="s">
        <v>860</v>
      </c>
      <c r="C447" s="62" t="s">
        <v>861</v>
      </c>
      <c r="D447" s="63">
        <v>44958</v>
      </c>
      <c r="E447" s="63">
        <v>46053</v>
      </c>
      <c r="F447" s="62" t="s">
        <v>1941</v>
      </c>
      <c r="G447" s="62" t="s">
        <v>304</v>
      </c>
      <c r="H447" s="62" t="s">
        <v>489</v>
      </c>
      <c r="I447" s="64">
        <v>2184597.6666666698</v>
      </c>
      <c r="J447" s="62" t="s">
        <v>490</v>
      </c>
      <c r="K447" s="62" t="s">
        <v>489</v>
      </c>
      <c r="L447" s="65" t="s">
        <v>306</v>
      </c>
      <c r="M447" s="62" t="s">
        <v>825</v>
      </c>
      <c r="N447" s="62" t="s">
        <v>579</v>
      </c>
      <c r="O447" s="62" t="s">
        <v>428</v>
      </c>
      <c r="P447" s="62" t="s">
        <v>2421</v>
      </c>
      <c r="Q447" s="66" t="s">
        <v>1972</v>
      </c>
    </row>
    <row r="448" spans="1:17" x14ac:dyDescent="0.3">
      <c r="A448" s="61" t="s">
        <v>2040</v>
      </c>
      <c r="B448" s="62" t="s">
        <v>862</v>
      </c>
      <c r="C448" s="62" t="s">
        <v>863</v>
      </c>
      <c r="D448" s="63">
        <v>44916</v>
      </c>
      <c r="E448" s="63">
        <v>46203</v>
      </c>
      <c r="F448" s="62" t="s">
        <v>350</v>
      </c>
      <c r="G448" s="62" t="s">
        <v>304</v>
      </c>
      <c r="H448" s="62" t="s">
        <v>489</v>
      </c>
      <c r="I448" s="64">
        <v>1592240</v>
      </c>
      <c r="J448" s="62" t="s">
        <v>821</v>
      </c>
      <c r="K448" s="62" t="s">
        <v>489</v>
      </c>
      <c r="L448" s="65" t="s">
        <v>306</v>
      </c>
      <c r="M448" s="62" t="s">
        <v>424</v>
      </c>
      <c r="N448" s="62" t="s">
        <v>719</v>
      </c>
      <c r="O448" s="62" t="s">
        <v>465</v>
      </c>
      <c r="P448" s="62" t="s">
        <v>2421</v>
      </c>
      <c r="Q448" s="66" t="s">
        <v>1964</v>
      </c>
    </row>
    <row r="449" spans="1:17" x14ac:dyDescent="0.3">
      <c r="A449" s="61" t="s">
        <v>2041</v>
      </c>
      <c r="B449" s="62" t="s">
        <v>871</v>
      </c>
      <c r="C449" s="62" t="s">
        <v>872</v>
      </c>
      <c r="D449" s="63">
        <v>44713</v>
      </c>
      <c r="E449" s="63">
        <v>46904</v>
      </c>
      <c r="F449" s="62" t="s">
        <v>1935</v>
      </c>
      <c r="G449" s="62" t="s">
        <v>304</v>
      </c>
      <c r="H449" s="62" t="s">
        <v>489</v>
      </c>
      <c r="I449" s="64">
        <v>411624</v>
      </c>
      <c r="J449" s="62" t="s">
        <v>873</v>
      </c>
      <c r="K449" s="62" t="s">
        <v>489</v>
      </c>
      <c r="L449" s="65" t="s">
        <v>306</v>
      </c>
      <c r="M449" s="62" t="s">
        <v>313</v>
      </c>
      <c r="N449" s="62" t="s">
        <v>364</v>
      </c>
      <c r="O449" s="62" t="s">
        <v>365</v>
      </c>
      <c r="P449" s="62" t="s">
        <v>2421</v>
      </c>
      <c r="Q449" s="66" t="s">
        <v>1969</v>
      </c>
    </row>
    <row r="450" spans="1:17" x14ac:dyDescent="0.3">
      <c r="A450" s="61" t="s">
        <v>2041</v>
      </c>
      <c r="B450" s="62" t="s">
        <v>871</v>
      </c>
      <c r="C450" s="62" t="s">
        <v>872</v>
      </c>
      <c r="D450" s="63">
        <v>44713</v>
      </c>
      <c r="E450" s="63">
        <v>46904</v>
      </c>
      <c r="F450" s="62" t="s">
        <v>286</v>
      </c>
      <c r="G450" s="62" t="s">
        <v>304</v>
      </c>
      <c r="H450" s="62" t="s">
        <v>489</v>
      </c>
      <c r="I450" s="64">
        <v>411624</v>
      </c>
      <c r="J450" s="62" t="s">
        <v>873</v>
      </c>
      <c r="K450" s="62" t="s">
        <v>489</v>
      </c>
      <c r="L450" s="65" t="s">
        <v>306</v>
      </c>
      <c r="M450" s="62" t="s">
        <v>313</v>
      </c>
      <c r="N450" s="62" t="s">
        <v>364</v>
      </c>
      <c r="O450" s="62" t="s">
        <v>365</v>
      </c>
      <c r="P450" s="62" t="s">
        <v>2421</v>
      </c>
      <c r="Q450" s="66" t="s">
        <v>1969</v>
      </c>
    </row>
    <row r="451" spans="1:17" x14ac:dyDescent="0.3">
      <c r="A451" s="61" t="s">
        <v>2041</v>
      </c>
      <c r="B451" s="62" t="s">
        <v>871</v>
      </c>
      <c r="C451" s="62" t="s">
        <v>872</v>
      </c>
      <c r="D451" s="63">
        <v>44713</v>
      </c>
      <c r="E451" s="63">
        <v>46904</v>
      </c>
      <c r="F451" s="62" t="s">
        <v>1933</v>
      </c>
      <c r="G451" s="62" t="s">
        <v>304</v>
      </c>
      <c r="H451" s="62" t="s">
        <v>489</v>
      </c>
      <c r="I451" s="64">
        <v>411624</v>
      </c>
      <c r="J451" s="62" t="s">
        <v>873</v>
      </c>
      <c r="K451" s="62" t="s">
        <v>489</v>
      </c>
      <c r="L451" s="65" t="s">
        <v>306</v>
      </c>
      <c r="M451" s="62" t="s">
        <v>313</v>
      </c>
      <c r="N451" s="62" t="s">
        <v>364</v>
      </c>
      <c r="O451" s="62" t="s">
        <v>365</v>
      </c>
      <c r="P451" s="62" t="s">
        <v>2421</v>
      </c>
      <c r="Q451" s="66" t="s">
        <v>1969</v>
      </c>
    </row>
    <row r="452" spans="1:17" x14ac:dyDescent="0.3">
      <c r="A452" s="61" t="s">
        <v>2041</v>
      </c>
      <c r="B452" s="62" t="s">
        <v>871</v>
      </c>
      <c r="C452" s="62" t="s">
        <v>872</v>
      </c>
      <c r="D452" s="63">
        <v>44713</v>
      </c>
      <c r="E452" s="63">
        <v>46904</v>
      </c>
      <c r="F452" s="62" t="s">
        <v>1937</v>
      </c>
      <c r="G452" s="62" t="s">
        <v>304</v>
      </c>
      <c r="H452" s="62" t="s">
        <v>489</v>
      </c>
      <c r="I452" s="64">
        <v>411624</v>
      </c>
      <c r="J452" s="62" t="s">
        <v>873</v>
      </c>
      <c r="K452" s="62" t="s">
        <v>489</v>
      </c>
      <c r="L452" s="65" t="s">
        <v>306</v>
      </c>
      <c r="M452" s="62" t="s">
        <v>313</v>
      </c>
      <c r="N452" s="62" t="s">
        <v>364</v>
      </c>
      <c r="O452" s="62" t="s">
        <v>365</v>
      </c>
      <c r="P452" s="62" t="s">
        <v>2421</v>
      </c>
      <c r="Q452" s="66" t="s">
        <v>1969</v>
      </c>
    </row>
    <row r="453" spans="1:17" x14ac:dyDescent="0.3">
      <c r="A453" s="61" t="s">
        <v>2041</v>
      </c>
      <c r="B453" s="62" t="s">
        <v>871</v>
      </c>
      <c r="C453" s="62" t="s">
        <v>872</v>
      </c>
      <c r="D453" s="63">
        <v>44713</v>
      </c>
      <c r="E453" s="63">
        <v>46904</v>
      </c>
      <c r="F453" s="62" t="s">
        <v>1930</v>
      </c>
      <c r="G453" s="62" t="s">
        <v>304</v>
      </c>
      <c r="H453" s="62" t="s">
        <v>489</v>
      </c>
      <c r="I453" s="64">
        <v>411624</v>
      </c>
      <c r="J453" s="62" t="s">
        <v>873</v>
      </c>
      <c r="K453" s="62" t="s">
        <v>489</v>
      </c>
      <c r="L453" s="65" t="s">
        <v>306</v>
      </c>
      <c r="M453" s="62" t="s">
        <v>313</v>
      </c>
      <c r="N453" s="62" t="s">
        <v>364</v>
      </c>
      <c r="O453" s="62" t="s">
        <v>365</v>
      </c>
      <c r="P453" s="62" t="s">
        <v>2421</v>
      </c>
      <c r="Q453" s="66" t="s">
        <v>1969</v>
      </c>
    </row>
    <row r="454" spans="1:17" x14ac:dyDescent="0.3">
      <c r="A454" s="61" t="s">
        <v>2041</v>
      </c>
      <c r="B454" s="62" t="s">
        <v>871</v>
      </c>
      <c r="C454" s="62" t="s">
        <v>872</v>
      </c>
      <c r="D454" s="63">
        <v>44713</v>
      </c>
      <c r="E454" s="63">
        <v>46904</v>
      </c>
      <c r="F454" s="62" t="s">
        <v>280</v>
      </c>
      <c r="G454" s="62" t="s">
        <v>304</v>
      </c>
      <c r="H454" s="62" t="s">
        <v>489</v>
      </c>
      <c r="I454" s="64">
        <v>411624</v>
      </c>
      <c r="J454" s="62" t="s">
        <v>873</v>
      </c>
      <c r="K454" s="62" t="s">
        <v>489</v>
      </c>
      <c r="L454" s="65" t="s">
        <v>306</v>
      </c>
      <c r="M454" s="62" t="s">
        <v>313</v>
      </c>
      <c r="N454" s="62" t="s">
        <v>364</v>
      </c>
      <c r="O454" s="62" t="s">
        <v>365</v>
      </c>
      <c r="P454" s="62" t="s">
        <v>2421</v>
      </c>
      <c r="Q454" s="66" t="s">
        <v>1969</v>
      </c>
    </row>
    <row r="455" spans="1:17" x14ac:dyDescent="0.3">
      <c r="A455" s="61" t="s">
        <v>2041</v>
      </c>
      <c r="B455" s="62" t="s">
        <v>871</v>
      </c>
      <c r="C455" s="62" t="s">
        <v>872</v>
      </c>
      <c r="D455" s="63">
        <v>44713</v>
      </c>
      <c r="E455" s="63">
        <v>46904</v>
      </c>
      <c r="F455" s="62" t="s">
        <v>1960</v>
      </c>
      <c r="G455" s="62" t="s">
        <v>304</v>
      </c>
      <c r="H455" s="62" t="s">
        <v>489</v>
      </c>
      <c r="I455" s="64">
        <v>411624</v>
      </c>
      <c r="J455" s="62" t="s">
        <v>873</v>
      </c>
      <c r="K455" s="62" t="s">
        <v>489</v>
      </c>
      <c r="L455" s="65" t="s">
        <v>306</v>
      </c>
      <c r="M455" s="62" t="s">
        <v>313</v>
      </c>
      <c r="N455" s="62" t="s">
        <v>364</v>
      </c>
      <c r="O455" s="62" t="s">
        <v>365</v>
      </c>
      <c r="P455" s="62" t="s">
        <v>2421</v>
      </c>
      <c r="Q455" s="66" t="s">
        <v>1969</v>
      </c>
    </row>
    <row r="456" spans="1:17" x14ac:dyDescent="0.3">
      <c r="A456" s="61" t="s">
        <v>2041</v>
      </c>
      <c r="B456" s="62" t="s">
        <v>871</v>
      </c>
      <c r="C456" s="62" t="s">
        <v>872</v>
      </c>
      <c r="D456" s="63">
        <v>44713</v>
      </c>
      <c r="E456" s="63">
        <v>46904</v>
      </c>
      <c r="F456" s="62" t="s">
        <v>1941</v>
      </c>
      <c r="G456" s="62" t="s">
        <v>304</v>
      </c>
      <c r="H456" s="62" t="s">
        <v>489</v>
      </c>
      <c r="I456" s="64">
        <v>411624</v>
      </c>
      <c r="J456" s="62" t="s">
        <v>873</v>
      </c>
      <c r="K456" s="62" t="s">
        <v>489</v>
      </c>
      <c r="L456" s="65" t="s">
        <v>306</v>
      </c>
      <c r="M456" s="62" t="s">
        <v>313</v>
      </c>
      <c r="N456" s="62" t="s">
        <v>364</v>
      </c>
      <c r="O456" s="62" t="s">
        <v>365</v>
      </c>
      <c r="P456" s="62" t="s">
        <v>2421</v>
      </c>
      <c r="Q456" s="66" t="s">
        <v>1969</v>
      </c>
    </row>
    <row r="457" spans="1:17" x14ac:dyDescent="0.3">
      <c r="A457" s="61" t="s">
        <v>2041</v>
      </c>
      <c r="B457" s="62" t="s">
        <v>871</v>
      </c>
      <c r="C457" s="62" t="s">
        <v>872</v>
      </c>
      <c r="D457" s="63">
        <v>44713</v>
      </c>
      <c r="E457" s="63">
        <v>46904</v>
      </c>
      <c r="F457" s="62" t="s">
        <v>1948</v>
      </c>
      <c r="G457" s="62" t="s">
        <v>304</v>
      </c>
      <c r="H457" s="62" t="s">
        <v>489</v>
      </c>
      <c r="I457" s="64">
        <v>411624</v>
      </c>
      <c r="J457" s="62" t="s">
        <v>873</v>
      </c>
      <c r="K457" s="62" t="s">
        <v>489</v>
      </c>
      <c r="L457" s="65" t="s">
        <v>306</v>
      </c>
      <c r="M457" s="62" t="s">
        <v>313</v>
      </c>
      <c r="N457" s="62" t="s">
        <v>364</v>
      </c>
      <c r="O457" s="62" t="s">
        <v>365</v>
      </c>
      <c r="P457" s="62" t="s">
        <v>2421</v>
      </c>
      <c r="Q457" s="66" t="s">
        <v>1969</v>
      </c>
    </row>
    <row r="458" spans="1:17" x14ac:dyDescent="0.3">
      <c r="A458" s="61" t="s">
        <v>2444</v>
      </c>
      <c r="B458" s="62" t="s">
        <v>2445</v>
      </c>
      <c r="C458" s="62" t="s">
        <v>2446</v>
      </c>
      <c r="D458" s="63">
        <v>44835</v>
      </c>
      <c r="E458" s="63">
        <v>46081</v>
      </c>
      <c r="F458" s="62" t="s">
        <v>348</v>
      </c>
      <c r="G458" s="62" t="s">
        <v>304</v>
      </c>
      <c r="H458" s="62" t="s">
        <v>2427</v>
      </c>
      <c r="I458" s="64">
        <v>222790.1875</v>
      </c>
      <c r="J458" s="62" t="s">
        <v>2447</v>
      </c>
      <c r="K458" s="62" t="s">
        <v>2433</v>
      </c>
      <c r="L458" s="65" t="s">
        <v>306</v>
      </c>
      <c r="M458" s="62" t="s">
        <v>307</v>
      </c>
      <c r="N458" s="62" t="s">
        <v>416</v>
      </c>
      <c r="O458" s="62" t="s">
        <v>417</v>
      </c>
      <c r="P458" s="62" t="s">
        <v>2421</v>
      </c>
      <c r="Q458" s="66" t="s">
        <v>1972</v>
      </c>
    </row>
    <row r="459" spans="1:17" x14ac:dyDescent="0.3">
      <c r="A459" s="61" t="s">
        <v>2444</v>
      </c>
      <c r="B459" s="62" t="s">
        <v>2445</v>
      </c>
      <c r="C459" s="62" t="s">
        <v>2446</v>
      </c>
      <c r="D459" s="63">
        <v>44835</v>
      </c>
      <c r="E459" s="63">
        <v>46081</v>
      </c>
      <c r="F459" s="62" t="s">
        <v>1930</v>
      </c>
      <c r="G459" s="62" t="s">
        <v>304</v>
      </c>
      <c r="H459" s="62" t="s">
        <v>2427</v>
      </c>
      <c r="I459" s="64">
        <v>222790.1875</v>
      </c>
      <c r="J459" s="62" t="s">
        <v>2447</v>
      </c>
      <c r="K459" s="62" t="s">
        <v>2433</v>
      </c>
      <c r="L459" s="65" t="s">
        <v>306</v>
      </c>
      <c r="M459" s="62" t="s">
        <v>307</v>
      </c>
      <c r="N459" s="62" t="s">
        <v>416</v>
      </c>
      <c r="O459" s="62" t="s">
        <v>417</v>
      </c>
      <c r="P459" s="62" t="s">
        <v>2421</v>
      </c>
      <c r="Q459" s="66" t="s">
        <v>1972</v>
      </c>
    </row>
    <row r="460" spans="1:17" x14ac:dyDescent="0.3">
      <c r="A460" s="61" t="s">
        <v>2444</v>
      </c>
      <c r="B460" s="62" t="s">
        <v>2445</v>
      </c>
      <c r="C460" s="62" t="s">
        <v>2446</v>
      </c>
      <c r="D460" s="63">
        <v>44835</v>
      </c>
      <c r="E460" s="63">
        <v>46081</v>
      </c>
      <c r="F460" s="62" t="s">
        <v>284</v>
      </c>
      <c r="G460" s="62" t="s">
        <v>304</v>
      </c>
      <c r="H460" s="62" t="s">
        <v>2427</v>
      </c>
      <c r="I460" s="64">
        <v>222790.1875</v>
      </c>
      <c r="J460" s="62" t="s">
        <v>2447</v>
      </c>
      <c r="K460" s="62" t="s">
        <v>2433</v>
      </c>
      <c r="L460" s="65" t="s">
        <v>306</v>
      </c>
      <c r="M460" s="62" t="s">
        <v>307</v>
      </c>
      <c r="N460" s="62" t="s">
        <v>416</v>
      </c>
      <c r="O460" s="62" t="s">
        <v>417</v>
      </c>
      <c r="P460" s="62" t="s">
        <v>2421</v>
      </c>
      <c r="Q460" s="66" t="s">
        <v>1972</v>
      </c>
    </row>
    <row r="461" spans="1:17" x14ac:dyDescent="0.3">
      <c r="A461" s="61" t="s">
        <v>2444</v>
      </c>
      <c r="B461" s="62" t="s">
        <v>2445</v>
      </c>
      <c r="C461" s="62" t="s">
        <v>2446</v>
      </c>
      <c r="D461" s="63">
        <v>44835</v>
      </c>
      <c r="E461" s="63">
        <v>46081</v>
      </c>
      <c r="F461" s="62" t="s">
        <v>1945</v>
      </c>
      <c r="G461" s="62" t="s">
        <v>304</v>
      </c>
      <c r="H461" s="62" t="s">
        <v>2427</v>
      </c>
      <c r="I461" s="64">
        <v>222790.1875</v>
      </c>
      <c r="J461" s="62" t="s">
        <v>2447</v>
      </c>
      <c r="K461" s="62" t="s">
        <v>2433</v>
      </c>
      <c r="L461" s="65" t="s">
        <v>306</v>
      </c>
      <c r="M461" s="62" t="s">
        <v>307</v>
      </c>
      <c r="N461" s="62" t="s">
        <v>416</v>
      </c>
      <c r="O461" s="62" t="s">
        <v>417</v>
      </c>
      <c r="P461" s="62" t="s">
        <v>2421</v>
      </c>
      <c r="Q461" s="66" t="s">
        <v>1972</v>
      </c>
    </row>
    <row r="462" spans="1:17" x14ac:dyDescent="0.3">
      <c r="A462" s="61" t="s">
        <v>2042</v>
      </c>
      <c r="B462" s="62" t="s">
        <v>874</v>
      </c>
      <c r="C462" s="62" t="s">
        <v>857</v>
      </c>
      <c r="D462" s="63">
        <v>44882</v>
      </c>
      <c r="E462" s="63">
        <v>46187</v>
      </c>
      <c r="F462" s="62" t="s">
        <v>1921</v>
      </c>
      <c r="G462" s="62" t="s">
        <v>559</v>
      </c>
      <c r="H462" s="62" t="s">
        <v>373</v>
      </c>
      <c r="I462" s="64">
        <v>49188.047619047597</v>
      </c>
      <c r="J462" s="62" t="s">
        <v>373</v>
      </c>
      <c r="K462" s="62" t="s">
        <v>1693</v>
      </c>
      <c r="L462" s="65" t="s">
        <v>353</v>
      </c>
      <c r="M462" s="62" t="s">
        <v>346</v>
      </c>
      <c r="N462" s="62" t="s">
        <v>640</v>
      </c>
      <c r="O462" s="62" t="s">
        <v>417</v>
      </c>
      <c r="P462" s="62" t="s">
        <v>2421</v>
      </c>
      <c r="Q462" s="66" t="s">
        <v>1965</v>
      </c>
    </row>
    <row r="463" spans="1:17" x14ac:dyDescent="0.3">
      <c r="A463" s="61" t="s">
        <v>2042</v>
      </c>
      <c r="B463" s="62" t="s">
        <v>874</v>
      </c>
      <c r="C463" s="62" t="s">
        <v>857</v>
      </c>
      <c r="D463" s="63">
        <v>44882</v>
      </c>
      <c r="E463" s="63">
        <v>46187</v>
      </c>
      <c r="F463" s="62" t="s">
        <v>1921</v>
      </c>
      <c r="G463" s="62" t="s">
        <v>487</v>
      </c>
      <c r="H463" s="62" t="s">
        <v>373</v>
      </c>
      <c r="I463" s="64">
        <v>49188.047619047597</v>
      </c>
      <c r="J463" s="62" t="s">
        <v>373</v>
      </c>
      <c r="K463" s="62" t="s">
        <v>1693</v>
      </c>
      <c r="L463" s="65" t="s">
        <v>353</v>
      </c>
      <c r="M463" s="62" t="s">
        <v>346</v>
      </c>
      <c r="N463" s="62" t="s">
        <v>640</v>
      </c>
      <c r="O463" s="62" t="s">
        <v>417</v>
      </c>
      <c r="P463" s="62" t="s">
        <v>2421</v>
      </c>
      <c r="Q463" s="66" t="s">
        <v>1965</v>
      </c>
    </row>
    <row r="464" spans="1:17" x14ac:dyDescent="0.3">
      <c r="A464" s="61" t="s">
        <v>2042</v>
      </c>
      <c r="B464" s="62" t="s">
        <v>874</v>
      </c>
      <c r="C464" s="62" t="s">
        <v>857</v>
      </c>
      <c r="D464" s="63">
        <v>44882</v>
      </c>
      <c r="E464" s="63">
        <v>46187</v>
      </c>
      <c r="F464" s="62" t="s">
        <v>1921</v>
      </c>
      <c r="G464" s="62" t="s">
        <v>560</v>
      </c>
      <c r="H464" s="62" t="s">
        <v>373</v>
      </c>
      <c r="I464" s="64">
        <v>49188.047619047597</v>
      </c>
      <c r="J464" s="62" t="s">
        <v>373</v>
      </c>
      <c r="K464" s="62" t="s">
        <v>1693</v>
      </c>
      <c r="L464" s="65" t="s">
        <v>353</v>
      </c>
      <c r="M464" s="62" t="s">
        <v>346</v>
      </c>
      <c r="N464" s="62" t="s">
        <v>640</v>
      </c>
      <c r="O464" s="62" t="s">
        <v>417</v>
      </c>
      <c r="P464" s="62" t="s">
        <v>2421</v>
      </c>
      <c r="Q464" s="66" t="s">
        <v>1965</v>
      </c>
    </row>
    <row r="465" spans="1:17" x14ac:dyDescent="0.3">
      <c r="A465" s="61" t="s">
        <v>2042</v>
      </c>
      <c r="B465" s="62" t="s">
        <v>874</v>
      </c>
      <c r="C465" s="62" t="s">
        <v>857</v>
      </c>
      <c r="D465" s="63">
        <v>44882</v>
      </c>
      <c r="E465" s="63">
        <v>46187</v>
      </c>
      <c r="F465" s="62" t="s">
        <v>1922</v>
      </c>
      <c r="G465" s="62" t="s">
        <v>349</v>
      </c>
      <c r="H465" s="62" t="s">
        <v>373</v>
      </c>
      <c r="I465" s="64">
        <v>49188.047619047597</v>
      </c>
      <c r="J465" s="62" t="s">
        <v>373</v>
      </c>
      <c r="K465" s="62" t="s">
        <v>1693</v>
      </c>
      <c r="L465" s="65" t="s">
        <v>353</v>
      </c>
      <c r="M465" s="62" t="s">
        <v>346</v>
      </c>
      <c r="N465" s="62" t="s">
        <v>640</v>
      </c>
      <c r="O465" s="62" t="s">
        <v>417</v>
      </c>
      <c r="P465" s="62" t="s">
        <v>2421</v>
      </c>
      <c r="Q465" s="66" t="s">
        <v>1965</v>
      </c>
    </row>
    <row r="466" spans="1:17" x14ac:dyDescent="0.3">
      <c r="A466" s="61" t="s">
        <v>2042</v>
      </c>
      <c r="B466" s="62" t="s">
        <v>874</v>
      </c>
      <c r="C466" s="62" t="s">
        <v>857</v>
      </c>
      <c r="D466" s="63">
        <v>44882</v>
      </c>
      <c r="E466" s="63">
        <v>46187</v>
      </c>
      <c r="F466" s="62" t="s">
        <v>1922</v>
      </c>
      <c r="G466" s="62" t="s">
        <v>387</v>
      </c>
      <c r="H466" s="62" t="s">
        <v>373</v>
      </c>
      <c r="I466" s="64">
        <v>49188.047619047597</v>
      </c>
      <c r="J466" s="62" t="s">
        <v>373</v>
      </c>
      <c r="K466" s="62" t="s">
        <v>1693</v>
      </c>
      <c r="L466" s="65" t="s">
        <v>353</v>
      </c>
      <c r="M466" s="62" t="s">
        <v>346</v>
      </c>
      <c r="N466" s="62" t="s">
        <v>640</v>
      </c>
      <c r="O466" s="62" t="s">
        <v>417</v>
      </c>
      <c r="P466" s="62" t="s">
        <v>2421</v>
      </c>
      <c r="Q466" s="66" t="s">
        <v>1965</v>
      </c>
    </row>
    <row r="467" spans="1:17" x14ac:dyDescent="0.3">
      <c r="A467" s="61" t="s">
        <v>2042</v>
      </c>
      <c r="B467" s="62" t="s">
        <v>874</v>
      </c>
      <c r="C467" s="62" t="s">
        <v>857</v>
      </c>
      <c r="D467" s="63">
        <v>44882</v>
      </c>
      <c r="E467" s="63">
        <v>46187</v>
      </c>
      <c r="F467" s="62" t="s">
        <v>1922</v>
      </c>
      <c r="G467" s="62" t="s">
        <v>553</v>
      </c>
      <c r="H467" s="62" t="s">
        <v>373</v>
      </c>
      <c r="I467" s="64">
        <v>49188.047619047597</v>
      </c>
      <c r="J467" s="62" t="s">
        <v>373</v>
      </c>
      <c r="K467" s="62" t="s">
        <v>1693</v>
      </c>
      <c r="L467" s="65" t="s">
        <v>353</v>
      </c>
      <c r="M467" s="62" t="s">
        <v>346</v>
      </c>
      <c r="N467" s="62" t="s">
        <v>640</v>
      </c>
      <c r="O467" s="62" t="s">
        <v>417</v>
      </c>
      <c r="P467" s="62" t="s">
        <v>2421</v>
      </c>
      <c r="Q467" s="66" t="s">
        <v>1965</v>
      </c>
    </row>
    <row r="468" spans="1:17" x14ac:dyDescent="0.3">
      <c r="A468" s="61" t="s">
        <v>2042</v>
      </c>
      <c r="B468" s="62" t="s">
        <v>874</v>
      </c>
      <c r="C468" s="62" t="s">
        <v>857</v>
      </c>
      <c r="D468" s="63">
        <v>44882</v>
      </c>
      <c r="E468" s="63">
        <v>46187</v>
      </c>
      <c r="F468" s="62" t="s">
        <v>1931</v>
      </c>
      <c r="G468" s="62" t="s">
        <v>281</v>
      </c>
      <c r="H468" s="62" t="s">
        <v>373</v>
      </c>
      <c r="I468" s="64">
        <v>73782.071428571406</v>
      </c>
      <c r="J468" s="62" t="s">
        <v>373</v>
      </c>
      <c r="K468" s="62" t="s">
        <v>1693</v>
      </c>
      <c r="L468" s="65" t="s">
        <v>353</v>
      </c>
      <c r="M468" s="62" t="s">
        <v>346</v>
      </c>
      <c r="N468" s="62" t="s">
        <v>640</v>
      </c>
      <c r="O468" s="62" t="s">
        <v>417</v>
      </c>
      <c r="P468" s="62" t="s">
        <v>2421</v>
      </c>
      <c r="Q468" s="66" t="s">
        <v>1965</v>
      </c>
    </row>
    <row r="469" spans="1:17" x14ac:dyDescent="0.3">
      <c r="A469" s="61" t="s">
        <v>2042</v>
      </c>
      <c r="B469" s="62" t="s">
        <v>874</v>
      </c>
      <c r="C469" s="62" t="s">
        <v>857</v>
      </c>
      <c r="D469" s="63">
        <v>44882</v>
      </c>
      <c r="E469" s="63">
        <v>46187</v>
      </c>
      <c r="F469" s="62" t="s">
        <v>1931</v>
      </c>
      <c r="G469" s="62" t="s">
        <v>344</v>
      </c>
      <c r="H469" s="62" t="s">
        <v>373</v>
      </c>
      <c r="I469" s="64">
        <v>73782.071428571406</v>
      </c>
      <c r="J469" s="62" t="s">
        <v>373</v>
      </c>
      <c r="K469" s="62" t="s">
        <v>1693</v>
      </c>
      <c r="L469" s="65" t="s">
        <v>353</v>
      </c>
      <c r="M469" s="62" t="s">
        <v>346</v>
      </c>
      <c r="N469" s="62" t="s">
        <v>640</v>
      </c>
      <c r="O469" s="62" t="s">
        <v>417</v>
      </c>
      <c r="P469" s="62" t="s">
        <v>2421</v>
      </c>
      <c r="Q469" s="66" t="s">
        <v>1965</v>
      </c>
    </row>
    <row r="470" spans="1:17" x14ac:dyDescent="0.3">
      <c r="A470" s="61" t="s">
        <v>2042</v>
      </c>
      <c r="B470" s="62" t="s">
        <v>874</v>
      </c>
      <c r="C470" s="62" t="s">
        <v>857</v>
      </c>
      <c r="D470" s="63">
        <v>44882</v>
      </c>
      <c r="E470" s="63">
        <v>46187</v>
      </c>
      <c r="F470" s="62" t="s">
        <v>280</v>
      </c>
      <c r="G470" s="62" t="s">
        <v>280</v>
      </c>
      <c r="H470" s="62" t="s">
        <v>373</v>
      </c>
      <c r="I470" s="64">
        <v>73782.071428571406</v>
      </c>
      <c r="J470" s="62" t="s">
        <v>373</v>
      </c>
      <c r="K470" s="62" t="s">
        <v>1693</v>
      </c>
      <c r="L470" s="65" t="s">
        <v>306</v>
      </c>
      <c r="M470" s="62" t="s">
        <v>346</v>
      </c>
      <c r="N470" s="62" t="s">
        <v>640</v>
      </c>
      <c r="O470" s="62" t="s">
        <v>417</v>
      </c>
      <c r="P470" s="62" t="s">
        <v>2421</v>
      </c>
      <c r="Q470" s="66" t="s">
        <v>1965</v>
      </c>
    </row>
    <row r="471" spans="1:17" x14ac:dyDescent="0.3">
      <c r="A471" s="61" t="s">
        <v>2042</v>
      </c>
      <c r="B471" s="62" t="s">
        <v>874</v>
      </c>
      <c r="C471" s="62" t="s">
        <v>857</v>
      </c>
      <c r="D471" s="63">
        <v>44882</v>
      </c>
      <c r="E471" s="63">
        <v>46187</v>
      </c>
      <c r="F471" s="62" t="s">
        <v>280</v>
      </c>
      <c r="G471" s="62" t="s">
        <v>409</v>
      </c>
      <c r="H471" s="62" t="s">
        <v>373</v>
      </c>
      <c r="I471" s="64">
        <v>73782.071428571406</v>
      </c>
      <c r="J471" s="62" t="s">
        <v>373</v>
      </c>
      <c r="K471" s="62" t="s">
        <v>1693</v>
      </c>
      <c r="L471" s="65" t="s">
        <v>306</v>
      </c>
      <c r="M471" s="62" t="s">
        <v>346</v>
      </c>
      <c r="N471" s="62" t="s">
        <v>640</v>
      </c>
      <c r="O471" s="62" t="s">
        <v>417</v>
      </c>
      <c r="P471" s="62" t="s">
        <v>2421</v>
      </c>
      <c r="Q471" s="66" t="s">
        <v>1965</v>
      </c>
    </row>
    <row r="472" spans="1:17" x14ac:dyDescent="0.3">
      <c r="A472" s="61" t="s">
        <v>2042</v>
      </c>
      <c r="B472" s="62" t="s">
        <v>874</v>
      </c>
      <c r="C472" s="62" t="s">
        <v>857</v>
      </c>
      <c r="D472" s="63">
        <v>44882</v>
      </c>
      <c r="E472" s="63">
        <v>46187</v>
      </c>
      <c r="F472" s="62" t="s">
        <v>282</v>
      </c>
      <c r="G472" s="62" t="s">
        <v>283</v>
      </c>
      <c r="H472" s="62" t="s">
        <v>373</v>
      </c>
      <c r="I472" s="64">
        <v>147564.14285714299</v>
      </c>
      <c r="J472" s="62" t="s">
        <v>373</v>
      </c>
      <c r="K472" s="62" t="s">
        <v>1693</v>
      </c>
      <c r="L472" s="65" t="s">
        <v>306</v>
      </c>
      <c r="M472" s="62" t="s">
        <v>346</v>
      </c>
      <c r="N472" s="62" t="s">
        <v>640</v>
      </c>
      <c r="O472" s="62" t="s">
        <v>417</v>
      </c>
      <c r="P472" s="62" t="s">
        <v>2421</v>
      </c>
      <c r="Q472" s="66" t="s">
        <v>1965</v>
      </c>
    </row>
    <row r="473" spans="1:17" x14ac:dyDescent="0.3">
      <c r="A473" s="61" t="s">
        <v>2042</v>
      </c>
      <c r="B473" s="62" t="s">
        <v>874</v>
      </c>
      <c r="C473" s="62" t="s">
        <v>857</v>
      </c>
      <c r="D473" s="63">
        <v>44882</v>
      </c>
      <c r="E473" s="63">
        <v>46187</v>
      </c>
      <c r="F473" s="62" t="s">
        <v>348</v>
      </c>
      <c r="G473" s="62" t="s">
        <v>348</v>
      </c>
      <c r="H473" s="62" t="s">
        <v>373</v>
      </c>
      <c r="I473" s="64">
        <v>147564.14285714299</v>
      </c>
      <c r="J473" s="62" t="s">
        <v>373</v>
      </c>
      <c r="K473" s="62" t="s">
        <v>1693</v>
      </c>
      <c r="L473" s="65" t="s">
        <v>306</v>
      </c>
      <c r="M473" s="62" t="s">
        <v>346</v>
      </c>
      <c r="N473" s="62" t="s">
        <v>640</v>
      </c>
      <c r="O473" s="62" t="s">
        <v>417</v>
      </c>
      <c r="P473" s="62" t="s">
        <v>2421</v>
      </c>
      <c r="Q473" s="66" t="s">
        <v>1965</v>
      </c>
    </row>
    <row r="474" spans="1:17" x14ac:dyDescent="0.3">
      <c r="A474" s="61" t="s">
        <v>2042</v>
      </c>
      <c r="B474" s="62" t="s">
        <v>874</v>
      </c>
      <c r="C474" s="62" t="s">
        <v>857</v>
      </c>
      <c r="D474" s="63">
        <v>44882</v>
      </c>
      <c r="E474" s="63">
        <v>46187</v>
      </c>
      <c r="F474" s="62" t="s">
        <v>1937</v>
      </c>
      <c r="G474" s="62" t="s">
        <v>566</v>
      </c>
      <c r="H474" s="62" t="s">
        <v>373</v>
      </c>
      <c r="I474" s="64">
        <v>147564.14285714299</v>
      </c>
      <c r="J474" s="62" t="s">
        <v>373</v>
      </c>
      <c r="K474" s="62" t="s">
        <v>1693</v>
      </c>
      <c r="L474" s="65" t="s">
        <v>306</v>
      </c>
      <c r="M474" s="62" t="s">
        <v>346</v>
      </c>
      <c r="N474" s="62" t="s">
        <v>640</v>
      </c>
      <c r="O474" s="62" t="s">
        <v>417</v>
      </c>
      <c r="P474" s="62" t="s">
        <v>2421</v>
      </c>
      <c r="Q474" s="66" t="s">
        <v>1965</v>
      </c>
    </row>
    <row r="475" spans="1:17" x14ac:dyDescent="0.3">
      <c r="A475" s="61" t="s">
        <v>2043</v>
      </c>
      <c r="B475" s="62" t="s">
        <v>875</v>
      </c>
      <c r="C475" s="62" t="s">
        <v>876</v>
      </c>
      <c r="D475" s="63">
        <v>44927</v>
      </c>
      <c r="E475" s="63">
        <v>46112</v>
      </c>
      <c r="F475" s="62" t="s">
        <v>1931</v>
      </c>
      <c r="G475" s="62" t="s">
        <v>877</v>
      </c>
      <c r="H475" s="62" t="s">
        <v>2427</v>
      </c>
      <c r="I475" s="64">
        <v>8476.4285714285706</v>
      </c>
      <c r="J475" s="62" t="s">
        <v>2448</v>
      </c>
      <c r="K475" s="62" t="s">
        <v>2433</v>
      </c>
      <c r="L475" s="65" t="s">
        <v>306</v>
      </c>
      <c r="M475" s="62" t="s">
        <v>825</v>
      </c>
      <c r="N475" s="62" t="s">
        <v>603</v>
      </c>
      <c r="O475" s="62" t="s">
        <v>371</v>
      </c>
      <c r="P475" s="62" t="s">
        <v>2421</v>
      </c>
      <c r="Q475" s="66" t="s">
        <v>1972</v>
      </c>
    </row>
    <row r="476" spans="1:17" x14ac:dyDescent="0.3">
      <c r="A476" s="61" t="s">
        <v>2043</v>
      </c>
      <c r="B476" s="62" t="s">
        <v>875</v>
      </c>
      <c r="C476" s="62" t="s">
        <v>876</v>
      </c>
      <c r="D476" s="63">
        <v>44927</v>
      </c>
      <c r="E476" s="63">
        <v>46112</v>
      </c>
      <c r="F476" s="62" t="s">
        <v>282</v>
      </c>
      <c r="G476" s="62" t="s">
        <v>473</v>
      </c>
      <c r="H476" s="62" t="s">
        <v>2427</v>
      </c>
      <c r="I476" s="64">
        <v>8476.4285714285706</v>
      </c>
      <c r="J476" s="62" t="s">
        <v>2448</v>
      </c>
      <c r="K476" s="62" t="s">
        <v>2433</v>
      </c>
      <c r="L476" s="65" t="s">
        <v>306</v>
      </c>
      <c r="M476" s="62" t="s">
        <v>825</v>
      </c>
      <c r="N476" s="62" t="s">
        <v>603</v>
      </c>
      <c r="O476" s="62" t="s">
        <v>371</v>
      </c>
      <c r="P476" s="62" t="s">
        <v>2421</v>
      </c>
      <c r="Q476" s="66" t="s">
        <v>1972</v>
      </c>
    </row>
    <row r="477" spans="1:17" x14ac:dyDescent="0.3">
      <c r="A477" s="61" t="s">
        <v>2043</v>
      </c>
      <c r="B477" s="62" t="s">
        <v>875</v>
      </c>
      <c r="C477" s="62" t="s">
        <v>876</v>
      </c>
      <c r="D477" s="63">
        <v>44927</v>
      </c>
      <c r="E477" s="63">
        <v>46112</v>
      </c>
      <c r="F477" s="62" t="s">
        <v>1921</v>
      </c>
      <c r="G477" s="62" t="s">
        <v>560</v>
      </c>
      <c r="H477" s="62" t="s">
        <v>2427</v>
      </c>
      <c r="I477" s="64">
        <v>8476.4285714285706</v>
      </c>
      <c r="J477" s="62" t="s">
        <v>2448</v>
      </c>
      <c r="K477" s="62" t="s">
        <v>2433</v>
      </c>
      <c r="L477" s="65" t="s">
        <v>306</v>
      </c>
      <c r="M477" s="62" t="s">
        <v>825</v>
      </c>
      <c r="N477" s="62" t="s">
        <v>603</v>
      </c>
      <c r="O477" s="62" t="s">
        <v>371</v>
      </c>
      <c r="P477" s="62" t="s">
        <v>2421</v>
      </c>
      <c r="Q477" s="66" t="s">
        <v>1972</v>
      </c>
    </row>
    <row r="478" spans="1:17" x14ac:dyDescent="0.3">
      <c r="A478" s="61" t="s">
        <v>2043</v>
      </c>
      <c r="B478" s="62" t="s">
        <v>875</v>
      </c>
      <c r="C478" s="62" t="s">
        <v>876</v>
      </c>
      <c r="D478" s="63">
        <v>44927</v>
      </c>
      <c r="E478" s="63">
        <v>46112</v>
      </c>
      <c r="F478" s="62" t="s">
        <v>1943</v>
      </c>
      <c r="G478" s="62" t="s">
        <v>878</v>
      </c>
      <c r="H478" s="62" t="s">
        <v>2427</v>
      </c>
      <c r="I478" s="64">
        <v>8476.4285714285706</v>
      </c>
      <c r="J478" s="62" t="s">
        <v>2448</v>
      </c>
      <c r="K478" s="62" t="s">
        <v>2433</v>
      </c>
      <c r="L478" s="65" t="s">
        <v>306</v>
      </c>
      <c r="M478" s="62" t="s">
        <v>825</v>
      </c>
      <c r="N478" s="62" t="s">
        <v>603</v>
      </c>
      <c r="O478" s="62" t="s">
        <v>371</v>
      </c>
      <c r="P478" s="62" t="s">
        <v>2421</v>
      </c>
      <c r="Q478" s="66" t="s">
        <v>1972</v>
      </c>
    </row>
    <row r="479" spans="1:17" x14ac:dyDescent="0.3">
      <c r="A479" s="61" t="s">
        <v>2043</v>
      </c>
      <c r="B479" s="62" t="s">
        <v>875</v>
      </c>
      <c r="C479" s="62" t="s">
        <v>876</v>
      </c>
      <c r="D479" s="63">
        <v>44927</v>
      </c>
      <c r="E479" s="63">
        <v>46112</v>
      </c>
      <c r="F479" s="62" t="s">
        <v>1939</v>
      </c>
      <c r="G479" s="62" t="s">
        <v>539</v>
      </c>
      <c r="H479" s="62" t="s">
        <v>2427</v>
      </c>
      <c r="I479" s="64">
        <v>8476.4285714285706</v>
      </c>
      <c r="J479" s="62" t="s">
        <v>2448</v>
      </c>
      <c r="K479" s="62" t="s">
        <v>2433</v>
      </c>
      <c r="L479" s="65" t="s">
        <v>306</v>
      </c>
      <c r="M479" s="62" t="s">
        <v>825</v>
      </c>
      <c r="N479" s="62" t="s">
        <v>603</v>
      </c>
      <c r="O479" s="62" t="s">
        <v>371</v>
      </c>
      <c r="P479" s="62" t="s">
        <v>2421</v>
      </c>
      <c r="Q479" s="66" t="s">
        <v>1972</v>
      </c>
    </row>
    <row r="480" spans="1:17" x14ac:dyDescent="0.3">
      <c r="A480" s="61" t="s">
        <v>2043</v>
      </c>
      <c r="B480" s="62" t="s">
        <v>875</v>
      </c>
      <c r="C480" s="62" t="s">
        <v>876</v>
      </c>
      <c r="D480" s="63">
        <v>44927</v>
      </c>
      <c r="E480" s="63">
        <v>46112</v>
      </c>
      <c r="F480" s="62" t="s">
        <v>1944</v>
      </c>
      <c r="G480" s="62" t="s">
        <v>680</v>
      </c>
      <c r="H480" s="62" t="s">
        <v>2427</v>
      </c>
      <c r="I480" s="64">
        <v>8476.4285714285706</v>
      </c>
      <c r="J480" s="62" t="s">
        <v>2448</v>
      </c>
      <c r="K480" s="62" t="s">
        <v>2433</v>
      </c>
      <c r="L480" s="65" t="s">
        <v>306</v>
      </c>
      <c r="M480" s="62" t="s">
        <v>825</v>
      </c>
      <c r="N480" s="62" t="s">
        <v>603</v>
      </c>
      <c r="O480" s="62" t="s">
        <v>371</v>
      </c>
      <c r="P480" s="62" t="s">
        <v>2421</v>
      </c>
      <c r="Q480" s="66" t="s">
        <v>1972</v>
      </c>
    </row>
    <row r="481" spans="1:17" x14ac:dyDescent="0.3">
      <c r="A481" s="61" t="s">
        <v>2043</v>
      </c>
      <c r="B481" s="62" t="s">
        <v>875</v>
      </c>
      <c r="C481" s="62" t="s">
        <v>876</v>
      </c>
      <c r="D481" s="63">
        <v>44927</v>
      </c>
      <c r="E481" s="63">
        <v>46112</v>
      </c>
      <c r="F481" s="62" t="s">
        <v>1941</v>
      </c>
      <c r="G481" s="62" t="s">
        <v>325</v>
      </c>
      <c r="H481" s="62" t="s">
        <v>2427</v>
      </c>
      <c r="I481" s="64">
        <v>8476.4285714285706</v>
      </c>
      <c r="J481" s="62" t="s">
        <v>2448</v>
      </c>
      <c r="K481" s="62" t="s">
        <v>2433</v>
      </c>
      <c r="L481" s="65" t="s">
        <v>306</v>
      </c>
      <c r="M481" s="62" t="s">
        <v>825</v>
      </c>
      <c r="N481" s="62" t="s">
        <v>603</v>
      </c>
      <c r="O481" s="62" t="s">
        <v>371</v>
      </c>
      <c r="P481" s="62" t="s">
        <v>2421</v>
      </c>
      <c r="Q481" s="66" t="s">
        <v>1972</v>
      </c>
    </row>
    <row r="482" spans="1:17" x14ac:dyDescent="0.3">
      <c r="A482" s="61" t="s">
        <v>2043</v>
      </c>
      <c r="B482" s="62" t="s">
        <v>875</v>
      </c>
      <c r="C482" s="62" t="s">
        <v>876</v>
      </c>
      <c r="D482" s="63">
        <v>44927</v>
      </c>
      <c r="E482" s="63">
        <v>46112</v>
      </c>
      <c r="F482" s="62" t="s">
        <v>1931</v>
      </c>
      <c r="G482" s="62" t="s">
        <v>877</v>
      </c>
      <c r="H482" s="62" t="s">
        <v>2427</v>
      </c>
      <c r="I482" s="64">
        <v>8461.1428571428605</v>
      </c>
      <c r="J482" s="62" t="s">
        <v>879</v>
      </c>
      <c r="K482" s="62" t="s">
        <v>2433</v>
      </c>
      <c r="L482" s="65" t="s">
        <v>306</v>
      </c>
      <c r="M482" s="62" t="s">
        <v>825</v>
      </c>
      <c r="N482" s="62" t="s">
        <v>603</v>
      </c>
      <c r="O482" s="62" t="s">
        <v>371</v>
      </c>
      <c r="P482" s="62" t="s">
        <v>2421</v>
      </c>
      <c r="Q482" s="66" t="s">
        <v>1972</v>
      </c>
    </row>
    <row r="483" spans="1:17" x14ac:dyDescent="0.3">
      <c r="A483" s="61" t="s">
        <v>2043</v>
      </c>
      <c r="B483" s="62" t="s">
        <v>875</v>
      </c>
      <c r="C483" s="62" t="s">
        <v>876</v>
      </c>
      <c r="D483" s="63">
        <v>44927</v>
      </c>
      <c r="E483" s="63">
        <v>46112</v>
      </c>
      <c r="F483" s="62" t="s">
        <v>282</v>
      </c>
      <c r="G483" s="62" t="s">
        <v>473</v>
      </c>
      <c r="H483" s="62" t="s">
        <v>2427</v>
      </c>
      <c r="I483" s="64">
        <v>8461.1428571428605</v>
      </c>
      <c r="J483" s="62" t="s">
        <v>879</v>
      </c>
      <c r="K483" s="62" t="s">
        <v>2433</v>
      </c>
      <c r="L483" s="65" t="s">
        <v>353</v>
      </c>
      <c r="M483" s="62" t="s">
        <v>825</v>
      </c>
      <c r="N483" s="62" t="s">
        <v>603</v>
      </c>
      <c r="O483" s="62" t="s">
        <v>371</v>
      </c>
      <c r="P483" s="62" t="s">
        <v>2421</v>
      </c>
      <c r="Q483" s="66" t="s">
        <v>1972</v>
      </c>
    </row>
    <row r="484" spans="1:17" x14ac:dyDescent="0.3">
      <c r="A484" s="61" t="s">
        <v>2043</v>
      </c>
      <c r="B484" s="62" t="s">
        <v>875</v>
      </c>
      <c r="C484" s="62" t="s">
        <v>876</v>
      </c>
      <c r="D484" s="63">
        <v>44927</v>
      </c>
      <c r="E484" s="63">
        <v>46112</v>
      </c>
      <c r="F484" s="62" t="s">
        <v>1921</v>
      </c>
      <c r="G484" s="62" t="s">
        <v>560</v>
      </c>
      <c r="H484" s="62" t="s">
        <v>2427</v>
      </c>
      <c r="I484" s="64">
        <v>8461.1428571428605</v>
      </c>
      <c r="J484" s="62" t="s">
        <v>879</v>
      </c>
      <c r="K484" s="62" t="s">
        <v>2433</v>
      </c>
      <c r="L484" s="65" t="s">
        <v>353</v>
      </c>
      <c r="M484" s="62" t="s">
        <v>825</v>
      </c>
      <c r="N484" s="62" t="s">
        <v>603</v>
      </c>
      <c r="O484" s="62" t="s">
        <v>371</v>
      </c>
      <c r="P484" s="62" t="s">
        <v>2421</v>
      </c>
      <c r="Q484" s="66" t="s">
        <v>1972</v>
      </c>
    </row>
    <row r="485" spans="1:17" x14ac:dyDescent="0.3">
      <c r="A485" s="61" t="s">
        <v>2043</v>
      </c>
      <c r="B485" s="62" t="s">
        <v>875</v>
      </c>
      <c r="C485" s="62" t="s">
        <v>876</v>
      </c>
      <c r="D485" s="63">
        <v>44927</v>
      </c>
      <c r="E485" s="63">
        <v>46112</v>
      </c>
      <c r="F485" s="62" t="s">
        <v>1943</v>
      </c>
      <c r="G485" s="62" t="s">
        <v>878</v>
      </c>
      <c r="H485" s="62" t="s">
        <v>2427</v>
      </c>
      <c r="I485" s="64">
        <v>8461.1428571428605</v>
      </c>
      <c r="J485" s="62" t="s">
        <v>879</v>
      </c>
      <c r="K485" s="62" t="s">
        <v>2433</v>
      </c>
      <c r="L485" s="65" t="s">
        <v>353</v>
      </c>
      <c r="M485" s="62" t="s">
        <v>825</v>
      </c>
      <c r="N485" s="62" t="s">
        <v>603</v>
      </c>
      <c r="O485" s="62" t="s">
        <v>371</v>
      </c>
      <c r="P485" s="62" t="s">
        <v>2421</v>
      </c>
      <c r="Q485" s="66" t="s">
        <v>1972</v>
      </c>
    </row>
    <row r="486" spans="1:17" x14ac:dyDescent="0.3">
      <c r="A486" s="61" t="s">
        <v>2043</v>
      </c>
      <c r="B486" s="62" t="s">
        <v>875</v>
      </c>
      <c r="C486" s="62" t="s">
        <v>876</v>
      </c>
      <c r="D486" s="63">
        <v>44927</v>
      </c>
      <c r="E486" s="63">
        <v>46112</v>
      </c>
      <c r="F486" s="62" t="s">
        <v>1939</v>
      </c>
      <c r="G486" s="62" t="s">
        <v>539</v>
      </c>
      <c r="H486" s="62" t="s">
        <v>2427</v>
      </c>
      <c r="I486" s="64">
        <v>8461.1428571428605</v>
      </c>
      <c r="J486" s="62" t="s">
        <v>879</v>
      </c>
      <c r="K486" s="62" t="s">
        <v>2433</v>
      </c>
      <c r="L486" s="65" t="s">
        <v>353</v>
      </c>
      <c r="M486" s="62" t="s">
        <v>825</v>
      </c>
      <c r="N486" s="62" t="s">
        <v>603</v>
      </c>
      <c r="O486" s="62" t="s">
        <v>371</v>
      </c>
      <c r="P486" s="62" t="s">
        <v>2421</v>
      </c>
      <c r="Q486" s="66" t="s">
        <v>1972</v>
      </c>
    </row>
    <row r="487" spans="1:17" x14ac:dyDescent="0.3">
      <c r="A487" s="61" t="s">
        <v>2043</v>
      </c>
      <c r="B487" s="62" t="s">
        <v>875</v>
      </c>
      <c r="C487" s="62" t="s">
        <v>876</v>
      </c>
      <c r="D487" s="63">
        <v>44927</v>
      </c>
      <c r="E487" s="63">
        <v>46112</v>
      </c>
      <c r="F487" s="62" t="s">
        <v>1944</v>
      </c>
      <c r="G487" s="62" t="s">
        <v>680</v>
      </c>
      <c r="H487" s="62" t="s">
        <v>2427</v>
      </c>
      <c r="I487" s="64">
        <v>8461.1428571428605</v>
      </c>
      <c r="J487" s="62" t="s">
        <v>879</v>
      </c>
      <c r="K487" s="62" t="s">
        <v>2433</v>
      </c>
      <c r="L487" s="65" t="s">
        <v>353</v>
      </c>
      <c r="M487" s="62" t="s">
        <v>825</v>
      </c>
      <c r="N487" s="62" t="s">
        <v>603</v>
      </c>
      <c r="O487" s="62" t="s">
        <v>371</v>
      </c>
      <c r="P487" s="62" t="s">
        <v>2421</v>
      </c>
      <c r="Q487" s="66" t="s">
        <v>1972</v>
      </c>
    </row>
    <row r="488" spans="1:17" x14ac:dyDescent="0.3">
      <c r="A488" s="61" t="s">
        <v>2043</v>
      </c>
      <c r="B488" s="62" t="s">
        <v>875</v>
      </c>
      <c r="C488" s="62" t="s">
        <v>876</v>
      </c>
      <c r="D488" s="63">
        <v>44927</v>
      </c>
      <c r="E488" s="63">
        <v>46112</v>
      </c>
      <c r="F488" s="62" t="s">
        <v>1941</v>
      </c>
      <c r="G488" s="62" t="s">
        <v>325</v>
      </c>
      <c r="H488" s="62" t="s">
        <v>2427</v>
      </c>
      <c r="I488" s="64">
        <v>8461.1428571428605</v>
      </c>
      <c r="J488" s="62" t="s">
        <v>879</v>
      </c>
      <c r="K488" s="62" t="s">
        <v>2433</v>
      </c>
      <c r="L488" s="65" t="s">
        <v>353</v>
      </c>
      <c r="M488" s="62" t="s">
        <v>825</v>
      </c>
      <c r="N488" s="62" t="s">
        <v>603</v>
      </c>
      <c r="O488" s="62" t="s">
        <v>371</v>
      </c>
      <c r="P488" s="62" t="s">
        <v>2421</v>
      </c>
      <c r="Q488" s="66" t="s">
        <v>1972</v>
      </c>
    </row>
    <row r="489" spans="1:17" x14ac:dyDescent="0.3">
      <c r="A489" s="61" t="s">
        <v>2043</v>
      </c>
      <c r="B489" s="62" t="s">
        <v>875</v>
      </c>
      <c r="C489" s="62" t="s">
        <v>876</v>
      </c>
      <c r="D489" s="63">
        <v>44927</v>
      </c>
      <c r="E489" s="63">
        <v>46112</v>
      </c>
      <c r="F489" s="62" t="s">
        <v>1931</v>
      </c>
      <c r="G489" s="62" t="s">
        <v>877</v>
      </c>
      <c r="H489" s="62" t="s">
        <v>373</v>
      </c>
      <c r="I489" s="64">
        <v>152453.714285714</v>
      </c>
      <c r="J489" s="62" t="s">
        <v>373</v>
      </c>
      <c r="K489" s="62" t="s">
        <v>2433</v>
      </c>
      <c r="L489" s="65" t="s">
        <v>353</v>
      </c>
      <c r="M489" s="62" t="s">
        <v>825</v>
      </c>
      <c r="N489" s="62" t="s">
        <v>603</v>
      </c>
      <c r="O489" s="62" t="s">
        <v>371</v>
      </c>
      <c r="P489" s="62" t="s">
        <v>2421</v>
      </c>
      <c r="Q489" s="66" t="s">
        <v>1972</v>
      </c>
    </row>
    <row r="490" spans="1:17" x14ac:dyDescent="0.3">
      <c r="A490" s="61" t="s">
        <v>2043</v>
      </c>
      <c r="B490" s="62" t="s">
        <v>875</v>
      </c>
      <c r="C490" s="62" t="s">
        <v>876</v>
      </c>
      <c r="D490" s="63">
        <v>44927</v>
      </c>
      <c r="E490" s="63">
        <v>46112</v>
      </c>
      <c r="F490" s="62" t="s">
        <v>282</v>
      </c>
      <c r="G490" s="62" t="s">
        <v>473</v>
      </c>
      <c r="H490" s="62" t="s">
        <v>373</v>
      </c>
      <c r="I490" s="64">
        <v>152453.714285714</v>
      </c>
      <c r="J490" s="62" t="s">
        <v>373</v>
      </c>
      <c r="K490" s="62" t="s">
        <v>2433</v>
      </c>
      <c r="L490" s="65" t="s">
        <v>353</v>
      </c>
      <c r="M490" s="62" t="s">
        <v>825</v>
      </c>
      <c r="N490" s="62" t="s">
        <v>603</v>
      </c>
      <c r="O490" s="62" t="s">
        <v>371</v>
      </c>
      <c r="P490" s="62" t="s">
        <v>2421</v>
      </c>
      <c r="Q490" s="66" t="s">
        <v>1972</v>
      </c>
    </row>
    <row r="491" spans="1:17" x14ac:dyDescent="0.3">
      <c r="A491" s="61" t="s">
        <v>2043</v>
      </c>
      <c r="B491" s="62" t="s">
        <v>875</v>
      </c>
      <c r="C491" s="62" t="s">
        <v>876</v>
      </c>
      <c r="D491" s="63">
        <v>44927</v>
      </c>
      <c r="E491" s="63">
        <v>46112</v>
      </c>
      <c r="F491" s="62" t="s">
        <v>1921</v>
      </c>
      <c r="G491" s="62" t="s">
        <v>560</v>
      </c>
      <c r="H491" s="62" t="s">
        <v>373</v>
      </c>
      <c r="I491" s="64">
        <v>152453.714285714</v>
      </c>
      <c r="J491" s="62" t="s">
        <v>373</v>
      </c>
      <c r="K491" s="62" t="s">
        <v>2433</v>
      </c>
      <c r="L491" s="65" t="s">
        <v>353</v>
      </c>
      <c r="M491" s="62" t="s">
        <v>825</v>
      </c>
      <c r="N491" s="62" t="s">
        <v>603</v>
      </c>
      <c r="O491" s="62" t="s">
        <v>371</v>
      </c>
      <c r="P491" s="62" t="s">
        <v>2421</v>
      </c>
      <c r="Q491" s="66" t="s">
        <v>1972</v>
      </c>
    </row>
    <row r="492" spans="1:17" x14ac:dyDescent="0.3">
      <c r="A492" s="61" t="s">
        <v>2043</v>
      </c>
      <c r="B492" s="62" t="s">
        <v>875</v>
      </c>
      <c r="C492" s="62" t="s">
        <v>876</v>
      </c>
      <c r="D492" s="63">
        <v>44927</v>
      </c>
      <c r="E492" s="63">
        <v>46112</v>
      </c>
      <c r="F492" s="62" t="s">
        <v>1943</v>
      </c>
      <c r="G492" s="62" t="s">
        <v>878</v>
      </c>
      <c r="H492" s="62" t="s">
        <v>373</v>
      </c>
      <c r="I492" s="64">
        <v>152453.714285714</v>
      </c>
      <c r="J492" s="62" t="s">
        <v>373</v>
      </c>
      <c r="K492" s="62" t="s">
        <v>2433</v>
      </c>
      <c r="L492" s="65" t="s">
        <v>2423</v>
      </c>
      <c r="M492" s="62" t="s">
        <v>825</v>
      </c>
      <c r="N492" s="62" t="s">
        <v>603</v>
      </c>
      <c r="O492" s="62" t="s">
        <v>371</v>
      </c>
      <c r="P492" s="62" t="s">
        <v>2421</v>
      </c>
      <c r="Q492" s="66" t="s">
        <v>1972</v>
      </c>
    </row>
    <row r="493" spans="1:17" x14ac:dyDescent="0.3">
      <c r="A493" s="61" t="s">
        <v>2043</v>
      </c>
      <c r="B493" s="62" t="s">
        <v>875</v>
      </c>
      <c r="C493" s="62" t="s">
        <v>876</v>
      </c>
      <c r="D493" s="63">
        <v>44927</v>
      </c>
      <c r="E493" s="63">
        <v>46112</v>
      </c>
      <c r="F493" s="62" t="s">
        <v>1939</v>
      </c>
      <c r="G493" s="62" t="s">
        <v>539</v>
      </c>
      <c r="H493" s="62" t="s">
        <v>373</v>
      </c>
      <c r="I493" s="64">
        <v>152453.714285714</v>
      </c>
      <c r="J493" s="62" t="s">
        <v>373</v>
      </c>
      <c r="K493" s="62" t="s">
        <v>2433</v>
      </c>
      <c r="L493" s="65" t="s">
        <v>2423</v>
      </c>
      <c r="M493" s="62" t="s">
        <v>825</v>
      </c>
      <c r="N493" s="62" t="s">
        <v>603</v>
      </c>
      <c r="O493" s="62" t="s">
        <v>371</v>
      </c>
      <c r="P493" s="62" t="s">
        <v>2421</v>
      </c>
      <c r="Q493" s="66" t="s">
        <v>1972</v>
      </c>
    </row>
    <row r="494" spans="1:17" x14ac:dyDescent="0.3">
      <c r="A494" s="61" t="s">
        <v>2043</v>
      </c>
      <c r="B494" s="62" t="s">
        <v>875</v>
      </c>
      <c r="C494" s="62" t="s">
        <v>876</v>
      </c>
      <c r="D494" s="63">
        <v>44927</v>
      </c>
      <c r="E494" s="63">
        <v>46112</v>
      </c>
      <c r="F494" s="62" t="s">
        <v>1944</v>
      </c>
      <c r="G494" s="62" t="s">
        <v>680</v>
      </c>
      <c r="H494" s="62" t="s">
        <v>373</v>
      </c>
      <c r="I494" s="64">
        <v>152453.714285714</v>
      </c>
      <c r="J494" s="62" t="s">
        <v>373</v>
      </c>
      <c r="K494" s="62" t="s">
        <v>2433</v>
      </c>
      <c r="L494" s="65" t="s">
        <v>2423</v>
      </c>
      <c r="M494" s="62" t="s">
        <v>825</v>
      </c>
      <c r="N494" s="62" t="s">
        <v>603</v>
      </c>
      <c r="O494" s="62" t="s">
        <v>371</v>
      </c>
      <c r="P494" s="62" t="s">
        <v>2421</v>
      </c>
      <c r="Q494" s="66" t="s">
        <v>1972</v>
      </c>
    </row>
    <row r="495" spans="1:17" x14ac:dyDescent="0.3">
      <c r="A495" s="61" t="s">
        <v>2043</v>
      </c>
      <c r="B495" s="62" t="s">
        <v>875</v>
      </c>
      <c r="C495" s="62" t="s">
        <v>876</v>
      </c>
      <c r="D495" s="63">
        <v>44927</v>
      </c>
      <c r="E495" s="63">
        <v>46112</v>
      </c>
      <c r="F495" s="62" t="s">
        <v>1941</v>
      </c>
      <c r="G495" s="62" t="s">
        <v>325</v>
      </c>
      <c r="H495" s="62" t="s">
        <v>373</v>
      </c>
      <c r="I495" s="64">
        <v>152453.714285714</v>
      </c>
      <c r="J495" s="62" t="s">
        <v>373</v>
      </c>
      <c r="K495" s="62" t="s">
        <v>2433</v>
      </c>
      <c r="L495" s="65" t="s">
        <v>2423</v>
      </c>
      <c r="M495" s="62" t="s">
        <v>825</v>
      </c>
      <c r="N495" s="62" t="s">
        <v>603</v>
      </c>
      <c r="O495" s="62" t="s">
        <v>371</v>
      </c>
      <c r="P495" s="62" t="s">
        <v>2421</v>
      </c>
      <c r="Q495" s="66" t="s">
        <v>1972</v>
      </c>
    </row>
    <row r="496" spans="1:17" x14ac:dyDescent="0.3">
      <c r="A496" s="61" t="s">
        <v>2044</v>
      </c>
      <c r="B496" s="62" t="s">
        <v>880</v>
      </c>
      <c r="C496" s="62" t="s">
        <v>881</v>
      </c>
      <c r="D496" s="63">
        <v>44956</v>
      </c>
      <c r="E496" s="63">
        <v>46052</v>
      </c>
      <c r="F496" s="62" t="s">
        <v>1916</v>
      </c>
      <c r="G496" s="62" t="s">
        <v>882</v>
      </c>
      <c r="H496" s="62" t="s">
        <v>2420</v>
      </c>
      <c r="I496" s="64">
        <v>41499.050000000003</v>
      </c>
      <c r="J496" s="62" t="s">
        <v>2425</v>
      </c>
      <c r="K496" s="62" t="s">
        <v>377</v>
      </c>
      <c r="L496" s="65" t="s">
        <v>306</v>
      </c>
      <c r="M496" s="62" t="s">
        <v>424</v>
      </c>
      <c r="N496" s="62" t="s">
        <v>883</v>
      </c>
      <c r="O496" s="62" t="s">
        <v>347</v>
      </c>
      <c r="P496" s="62" t="s">
        <v>2421</v>
      </c>
      <c r="Q496" s="66" t="s">
        <v>1965</v>
      </c>
    </row>
    <row r="497" spans="1:17" x14ac:dyDescent="0.3">
      <c r="A497" s="61" t="s">
        <v>2044</v>
      </c>
      <c r="B497" s="62" t="s">
        <v>880</v>
      </c>
      <c r="C497" s="62" t="s">
        <v>881</v>
      </c>
      <c r="D497" s="63">
        <v>44956</v>
      </c>
      <c r="E497" s="63">
        <v>46052</v>
      </c>
      <c r="F497" s="62" t="s">
        <v>1916</v>
      </c>
      <c r="G497" s="62" t="s">
        <v>629</v>
      </c>
      <c r="H497" s="62" t="s">
        <v>2420</v>
      </c>
      <c r="I497" s="64">
        <v>41499.050000000003</v>
      </c>
      <c r="J497" s="62" t="s">
        <v>2425</v>
      </c>
      <c r="K497" s="62" t="s">
        <v>377</v>
      </c>
      <c r="L497" s="65" t="s">
        <v>306</v>
      </c>
      <c r="M497" s="62" t="s">
        <v>424</v>
      </c>
      <c r="N497" s="62" t="s">
        <v>883</v>
      </c>
      <c r="O497" s="62" t="s">
        <v>347</v>
      </c>
      <c r="P497" s="62" t="s">
        <v>2421</v>
      </c>
      <c r="Q497" s="66" t="s">
        <v>1965</v>
      </c>
    </row>
    <row r="498" spans="1:17" x14ac:dyDescent="0.3">
      <c r="A498" s="61" t="s">
        <v>2044</v>
      </c>
      <c r="B498" s="62" t="s">
        <v>880</v>
      </c>
      <c r="C498" s="62" t="s">
        <v>881</v>
      </c>
      <c r="D498" s="63">
        <v>44956</v>
      </c>
      <c r="E498" s="63">
        <v>46052</v>
      </c>
      <c r="F498" s="62" t="s">
        <v>1916</v>
      </c>
      <c r="G498" s="62" t="s">
        <v>884</v>
      </c>
      <c r="H498" s="62" t="s">
        <v>2420</v>
      </c>
      <c r="I498" s="64">
        <v>41499.050000000003</v>
      </c>
      <c r="J498" s="62" t="s">
        <v>2425</v>
      </c>
      <c r="K498" s="62" t="s">
        <v>377</v>
      </c>
      <c r="L498" s="65" t="s">
        <v>306</v>
      </c>
      <c r="M498" s="62" t="s">
        <v>424</v>
      </c>
      <c r="N498" s="62" t="s">
        <v>883</v>
      </c>
      <c r="O498" s="62" t="s">
        <v>347</v>
      </c>
      <c r="P498" s="62" t="s">
        <v>2421</v>
      </c>
      <c r="Q498" s="66" t="s">
        <v>1965</v>
      </c>
    </row>
    <row r="499" spans="1:17" x14ac:dyDescent="0.3">
      <c r="A499" s="61" t="s">
        <v>2044</v>
      </c>
      <c r="B499" s="62" t="s">
        <v>880</v>
      </c>
      <c r="C499" s="62" t="s">
        <v>881</v>
      </c>
      <c r="D499" s="63">
        <v>44956</v>
      </c>
      <c r="E499" s="63">
        <v>46052</v>
      </c>
      <c r="F499" s="62" t="s">
        <v>1916</v>
      </c>
      <c r="G499" s="62" t="s">
        <v>630</v>
      </c>
      <c r="H499" s="62" t="s">
        <v>2420</v>
      </c>
      <c r="I499" s="64">
        <v>41499.050000000003</v>
      </c>
      <c r="J499" s="62" t="s">
        <v>2425</v>
      </c>
      <c r="K499" s="62" t="s">
        <v>377</v>
      </c>
      <c r="L499" s="65" t="s">
        <v>2423</v>
      </c>
      <c r="M499" s="62" t="s">
        <v>424</v>
      </c>
      <c r="N499" s="62" t="s">
        <v>883</v>
      </c>
      <c r="O499" s="62" t="s">
        <v>347</v>
      </c>
      <c r="P499" s="62" t="s">
        <v>2421</v>
      </c>
      <c r="Q499" s="66" t="s">
        <v>1965</v>
      </c>
    </row>
    <row r="500" spans="1:17" x14ac:dyDescent="0.3">
      <c r="A500" s="61" t="s">
        <v>2044</v>
      </c>
      <c r="B500" s="62" t="s">
        <v>880</v>
      </c>
      <c r="C500" s="62" t="s">
        <v>881</v>
      </c>
      <c r="D500" s="63">
        <v>44956</v>
      </c>
      <c r="E500" s="63">
        <v>46052</v>
      </c>
      <c r="F500" s="62" t="s">
        <v>1916</v>
      </c>
      <c r="G500" s="62" t="s">
        <v>885</v>
      </c>
      <c r="H500" s="62" t="s">
        <v>2420</v>
      </c>
      <c r="I500" s="64">
        <v>41499.050000000003</v>
      </c>
      <c r="J500" s="62" t="s">
        <v>2425</v>
      </c>
      <c r="K500" s="62" t="s">
        <v>377</v>
      </c>
      <c r="L500" s="65" t="s">
        <v>2423</v>
      </c>
      <c r="M500" s="62" t="s">
        <v>424</v>
      </c>
      <c r="N500" s="62" t="s">
        <v>883</v>
      </c>
      <c r="O500" s="62" t="s">
        <v>347</v>
      </c>
      <c r="P500" s="62" t="s">
        <v>2421</v>
      </c>
      <c r="Q500" s="66" t="s">
        <v>1965</v>
      </c>
    </row>
    <row r="501" spans="1:17" x14ac:dyDescent="0.3">
      <c r="A501" s="61" t="s">
        <v>2044</v>
      </c>
      <c r="B501" s="62" t="s">
        <v>880</v>
      </c>
      <c r="C501" s="62" t="s">
        <v>881</v>
      </c>
      <c r="D501" s="63">
        <v>44956</v>
      </c>
      <c r="E501" s="63">
        <v>46052</v>
      </c>
      <c r="F501" s="62" t="s">
        <v>1916</v>
      </c>
      <c r="G501" s="62" t="s">
        <v>886</v>
      </c>
      <c r="H501" s="62" t="s">
        <v>2420</v>
      </c>
      <c r="I501" s="64">
        <v>41499.050000000003</v>
      </c>
      <c r="J501" s="62" t="s">
        <v>2425</v>
      </c>
      <c r="K501" s="62" t="s">
        <v>377</v>
      </c>
      <c r="L501" s="65" t="s">
        <v>306</v>
      </c>
      <c r="M501" s="62" t="s">
        <v>424</v>
      </c>
      <c r="N501" s="62" t="s">
        <v>883</v>
      </c>
      <c r="O501" s="62" t="s">
        <v>347</v>
      </c>
      <c r="P501" s="62" t="s">
        <v>2421</v>
      </c>
      <c r="Q501" s="66" t="s">
        <v>1965</v>
      </c>
    </row>
    <row r="502" spans="1:17" x14ac:dyDescent="0.3">
      <c r="A502" s="61" t="s">
        <v>2044</v>
      </c>
      <c r="B502" s="62" t="s">
        <v>880</v>
      </c>
      <c r="C502" s="62" t="s">
        <v>881</v>
      </c>
      <c r="D502" s="63">
        <v>44956</v>
      </c>
      <c r="E502" s="63">
        <v>46052</v>
      </c>
      <c r="F502" s="62" t="s">
        <v>1916</v>
      </c>
      <c r="G502" s="62" t="s">
        <v>887</v>
      </c>
      <c r="H502" s="62" t="s">
        <v>2420</v>
      </c>
      <c r="I502" s="64">
        <v>41499.050000000003</v>
      </c>
      <c r="J502" s="62" t="s">
        <v>2425</v>
      </c>
      <c r="K502" s="62" t="s">
        <v>377</v>
      </c>
      <c r="L502" s="65" t="s">
        <v>306</v>
      </c>
      <c r="M502" s="62" t="s">
        <v>424</v>
      </c>
      <c r="N502" s="62" t="s">
        <v>883</v>
      </c>
      <c r="O502" s="62" t="s">
        <v>347</v>
      </c>
      <c r="P502" s="62" t="s">
        <v>2421</v>
      </c>
      <c r="Q502" s="66" t="s">
        <v>1965</v>
      </c>
    </row>
    <row r="503" spans="1:17" x14ac:dyDescent="0.3">
      <c r="A503" s="61" t="s">
        <v>2044</v>
      </c>
      <c r="B503" s="62" t="s">
        <v>880</v>
      </c>
      <c r="C503" s="62" t="s">
        <v>881</v>
      </c>
      <c r="D503" s="63">
        <v>44956</v>
      </c>
      <c r="E503" s="63">
        <v>46052</v>
      </c>
      <c r="F503" s="62" t="s">
        <v>1916</v>
      </c>
      <c r="G503" s="62" t="s">
        <v>888</v>
      </c>
      <c r="H503" s="62" t="s">
        <v>2420</v>
      </c>
      <c r="I503" s="64">
        <v>41499.050000000003</v>
      </c>
      <c r="J503" s="62" t="s">
        <v>2425</v>
      </c>
      <c r="K503" s="62" t="s">
        <v>377</v>
      </c>
      <c r="L503" s="65" t="s">
        <v>306</v>
      </c>
      <c r="M503" s="62" t="s">
        <v>424</v>
      </c>
      <c r="N503" s="62" t="s">
        <v>883</v>
      </c>
      <c r="O503" s="62" t="s">
        <v>347</v>
      </c>
      <c r="P503" s="62" t="s">
        <v>2421</v>
      </c>
      <c r="Q503" s="66" t="s">
        <v>1965</v>
      </c>
    </row>
    <row r="504" spans="1:17" x14ac:dyDescent="0.3">
      <c r="A504" s="61" t="s">
        <v>2044</v>
      </c>
      <c r="B504" s="62" t="s">
        <v>880</v>
      </c>
      <c r="C504" s="62" t="s">
        <v>881</v>
      </c>
      <c r="D504" s="63">
        <v>44956</v>
      </c>
      <c r="E504" s="63">
        <v>46052</v>
      </c>
      <c r="F504" s="62" t="s">
        <v>1916</v>
      </c>
      <c r="G504" s="62" t="s">
        <v>889</v>
      </c>
      <c r="H504" s="62" t="s">
        <v>2420</v>
      </c>
      <c r="I504" s="64">
        <v>41499.050000000003</v>
      </c>
      <c r="J504" s="62" t="s">
        <v>2425</v>
      </c>
      <c r="K504" s="62" t="s">
        <v>377</v>
      </c>
      <c r="L504" s="65" t="s">
        <v>306</v>
      </c>
      <c r="M504" s="62" t="s">
        <v>424</v>
      </c>
      <c r="N504" s="62" t="s">
        <v>883</v>
      </c>
      <c r="O504" s="62" t="s">
        <v>347</v>
      </c>
      <c r="P504" s="62" t="s">
        <v>2421</v>
      </c>
      <c r="Q504" s="66" t="s">
        <v>1965</v>
      </c>
    </row>
    <row r="505" spans="1:17" x14ac:dyDescent="0.3">
      <c r="A505" s="61" t="s">
        <v>2044</v>
      </c>
      <c r="B505" s="62" t="s">
        <v>880</v>
      </c>
      <c r="C505" s="62" t="s">
        <v>881</v>
      </c>
      <c r="D505" s="63">
        <v>44956</v>
      </c>
      <c r="E505" s="63">
        <v>46052</v>
      </c>
      <c r="F505" s="62" t="s">
        <v>1916</v>
      </c>
      <c r="G505" s="62" t="s">
        <v>890</v>
      </c>
      <c r="H505" s="62" t="s">
        <v>2420</v>
      </c>
      <c r="I505" s="64">
        <v>41499.050000000003</v>
      </c>
      <c r="J505" s="62" t="s">
        <v>2425</v>
      </c>
      <c r="K505" s="62" t="s">
        <v>377</v>
      </c>
      <c r="L505" s="65" t="s">
        <v>306</v>
      </c>
      <c r="M505" s="62" t="s">
        <v>424</v>
      </c>
      <c r="N505" s="62" t="s">
        <v>883</v>
      </c>
      <c r="O505" s="62" t="s">
        <v>347</v>
      </c>
      <c r="P505" s="62" t="s">
        <v>2421</v>
      </c>
      <c r="Q505" s="66" t="s">
        <v>1965</v>
      </c>
    </row>
    <row r="506" spans="1:17" x14ac:dyDescent="0.3">
      <c r="A506" s="61" t="s">
        <v>2044</v>
      </c>
      <c r="B506" s="62" t="s">
        <v>880</v>
      </c>
      <c r="C506" s="62" t="s">
        <v>881</v>
      </c>
      <c r="D506" s="63">
        <v>44956</v>
      </c>
      <c r="E506" s="63">
        <v>46052</v>
      </c>
      <c r="F506" s="62" t="s">
        <v>1958</v>
      </c>
      <c r="G506" s="62" t="s">
        <v>628</v>
      </c>
      <c r="H506" s="62" t="s">
        <v>2420</v>
      </c>
      <c r="I506" s="64">
        <v>414990.5</v>
      </c>
      <c r="J506" s="62" t="s">
        <v>2425</v>
      </c>
      <c r="K506" s="62" t="s">
        <v>377</v>
      </c>
      <c r="L506" s="65" t="s">
        <v>306</v>
      </c>
      <c r="M506" s="62" t="s">
        <v>424</v>
      </c>
      <c r="N506" s="62" t="s">
        <v>883</v>
      </c>
      <c r="O506" s="62" t="s">
        <v>347</v>
      </c>
      <c r="P506" s="62" t="s">
        <v>2421</v>
      </c>
      <c r="Q506" s="66" t="s">
        <v>1965</v>
      </c>
    </row>
    <row r="507" spans="1:17" x14ac:dyDescent="0.3">
      <c r="A507" s="61" t="s">
        <v>2045</v>
      </c>
      <c r="B507" s="62" t="s">
        <v>2449</v>
      </c>
      <c r="C507" s="62" t="s">
        <v>891</v>
      </c>
      <c r="D507" s="63">
        <v>44974</v>
      </c>
      <c r="E507" s="63">
        <v>46446</v>
      </c>
      <c r="F507" s="62" t="s">
        <v>350</v>
      </c>
      <c r="G507" s="62" t="s">
        <v>304</v>
      </c>
      <c r="H507" s="62" t="s">
        <v>521</v>
      </c>
      <c r="I507" s="64">
        <v>3519449</v>
      </c>
      <c r="J507" s="62" t="s">
        <v>522</v>
      </c>
      <c r="K507" s="62" t="s">
        <v>521</v>
      </c>
      <c r="L507" s="65" t="s">
        <v>306</v>
      </c>
      <c r="M507" s="62" t="s">
        <v>2443</v>
      </c>
      <c r="N507" s="62" t="s">
        <v>892</v>
      </c>
      <c r="O507" s="62" t="s">
        <v>375</v>
      </c>
      <c r="P507" s="62" t="s">
        <v>2421</v>
      </c>
      <c r="Q507" s="66" t="s">
        <v>1976</v>
      </c>
    </row>
    <row r="508" spans="1:17" x14ac:dyDescent="0.3">
      <c r="A508" s="61" t="s">
        <v>2046</v>
      </c>
      <c r="B508" s="62" t="s">
        <v>893</v>
      </c>
      <c r="C508" s="62" t="s">
        <v>894</v>
      </c>
      <c r="D508" s="63">
        <v>44936</v>
      </c>
      <c r="E508" s="63">
        <v>47848</v>
      </c>
      <c r="F508" s="62" t="s">
        <v>1959</v>
      </c>
      <c r="G508" s="62" t="s">
        <v>666</v>
      </c>
      <c r="H508" s="62" t="s">
        <v>2427</v>
      </c>
      <c r="I508" s="64">
        <v>1847.4666666666701</v>
      </c>
      <c r="J508" s="62" t="s">
        <v>895</v>
      </c>
      <c r="K508" s="62" t="s">
        <v>377</v>
      </c>
      <c r="L508" s="65" t="s">
        <v>353</v>
      </c>
      <c r="M508" s="62" t="s">
        <v>424</v>
      </c>
      <c r="N508" s="62" t="s">
        <v>896</v>
      </c>
      <c r="O508" s="62" t="s">
        <v>428</v>
      </c>
      <c r="P508" s="62" t="s">
        <v>2421</v>
      </c>
      <c r="Q508" s="66" t="s">
        <v>1972</v>
      </c>
    </row>
    <row r="509" spans="1:17" x14ac:dyDescent="0.3">
      <c r="A509" s="61" t="s">
        <v>2046</v>
      </c>
      <c r="B509" s="62" t="s">
        <v>893</v>
      </c>
      <c r="C509" s="62" t="s">
        <v>894</v>
      </c>
      <c r="D509" s="63">
        <v>44936</v>
      </c>
      <c r="E509" s="63">
        <v>47848</v>
      </c>
      <c r="F509" s="62" t="s">
        <v>1959</v>
      </c>
      <c r="G509" s="62" t="s">
        <v>794</v>
      </c>
      <c r="H509" s="62" t="s">
        <v>2427</v>
      </c>
      <c r="I509" s="64">
        <v>1847.4666666666701</v>
      </c>
      <c r="J509" s="62" t="s">
        <v>895</v>
      </c>
      <c r="K509" s="62" t="s">
        <v>377</v>
      </c>
      <c r="L509" s="65" t="s">
        <v>306</v>
      </c>
      <c r="M509" s="62" t="s">
        <v>424</v>
      </c>
      <c r="N509" s="62" t="s">
        <v>896</v>
      </c>
      <c r="O509" s="62" t="s">
        <v>428</v>
      </c>
      <c r="P509" s="62" t="s">
        <v>2421</v>
      </c>
      <c r="Q509" s="66" t="s">
        <v>1972</v>
      </c>
    </row>
    <row r="510" spans="1:17" x14ac:dyDescent="0.3">
      <c r="A510" s="61" t="s">
        <v>2046</v>
      </c>
      <c r="B510" s="62" t="s">
        <v>893</v>
      </c>
      <c r="C510" s="62" t="s">
        <v>894</v>
      </c>
      <c r="D510" s="63">
        <v>44936</v>
      </c>
      <c r="E510" s="63">
        <v>47848</v>
      </c>
      <c r="F510" s="62" t="s">
        <v>1959</v>
      </c>
      <c r="G510" s="62" t="s">
        <v>585</v>
      </c>
      <c r="H510" s="62" t="s">
        <v>2427</v>
      </c>
      <c r="I510" s="64">
        <v>1847.4666666666701</v>
      </c>
      <c r="J510" s="62" t="s">
        <v>895</v>
      </c>
      <c r="K510" s="62" t="s">
        <v>377</v>
      </c>
      <c r="L510" s="65" t="s">
        <v>306</v>
      </c>
      <c r="M510" s="62" t="s">
        <v>424</v>
      </c>
      <c r="N510" s="62" t="s">
        <v>896</v>
      </c>
      <c r="O510" s="62" t="s">
        <v>428</v>
      </c>
      <c r="P510" s="62" t="s">
        <v>2421</v>
      </c>
      <c r="Q510" s="66" t="s">
        <v>1972</v>
      </c>
    </row>
    <row r="511" spans="1:17" x14ac:dyDescent="0.3">
      <c r="A511" s="61" t="s">
        <v>2046</v>
      </c>
      <c r="B511" s="62" t="s">
        <v>893</v>
      </c>
      <c r="C511" s="62" t="s">
        <v>894</v>
      </c>
      <c r="D511" s="63">
        <v>44936</v>
      </c>
      <c r="E511" s="63">
        <v>47848</v>
      </c>
      <c r="F511" s="62" t="s">
        <v>1959</v>
      </c>
      <c r="G511" s="62" t="s">
        <v>612</v>
      </c>
      <c r="H511" s="62" t="s">
        <v>2427</v>
      </c>
      <c r="I511" s="64">
        <v>1847.4666666666701</v>
      </c>
      <c r="J511" s="62" t="s">
        <v>895</v>
      </c>
      <c r="K511" s="62" t="s">
        <v>377</v>
      </c>
      <c r="L511" s="65" t="s">
        <v>306</v>
      </c>
      <c r="M511" s="62" t="s">
        <v>424</v>
      </c>
      <c r="N511" s="62" t="s">
        <v>896</v>
      </c>
      <c r="O511" s="62" t="s">
        <v>428</v>
      </c>
      <c r="P511" s="62" t="s">
        <v>2421</v>
      </c>
      <c r="Q511" s="66" t="s">
        <v>1972</v>
      </c>
    </row>
    <row r="512" spans="1:17" x14ac:dyDescent="0.3">
      <c r="A512" s="61" t="s">
        <v>2046</v>
      </c>
      <c r="B512" s="62" t="s">
        <v>893</v>
      </c>
      <c r="C512" s="62" t="s">
        <v>894</v>
      </c>
      <c r="D512" s="63">
        <v>44936</v>
      </c>
      <c r="E512" s="63">
        <v>47848</v>
      </c>
      <c r="F512" s="62" t="s">
        <v>1959</v>
      </c>
      <c r="G512" s="62" t="s">
        <v>670</v>
      </c>
      <c r="H512" s="62" t="s">
        <v>2427</v>
      </c>
      <c r="I512" s="64">
        <v>1847.4666666666701</v>
      </c>
      <c r="J512" s="62" t="s">
        <v>895</v>
      </c>
      <c r="K512" s="62" t="s">
        <v>377</v>
      </c>
      <c r="L512" s="65" t="s">
        <v>306</v>
      </c>
      <c r="M512" s="62" t="s">
        <v>424</v>
      </c>
      <c r="N512" s="62" t="s">
        <v>896</v>
      </c>
      <c r="O512" s="62" t="s">
        <v>428</v>
      </c>
      <c r="P512" s="62" t="s">
        <v>2421</v>
      </c>
      <c r="Q512" s="66" t="s">
        <v>1972</v>
      </c>
    </row>
    <row r="513" spans="1:17" x14ac:dyDescent="0.3">
      <c r="A513" s="61" t="s">
        <v>2046</v>
      </c>
      <c r="B513" s="62" t="s">
        <v>893</v>
      </c>
      <c r="C513" s="62" t="s">
        <v>894</v>
      </c>
      <c r="D513" s="63">
        <v>44936</v>
      </c>
      <c r="E513" s="63">
        <v>47848</v>
      </c>
      <c r="F513" s="62" t="s">
        <v>1942</v>
      </c>
      <c r="G513" s="62" t="s">
        <v>757</v>
      </c>
      <c r="H513" s="62" t="s">
        <v>2427</v>
      </c>
      <c r="I513" s="64">
        <v>3079.1111111111099</v>
      </c>
      <c r="J513" s="62" t="s">
        <v>895</v>
      </c>
      <c r="K513" s="62" t="s">
        <v>377</v>
      </c>
      <c r="L513" s="65" t="s">
        <v>306</v>
      </c>
      <c r="M513" s="62" t="s">
        <v>424</v>
      </c>
      <c r="N513" s="62" t="s">
        <v>896</v>
      </c>
      <c r="O513" s="62" t="s">
        <v>428</v>
      </c>
      <c r="P513" s="62" t="s">
        <v>2421</v>
      </c>
      <c r="Q513" s="66" t="s">
        <v>1972</v>
      </c>
    </row>
    <row r="514" spans="1:17" x14ac:dyDescent="0.3">
      <c r="A514" s="61" t="s">
        <v>2046</v>
      </c>
      <c r="B514" s="62" t="s">
        <v>893</v>
      </c>
      <c r="C514" s="62" t="s">
        <v>894</v>
      </c>
      <c r="D514" s="63">
        <v>44936</v>
      </c>
      <c r="E514" s="63">
        <v>47848</v>
      </c>
      <c r="F514" s="62" t="s">
        <v>1942</v>
      </c>
      <c r="G514" s="62" t="s">
        <v>897</v>
      </c>
      <c r="H514" s="62" t="s">
        <v>2427</v>
      </c>
      <c r="I514" s="64">
        <v>3079.1111111111099</v>
      </c>
      <c r="J514" s="62" t="s">
        <v>895</v>
      </c>
      <c r="K514" s="62" t="s">
        <v>377</v>
      </c>
      <c r="L514" s="65" t="s">
        <v>306</v>
      </c>
      <c r="M514" s="62" t="s">
        <v>424</v>
      </c>
      <c r="N514" s="62" t="s">
        <v>896</v>
      </c>
      <c r="O514" s="62" t="s">
        <v>428</v>
      </c>
      <c r="P514" s="62" t="s">
        <v>2421</v>
      </c>
      <c r="Q514" s="66" t="s">
        <v>1972</v>
      </c>
    </row>
    <row r="515" spans="1:17" x14ac:dyDescent="0.3">
      <c r="A515" s="61" t="s">
        <v>2046</v>
      </c>
      <c r="B515" s="62" t="s">
        <v>893</v>
      </c>
      <c r="C515" s="62" t="s">
        <v>894</v>
      </c>
      <c r="D515" s="63">
        <v>44936</v>
      </c>
      <c r="E515" s="63">
        <v>47848</v>
      </c>
      <c r="F515" s="62" t="s">
        <v>1942</v>
      </c>
      <c r="G515" s="62" t="s">
        <v>898</v>
      </c>
      <c r="H515" s="62" t="s">
        <v>2427</v>
      </c>
      <c r="I515" s="64">
        <v>3079.1111111111099</v>
      </c>
      <c r="J515" s="62" t="s">
        <v>895</v>
      </c>
      <c r="K515" s="62" t="s">
        <v>377</v>
      </c>
      <c r="L515" s="65" t="s">
        <v>306</v>
      </c>
      <c r="M515" s="62" t="s">
        <v>424</v>
      </c>
      <c r="N515" s="62" t="s">
        <v>896</v>
      </c>
      <c r="O515" s="62" t="s">
        <v>428</v>
      </c>
      <c r="P515" s="62" t="s">
        <v>2421</v>
      </c>
      <c r="Q515" s="66" t="s">
        <v>1972</v>
      </c>
    </row>
    <row r="516" spans="1:17" x14ac:dyDescent="0.3">
      <c r="A516" s="61" t="s">
        <v>2046</v>
      </c>
      <c r="B516" s="62" t="s">
        <v>893</v>
      </c>
      <c r="C516" s="62" t="s">
        <v>894</v>
      </c>
      <c r="D516" s="63">
        <v>44936</v>
      </c>
      <c r="E516" s="63">
        <v>47848</v>
      </c>
      <c r="F516" s="62" t="s">
        <v>1930</v>
      </c>
      <c r="G516" s="62" t="s">
        <v>721</v>
      </c>
      <c r="H516" s="62" t="s">
        <v>2427</v>
      </c>
      <c r="I516" s="64">
        <v>4618.6666666666697</v>
      </c>
      <c r="J516" s="62" t="s">
        <v>895</v>
      </c>
      <c r="K516" s="62" t="s">
        <v>377</v>
      </c>
      <c r="L516" s="65" t="s">
        <v>306</v>
      </c>
      <c r="M516" s="62" t="s">
        <v>424</v>
      </c>
      <c r="N516" s="62" t="s">
        <v>896</v>
      </c>
      <c r="O516" s="62" t="s">
        <v>428</v>
      </c>
      <c r="P516" s="62" t="s">
        <v>2421</v>
      </c>
      <c r="Q516" s="66" t="s">
        <v>1972</v>
      </c>
    </row>
    <row r="517" spans="1:17" x14ac:dyDescent="0.3">
      <c r="A517" s="61" t="s">
        <v>2046</v>
      </c>
      <c r="B517" s="62" t="s">
        <v>893</v>
      </c>
      <c r="C517" s="62" t="s">
        <v>894</v>
      </c>
      <c r="D517" s="63">
        <v>44936</v>
      </c>
      <c r="E517" s="63">
        <v>47848</v>
      </c>
      <c r="F517" s="62" t="s">
        <v>1930</v>
      </c>
      <c r="G517" s="62" t="s">
        <v>453</v>
      </c>
      <c r="H517" s="62" t="s">
        <v>2427</v>
      </c>
      <c r="I517" s="64">
        <v>4618.6666666666697</v>
      </c>
      <c r="J517" s="62" t="s">
        <v>895</v>
      </c>
      <c r="K517" s="62" t="s">
        <v>377</v>
      </c>
      <c r="L517" s="65" t="s">
        <v>306</v>
      </c>
      <c r="M517" s="62" t="s">
        <v>424</v>
      </c>
      <c r="N517" s="62" t="s">
        <v>896</v>
      </c>
      <c r="O517" s="62" t="s">
        <v>428</v>
      </c>
      <c r="P517" s="62" t="s">
        <v>2421</v>
      </c>
      <c r="Q517" s="66" t="s">
        <v>1972</v>
      </c>
    </row>
    <row r="518" spans="1:17" x14ac:dyDescent="0.3">
      <c r="A518" s="61" t="s">
        <v>2046</v>
      </c>
      <c r="B518" s="62" t="s">
        <v>893</v>
      </c>
      <c r="C518" s="62" t="s">
        <v>894</v>
      </c>
      <c r="D518" s="63">
        <v>44936</v>
      </c>
      <c r="E518" s="63">
        <v>47848</v>
      </c>
      <c r="F518" s="62" t="s">
        <v>1945</v>
      </c>
      <c r="G518" s="62" t="s">
        <v>400</v>
      </c>
      <c r="H518" s="62" t="s">
        <v>2427</v>
      </c>
      <c r="I518" s="64">
        <v>4618.6666666666697</v>
      </c>
      <c r="J518" s="62" t="s">
        <v>895</v>
      </c>
      <c r="K518" s="62" t="s">
        <v>377</v>
      </c>
      <c r="L518" s="65" t="s">
        <v>306</v>
      </c>
      <c r="M518" s="62" t="s">
        <v>424</v>
      </c>
      <c r="N518" s="62" t="s">
        <v>896</v>
      </c>
      <c r="O518" s="62" t="s">
        <v>428</v>
      </c>
      <c r="P518" s="62" t="s">
        <v>2421</v>
      </c>
      <c r="Q518" s="66" t="s">
        <v>1972</v>
      </c>
    </row>
    <row r="519" spans="1:17" x14ac:dyDescent="0.3">
      <c r="A519" s="61" t="s">
        <v>2046</v>
      </c>
      <c r="B519" s="62" t="s">
        <v>893</v>
      </c>
      <c r="C519" s="62" t="s">
        <v>894</v>
      </c>
      <c r="D519" s="63">
        <v>44936</v>
      </c>
      <c r="E519" s="63">
        <v>47848</v>
      </c>
      <c r="F519" s="62" t="s">
        <v>1945</v>
      </c>
      <c r="G519" s="62" t="s">
        <v>555</v>
      </c>
      <c r="H519" s="62" t="s">
        <v>2427</v>
      </c>
      <c r="I519" s="64">
        <v>4618.6666666666697</v>
      </c>
      <c r="J519" s="62" t="s">
        <v>895</v>
      </c>
      <c r="K519" s="62" t="s">
        <v>377</v>
      </c>
      <c r="L519" s="65" t="s">
        <v>306</v>
      </c>
      <c r="M519" s="62" t="s">
        <v>424</v>
      </c>
      <c r="N519" s="62" t="s">
        <v>896</v>
      </c>
      <c r="O519" s="62" t="s">
        <v>428</v>
      </c>
      <c r="P519" s="62" t="s">
        <v>2421</v>
      </c>
      <c r="Q519" s="66" t="s">
        <v>1972</v>
      </c>
    </row>
    <row r="520" spans="1:17" x14ac:dyDescent="0.3">
      <c r="A520" s="61" t="s">
        <v>2046</v>
      </c>
      <c r="B520" s="62" t="s">
        <v>893</v>
      </c>
      <c r="C520" s="62" t="s">
        <v>894</v>
      </c>
      <c r="D520" s="63">
        <v>44936</v>
      </c>
      <c r="E520" s="63">
        <v>47848</v>
      </c>
      <c r="F520" s="62" t="s">
        <v>1931</v>
      </c>
      <c r="G520" s="62" t="s">
        <v>281</v>
      </c>
      <c r="H520" s="62" t="s">
        <v>2427</v>
      </c>
      <c r="I520" s="64">
        <v>9237.3333333333303</v>
      </c>
      <c r="J520" s="62" t="s">
        <v>895</v>
      </c>
      <c r="K520" s="62" t="s">
        <v>377</v>
      </c>
      <c r="L520" s="65" t="s">
        <v>306</v>
      </c>
      <c r="M520" s="62" t="s">
        <v>424</v>
      </c>
      <c r="N520" s="62" t="s">
        <v>896</v>
      </c>
      <c r="O520" s="62" t="s">
        <v>428</v>
      </c>
      <c r="P520" s="62" t="s">
        <v>2421</v>
      </c>
      <c r="Q520" s="66" t="s">
        <v>1972</v>
      </c>
    </row>
    <row r="521" spans="1:17" x14ac:dyDescent="0.3">
      <c r="A521" s="61" t="s">
        <v>2046</v>
      </c>
      <c r="B521" s="62" t="s">
        <v>893</v>
      </c>
      <c r="C521" s="62" t="s">
        <v>894</v>
      </c>
      <c r="D521" s="63">
        <v>44936</v>
      </c>
      <c r="E521" s="63">
        <v>47848</v>
      </c>
      <c r="F521" s="62" t="s">
        <v>282</v>
      </c>
      <c r="G521" s="62" t="s">
        <v>283</v>
      </c>
      <c r="H521" s="62" t="s">
        <v>2427</v>
      </c>
      <c r="I521" s="64">
        <v>9237.3333333333303</v>
      </c>
      <c r="J521" s="62" t="s">
        <v>895</v>
      </c>
      <c r="K521" s="62" t="s">
        <v>377</v>
      </c>
      <c r="L521" s="65" t="s">
        <v>306</v>
      </c>
      <c r="M521" s="62" t="s">
        <v>424</v>
      </c>
      <c r="N521" s="62" t="s">
        <v>896</v>
      </c>
      <c r="O521" s="62" t="s">
        <v>428</v>
      </c>
      <c r="P521" s="62" t="s">
        <v>2421</v>
      </c>
      <c r="Q521" s="66" t="s">
        <v>1972</v>
      </c>
    </row>
    <row r="522" spans="1:17" x14ac:dyDescent="0.3">
      <c r="A522" s="61" t="s">
        <v>2046</v>
      </c>
      <c r="B522" s="62" t="s">
        <v>893</v>
      </c>
      <c r="C522" s="62" t="s">
        <v>894</v>
      </c>
      <c r="D522" s="63">
        <v>44936</v>
      </c>
      <c r="E522" s="63">
        <v>47848</v>
      </c>
      <c r="F522" s="62" t="s">
        <v>1921</v>
      </c>
      <c r="G522" s="62" t="s">
        <v>487</v>
      </c>
      <c r="H522" s="62" t="s">
        <v>2427</v>
      </c>
      <c r="I522" s="64">
        <v>9237.3333333333303</v>
      </c>
      <c r="J522" s="62" t="s">
        <v>895</v>
      </c>
      <c r="K522" s="62" t="s">
        <v>377</v>
      </c>
      <c r="L522" s="65" t="s">
        <v>306</v>
      </c>
      <c r="M522" s="62" t="s">
        <v>424</v>
      </c>
      <c r="N522" s="62" t="s">
        <v>896</v>
      </c>
      <c r="O522" s="62" t="s">
        <v>428</v>
      </c>
      <c r="P522" s="62" t="s">
        <v>2421</v>
      </c>
      <c r="Q522" s="66" t="s">
        <v>1972</v>
      </c>
    </row>
    <row r="523" spans="1:17" x14ac:dyDescent="0.3">
      <c r="A523" s="61" t="s">
        <v>2046</v>
      </c>
      <c r="B523" s="62" t="s">
        <v>893</v>
      </c>
      <c r="C523" s="62" t="s">
        <v>894</v>
      </c>
      <c r="D523" s="63">
        <v>44936</v>
      </c>
      <c r="E523" s="63">
        <v>47848</v>
      </c>
      <c r="F523" s="62" t="s">
        <v>348</v>
      </c>
      <c r="G523" s="62" t="s">
        <v>348</v>
      </c>
      <c r="H523" s="62" t="s">
        <v>2427</v>
      </c>
      <c r="I523" s="64">
        <v>9237.3333333333303</v>
      </c>
      <c r="J523" s="62" t="s">
        <v>895</v>
      </c>
      <c r="K523" s="62" t="s">
        <v>377</v>
      </c>
      <c r="L523" s="65" t="s">
        <v>306</v>
      </c>
      <c r="M523" s="62" t="s">
        <v>424</v>
      </c>
      <c r="N523" s="62" t="s">
        <v>896</v>
      </c>
      <c r="O523" s="62" t="s">
        <v>428</v>
      </c>
      <c r="P523" s="62" t="s">
        <v>2421</v>
      </c>
      <c r="Q523" s="66" t="s">
        <v>1972</v>
      </c>
    </row>
    <row r="524" spans="1:17" x14ac:dyDescent="0.3">
      <c r="A524" s="61" t="s">
        <v>2046</v>
      </c>
      <c r="B524" s="62" t="s">
        <v>893</v>
      </c>
      <c r="C524" s="62" t="s">
        <v>894</v>
      </c>
      <c r="D524" s="63">
        <v>44936</v>
      </c>
      <c r="E524" s="63">
        <v>47848</v>
      </c>
      <c r="F524" s="62" t="s">
        <v>1934</v>
      </c>
      <c r="G524" s="62" t="s">
        <v>477</v>
      </c>
      <c r="H524" s="62" t="s">
        <v>2427</v>
      </c>
      <c r="I524" s="64">
        <v>9237.3333333333303</v>
      </c>
      <c r="J524" s="62" t="s">
        <v>895</v>
      </c>
      <c r="K524" s="62" t="s">
        <v>377</v>
      </c>
      <c r="L524" s="65" t="s">
        <v>306</v>
      </c>
      <c r="M524" s="62" t="s">
        <v>424</v>
      </c>
      <c r="N524" s="62" t="s">
        <v>896</v>
      </c>
      <c r="O524" s="62" t="s">
        <v>428</v>
      </c>
      <c r="P524" s="62" t="s">
        <v>2421</v>
      </c>
      <c r="Q524" s="66" t="s">
        <v>1972</v>
      </c>
    </row>
    <row r="525" spans="1:17" x14ac:dyDescent="0.3">
      <c r="A525" s="61" t="s">
        <v>2046</v>
      </c>
      <c r="B525" s="62" t="s">
        <v>893</v>
      </c>
      <c r="C525" s="62" t="s">
        <v>894</v>
      </c>
      <c r="D525" s="63">
        <v>44936</v>
      </c>
      <c r="E525" s="63">
        <v>47848</v>
      </c>
      <c r="F525" s="62" t="s">
        <v>1939</v>
      </c>
      <c r="G525" s="62" t="s">
        <v>539</v>
      </c>
      <c r="H525" s="62" t="s">
        <v>2427</v>
      </c>
      <c r="I525" s="64">
        <v>9237.3333333333303</v>
      </c>
      <c r="J525" s="62" t="s">
        <v>895</v>
      </c>
      <c r="K525" s="62" t="s">
        <v>377</v>
      </c>
      <c r="L525" s="65" t="s">
        <v>306</v>
      </c>
      <c r="M525" s="62" t="s">
        <v>424</v>
      </c>
      <c r="N525" s="62" t="s">
        <v>896</v>
      </c>
      <c r="O525" s="62" t="s">
        <v>428</v>
      </c>
      <c r="P525" s="62" t="s">
        <v>2421</v>
      </c>
      <c r="Q525" s="66" t="s">
        <v>1972</v>
      </c>
    </row>
    <row r="526" spans="1:17" x14ac:dyDescent="0.3">
      <c r="A526" s="61" t="s">
        <v>2046</v>
      </c>
      <c r="B526" s="62" t="s">
        <v>893</v>
      </c>
      <c r="C526" s="62" t="s">
        <v>894</v>
      </c>
      <c r="D526" s="63">
        <v>44936</v>
      </c>
      <c r="E526" s="63">
        <v>47848</v>
      </c>
      <c r="F526" s="62" t="s">
        <v>1958</v>
      </c>
      <c r="G526" s="62" t="s">
        <v>328</v>
      </c>
      <c r="H526" s="62" t="s">
        <v>2427</v>
      </c>
      <c r="I526" s="64">
        <v>9237.3333333333303</v>
      </c>
      <c r="J526" s="62" t="s">
        <v>895</v>
      </c>
      <c r="K526" s="62" t="s">
        <v>377</v>
      </c>
      <c r="L526" s="65" t="s">
        <v>306</v>
      </c>
      <c r="M526" s="62" t="s">
        <v>424</v>
      </c>
      <c r="N526" s="62" t="s">
        <v>896</v>
      </c>
      <c r="O526" s="62" t="s">
        <v>428</v>
      </c>
      <c r="P526" s="62" t="s">
        <v>2421</v>
      </c>
      <c r="Q526" s="66" t="s">
        <v>1972</v>
      </c>
    </row>
    <row r="527" spans="1:17" x14ac:dyDescent="0.3">
      <c r="A527" s="61" t="s">
        <v>2046</v>
      </c>
      <c r="B527" s="62" t="s">
        <v>893</v>
      </c>
      <c r="C527" s="62" t="s">
        <v>894</v>
      </c>
      <c r="D527" s="63">
        <v>44936</v>
      </c>
      <c r="E527" s="63">
        <v>47848</v>
      </c>
      <c r="F527" s="62" t="s">
        <v>1961</v>
      </c>
      <c r="G527" s="62" t="s">
        <v>634</v>
      </c>
      <c r="H527" s="62" t="s">
        <v>2427</v>
      </c>
      <c r="I527" s="64">
        <v>9237.3333333333303</v>
      </c>
      <c r="J527" s="62" t="s">
        <v>895</v>
      </c>
      <c r="K527" s="62" t="s">
        <v>377</v>
      </c>
      <c r="L527" s="65" t="s">
        <v>306</v>
      </c>
      <c r="M527" s="62" t="s">
        <v>424</v>
      </c>
      <c r="N527" s="62" t="s">
        <v>896</v>
      </c>
      <c r="O527" s="62" t="s">
        <v>428</v>
      </c>
      <c r="P527" s="62" t="s">
        <v>2421</v>
      </c>
      <c r="Q527" s="66" t="s">
        <v>1972</v>
      </c>
    </row>
    <row r="528" spans="1:17" x14ac:dyDescent="0.3">
      <c r="A528" s="61" t="s">
        <v>2046</v>
      </c>
      <c r="B528" s="62" t="s">
        <v>893</v>
      </c>
      <c r="C528" s="62" t="s">
        <v>894</v>
      </c>
      <c r="D528" s="63">
        <v>44936</v>
      </c>
      <c r="E528" s="63">
        <v>47848</v>
      </c>
      <c r="F528" s="62" t="s">
        <v>1941</v>
      </c>
      <c r="G528" s="62" t="s">
        <v>325</v>
      </c>
      <c r="H528" s="62" t="s">
        <v>2427</v>
      </c>
      <c r="I528" s="64">
        <v>9237.3333333333303</v>
      </c>
      <c r="J528" s="62" t="s">
        <v>895</v>
      </c>
      <c r="K528" s="62" t="s">
        <v>377</v>
      </c>
      <c r="L528" s="65" t="s">
        <v>306</v>
      </c>
      <c r="M528" s="62" t="s">
        <v>424</v>
      </c>
      <c r="N528" s="62" t="s">
        <v>896</v>
      </c>
      <c r="O528" s="62" t="s">
        <v>428</v>
      </c>
      <c r="P528" s="62" t="s">
        <v>2421</v>
      </c>
      <c r="Q528" s="66" t="s">
        <v>1972</v>
      </c>
    </row>
    <row r="529" spans="1:17" x14ac:dyDescent="0.3">
      <c r="A529" s="61" t="s">
        <v>2046</v>
      </c>
      <c r="B529" s="62" t="s">
        <v>893</v>
      </c>
      <c r="C529" s="62" t="s">
        <v>894</v>
      </c>
      <c r="D529" s="63">
        <v>44936</v>
      </c>
      <c r="E529" s="63">
        <v>47848</v>
      </c>
      <c r="F529" s="62" t="s">
        <v>1936</v>
      </c>
      <c r="G529" s="62" t="s">
        <v>411</v>
      </c>
      <c r="H529" s="62" t="s">
        <v>2427</v>
      </c>
      <c r="I529" s="64">
        <v>9237.3333333333303</v>
      </c>
      <c r="J529" s="62" t="s">
        <v>895</v>
      </c>
      <c r="K529" s="62" t="s">
        <v>377</v>
      </c>
      <c r="L529" s="65" t="s">
        <v>306</v>
      </c>
      <c r="M529" s="62" t="s">
        <v>424</v>
      </c>
      <c r="N529" s="62" t="s">
        <v>896</v>
      </c>
      <c r="O529" s="62" t="s">
        <v>428</v>
      </c>
      <c r="P529" s="62" t="s">
        <v>2421</v>
      </c>
      <c r="Q529" s="66" t="s">
        <v>1972</v>
      </c>
    </row>
    <row r="530" spans="1:17" x14ac:dyDescent="0.3">
      <c r="A530" s="61" t="s">
        <v>2046</v>
      </c>
      <c r="B530" s="62" t="s">
        <v>893</v>
      </c>
      <c r="C530" s="62" t="s">
        <v>894</v>
      </c>
      <c r="D530" s="63">
        <v>44936</v>
      </c>
      <c r="E530" s="63">
        <v>47848</v>
      </c>
      <c r="F530" s="62" t="s">
        <v>287</v>
      </c>
      <c r="G530" s="62" t="s">
        <v>396</v>
      </c>
      <c r="H530" s="62" t="s">
        <v>2427</v>
      </c>
      <c r="I530" s="64">
        <v>9237.3333333333303</v>
      </c>
      <c r="J530" s="62" t="s">
        <v>895</v>
      </c>
      <c r="K530" s="62" t="s">
        <v>377</v>
      </c>
      <c r="L530" s="65" t="s">
        <v>306</v>
      </c>
      <c r="M530" s="62" t="s">
        <v>424</v>
      </c>
      <c r="N530" s="62" t="s">
        <v>896</v>
      </c>
      <c r="O530" s="62" t="s">
        <v>428</v>
      </c>
      <c r="P530" s="62" t="s">
        <v>2421</v>
      </c>
      <c r="Q530" s="66" t="s">
        <v>1972</v>
      </c>
    </row>
    <row r="531" spans="1:17" x14ac:dyDescent="0.3">
      <c r="A531" s="61" t="s">
        <v>2047</v>
      </c>
      <c r="B531" s="62" t="s">
        <v>899</v>
      </c>
      <c r="C531" s="62" t="s">
        <v>900</v>
      </c>
      <c r="D531" s="63">
        <v>44936</v>
      </c>
      <c r="E531" s="63">
        <v>47848</v>
      </c>
      <c r="F531" s="62" t="s">
        <v>1959</v>
      </c>
      <c r="G531" s="62" t="s">
        <v>666</v>
      </c>
      <c r="H531" s="62" t="s">
        <v>2427</v>
      </c>
      <c r="I531" s="64">
        <v>1777.7777777777801</v>
      </c>
      <c r="J531" s="62" t="s">
        <v>895</v>
      </c>
      <c r="K531" s="62" t="s">
        <v>377</v>
      </c>
      <c r="L531" s="65" t="s">
        <v>306</v>
      </c>
      <c r="M531" s="62" t="s">
        <v>2443</v>
      </c>
      <c r="N531" s="62" t="s">
        <v>314</v>
      </c>
      <c r="O531" s="62" t="s">
        <v>315</v>
      </c>
      <c r="P531" s="62" t="s">
        <v>2421</v>
      </c>
      <c r="Q531" s="66" t="s">
        <v>1969</v>
      </c>
    </row>
    <row r="532" spans="1:17" x14ac:dyDescent="0.3">
      <c r="A532" s="61" t="s">
        <v>2047</v>
      </c>
      <c r="B532" s="62" t="s">
        <v>899</v>
      </c>
      <c r="C532" s="62" t="s">
        <v>900</v>
      </c>
      <c r="D532" s="63">
        <v>44936</v>
      </c>
      <c r="E532" s="63">
        <v>47848</v>
      </c>
      <c r="F532" s="62" t="s">
        <v>1959</v>
      </c>
      <c r="G532" s="62" t="s">
        <v>584</v>
      </c>
      <c r="H532" s="62" t="s">
        <v>2427</v>
      </c>
      <c r="I532" s="64">
        <v>1777.7777777777801</v>
      </c>
      <c r="J532" s="62" t="s">
        <v>895</v>
      </c>
      <c r="K532" s="62" t="s">
        <v>377</v>
      </c>
      <c r="L532" s="65" t="s">
        <v>306</v>
      </c>
      <c r="M532" s="62" t="s">
        <v>2443</v>
      </c>
      <c r="N532" s="62" t="s">
        <v>314</v>
      </c>
      <c r="O532" s="62" t="s">
        <v>315</v>
      </c>
      <c r="P532" s="62" t="s">
        <v>2421</v>
      </c>
      <c r="Q532" s="66" t="s">
        <v>1969</v>
      </c>
    </row>
    <row r="533" spans="1:17" x14ac:dyDescent="0.3">
      <c r="A533" s="61" t="s">
        <v>2047</v>
      </c>
      <c r="B533" s="62" t="s">
        <v>899</v>
      </c>
      <c r="C533" s="62" t="s">
        <v>900</v>
      </c>
      <c r="D533" s="63">
        <v>44936</v>
      </c>
      <c r="E533" s="63">
        <v>47848</v>
      </c>
      <c r="F533" s="62" t="s">
        <v>1959</v>
      </c>
      <c r="G533" s="62" t="s">
        <v>794</v>
      </c>
      <c r="H533" s="62" t="s">
        <v>2427</v>
      </c>
      <c r="I533" s="64">
        <v>1777.7777777777801</v>
      </c>
      <c r="J533" s="62" t="s">
        <v>895</v>
      </c>
      <c r="K533" s="62" t="s">
        <v>377</v>
      </c>
      <c r="L533" s="65" t="s">
        <v>306</v>
      </c>
      <c r="M533" s="62" t="s">
        <v>2443</v>
      </c>
      <c r="N533" s="62" t="s">
        <v>314</v>
      </c>
      <c r="O533" s="62" t="s">
        <v>315</v>
      </c>
      <c r="P533" s="62" t="s">
        <v>2421</v>
      </c>
      <c r="Q533" s="66" t="s">
        <v>1969</v>
      </c>
    </row>
    <row r="534" spans="1:17" x14ac:dyDescent="0.3">
      <c r="A534" s="61" t="s">
        <v>2047</v>
      </c>
      <c r="B534" s="62" t="s">
        <v>899</v>
      </c>
      <c r="C534" s="62" t="s">
        <v>900</v>
      </c>
      <c r="D534" s="63">
        <v>44936</v>
      </c>
      <c r="E534" s="63">
        <v>47848</v>
      </c>
      <c r="F534" s="62" t="s">
        <v>1959</v>
      </c>
      <c r="G534" s="62" t="s">
        <v>585</v>
      </c>
      <c r="H534" s="62" t="s">
        <v>2427</v>
      </c>
      <c r="I534" s="64">
        <v>1777.7777777777801</v>
      </c>
      <c r="J534" s="62" t="s">
        <v>895</v>
      </c>
      <c r="K534" s="62" t="s">
        <v>377</v>
      </c>
      <c r="L534" s="65" t="s">
        <v>306</v>
      </c>
      <c r="M534" s="62" t="s">
        <v>2443</v>
      </c>
      <c r="N534" s="62" t="s">
        <v>314</v>
      </c>
      <c r="O534" s="62" t="s">
        <v>315</v>
      </c>
      <c r="P534" s="62" t="s">
        <v>2421</v>
      </c>
      <c r="Q534" s="66" t="s">
        <v>1969</v>
      </c>
    </row>
    <row r="535" spans="1:17" x14ac:dyDescent="0.3">
      <c r="A535" s="61" t="s">
        <v>2047</v>
      </c>
      <c r="B535" s="62" t="s">
        <v>899</v>
      </c>
      <c r="C535" s="62" t="s">
        <v>900</v>
      </c>
      <c r="D535" s="63">
        <v>44936</v>
      </c>
      <c r="E535" s="63">
        <v>47848</v>
      </c>
      <c r="F535" s="62" t="s">
        <v>1959</v>
      </c>
      <c r="G535" s="62" t="s">
        <v>612</v>
      </c>
      <c r="H535" s="62" t="s">
        <v>2427</v>
      </c>
      <c r="I535" s="64">
        <v>1777.7777777777801</v>
      </c>
      <c r="J535" s="62" t="s">
        <v>895</v>
      </c>
      <c r="K535" s="62" t="s">
        <v>377</v>
      </c>
      <c r="L535" s="65" t="s">
        <v>306</v>
      </c>
      <c r="M535" s="62" t="s">
        <v>2443</v>
      </c>
      <c r="N535" s="62" t="s">
        <v>314</v>
      </c>
      <c r="O535" s="62" t="s">
        <v>315</v>
      </c>
      <c r="P535" s="62" t="s">
        <v>2421</v>
      </c>
      <c r="Q535" s="66" t="s">
        <v>1969</v>
      </c>
    </row>
    <row r="536" spans="1:17" x14ac:dyDescent="0.3">
      <c r="A536" s="61" t="s">
        <v>2047</v>
      </c>
      <c r="B536" s="62" t="s">
        <v>899</v>
      </c>
      <c r="C536" s="62" t="s">
        <v>900</v>
      </c>
      <c r="D536" s="63">
        <v>44936</v>
      </c>
      <c r="E536" s="63">
        <v>47848</v>
      </c>
      <c r="F536" s="62" t="s">
        <v>1959</v>
      </c>
      <c r="G536" s="62" t="s">
        <v>670</v>
      </c>
      <c r="H536" s="62" t="s">
        <v>2427</v>
      </c>
      <c r="I536" s="64">
        <v>1777.7777777777801</v>
      </c>
      <c r="J536" s="62" t="s">
        <v>895</v>
      </c>
      <c r="K536" s="62" t="s">
        <v>377</v>
      </c>
      <c r="L536" s="65" t="s">
        <v>306</v>
      </c>
      <c r="M536" s="62" t="s">
        <v>2443</v>
      </c>
      <c r="N536" s="62" t="s">
        <v>314</v>
      </c>
      <c r="O536" s="62" t="s">
        <v>315</v>
      </c>
      <c r="P536" s="62" t="s">
        <v>2421</v>
      </c>
      <c r="Q536" s="66" t="s">
        <v>1969</v>
      </c>
    </row>
    <row r="537" spans="1:17" x14ac:dyDescent="0.3">
      <c r="A537" s="61" t="s">
        <v>2047</v>
      </c>
      <c r="B537" s="62" t="s">
        <v>899</v>
      </c>
      <c r="C537" s="62" t="s">
        <v>900</v>
      </c>
      <c r="D537" s="63">
        <v>44936</v>
      </c>
      <c r="E537" s="63">
        <v>47848</v>
      </c>
      <c r="F537" s="62" t="s">
        <v>1942</v>
      </c>
      <c r="G537" s="62" t="s">
        <v>757</v>
      </c>
      <c r="H537" s="62" t="s">
        <v>2427</v>
      </c>
      <c r="I537" s="64">
        <v>3555.5555555555602</v>
      </c>
      <c r="J537" s="62" t="s">
        <v>895</v>
      </c>
      <c r="K537" s="62" t="s">
        <v>377</v>
      </c>
      <c r="L537" s="65" t="s">
        <v>306</v>
      </c>
      <c r="M537" s="62" t="s">
        <v>2443</v>
      </c>
      <c r="N537" s="62" t="s">
        <v>314</v>
      </c>
      <c r="O537" s="62" t="s">
        <v>315</v>
      </c>
      <c r="P537" s="62" t="s">
        <v>2421</v>
      </c>
      <c r="Q537" s="66" t="s">
        <v>1969</v>
      </c>
    </row>
    <row r="538" spans="1:17" x14ac:dyDescent="0.3">
      <c r="A538" s="61" t="s">
        <v>2047</v>
      </c>
      <c r="B538" s="62" t="s">
        <v>899</v>
      </c>
      <c r="C538" s="62" t="s">
        <v>900</v>
      </c>
      <c r="D538" s="63">
        <v>44936</v>
      </c>
      <c r="E538" s="63">
        <v>47848</v>
      </c>
      <c r="F538" s="62" t="s">
        <v>1942</v>
      </c>
      <c r="G538" s="62" t="s">
        <v>897</v>
      </c>
      <c r="H538" s="62" t="s">
        <v>2427</v>
      </c>
      <c r="I538" s="64">
        <v>3555.5555555555602</v>
      </c>
      <c r="J538" s="62" t="s">
        <v>895</v>
      </c>
      <c r="K538" s="62" t="s">
        <v>377</v>
      </c>
      <c r="L538" s="65" t="s">
        <v>306</v>
      </c>
      <c r="M538" s="62" t="s">
        <v>2443</v>
      </c>
      <c r="N538" s="62" t="s">
        <v>314</v>
      </c>
      <c r="O538" s="62" t="s">
        <v>315</v>
      </c>
      <c r="P538" s="62" t="s">
        <v>2421</v>
      </c>
      <c r="Q538" s="66" t="s">
        <v>1969</v>
      </c>
    </row>
    <row r="539" spans="1:17" x14ac:dyDescent="0.3">
      <c r="A539" s="61" t="s">
        <v>2047</v>
      </c>
      <c r="B539" s="62" t="s">
        <v>899</v>
      </c>
      <c r="C539" s="62" t="s">
        <v>900</v>
      </c>
      <c r="D539" s="63">
        <v>44936</v>
      </c>
      <c r="E539" s="63">
        <v>47848</v>
      </c>
      <c r="F539" s="62" t="s">
        <v>1942</v>
      </c>
      <c r="G539" s="62" t="s">
        <v>898</v>
      </c>
      <c r="H539" s="62" t="s">
        <v>2427</v>
      </c>
      <c r="I539" s="64">
        <v>3555.5555555555602</v>
      </c>
      <c r="J539" s="62" t="s">
        <v>895</v>
      </c>
      <c r="K539" s="62" t="s">
        <v>377</v>
      </c>
      <c r="L539" s="65" t="s">
        <v>306</v>
      </c>
      <c r="M539" s="62" t="s">
        <v>2443</v>
      </c>
      <c r="N539" s="62" t="s">
        <v>314</v>
      </c>
      <c r="O539" s="62" t="s">
        <v>315</v>
      </c>
      <c r="P539" s="62" t="s">
        <v>2421</v>
      </c>
      <c r="Q539" s="66" t="s">
        <v>1969</v>
      </c>
    </row>
    <row r="540" spans="1:17" x14ac:dyDescent="0.3">
      <c r="A540" s="61" t="s">
        <v>2047</v>
      </c>
      <c r="B540" s="62" t="s">
        <v>899</v>
      </c>
      <c r="C540" s="62" t="s">
        <v>900</v>
      </c>
      <c r="D540" s="63">
        <v>44936</v>
      </c>
      <c r="E540" s="63">
        <v>47848</v>
      </c>
      <c r="F540" s="62" t="s">
        <v>1930</v>
      </c>
      <c r="G540" s="62" t="s">
        <v>721</v>
      </c>
      <c r="H540" s="62" t="s">
        <v>2427</v>
      </c>
      <c r="I540" s="64">
        <v>5333.3333333333303</v>
      </c>
      <c r="J540" s="62" t="s">
        <v>895</v>
      </c>
      <c r="K540" s="62" t="s">
        <v>377</v>
      </c>
      <c r="L540" s="65" t="s">
        <v>306</v>
      </c>
      <c r="M540" s="62" t="s">
        <v>2443</v>
      </c>
      <c r="N540" s="62" t="s">
        <v>314</v>
      </c>
      <c r="O540" s="62" t="s">
        <v>315</v>
      </c>
      <c r="P540" s="62" t="s">
        <v>2421</v>
      </c>
      <c r="Q540" s="66" t="s">
        <v>1969</v>
      </c>
    </row>
    <row r="541" spans="1:17" x14ac:dyDescent="0.3">
      <c r="A541" s="61" t="s">
        <v>2047</v>
      </c>
      <c r="B541" s="62" t="s">
        <v>899</v>
      </c>
      <c r="C541" s="62" t="s">
        <v>900</v>
      </c>
      <c r="D541" s="63">
        <v>44936</v>
      </c>
      <c r="E541" s="63">
        <v>47848</v>
      </c>
      <c r="F541" s="62" t="s">
        <v>1930</v>
      </c>
      <c r="G541" s="62" t="s">
        <v>453</v>
      </c>
      <c r="H541" s="62" t="s">
        <v>2427</v>
      </c>
      <c r="I541" s="64">
        <v>5333.3333333333303</v>
      </c>
      <c r="J541" s="62" t="s">
        <v>895</v>
      </c>
      <c r="K541" s="62" t="s">
        <v>377</v>
      </c>
      <c r="L541" s="65" t="s">
        <v>306</v>
      </c>
      <c r="M541" s="62" t="s">
        <v>2443</v>
      </c>
      <c r="N541" s="62" t="s">
        <v>314</v>
      </c>
      <c r="O541" s="62" t="s">
        <v>315</v>
      </c>
      <c r="P541" s="62" t="s">
        <v>2421</v>
      </c>
      <c r="Q541" s="66" t="s">
        <v>1969</v>
      </c>
    </row>
    <row r="542" spans="1:17" x14ac:dyDescent="0.3">
      <c r="A542" s="61" t="s">
        <v>2047</v>
      </c>
      <c r="B542" s="62" t="s">
        <v>899</v>
      </c>
      <c r="C542" s="62" t="s">
        <v>900</v>
      </c>
      <c r="D542" s="63">
        <v>44936</v>
      </c>
      <c r="E542" s="63">
        <v>47848</v>
      </c>
      <c r="F542" s="62" t="s">
        <v>1945</v>
      </c>
      <c r="G542" s="62" t="s">
        <v>400</v>
      </c>
      <c r="H542" s="62" t="s">
        <v>2427</v>
      </c>
      <c r="I542" s="64">
        <v>5333.3333333333303</v>
      </c>
      <c r="J542" s="62" t="s">
        <v>895</v>
      </c>
      <c r="K542" s="62" t="s">
        <v>377</v>
      </c>
      <c r="L542" s="65" t="s">
        <v>306</v>
      </c>
      <c r="M542" s="62" t="s">
        <v>2443</v>
      </c>
      <c r="N542" s="62" t="s">
        <v>314</v>
      </c>
      <c r="O542" s="62" t="s">
        <v>315</v>
      </c>
      <c r="P542" s="62" t="s">
        <v>2421</v>
      </c>
      <c r="Q542" s="66" t="s">
        <v>1969</v>
      </c>
    </row>
    <row r="543" spans="1:17" x14ac:dyDescent="0.3">
      <c r="A543" s="61" t="s">
        <v>2047</v>
      </c>
      <c r="B543" s="62" t="s">
        <v>899</v>
      </c>
      <c r="C543" s="62" t="s">
        <v>900</v>
      </c>
      <c r="D543" s="63">
        <v>44936</v>
      </c>
      <c r="E543" s="63">
        <v>47848</v>
      </c>
      <c r="F543" s="62" t="s">
        <v>1945</v>
      </c>
      <c r="G543" s="62" t="s">
        <v>555</v>
      </c>
      <c r="H543" s="62" t="s">
        <v>2427</v>
      </c>
      <c r="I543" s="64">
        <v>5333.3333333333303</v>
      </c>
      <c r="J543" s="62" t="s">
        <v>895</v>
      </c>
      <c r="K543" s="62" t="s">
        <v>377</v>
      </c>
      <c r="L543" s="65" t="s">
        <v>306</v>
      </c>
      <c r="M543" s="62" t="s">
        <v>2443</v>
      </c>
      <c r="N543" s="62" t="s">
        <v>314</v>
      </c>
      <c r="O543" s="62" t="s">
        <v>315</v>
      </c>
      <c r="P543" s="62" t="s">
        <v>2421</v>
      </c>
      <c r="Q543" s="66" t="s">
        <v>1969</v>
      </c>
    </row>
    <row r="544" spans="1:17" x14ac:dyDescent="0.3">
      <c r="A544" s="61" t="s">
        <v>2047</v>
      </c>
      <c r="B544" s="62" t="s">
        <v>899</v>
      </c>
      <c r="C544" s="62" t="s">
        <v>900</v>
      </c>
      <c r="D544" s="63">
        <v>44936</v>
      </c>
      <c r="E544" s="63">
        <v>47848</v>
      </c>
      <c r="F544" s="62" t="s">
        <v>1931</v>
      </c>
      <c r="G544" s="62" t="s">
        <v>281</v>
      </c>
      <c r="H544" s="62" t="s">
        <v>2427</v>
      </c>
      <c r="I544" s="64">
        <v>10666.666666666701</v>
      </c>
      <c r="J544" s="62" t="s">
        <v>895</v>
      </c>
      <c r="K544" s="62" t="s">
        <v>377</v>
      </c>
      <c r="L544" s="65" t="s">
        <v>306</v>
      </c>
      <c r="M544" s="62" t="s">
        <v>2443</v>
      </c>
      <c r="N544" s="62" t="s">
        <v>314</v>
      </c>
      <c r="O544" s="62" t="s">
        <v>315</v>
      </c>
      <c r="P544" s="62" t="s">
        <v>2421</v>
      </c>
      <c r="Q544" s="66" t="s">
        <v>1969</v>
      </c>
    </row>
    <row r="545" spans="1:17" x14ac:dyDescent="0.3">
      <c r="A545" s="61" t="s">
        <v>2047</v>
      </c>
      <c r="B545" s="62" t="s">
        <v>899</v>
      </c>
      <c r="C545" s="62" t="s">
        <v>900</v>
      </c>
      <c r="D545" s="63">
        <v>44936</v>
      </c>
      <c r="E545" s="63">
        <v>47848</v>
      </c>
      <c r="F545" s="62" t="s">
        <v>282</v>
      </c>
      <c r="G545" s="62" t="s">
        <v>283</v>
      </c>
      <c r="H545" s="62" t="s">
        <v>2427</v>
      </c>
      <c r="I545" s="64">
        <v>10666.666666666701</v>
      </c>
      <c r="J545" s="62" t="s">
        <v>895</v>
      </c>
      <c r="K545" s="62" t="s">
        <v>377</v>
      </c>
      <c r="L545" s="65" t="s">
        <v>306</v>
      </c>
      <c r="M545" s="62" t="s">
        <v>2443</v>
      </c>
      <c r="N545" s="62" t="s">
        <v>314</v>
      </c>
      <c r="O545" s="62" t="s">
        <v>315</v>
      </c>
      <c r="P545" s="62" t="s">
        <v>2421</v>
      </c>
      <c r="Q545" s="66" t="s">
        <v>1969</v>
      </c>
    </row>
    <row r="546" spans="1:17" x14ac:dyDescent="0.3">
      <c r="A546" s="61" t="s">
        <v>2047</v>
      </c>
      <c r="B546" s="62" t="s">
        <v>899</v>
      </c>
      <c r="C546" s="62" t="s">
        <v>900</v>
      </c>
      <c r="D546" s="63">
        <v>44936</v>
      </c>
      <c r="E546" s="63">
        <v>47848</v>
      </c>
      <c r="F546" s="62" t="s">
        <v>1921</v>
      </c>
      <c r="G546" s="62" t="s">
        <v>487</v>
      </c>
      <c r="H546" s="62" t="s">
        <v>2427</v>
      </c>
      <c r="I546" s="64">
        <v>10666.666666666701</v>
      </c>
      <c r="J546" s="62" t="s">
        <v>895</v>
      </c>
      <c r="K546" s="62" t="s">
        <v>377</v>
      </c>
      <c r="L546" s="65" t="s">
        <v>306</v>
      </c>
      <c r="M546" s="62" t="s">
        <v>2443</v>
      </c>
      <c r="N546" s="62" t="s">
        <v>314</v>
      </c>
      <c r="O546" s="62" t="s">
        <v>315</v>
      </c>
      <c r="P546" s="62" t="s">
        <v>2421</v>
      </c>
      <c r="Q546" s="66" t="s">
        <v>1969</v>
      </c>
    </row>
    <row r="547" spans="1:17" x14ac:dyDescent="0.3">
      <c r="A547" s="61" t="s">
        <v>2047</v>
      </c>
      <c r="B547" s="62" t="s">
        <v>899</v>
      </c>
      <c r="C547" s="62" t="s">
        <v>900</v>
      </c>
      <c r="D547" s="63">
        <v>44936</v>
      </c>
      <c r="E547" s="63">
        <v>47848</v>
      </c>
      <c r="F547" s="62" t="s">
        <v>348</v>
      </c>
      <c r="G547" s="62" t="s">
        <v>348</v>
      </c>
      <c r="H547" s="62" t="s">
        <v>2427</v>
      </c>
      <c r="I547" s="64">
        <v>10666.666666666701</v>
      </c>
      <c r="J547" s="62" t="s">
        <v>895</v>
      </c>
      <c r="K547" s="62" t="s">
        <v>377</v>
      </c>
      <c r="L547" s="65" t="s">
        <v>353</v>
      </c>
      <c r="M547" s="62" t="s">
        <v>2443</v>
      </c>
      <c r="N547" s="62" t="s">
        <v>314</v>
      </c>
      <c r="O547" s="62" t="s">
        <v>315</v>
      </c>
      <c r="P547" s="62" t="s">
        <v>2421</v>
      </c>
      <c r="Q547" s="66" t="s">
        <v>1969</v>
      </c>
    </row>
    <row r="548" spans="1:17" x14ac:dyDescent="0.3">
      <c r="A548" s="61" t="s">
        <v>2047</v>
      </c>
      <c r="B548" s="62" t="s">
        <v>899</v>
      </c>
      <c r="C548" s="62" t="s">
        <v>900</v>
      </c>
      <c r="D548" s="63">
        <v>44936</v>
      </c>
      <c r="E548" s="63">
        <v>47848</v>
      </c>
      <c r="F548" s="62" t="s">
        <v>1934</v>
      </c>
      <c r="G548" s="62" t="s">
        <v>477</v>
      </c>
      <c r="H548" s="62" t="s">
        <v>2427</v>
      </c>
      <c r="I548" s="64">
        <v>10666.666666666701</v>
      </c>
      <c r="J548" s="62" t="s">
        <v>895</v>
      </c>
      <c r="K548" s="62" t="s">
        <v>377</v>
      </c>
      <c r="L548" s="65" t="s">
        <v>306</v>
      </c>
      <c r="M548" s="62" t="s">
        <v>2443</v>
      </c>
      <c r="N548" s="62" t="s">
        <v>314</v>
      </c>
      <c r="O548" s="62" t="s">
        <v>315</v>
      </c>
      <c r="P548" s="62" t="s">
        <v>2421</v>
      </c>
      <c r="Q548" s="66" t="s">
        <v>1969</v>
      </c>
    </row>
    <row r="549" spans="1:17" x14ac:dyDescent="0.3">
      <c r="A549" s="61" t="s">
        <v>2047</v>
      </c>
      <c r="B549" s="62" t="s">
        <v>899</v>
      </c>
      <c r="C549" s="62" t="s">
        <v>900</v>
      </c>
      <c r="D549" s="63">
        <v>44936</v>
      </c>
      <c r="E549" s="63">
        <v>47848</v>
      </c>
      <c r="F549" s="62" t="s">
        <v>1939</v>
      </c>
      <c r="G549" s="62" t="s">
        <v>539</v>
      </c>
      <c r="H549" s="62" t="s">
        <v>2427</v>
      </c>
      <c r="I549" s="64">
        <v>10666.666666666701</v>
      </c>
      <c r="J549" s="62" t="s">
        <v>895</v>
      </c>
      <c r="K549" s="62" t="s">
        <v>377</v>
      </c>
      <c r="L549" s="65" t="s">
        <v>306</v>
      </c>
      <c r="M549" s="62" t="s">
        <v>2443</v>
      </c>
      <c r="N549" s="62" t="s">
        <v>314</v>
      </c>
      <c r="O549" s="62" t="s">
        <v>315</v>
      </c>
      <c r="P549" s="62" t="s">
        <v>2421</v>
      </c>
      <c r="Q549" s="66" t="s">
        <v>1969</v>
      </c>
    </row>
    <row r="550" spans="1:17" x14ac:dyDescent="0.3">
      <c r="A550" s="61" t="s">
        <v>2047</v>
      </c>
      <c r="B550" s="62" t="s">
        <v>899</v>
      </c>
      <c r="C550" s="62" t="s">
        <v>900</v>
      </c>
      <c r="D550" s="63">
        <v>44936</v>
      </c>
      <c r="E550" s="63">
        <v>47848</v>
      </c>
      <c r="F550" s="62" t="s">
        <v>1958</v>
      </c>
      <c r="G550" s="62" t="s">
        <v>328</v>
      </c>
      <c r="H550" s="62" t="s">
        <v>2427</v>
      </c>
      <c r="I550" s="64">
        <v>10666.666666666701</v>
      </c>
      <c r="J550" s="62" t="s">
        <v>895</v>
      </c>
      <c r="K550" s="62" t="s">
        <v>377</v>
      </c>
      <c r="L550" s="65" t="s">
        <v>306</v>
      </c>
      <c r="M550" s="62" t="s">
        <v>2443</v>
      </c>
      <c r="N550" s="62" t="s">
        <v>314</v>
      </c>
      <c r="O550" s="62" t="s">
        <v>315</v>
      </c>
      <c r="P550" s="62" t="s">
        <v>2421</v>
      </c>
      <c r="Q550" s="66" t="s">
        <v>1969</v>
      </c>
    </row>
    <row r="551" spans="1:17" x14ac:dyDescent="0.3">
      <c r="A551" s="61" t="s">
        <v>2047</v>
      </c>
      <c r="B551" s="62" t="s">
        <v>899</v>
      </c>
      <c r="C551" s="62" t="s">
        <v>900</v>
      </c>
      <c r="D551" s="63">
        <v>44936</v>
      </c>
      <c r="E551" s="63">
        <v>47848</v>
      </c>
      <c r="F551" s="62" t="s">
        <v>1961</v>
      </c>
      <c r="G551" s="62" t="s">
        <v>634</v>
      </c>
      <c r="H551" s="62" t="s">
        <v>2427</v>
      </c>
      <c r="I551" s="64">
        <v>10666.666666666701</v>
      </c>
      <c r="J551" s="62" t="s">
        <v>895</v>
      </c>
      <c r="K551" s="62" t="s">
        <v>377</v>
      </c>
      <c r="L551" s="65" t="s">
        <v>306</v>
      </c>
      <c r="M551" s="62" t="s">
        <v>2443</v>
      </c>
      <c r="N551" s="62" t="s">
        <v>314</v>
      </c>
      <c r="O551" s="62" t="s">
        <v>315</v>
      </c>
      <c r="P551" s="62" t="s">
        <v>2421</v>
      </c>
      <c r="Q551" s="66" t="s">
        <v>1969</v>
      </c>
    </row>
    <row r="552" spans="1:17" x14ac:dyDescent="0.3">
      <c r="A552" s="61" t="s">
        <v>2047</v>
      </c>
      <c r="B552" s="62" t="s">
        <v>899</v>
      </c>
      <c r="C552" s="62" t="s">
        <v>900</v>
      </c>
      <c r="D552" s="63">
        <v>44936</v>
      </c>
      <c r="E552" s="63">
        <v>47848</v>
      </c>
      <c r="F552" s="62" t="s">
        <v>1941</v>
      </c>
      <c r="G552" s="62" t="s">
        <v>325</v>
      </c>
      <c r="H552" s="62" t="s">
        <v>2427</v>
      </c>
      <c r="I552" s="64">
        <v>10666.666666666701</v>
      </c>
      <c r="J552" s="62" t="s">
        <v>895</v>
      </c>
      <c r="K552" s="62" t="s">
        <v>377</v>
      </c>
      <c r="L552" s="65" t="s">
        <v>306</v>
      </c>
      <c r="M552" s="62" t="s">
        <v>2443</v>
      </c>
      <c r="N552" s="62" t="s">
        <v>314</v>
      </c>
      <c r="O552" s="62" t="s">
        <v>315</v>
      </c>
      <c r="P552" s="62" t="s">
        <v>2421</v>
      </c>
      <c r="Q552" s="66" t="s">
        <v>1969</v>
      </c>
    </row>
    <row r="553" spans="1:17" x14ac:dyDescent="0.3">
      <c r="A553" s="61" t="s">
        <v>2047</v>
      </c>
      <c r="B553" s="62" t="s">
        <v>899</v>
      </c>
      <c r="C553" s="62" t="s">
        <v>900</v>
      </c>
      <c r="D553" s="63">
        <v>44936</v>
      </c>
      <c r="E553" s="63">
        <v>47848</v>
      </c>
      <c r="F553" s="62" t="s">
        <v>1936</v>
      </c>
      <c r="G553" s="62" t="s">
        <v>411</v>
      </c>
      <c r="H553" s="62" t="s">
        <v>2427</v>
      </c>
      <c r="I553" s="64">
        <v>10666.666666666701</v>
      </c>
      <c r="J553" s="62" t="s">
        <v>895</v>
      </c>
      <c r="K553" s="62" t="s">
        <v>377</v>
      </c>
      <c r="L553" s="65" t="s">
        <v>306</v>
      </c>
      <c r="M553" s="62" t="s">
        <v>2443</v>
      </c>
      <c r="N553" s="62" t="s">
        <v>314</v>
      </c>
      <c r="O553" s="62" t="s">
        <v>315</v>
      </c>
      <c r="P553" s="62" t="s">
        <v>2421</v>
      </c>
      <c r="Q553" s="66" t="s">
        <v>1969</v>
      </c>
    </row>
    <row r="554" spans="1:17" x14ac:dyDescent="0.3">
      <c r="A554" s="61" t="s">
        <v>2047</v>
      </c>
      <c r="B554" s="62" t="s">
        <v>899</v>
      </c>
      <c r="C554" s="62" t="s">
        <v>900</v>
      </c>
      <c r="D554" s="63">
        <v>44936</v>
      </c>
      <c r="E554" s="63">
        <v>47848</v>
      </c>
      <c r="F554" s="62" t="s">
        <v>287</v>
      </c>
      <c r="G554" s="62" t="s">
        <v>396</v>
      </c>
      <c r="H554" s="62" t="s">
        <v>2427</v>
      </c>
      <c r="I554" s="64">
        <v>10666.666666666701</v>
      </c>
      <c r="J554" s="62" t="s">
        <v>895</v>
      </c>
      <c r="K554" s="62" t="s">
        <v>377</v>
      </c>
      <c r="L554" s="65" t="s">
        <v>306</v>
      </c>
      <c r="M554" s="62" t="s">
        <v>2443</v>
      </c>
      <c r="N554" s="62" t="s">
        <v>314</v>
      </c>
      <c r="O554" s="62" t="s">
        <v>315</v>
      </c>
      <c r="P554" s="62" t="s">
        <v>2421</v>
      </c>
      <c r="Q554" s="66" t="s">
        <v>1969</v>
      </c>
    </row>
    <row r="555" spans="1:17" x14ac:dyDescent="0.3">
      <c r="A555" s="61" t="s">
        <v>2048</v>
      </c>
      <c r="B555" s="62" t="s">
        <v>901</v>
      </c>
      <c r="C555" s="62" t="s">
        <v>902</v>
      </c>
      <c r="D555" s="63">
        <v>44967</v>
      </c>
      <c r="E555" s="63">
        <v>46063</v>
      </c>
      <c r="F555" s="62" t="s">
        <v>1959</v>
      </c>
      <c r="G555" s="62" t="s">
        <v>466</v>
      </c>
      <c r="H555" s="62" t="s">
        <v>2420</v>
      </c>
      <c r="I555" s="64">
        <v>6944.4444444444398</v>
      </c>
      <c r="J555" s="62" t="s">
        <v>2425</v>
      </c>
      <c r="K555" s="62" t="s">
        <v>377</v>
      </c>
      <c r="L555" s="65" t="s">
        <v>306</v>
      </c>
      <c r="M555" s="62" t="s">
        <v>424</v>
      </c>
      <c r="N555" s="62" t="s">
        <v>719</v>
      </c>
      <c r="O555" s="62" t="s">
        <v>465</v>
      </c>
      <c r="P555" s="62" t="s">
        <v>2421</v>
      </c>
      <c r="Q555" s="66" t="s">
        <v>1964</v>
      </c>
    </row>
    <row r="556" spans="1:17" x14ac:dyDescent="0.3">
      <c r="A556" s="61" t="s">
        <v>2048</v>
      </c>
      <c r="B556" s="62" t="s">
        <v>901</v>
      </c>
      <c r="C556" s="62" t="s">
        <v>902</v>
      </c>
      <c r="D556" s="63">
        <v>44967</v>
      </c>
      <c r="E556" s="63">
        <v>46063</v>
      </c>
      <c r="F556" s="62" t="s">
        <v>1959</v>
      </c>
      <c r="G556" s="62" t="s">
        <v>582</v>
      </c>
      <c r="H556" s="62" t="s">
        <v>2420</v>
      </c>
      <c r="I556" s="64">
        <v>6944.4444444444398</v>
      </c>
      <c r="J556" s="62" t="s">
        <v>2425</v>
      </c>
      <c r="K556" s="62" t="s">
        <v>377</v>
      </c>
      <c r="L556" s="65" t="s">
        <v>306</v>
      </c>
      <c r="M556" s="62" t="s">
        <v>424</v>
      </c>
      <c r="N556" s="62" t="s">
        <v>719</v>
      </c>
      <c r="O556" s="62" t="s">
        <v>465</v>
      </c>
      <c r="P556" s="62" t="s">
        <v>2421</v>
      </c>
      <c r="Q556" s="66" t="s">
        <v>1964</v>
      </c>
    </row>
    <row r="557" spans="1:17" x14ac:dyDescent="0.3">
      <c r="A557" s="61" t="s">
        <v>2048</v>
      </c>
      <c r="B557" s="62" t="s">
        <v>901</v>
      </c>
      <c r="C557" s="62" t="s">
        <v>902</v>
      </c>
      <c r="D557" s="63">
        <v>44967</v>
      </c>
      <c r="E557" s="63">
        <v>46063</v>
      </c>
      <c r="F557" s="62" t="s">
        <v>1959</v>
      </c>
      <c r="G557" s="62" t="s">
        <v>679</v>
      </c>
      <c r="H557" s="62" t="s">
        <v>2420</v>
      </c>
      <c r="I557" s="64">
        <v>6944.4444444444398</v>
      </c>
      <c r="J557" s="62" t="s">
        <v>2425</v>
      </c>
      <c r="K557" s="62" t="s">
        <v>377</v>
      </c>
      <c r="L557" s="65" t="s">
        <v>306</v>
      </c>
      <c r="M557" s="62" t="s">
        <v>424</v>
      </c>
      <c r="N557" s="62" t="s">
        <v>719</v>
      </c>
      <c r="O557" s="62" t="s">
        <v>465</v>
      </c>
      <c r="P557" s="62" t="s">
        <v>2421</v>
      </c>
      <c r="Q557" s="66" t="s">
        <v>1964</v>
      </c>
    </row>
    <row r="558" spans="1:17" x14ac:dyDescent="0.3">
      <c r="A558" s="61" t="s">
        <v>2048</v>
      </c>
      <c r="B558" s="62" t="s">
        <v>901</v>
      </c>
      <c r="C558" s="62" t="s">
        <v>902</v>
      </c>
      <c r="D558" s="63">
        <v>44967</v>
      </c>
      <c r="E558" s="63">
        <v>46063</v>
      </c>
      <c r="F558" s="62" t="s">
        <v>1959</v>
      </c>
      <c r="G558" s="62" t="s">
        <v>583</v>
      </c>
      <c r="H558" s="62" t="s">
        <v>2420</v>
      </c>
      <c r="I558" s="64">
        <v>6944.4444444444398</v>
      </c>
      <c r="J558" s="62" t="s">
        <v>2425</v>
      </c>
      <c r="K558" s="62" t="s">
        <v>377</v>
      </c>
      <c r="L558" s="65" t="s">
        <v>306</v>
      </c>
      <c r="M558" s="62" t="s">
        <v>424</v>
      </c>
      <c r="N558" s="62" t="s">
        <v>719</v>
      </c>
      <c r="O558" s="62" t="s">
        <v>465</v>
      </c>
      <c r="P558" s="62" t="s">
        <v>2421</v>
      </c>
      <c r="Q558" s="66" t="s">
        <v>1964</v>
      </c>
    </row>
    <row r="559" spans="1:17" x14ac:dyDescent="0.3">
      <c r="A559" s="61" t="s">
        <v>2048</v>
      </c>
      <c r="B559" s="62" t="s">
        <v>901</v>
      </c>
      <c r="C559" s="62" t="s">
        <v>902</v>
      </c>
      <c r="D559" s="63">
        <v>44967</v>
      </c>
      <c r="E559" s="63">
        <v>46063</v>
      </c>
      <c r="F559" s="62" t="s">
        <v>1959</v>
      </c>
      <c r="G559" s="62" t="s">
        <v>794</v>
      </c>
      <c r="H559" s="62" t="s">
        <v>2420</v>
      </c>
      <c r="I559" s="64">
        <v>6944.4444444444398</v>
      </c>
      <c r="J559" s="62" t="s">
        <v>2425</v>
      </c>
      <c r="K559" s="62" t="s">
        <v>377</v>
      </c>
      <c r="L559" s="65" t="s">
        <v>306</v>
      </c>
      <c r="M559" s="62" t="s">
        <v>424</v>
      </c>
      <c r="N559" s="62" t="s">
        <v>719</v>
      </c>
      <c r="O559" s="62" t="s">
        <v>465</v>
      </c>
      <c r="P559" s="62" t="s">
        <v>2421</v>
      </c>
      <c r="Q559" s="66" t="s">
        <v>1964</v>
      </c>
    </row>
    <row r="560" spans="1:17" x14ac:dyDescent="0.3">
      <c r="A560" s="61" t="s">
        <v>2048</v>
      </c>
      <c r="B560" s="62" t="s">
        <v>901</v>
      </c>
      <c r="C560" s="62" t="s">
        <v>902</v>
      </c>
      <c r="D560" s="63">
        <v>44967</v>
      </c>
      <c r="E560" s="63">
        <v>46063</v>
      </c>
      <c r="F560" s="62" t="s">
        <v>1959</v>
      </c>
      <c r="G560" s="62" t="s">
        <v>586</v>
      </c>
      <c r="H560" s="62" t="s">
        <v>2420</v>
      </c>
      <c r="I560" s="64">
        <v>6944.4444444444398</v>
      </c>
      <c r="J560" s="62" t="s">
        <v>2425</v>
      </c>
      <c r="K560" s="62" t="s">
        <v>377</v>
      </c>
      <c r="L560" s="65" t="s">
        <v>306</v>
      </c>
      <c r="M560" s="62" t="s">
        <v>424</v>
      </c>
      <c r="N560" s="62" t="s">
        <v>719</v>
      </c>
      <c r="O560" s="62" t="s">
        <v>465</v>
      </c>
      <c r="P560" s="62" t="s">
        <v>2421</v>
      </c>
      <c r="Q560" s="66" t="s">
        <v>1964</v>
      </c>
    </row>
    <row r="561" spans="1:17" x14ac:dyDescent="0.3">
      <c r="A561" s="61" t="s">
        <v>2048</v>
      </c>
      <c r="B561" s="62" t="s">
        <v>901</v>
      </c>
      <c r="C561" s="62" t="s">
        <v>902</v>
      </c>
      <c r="D561" s="63">
        <v>44967</v>
      </c>
      <c r="E561" s="63">
        <v>46063</v>
      </c>
      <c r="F561" s="62" t="s">
        <v>1959</v>
      </c>
      <c r="G561" s="62" t="s">
        <v>587</v>
      </c>
      <c r="H561" s="62" t="s">
        <v>2420</v>
      </c>
      <c r="I561" s="64">
        <v>6944.4444444444398</v>
      </c>
      <c r="J561" s="62" t="s">
        <v>2425</v>
      </c>
      <c r="K561" s="62" t="s">
        <v>377</v>
      </c>
      <c r="L561" s="65" t="s">
        <v>2423</v>
      </c>
      <c r="M561" s="62" t="s">
        <v>424</v>
      </c>
      <c r="N561" s="62" t="s">
        <v>719</v>
      </c>
      <c r="O561" s="62" t="s">
        <v>465</v>
      </c>
      <c r="P561" s="62" t="s">
        <v>2421</v>
      </c>
      <c r="Q561" s="66" t="s">
        <v>1964</v>
      </c>
    </row>
    <row r="562" spans="1:17" x14ac:dyDescent="0.3">
      <c r="A562" s="61" t="s">
        <v>2048</v>
      </c>
      <c r="B562" s="62" t="s">
        <v>901</v>
      </c>
      <c r="C562" s="62" t="s">
        <v>902</v>
      </c>
      <c r="D562" s="63">
        <v>44967</v>
      </c>
      <c r="E562" s="63">
        <v>46063</v>
      </c>
      <c r="F562" s="62" t="s">
        <v>1959</v>
      </c>
      <c r="G562" s="62" t="s">
        <v>805</v>
      </c>
      <c r="H562" s="62" t="s">
        <v>2420</v>
      </c>
      <c r="I562" s="64">
        <v>6944.4444444444398</v>
      </c>
      <c r="J562" s="62" t="s">
        <v>2425</v>
      </c>
      <c r="K562" s="62" t="s">
        <v>377</v>
      </c>
      <c r="L562" s="65" t="s">
        <v>2423</v>
      </c>
      <c r="M562" s="62" t="s">
        <v>424</v>
      </c>
      <c r="N562" s="62" t="s">
        <v>719</v>
      </c>
      <c r="O562" s="62" t="s">
        <v>465</v>
      </c>
      <c r="P562" s="62" t="s">
        <v>2421</v>
      </c>
      <c r="Q562" s="66" t="s">
        <v>1964</v>
      </c>
    </row>
    <row r="563" spans="1:17" x14ac:dyDescent="0.3">
      <c r="A563" s="61" t="s">
        <v>2048</v>
      </c>
      <c r="B563" s="62" t="s">
        <v>901</v>
      </c>
      <c r="C563" s="62" t="s">
        <v>902</v>
      </c>
      <c r="D563" s="63">
        <v>44967</v>
      </c>
      <c r="E563" s="63">
        <v>46063</v>
      </c>
      <c r="F563" s="62" t="s">
        <v>1959</v>
      </c>
      <c r="G563" s="62" t="s">
        <v>795</v>
      </c>
      <c r="H563" s="62" t="s">
        <v>2420</v>
      </c>
      <c r="I563" s="64">
        <v>6944.4444444444398</v>
      </c>
      <c r="J563" s="62" t="s">
        <v>2425</v>
      </c>
      <c r="K563" s="62" t="s">
        <v>377</v>
      </c>
      <c r="L563" s="65" t="s">
        <v>2423</v>
      </c>
      <c r="M563" s="62" t="s">
        <v>424</v>
      </c>
      <c r="N563" s="62" t="s">
        <v>719</v>
      </c>
      <c r="O563" s="62" t="s">
        <v>465</v>
      </c>
      <c r="P563" s="62" t="s">
        <v>2421</v>
      </c>
      <c r="Q563" s="66" t="s">
        <v>1964</v>
      </c>
    </row>
    <row r="564" spans="1:17" x14ac:dyDescent="0.3">
      <c r="A564" s="61" t="s">
        <v>2048</v>
      </c>
      <c r="B564" s="62" t="s">
        <v>901</v>
      </c>
      <c r="C564" s="62" t="s">
        <v>902</v>
      </c>
      <c r="D564" s="63">
        <v>44967</v>
      </c>
      <c r="E564" s="63">
        <v>46063</v>
      </c>
      <c r="F564" s="62" t="s">
        <v>1959</v>
      </c>
      <c r="G564" s="62" t="s">
        <v>475</v>
      </c>
      <c r="H564" s="62" t="s">
        <v>2420</v>
      </c>
      <c r="I564" s="64">
        <v>6944.4444444444398</v>
      </c>
      <c r="J564" s="62" t="s">
        <v>2425</v>
      </c>
      <c r="K564" s="62" t="s">
        <v>377</v>
      </c>
      <c r="L564" s="65" t="s">
        <v>2423</v>
      </c>
      <c r="M564" s="62" t="s">
        <v>424</v>
      </c>
      <c r="N564" s="62" t="s">
        <v>719</v>
      </c>
      <c r="O564" s="62" t="s">
        <v>465</v>
      </c>
      <c r="P564" s="62" t="s">
        <v>2421</v>
      </c>
      <c r="Q564" s="66" t="s">
        <v>1964</v>
      </c>
    </row>
    <row r="565" spans="1:17" x14ac:dyDescent="0.3">
      <c r="A565" s="61" t="s">
        <v>2048</v>
      </c>
      <c r="B565" s="62" t="s">
        <v>901</v>
      </c>
      <c r="C565" s="62" t="s">
        <v>902</v>
      </c>
      <c r="D565" s="63">
        <v>44967</v>
      </c>
      <c r="E565" s="63">
        <v>46063</v>
      </c>
      <c r="F565" s="62" t="s">
        <v>1959</v>
      </c>
      <c r="G565" s="62" t="s">
        <v>578</v>
      </c>
      <c r="H565" s="62" t="s">
        <v>2420</v>
      </c>
      <c r="I565" s="64">
        <v>6944.4444444444398</v>
      </c>
      <c r="J565" s="62" t="s">
        <v>2425</v>
      </c>
      <c r="K565" s="62" t="s">
        <v>377</v>
      </c>
      <c r="L565" s="65" t="s">
        <v>2423</v>
      </c>
      <c r="M565" s="62" t="s">
        <v>424</v>
      </c>
      <c r="N565" s="62" t="s">
        <v>719</v>
      </c>
      <c r="O565" s="62" t="s">
        <v>465</v>
      </c>
      <c r="P565" s="62" t="s">
        <v>2421</v>
      </c>
      <c r="Q565" s="66" t="s">
        <v>1964</v>
      </c>
    </row>
    <row r="566" spans="1:17" x14ac:dyDescent="0.3">
      <c r="A566" s="61" t="s">
        <v>2048</v>
      </c>
      <c r="B566" s="62" t="s">
        <v>901</v>
      </c>
      <c r="C566" s="62" t="s">
        <v>902</v>
      </c>
      <c r="D566" s="63">
        <v>44967</v>
      </c>
      <c r="E566" s="63">
        <v>46063</v>
      </c>
      <c r="F566" s="62" t="s">
        <v>1959</v>
      </c>
      <c r="G566" s="62" t="s">
        <v>809</v>
      </c>
      <c r="H566" s="62" t="s">
        <v>2420</v>
      </c>
      <c r="I566" s="64">
        <v>6944.4444444444398</v>
      </c>
      <c r="J566" s="62" t="s">
        <v>2425</v>
      </c>
      <c r="K566" s="62" t="s">
        <v>377</v>
      </c>
      <c r="L566" s="65" t="s">
        <v>2423</v>
      </c>
      <c r="M566" s="62" t="s">
        <v>424</v>
      </c>
      <c r="N566" s="62" t="s">
        <v>719</v>
      </c>
      <c r="O566" s="62" t="s">
        <v>465</v>
      </c>
      <c r="P566" s="62" t="s">
        <v>2421</v>
      </c>
      <c r="Q566" s="66" t="s">
        <v>1964</v>
      </c>
    </row>
    <row r="567" spans="1:17" x14ac:dyDescent="0.3">
      <c r="A567" s="61" t="s">
        <v>2048</v>
      </c>
      <c r="B567" s="62" t="s">
        <v>901</v>
      </c>
      <c r="C567" s="62" t="s">
        <v>902</v>
      </c>
      <c r="D567" s="63">
        <v>44967</v>
      </c>
      <c r="E567" s="63">
        <v>46063</v>
      </c>
      <c r="F567" s="62" t="s">
        <v>1936</v>
      </c>
      <c r="G567" s="62" t="s">
        <v>411</v>
      </c>
      <c r="H567" s="62" t="s">
        <v>2420</v>
      </c>
      <c r="I567" s="64">
        <v>83333.333333333299</v>
      </c>
      <c r="J567" s="62" t="s">
        <v>2425</v>
      </c>
      <c r="K567" s="62" t="s">
        <v>377</v>
      </c>
      <c r="L567" s="65" t="s">
        <v>2423</v>
      </c>
      <c r="M567" s="62" t="s">
        <v>424</v>
      </c>
      <c r="N567" s="62" t="s">
        <v>719</v>
      </c>
      <c r="O567" s="62" t="s">
        <v>465</v>
      </c>
      <c r="P567" s="62" t="s">
        <v>2421</v>
      </c>
      <c r="Q567" s="66" t="s">
        <v>1964</v>
      </c>
    </row>
    <row r="568" spans="1:17" x14ac:dyDescent="0.3">
      <c r="A568" s="61" t="s">
        <v>2048</v>
      </c>
      <c r="B568" s="62" t="s">
        <v>901</v>
      </c>
      <c r="C568" s="62" t="s">
        <v>902</v>
      </c>
      <c r="D568" s="63">
        <v>44967</v>
      </c>
      <c r="E568" s="63">
        <v>46063</v>
      </c>
      <c r="F568" s="62" t="s">
        <v>1945</v>
      </c>
      <c r="G568" s="62" t="s">
        <v>400</v>
      </c>
      <c r="H568" s="62" t="s">
        <v>2420</v>
      </c>
      <c r="I568" s="64">
        <v>83333.333333333299</v>
      </c>
      <c r="J568" s="62" t="s">
        <v>2425</v>
      </c>
      <c r="K568" s="62" t="s">
        <v>377</v>
      </c>
      <c r="L568" s="65" t="s">
        <v>306</v>
      </c>
      <c r="M568" s="62" t="s">
        <v>424</v>
      </c>
      <c r="N568" s="62" t="s">
        <v>719</v>
      </c>
      <c r="O568" s="62" t="s">
        <v>465</v>
      </c>
      <c r="P568" s="62" t="s">
        <v>2421</v>
      </c>
      <c r="Q568" s="66" t="s">
        <v>1964</v>
      </c>
    </row>
    <row r="569" spans="1:17" x14ac:dyDescent="0.3">
      <c r="A569" s="61" t="s">
        <v>2049</v>
      </c>
      <c r="B569" s="62" t="s">
        <v>903</v>
      </c>
      <c r="C569" s="62" t="s">
        <v>904</v>
      </c>
      <c r="D569" s="63">
        <v>45012</v>
      </c>
      <c r="E569" s="63">
        <v>46108</v>
      </c>
      <c r="F569" s="62" t="s">
        <v>350</v>
      </c>
      <c r="G569" s="62" t="s">
        <v>304</v>
      </c>
      <c r="H569" s="62" t="s">
        <v>2422</v>
      </c>
      <c r="I569" s="64">
        <v>700000</v>
      </c>
      <c r="J569" s="62" t="s">
        <v>905</v>
      </c>
      <c r="K569" s="62" t="s">
        <v>345</v>
      </c>
      <c r="L569" s="65" t="s">
        <v>306</v>
      </c>
      <c r="M569" s="62" t="s">
        <v>424</v>
      </c>
      <c r="N569" s="62" t="s">
        <v>906</v>
      </c>
      <c r="O569" s="62" t="s">
        <v>347</v>
      </c>
      <c r="P569" s="62" t="s">
        <v>2421</v>
      </c>
      <c r="Q569" s="66" t="s">
        <v>1965</v>
      </c>
    </row>
    <row r="570" spans="1:17" x14ac:dyDescent="0.3">
      <c r="A570" s="61" t="s">
        <v>2050</v>
      </c>
      <c r="B570" s="62" t="s">
        <v>907</v>
      </c>
      <c r="C570" s="62" t="s">
        <v>2450</v>
      </c>
      <c r="D570" s="63">
        <v>44942</v>
      </c>
      <c r="E570" s="63">
        <v>46038</v>
      </c>
      <c r="F570" s="62" t="s">
        <v>1931</v>
      </c>
      <c r="G570" s="62" t="s">
        <v>281</v>
      </c>
      <c r="H570" s="62" t="s">
        <v>373</v>
      </c>
      <c r="I570" s="64">
        <v>130421.125</v>
      </c>
      <c r="J570" s="62" t="s">
        <v>373</v>
      </c>
      <c r="K570" s="62" t="s">
        <v>1693</v>
      </c>
      <c r="L570" s="65" t="s">
        <v>306</v>
      </c>
      <c r="M570" s="62" t="s">
        <v>825</v>
      </c>
      <c r="N570" s="62" t="s">
        <v>644</v>
      </c>
      <c r="O570" s="62" t="s">
        <v>371</v>
      </c>
      <c r="P570" s="62" t="s">
        <v>2421</v>
      </c>
      <c r="Q570" s="66" t="s">
        <v>1972</v>
      </c>
    </row>
    <row r="571" spans="1:17" x14ac:dyDescent="0.3">
      <c r="A571" s="61" t="s">
        <v>2050</v>
      </c>
      <c r="B571" s="62" t="s">
        <v>907</v>
      </c>
      <c r="C571" s="62" t="s">
        <v>2450</v>
      </c>
      <c r="D571" s="63">
        <v>44942</v>
      </c>
      <c r="E571" s="63">
        <v>46038</v>
      </c>
      <c r="F571" s="62" t="s">
        <v>1931</v>
      </c>
      <c r="G571" s="62" t="s">
        <v>344</v>
      </c>
      <c r="H571" s="62" t="s">
        <v>373</v>
      </c>
      <c r="I571" s="64">
        <v>130421.125</v>
      </c>
      <c r="J571" s="62" t="s">
        <v>373</v>
      </c>
      <c r="K571" s="62" t="s">
        <v>1693</v>
      </c>
      <c r="L571" s="65" t="s">
        <v>306</v>
      </c>
      <c r="M571" s="62" t="s">
        <v>825</v>
      </c>
      <c r="N571" s="62" t="s">
        <v>644</v>
      </c>
      <c r="O571" s="62" t="s">
        <v>371</v>
      </c>
      <c r="P571" s="62" t="s">
        <v>2421</v>
      </c>
      <c r="Q571" s="66" t="s">
        <v>1972</v>
      </c>
    </row>
    <row r="572" spans="1:17" x14ac:dyDescent="0.3">
      <c r="A572" s="61" t="s">
        <v>2050</v>
      </c>
      <c r="B572" s="62" t="s">
        <v>907</v>
      </c>
      <c r="C572" s="62" t="s">
        <v>2450</v>
      </c>
      <c r="D572" s="63">
        <v>44942</v>
      </c>
      <c r="E572" s="63">
        <v>46038</v>
      </c>
      <c r="F572" s="62" t="s">
        <v>1916</v>
      </c>
      <c r="G572" s="62" t="s">
        <v>630</v>
      </c>
      <c r="H572" s="62" t="s">
        <v>373</v>
      </c>
      <c r="I572" s="64">
        <v>260842.25</v>
      </c>
      <c r="J572" s="62" t="s">
        <v>373</v>
      </c>
      <c r="K572" s="62" t="s">
        <v>1693</v>
      </c>
      <c r="L572" s="65" t="s">
        <v>306</v>
      </c>
      <c r="M572" s="62" t="s">
        <v>825</v>
      </c>
      <c r="N572" s="62" t="s">
        <v>644</v>
      </c>
      <c r="O572" s="62" t="s">
        <v>371</v>
      </c>
      <c r="P572" s="62" t="s">
        <v>2421</v>
      </c>
      <c r="Q572" s="66" t="s">
        <v>1972</v>
      </c>
    </row>
    <row r="573" spans="1:17" x14ac:dyDescent="0.3">
      <c r="A573" s="61" t="s">
        <v>2050</v>
      </c>
      <c r="B573" s="62" t="s">
        <v>907</v>
      </c>
      <c r="C573" s="62" t="s">
        <v>2450</v>
      </c>
      <c r="D573" s="63">
        <v>44942</v>
      </c>
      <c r="E573" s="63">
        <v>46038</v>
      </c>
      <c r="F573" s="62" t="s">
        <v>1941</v>
      </c>
      <c r="G573" s="62" t="s">
        <v>325</v>
      </c>
      <c r="H573" s="62" t="s">
        <v>373</v>
      </c>
      <c r="I573" s="64">
        <v>260842.25</v>
      </c>
      <c r="J573" s="62" t="s">
        <v>373</v>
      </c>
      <c r="K573" s="62" t="s">
        <v>1693</v>
      </c>
      <c r="L573" s="65" t="s">
        <v>306</v>
      </c>
      <c r="M573" s="62" t="s">
        <v>825</v>
      </c>
      <c r="N573" s="62" t="s">
        <v>644</v>
      </c>
      <c r="O573" s="62" t="s">
        <v>371</v>
      </c>
      <c r="P573" s="62" t="s">
        <v>2421</v>
      </c>
      <c r="Q573" s="66" t="s">
        <v>1972</v>
      </c>
    </row>
    <row r="574" spans="1:17" x14ac:dyDescent="0.3">
      <c r="A574" s="61" t="s">
        <v>2050</v>
      </c>
      <c r="B574" s="62" t="s">
        <v>907</v>
      </c>
      <c r="C574" s="62" t="s">
        <v>2450</v>
      </c>
      <c r="D574" s="63">
        <v>44942</v>
      </c>
      <c r="E574" s="63">
        <v>46038</v>
      </c>
      <c r="F574" s="62" t="s">
        <v>1945</v>
      </c>
      <c r="G574" s="62" t="s">
        <v>400</v>
      </c>
      <c r="H574" s="62" t="s">
        <v>373</v>
      </c>
      <c r="I574" s="64">
        <v>260842.25</v>
      </c>
      <c r="J574" s="62" t="s">
        <v>373</v>
      </c>
      <c r="K574" s="62" t="s">
        <v>1693</v>
      </c>
      <c r="L574" s="65" t="s">
        <v>306</v>
      </c>
      <c r="M574" s="62" t="s">
        <v>825</v>
      </c>
      <c r="N574" s="62" t="s">
        <v>644</v>
      </c>
      <c r="O574" s="62" t="s">
        <v>371</v>
      </c>
      <c r="P574" s="62" t="s">
        <v>2421</v>
      </c>
      <c r="Q574" s="66" t="s">
        <v>1972</v>
      </c>
    </row>
    <row r="575" spans="1:17" x14ac:dyDescent="0.3">
      <c r="A575" s="61" t="s">
        <v>2051</v>
      </c>
      <c r="B575" s="62" t="s">
        <v>908</v>
      </c>
      <c r="C575" s="62" t="s">
        <v>610</v>
      </c>
      <c r="D575" s="63">
        <v>44858</v>
      </c>
      <c r="E575" s="63">
        <v>46136</v>
      </c>
      <c r="F575" s="62" t="s">
        <v>350</v>
      </c>
      <c r="G575" s="62" t="s">
        <v>304</v>
      </c>
      <c r="H575" s="62" t="s">
        <v>373</v>
      </c>
      <c r="I575" s="64">
        <v>1482298</v>
      </c>
      <c r="J575" s="62" t="s">
        <v>373</v>
      </c>
      <c r="K575" s="62" t="s">
        <v>1693</v>
      </c>
      <c r="L575" s="65" t="s">
        <v>306</v>
      </c>
      <c r="M575" s="62" t="s">
        <v>424</v>
      </c>
      <c r="N575" s="62" t="s">
        <v>909</v>
      </c>
      <c r="O575" s="62" t="s">
        <v>637</v>
      </c>
      <c r="P575" s="62" t="s">
        <v>2421</v>
      </c>
      <c r="Q575" s="66" t="s">
        <v>1968</v>
      </c>
    </row>
    <row r="576" spans="1:17" x14ac:dyDescent="0.3">
      <c r="A576" s="61" t="s">
        <v>2052</v>
      </c>
      <c r="B576" s="62" t="s">
        <v>914</v>
      </c>
      <c r="C576" s="62" t="s">
        <v>915</v>
      </c>
      <c r="D576" s="63">
        <v>44936</v>
      </c>
      <c r="E576" s="63">
        <v>47848</v>
      </c>
      <c r="F576" s="62" t="s">
        <v>1959</v>
      </c>
      <c r="G576" s="62" t="s">
        <v>666</v>
      </c>
      <c r="H576" s="62" t="s">
        <v>2427</v>
      </c>
      <c r="I576" s="64">
        <v>8766.1333333333296</v>
      </c>
      <c r="J576" s="62" t="s">
        <v>895</v>
      </c>
      <c r="K576" s="62" t="s">
        <v>377</v>
      </c>
      <c r="L576" s="65" t="s">
        <v>2423</v>
      </c>
      <c r="M576" s="62" t="s">
        <v>424</v>
      </c>
      <c r="N576" s="62" t="s">
        <v>916</v>
      </c>
      <c r="O576" s="62" t="s">
        <v>315</v>
      </c>
      <c r="P576" s="62" t="s">
        <v>2421</v>
      </c>
      <c r="Q576" s="66" t="s">
        <v>1976</v>
      </c>
    </row>
    <row r="577" spans="1:17" x14ac:dyDescent="0.3">
      <c r="A577" s="61" t="s">
        <v>2052</v>
      </c>
      <c r="B577" s="62" t="s">
        <v>914</v>
      </c>
      <c r="C577" s="62" t="s">
        <v>915</v>
      </c>
      <c r="D577" s="63">
        <v>44936</v>
      </c>
      <c r="E577" s="63">
        <v>47848</v>
      </c>
      <c r="F577" s="62" t="s">
        <v>1959</v>
      </c>
      <c r="G577" s="62" t="s">
        <v>584</v>
      </c>
      <c r="H577" s="62" t="s">
        <v>2427</v>
      </c>
      <c r="I577" s="64">
        <v>8766.1333333333296</v>
      </c>
      <c r="J577" s="62" t="s">
        <v>895</v>
      </c>
      <c r="K577" s="62" t="s">
        <v>377</v>
      </c>
      <c r="L577" s="65" t="s">
        <v>306</v>
      </c>
      <c r="M577" s="62" t="s">
        <v>424</v>
      </c>
      <c r="N577" s="62" t="s">
        <v>916</v>
      </c>
      <c r="O577" s="62" t="s">
        <v>315</v>
      </c>
      <c r="P577" s="62" t="s">
        <v>2421</v>
      </c>
      <c r="Q577" s="66" t="s">
        <v>1976</v>
      </c>
    </row>
    <row r="578" spans="1:17" x14ac:dyDescent="0.3">
      <c r="A578" s="61" t="s">
        <v>2052</v>
      </c>
      <c r="B578" s="62" t="s">
        <v>914</v>
      </c>
      <c r="C578" s="62" t="s">
        <v>915</v>
      </c>
      <c r="D578" s="63">
        <v>44936</v>
      </c>
      <c r="E578" s="63">
        <v>47848</v>
      </c>
      <c r="F578" s="62" t="s">
        <v>1959</v>
      </c>
      <c r="G578" s="62" t="s">
        <v>794</v>
      </c>
      <c r="H578" s="62" t="s">
        <v>2427</v>
      </c>
      <c r="I578" s="64">
        <v>8766.1333333333296</v>
      </c>
      <c r="J578" s="62" t="s">
        <v>895</v>
      </c>
      <c r="K578" s="62" t="s">
        <v>377</v>
      </c>
      <c r="L578" s="65" t="s">
        <v>306</v>
      </c>
      <c r="M578" s="62" t="s">
        <v>424</v>
      </c>
      <c r="N578" s="62" t="s">
        <v>916</v>
      </c>
      <c r="O578" s="62" t="s">
        <v>315</v>
      </c>
      <c r="P578" s="62" t="s">
        <v>2421</v>
      </c>
      <c r="Q578" s="66" t="s">
        <v>1976</v>
      </c>
    </row>
    <row r="579" spans="1:17" x14ac:dyDescent="0.3">
      <c r="A579" s="61" t="s">
        <v>2052</v>
      </c>
      <c r="B579" s="62" t="s">
        <v>914</v>
      </c>
      <c r="C579" s="62" t="s">
        <v>915</v>
      </c>
      <c r="D579" s="63">
        <v>44936</v>
      </c>
      <c r="E579" s="63">
        <v>47848</v>
      </c>
      <c r="F579" s="62" t="s">
        <v>1959</v>
      </c>
      <c r="G579" s="62" t="s">
        <v>585</v>
      </c>
      <c r="H579" s="62" t="s">
        <v>2427</v>
      </c>
      <c r="I579" s="64">
        <v>8766.1333333333296</v>
      </c>
      <c r="J579" s="62" t="s">
        <v>895</v>
      </c>
      <c r="K579" s="62" t="s">
        <v>377</v>
      </c>
      <c r="L579" s="65" t="s">
        <v>306</v>
      </c>
      <c r="M579" s="62" t="s">
        <v>424</v>
      </c>
      <c r="N579" s="62" t="s">
        <v>916</v>
      </c>
      <c r="O579" s="62" t="s">
        <v>315</v>
      </c>
      <c r="P579" s="62" t="s">
        <v>2421</v>
      </c>
      <c r="Q579" s="66" t="s">
        <v>1976</v>
      </c>
    </row>
    <row r="580" spans="1:17" x14ac:dyDescent="0.3">
      <c r="A580" s="61" t="s">
        <v>2052</v>
      </c>
      <c r="B580" s="62" t="s">
        <v>914</v>
      </c>
      <c r="C580" s="62" t="s">
        <v>915</v>
      </c>
      <c r="D580" s="63">
        <v>44936</v>
      </c>
      <c r="E580" s="63">
        <v>47848</v>
      </c>
      <c r="F580" s="62" t="s">
        <v>1959</v>
      </c>
      <c r="G580" s="62" t="s">
        <v>612</v>
      </c>
      <c r="H580" s="62" t="s">
        <v>2427</v>
      </c>
      <c r="I580" s="64">
        <v>8766.1333333333296</v>
      </c>
      <c r="J580" s="62" t="s">
        <v>895</v>
      </c>
      <c r="K580" s="62" t="s">
        <v>377</v>
      </c>
      <c r="L580" s="65" t="s">
        <v>306</v>
      </c>
      <c r="M580" s="62" t="s">
        <v>424</v>
      </c>
      <c r="N580" s="62" t="s">
        <v>916</v>
      </c>
      <c r="O580" s="62" t="s">
        <v>315</v>
      </c>
      <c r="P580" s="62" t="s">
        <v>2421</v>
      </c>
      <c r="Q580" s="66" t="s">
        <v>1976</v>
      </c>
    </row>
    <row r="581" spans="1:17" x14ac:dyDescent="0.3">
      <c r="A581" s="61" t="s">
        <v>2052</v>
      </c>
      <c r="B581" s="62" t="s">
        <v>914</v>
      </c>
      <c r="C581" s="62" t="s">
        <v>915</v>
      </c>
      <c r="D581" s="63">
        <v>44936</v>
      </c>
      <c r="E581" s="63">
        <v>47848</v>
      </c>
      <c r="F581" s="62" t="s">
        <v>1959</v>
      </c>
      <c r="G581" s="62" t="s">
        <v>670</v>
      </c>
      <c r="H581" s="62" t="s">
        <v>2427</v>
      </c>
      <c r="I581" s="64">
        <v>8766.1333333333296</v>
      </c>
      <c r="J581" s="62" t="s">
        <v>895</v>
      </c>
      <c r="K581" s="62" t="s">
        <v>377</v>
      </c>
      <c r="L581" s="65" t="s">
        <v>306</v>
      </c>
      <c r="M581" s="62" t="s">
        <v>424</v>
      </c>
      <c r="N581" s="62" t="s">
        <v>916</v>
      </c>
      <c r="O581" s="62" t="s">
        <v>315</v>
      </c>
      <c r="P581" s="62" t="s">
        <v>2421</v>
      </c>
      <c r="Q581" s="66" t="s">
        <v>1976</v>
      </c>
    </row>
    <row r="582" spans="1:17" x14ac:dyDescent="0.3">
      <c r="A582" s="61" t="s">
        <v>2052</v>
      </c>
      <c r="B582" s="62" t="s">
        <v>914</v>
      </c>
      <c r="C582" s="62" t="s">
        <v>915</v>
      </c>
      <c r="D582" s="63">
        <v>44936</v>
      </c>
      <c r="E582" s="63">
        <v>47848</v>
      </c>
      <c r="F582" s="62" t="s">
        <v>1942</v>
      </c>
      <c r="G582" s="62" t="s">
        <v>757</v>
      </c>
      <c r="H582" s="62" t="s">
        <v>2427</v>
      </c>
      <c r="I582" s="64">
        <v>17532.266666666699</v>
      </c>
      <c r="J582" s="62" t="s">
        <v>895</v>
      </c>
      <c r="K582" s="62" t="s">
        <v>377</v>
      </c>
      <c r="L582" s="65" t="s">
        <v>2423</v>
      </c>
      <c r="M582" s="62" t="s">
        <v>424</v>
      </c>
      <c r="N582" s="62" t="s">
        <v>916</v>
      </c>
      <c r="O582" s="62" t="s">
        <v>315</v>
      </c>
      <c r="P582" s="62" t="s">
        <v>2421</v>
      </c>
      <c r="Q582" s="66" t="s">
        <v>1976</v>
      </c>
    </row>
    <row r="583" spans="1:17" x14ac:dyDescent="0.3">
      <c r="A583" s="61" t="s">
        <v>2052</v>
      </c>
      <c r="B583" s="62" t="s">
        <v>914</v>
      </c>
      <c r="C583" s="62" t="s">
        <v>915</v>
      </c>
      <c r="D583" s="63">
        <v>44936</v>
      </c>
      <c r="E583" s="63">
        <v>47848</v>
      </c>
      <c r="F583" s="62" t="s">
        <v>1942</v>
      </c>
      <c r="G583" s="62" t="s">
        <v>897</v>
      </c>
      <c r="H583" s="62" t="s">
        <v>2427</v>
      </c>
      <c r="I583" s="64">
        <v>17532.266666666699</v>
      </c>
      <c r="J583" s="62" t="s">
        <v>895</v>
      </c>
      <c r="K583" s="62" t="s">
        <v>377</v>
      </c>
      <c r="L583" s="65" t="s">
        <v>2423</v>
      </c>
      <c r="M583" s="62" t="s">
        <v>424</v>
      </c>
      <c r="N583" s="62" t="s">
        <v>916</v>
      </c>
      <c r="O583" s="62" t="s">
        <v>315</v>
      </c>
      <c r="P583" s="62" t="s">
        <v>2421</v>
      </c>
      <c r="Q583" s="66" t="s">
        <v>1976</v>
      </c>
    </row>
    <row r="584" spans="1:17" x14ac:dyDescent="0.3">
      <c r="A584" s="61" t="s">
        <v>2052</v>
      </c>
      <c r="B584" s="62" t="s">
        <v>914</v>
      </c>
      <c r="C584" s="62" t="s">
        <v>915</v>
      </c>
      <c r="D584" s="63">
        <v>44936</v>
      </c>
      <c r="E584" s="63">
        <v>47848</v>
      </c>
      <c r="F584" s="62" t="s">
        <v>1942</v>
      </c>
      <c r="G584" s="62" t="s">
        <v>898</v>
      </c>
      <c r="H584" s="62" t="s">
        <v>2427</v>
      </c>
      <c r="I584" s="64">
        <v>17532.266666666699</v>
      </c>
      <c r="J584" s="62" t="s">
        <v>895</v>
      </c>
      <c r="K584" s="62" t="s">
        <v>377</v>
      </c>
      <c r="L584" s="65" t="s">
        <v>2423</v>
      </c>
      <c r="M584" s="62" t="s">
        <v>424</v>
      </c>
      <c r="N584" s="62" t="s">
        <v>916</v>
      </c>
      <c r="O584" s="62" t="s">
        <v>315</v>
      </c>
      <c r="P584" s="62" t="s">
        <v>2421</v>
      </c>
      <c r="Q584" s="66" t="s">
        <v>1976</v>
      </c>
    </row>
    <row r="585" spans="1:17" x14ac:dyDescent="0.3">
      <c r="A585" s="61" t="s">
        <v>2052</v>
      </c>
      <c r="B585" s="62" t="s">
        <v>914</v>
      </c>
      <c r="C585" s="62" t="s">
        <v>915</v>
      </c>
      <c r="D585" s="63">
        <v>44936</v>
      </c>
      <c r="E585" s="63">
        <v>47848</v>
      </c>
      <c r="F585" s="62" t="s">
        <v>1930</v>
      </c>
      <c r="G585" s="62" t="s">
        <v>721</v>
      </c>
      <c r="H585" s="62" t="s">
        <v>2427</v>
      </c>
      <c r="I585" s="64">
        <v>26298.400000000001</v>
      </c>
      <c r="J585" s="62" t="s">
        <v>895</v>
      </c>
      <c r="K585" s="62" t="s">
        <v>377</v>
      </c>
      <c r="L585" s="65" t="s">
        <v>2423</v>
      </c>
      <c r="M585" s="62" t="s">
        <v>424</v>
      </c>
      <c r="N585" s="62" t="s">
        <v>916</v>
      </c>
      <c r="O585" s="62" t="s">
        <v>315</v>
      </c>
      <c r="P585" s="62" t="s">
        <v>2421</v>
      </c>
      <c r="Q585" s="66" t="s">
        <v>1976</v>
      </c>
    </row>
    <row r="586" spans="1:17" x14ac:dyDescent="0.3">
      <c r="A586" s="61" t="s">
        <v>2052</v>
      </c>
      <c r="B586" s="62" t="s">
        <v>914</v>
      </c>
      <c r="C586" s="62" t="s">
        <v>915</v>
      </c>
      <c r="D586" s="63">
        <v>44936</v>
      </c>
      <c r="E586" s="63">
        <v>47848</v>
      </c>
      <c r="F586" s="62" t="s">
        <v>1930</v>
      </c>
      <c r="G586" s="62" t="s">
        <v>453</v>
      </c>
      <c r="H586" s="62" t="s">
        <v>2427</v>
      </c>
      <c r="I586" s="64">
        <v>26298.400000000001</v>
      </c>
      <c r="J586" s="62" t="s">
        <v>895</v>
      </c>
      <c r="K586" s="62" t="s">
        <v>377</v>
      </c>
      <c r="L586" s="65" t="s">
        <v>2423</v>
      </c>
      <c r="M586" s="62" t="s">
        <v>424</v>
      </c>
      <c r="N586" s="62" t="s">
        <v>916</v>
      </c>
      <c r="O586" s="62" t="s">
        <v>315</v>
      </c>
      <c r="P586" s="62" t="s">
        <v>2421</v>
      </c>
      <c r="Q586" s="66" t="s">
        <v>1976</v>
      </c>
    </row>
    <row r="587" spans="1:17" x14ac:dyDescent="0.3">
      <c r="A587" s="61" t="s">
        <v>2052</v>
      </c>
      <c r="B587" s="62" t="s">
        <v>914</v>
      </c>
      <c r="C587" s="62" t="s">
        <v>915</v>
      </c>
      <c r="D587" s="63">
        <v>44936</v>
      </c>
      <c r="E587" s="63">
        <v>47848</v>
      </c>
      <c r="F587" s="62" t="s">
        <v>1945</v>
      </c>
      <c r="G587" s="62" t="s">
        <v>400</v>
      </c>
      <c r="H587" s="62" t="s">
        <v>2427</v>
      </c>
      <c r="I587" s="64">
        <v>26298.400000000001</v>
      </c>
      <c r="J587" s="62" t="s">
        <v>895</v>
      </c>
      <c r="K587" s="62" t="s">
        <v>377</v>
      </c>
      <c r="L587" s="65" t="s">
        <v>2423</v>
      </c>
      <c r="M587" s="62" t="s">
        <v>424</v>
      </c>
      <c r="N587" s="62" t="s">
        <v>916</v>
      </c>
      <c r="O587" s="62" t="s">
        <v>315</v>
      </c>
      <c r="P587" s="62" t="s">
        <v>2421</v>
      </c>
      <c r="Q587" s="66" t="s">
        <v>1976</v>
      </c>
    </row>
    <row r="588" spans="1:17" x14ac:dyDescent="0.3">
      <c r="A588" s="61" t="s">
        <v>2052</v>
      </c>
      <c r="B588" s="62" t="s">
        <v>914</v>
      </c>
      <c r="C588" s="62" t="s">
        <v>915</v>
      </c>
      <c r="D588" s="63">
        <v>44936</v>
      </c>
      <c r="E588" s="63">
        <v>47848</v>
      </c>
      <c r="F588" s="62" t="s">
        <v>1945</v>
      </c>
      <c r="G588" s="62" t="s">
        <v>555</v>
      </c>
      <c r="H588" s="62" t="s">
        <v>2427</v>
      </c>
      <c r="I588" s="64">
        <v>26298.400000000001</v>
      </c>
      <c r="J588" s="62" t="s">
        <v>895</v>
      </c>
      <c r="K588" s="62" t="s">
        <v>377</v>
      </c>
      <c r="L588" s="65" t="s">
        <v>2423</v>
      </c>
      <c r="M588" s="62" t="s">
        <v>424</v>
      </c>
      <c r="N588" s="62" t="s">
        <v>916</v>
      </c>
      <c r="O588" s="62" t="s">
        <v>315</v>
      </c>
      <c r="P588" s="62" t="s">
        <v>2421</v>
      </c>
      <c r="Q588" s="66" t="s">
        <v>1976</v>
      </c>
    </row>
    <row r="589" spans="1:17" x14ac:dyDescent="0.3">
      <c r="A589" s="61" t="s">
        <v>2052</v>
      </c>
      <c r="B589" s="62" t="s">
        <v>914</v>
      </c>
      <c r="C589" s="62" t="s">
        <v>915</v>
      </c>
      <c r="D589" s="63">
        <v>44936</v>
      </c>
      <c r="E589" s="63">
        <v>47848</v>
      </c>
      <c r="F589" s="62" t="s">
        <v>1931</v>
      </c>
      <c r="G589" s="62" t="s">
        <v>281</v>
      </c>
      <c r="H589" s="62" t="s">
        <v>2427</v>
      </c>
      <c r="I589" s="64">
        <v>52596.800000000003</v>
      </c>
      <c r="J589" s="62" t="s">
        <v>895</v>
      </c>
      <c r="K589" s="62" t="s">
        <v>377</v>
      </c>
      <c r="L589" s="65" t="s">
        <v>2423</v>
      </c>
      <c r="M589" s="62" t="s">
        <v>424</v>
      </c>
      <c r="N589" s="62" t="s">
        <v>916</v>
      </c>
      <c r="O589" s="62" t="s">
        <v>315</v>
      </c>
      <c r="P589" s="62" t="s">
        <v>2421</v>
      </c>
      <c r="Q589" s="66" t="s">
        <v>1976</v>
      </c>
    </row>
    <row r="590" spans="1:17" x14ac:dyDescent="0.3">
      <c r="A590" s="61" t="s">
        <v>2052</v>
      </c>
      <c r="B590" s="62" t="s">
        <v>914</v>
      </c>
      <c r="C590" s="62" t="s">
        <v>915</v>
      </c>
      <c r="D590" s="63">
        <v>44936</v>
      </c>
      <c r="E590" s="63">
        <v>47848</v>
      </c>
      <c r="F590" s="62" t="s">
        <v>282</v>
      </c>
      <c r="G590" s="62" t="s">
        <v>283</v>
      </c>
      <c r="H590" s="62" t="s">
        <v>2427</v>
      </c>
      <c r="I590" s="64">
        <v>52596.800000000003</v>
      </c>
      <c r="J590" s="62" t="s">
        <v>895</v>
      </c>
      <c r="K590" s="62" t="s">
        <v>377</v>
      </c>
      <c r="L590" s="65" t="s">
        <v>2451</v>
      </c>
      <c r="M590" s="62" t="s">
        <v>424</v>
      </c>
      <c r="N590" s="62" t="s">
        <v>916</v>
      </c>
      <c r="O590" s="62" t="s">
        <v>315</v>
      </c>
      <c r="P590" s="62" t="s">
        <v>2421</v>
      </c>
      <c r="Q590" s="66" t="s">
        <v>1976</v>
      </c>
    </row>
    <row r="591" spans="1:17" x14ac:dyDescent="0.3">
      <c r="A591" s="61" t="s">
        <v>2052</v>
      </c>
      <c r="B591" s="62" t="s">
        <v>914</v>
      </c>
      <c r="C591" s="62" t="s">
        <v>915</v>
      </c>
      <c r="D591" s="63">
        <v>44936</v>
      </c>
      <c r="E591" s="63">
        <v>47848</v>
      </c>
      <c r="F591" s="62" t="s">
        <v>1921</v>
      </c>
      <c r="G591" s="62" t="s">
        <v>487</v>
      </c>
      <c r="H591" s="62" t="s">
        <v>2427</v>
      </c>
      <c r="I591" s="64">
        <v>52596.800000000003</v>
      </c>
      <c r="J591" s="62" t="s">
        <v>895</v>
      </c>
      <c r="K591" s="62" t="s">
        <v>377</v>
      </c>
      <c r="L591" s="65" t="s">
        <v>2451</v>
      </c>
      <c r="M591" s="62" t="s">
        <v>424</v>
      </c>
      <c r="N591" s="62" t="s">
        <v>916</v>
      </c>
      <c r="O591" s="62" t="s">
        <v>315</v>
      </c>
      <c r="P591" s="62" t="s">
        <v>2421</v>
      </c>
      <c r="Q591" s="66" t="s">
        <v>1976</v>
      </c>
    </row>
    <row r="592" spans="1:17" x14ac:dyDescent="0.3">
      <c r="A592" s="61" t="s">
        <v>2052</v>
      </c>
      <c r="B592" s="62" t="s">
        <v>914</v>
      </c>
      <c r="C592" s="62" t="s">
        <v>915</v>
      </c>
      <c r="D592" s="63">
        <v>44936</v>
      </c>
      <c r="E592" s="63">
        <v>47848</v>
      </c>
      <c r="F592" s="62" t="s">
        <v>348</v>
      </c>
      <c r="G592" s="62" t="s">
        <v>348</v>
      </c>
      <c r="H592" s="62" t="s">
        <v>2427</v>
      </c>
      <c r="I592" s="64">
        <v>52596.800000000003</v>
      </c>
      <c r="J592" s="62" t="s">
        <v>895</v>
      </c>
      <c r="K592" s="62" t="s">
        <v>377</v>
      </c>
      <c r="L592" s="65" t="s">
        <v>2451</v>
      </c>
      <c r="M592" s="62" t="s">
        <v>424</v>
      </c>
      <c r="N592" s="62" t="s">
        <v>916</v>
      </c>
      <c r="O592" s="62" t="s">
        <v>315</v>
      </c>
      <c r="P592" s="62" t="s">
        <v>2421</v>
      </c>
      <c r="Q592" s="66" t="s">
        <v>1976</v>
      </c>
    </row>
    <row r="593" spans="1:17" x14ac:dyDescent="0.3">
      <c r="A593" s="61" t="s">
        <v>2052</v>
      </c>
      <c r="B593" s="62" t="s">
        <v>914</v>
      </c>
      <c r="C593" s="62" t="s">
        <v>915</v>
      </c>
      <c r="D593" s="63">
        <v>44936</v>
      </c>
      <c r="E593" s="63">
        <v>47848</v>
      </c>
      <c r="F593" s="62" t="s">
        <v>1934</v>
      </c>
      <c r="G593" s="62" t="s">
        <v>477</v>
      </c>
      <c r="H593" s="62" t="s">
        <v>2427</v>
      </c>
      <c r="I593" s="64">
        <v>52596.800000000003</v>
      </c>
      <c r="J593" s="62" t="s">
        <v>895</v>
      </c>
      <c r="K593" s="62" t="s">
        <v>377</v>
      </c>
      <c r="L593" s="65" t="s">
        <v>2451</v>
      </c>
      <c r="M593" s="62" t="s">
        <v>424</v>
      </c>
      <c r="N593" s="62" t="s">
        <v>916</v>
      </c>
      <c r="O593" s="62" t="s">
        <v>315</v>
      </c>
      <c r="P593" s="62" t="s">
        <v>2421</v>
      </c>
      <c r="Q593" s="66" t="s">
        <v>1976</v>
      </c>
    </row>
    <row r="594" spans="1:17" x14ac:dyDescent="0.3">
      <c r="A594" s="61" t="s">
        <v>2052</v>
      </c>
      <c r="B594" s="62" t="s">
        <v>914</v>
      </c>
      <c r="C594" s="62" t="s">
        <v>915</v>
      </c>
      <c r="D594" s="63">
        <v>44936</v>
      </c>
      <c r="E594" s="63">
        <v>47848</v>
      </c>
      <c r="F594" s="62" t="s">
        <v>1939</v>
      </c>
      <c r="G594" s="62" t="s">
        <v>539</v>
      </c>
      <c r="H594" s="62" t="s">
        <v>2427</v>
      </c>
      <c r="I594" s="64">
        <v>52596.800000000003</v>
      </c>
      <c r="J594" s="62" t="s">
        <v>895</v>
      </c>
      <c r="K594" s="62" t="s">
        <v>377</v>
      </c>
      <c r="L594" s="65" t="s">
        <v>2423</v>
      </c>
      <c r="M594" s="62" t="s">
        <v>424</v>
      </c>
      <c r="N594" s="62" t="s">
        <v>916</v>
      </c>
      <c r="O594" s="62" t="s">
        <v>315</v>
      </c>
      <c r="P594" s="62" t="s">
        <v>2421</v>
      </c>
      <c r="Q594" s="66" t="s">
        <v>1976</v>
      </c>
    </row>
    <row r="595" spans="1:17" x14ac:dyDescent="0.3">
      <c r="A595" s="61" t="s">
        <v>2052</v>
      </c>
      <c r="B595" s="62" t="s">
        <v>914</v>
      </c>
      <c r="C595" s="62" t="s">
        <v>915</v>
      </c>
      <c r="D595" s="63">
        <v>44936</v>
      </c>
      <c r="E595" s="63">
        <v>47848</v>
      </c>
      <c r="F595" s="62" t="s">
        <v>1958</v>
      </c>
      <c r="G595" s="62" t="s">
        <v>328</v>
      </c>
      <c r="H595" s="62" t="s">
        <v>2427</v>
      </c>
      <c r="I595" s="64">
        <v>52596.800000000003</v>
      </c>
      <c r="J595" s="62" t="s">
        <v>895</v>
      </c>
      <c r="K595" s="62" t="s">
        <v>377</v>
      </c>
      <c r="L595" s="65" t="s">
        <v>2423</v>
      </c>
      <c r="M595" s="62" t="s">
        <v>424</v>
      </c>
      <c r="N595" s="62" t="s">
        <v>916</v>
      </c>
      <c r="O595" s="62" t="s">
        <v>315</v>
      </c>
      <c r="P595" s="62" t="s">
        <v>2421</v>
      </c>
      <c r="Q595" s="66" t="s">
        <v>1976</v>
      </c>
    </row>
    <row r="596" spans="1:17" x14ac:dyDescent="0.3">
      <c r="A596" s="61" t="s">
        <v>2052</v>
      </c>
      <c r="B596" s="62" t="s">
        <v>914</v>
      </c>
      <c r="C596" s="62" t="s">
        <v>915</v>
      </c>
      <c r="D596" s="63">
        <v>44936</v>
      </c>
      <c r="E596" s="63">
        <v>47848</v>
      </c>
      <c r="F596" s="62" t="s">
        <v>1961</v>
      </c>
      <c r="G596" s="62" t="s">
        <v>634</v>
      </c>
      <c r="H596" s="62" t="s">
        <v>2427</v>
      </c>
      <c r="I596" s="64">
        <v>52596.800000000003</v>
      </c>
      <c r="J596" s="62" t="s">
        <v>895</v>
      </c>
      <c r="K596" s="62" t="s">
        <v>377</v>
      </c>
      <c r="L596" s="65" t="s">
        <v>2423</v>
      </c>
      <c r="M596" s="62" t="s">
        <v>424</v>
      </c>
      <c r="N596" s="62" t="s">
        <v>916</v>
      </c>
      <c r="O596" s="62" t="s">
        <v>315</v>
      </c>
      <c r="P596" s="62" t="s">
        <v>2421</v>
      </c>
      <c r="Q596" s="66" t="s">
        <v>1976</v>
      </c>
    </row>
    <row r="597" spans="1:17" x14ac:dyDescent="0.3">
      <c r="A597" s="61" t="s">
        <v>2052</v>
      </c>
      <c r="B597" s="62" t="s">
        <v>914</v>
      </c>
      <c r="C597" s="62" t="s">
        <v>915</v>
      </c>
      <c r="D597" s="63">
        <v>44936</v>
      </c>
      <c r="E597" s="63">
        <v>47848</v>
      </c>
      <c r="F597" s="62" t="s">
        <v>1941</v>
      </c>
      <c r="G597" s="62" t="s">
        <v>325</v>
      </c>
      <c r="H597" s="62" t="s">
        <v>2427</v>
      </c>
      <c r="I597" s="64">
        <v>52596.800000000003</v>
      </c>
      <c r="J597" s="62" t="s">
        <v>895</v>
      </c>
      <c r="K597" s="62" t="s">
        <v>377</v>
      </c>
      <c r="L597" s="65" t="s">
        <v>2423</v>
      </c>
      <c r="M597" s="62" t="s">
        <v>424</v>
      </c>
      <c r="N597" s="62" t="s">
        <v>916</v>
      </c>
      <c r="O597" s="62" t="s">
        <v>315</v>
      </c>
      <c r="P597" s="62" t="s">
        <v>2421</v>
      </c>
      <c r="Q597" s="66" t="s">
        <v>1976</v>
      </c>
    </row>
    <row r="598" spans="1:17" x14ac:dyDescent="0.3">
      <c r="A598" s="61" t="s">
        <v>2052</v>
      </c>
      <c r="B598" s="62" t="s">
        <v>914</v>
      </c>
      <c r="C598" s="62" t="s">
        <v>915</v>
      </c>
      <c r="D598" s="63">
        <v>44936</v>
      </c>
      <c r="E598" s="63">
        <v>47848</v>
      </c>
      <c r="F598" s="62" t="s">
        <v>1936</v>
      </c>
      <c r="G598" s="62" t="s">
        <v>411</v>
      </c>
      <c r="H598" s="62" t="s">
        <v>2427</v>
      </c>
      <c r="I598" s="64">
        <v>52596.800000000003</v>
      </c>
      <c r="J598" s="62" t="s">
        <v>895</v>
      </c>
      <c r="K598" s="62" t="s">
        <v>377</v>
      </c>
      <c r="L598" s="65" t="s">
        <v>2423</v>
      </c>
      <c r="M598" s="62" t="s">
        <v>424</v>
      </c>
      <c r="N598" s="62" t="s">
        <v>916</v>
      </c>
      <c r="O598" s="62" t="s">
        <v>315</v>
      </c>
      <c r="P598" s="62" t="s">
        <v>2421</v>
      </c>
      <c r="Q598" s="66" t="s">
        <v>1976</v>
      </c>
    </row>
    <row r="599" spans="1:17" x14ac:dyDescent="0.3">
      <c r="A599" s="61" t="s">
        <v>2052</v>
      </c>
      <c r="B599" s="62" t="s">
        <v>914</v>
      </c>
      <c r="C599" s="62" t="s">
        <v>915</v>
      </c>
      <c r="D599" s="63">
        <v>44936</v>
      </c>
      <c r="E599" s="63">
        <v>47848</v>
      </c>
      <c r="F599" s="62" t="s">
        <v>287</v>
      </c>
      <c r="G599" s="62" t="s">
        <v>396</v>
      </c>
      <c r="H599" s="62" t="s">
        <v>2427</v>
      </c>
      <c r="I599" s="64">
        <v>52596.800000000003</v>
      </c>
      <c r="J599" s="62" t="s">
        <v>895</v>
      </c>
      <c r="K599" s="62" t="s">
        <v>377</v>
      </c>
      <c r="L599" s="65" t="s">
        <v>2423</v>
      </c>
      <c r="M599" s="62" t="s">
        <v>424</v>
      </c>
      <c r="N599" s="62" t="s">
        <v>916</v>
      </c>
      <c r="O599" s="62" t="s">
        <v>315</v>
      </c>
      <c r="P599" s="62" t="s">
        <v>2421</v>
      </c>
      <c r="Q599" s="66" t="s">
        <v>1976</v>
      </c>
    </row>
    <row r="600" spans="1:17" x14ac:dyDescent="0.3">
      <c r="A600" s="61" t="s">
        <v>2053</v>
      </c>
      <c r="B600" s="62" t="s">
        <v>917</v>
      </c>
      <c r="C600" s="62" t="s">
        <v>918</v>
      </c>
      <c r="D600" s="63">
        <v>44950</v>
      </c>
      <c r="E600" s="63">
        <v>46387</v>
      </c>
      <c r="F600" s="62" t="s">
        <v>1930</v>
      </c>
      <c r="G600" s="62" t="s">
        <v>510</v>
      </c>
      <c r="H600" s="62" t="s">
        <v>2427</v>
      </c>
      <c r="I600" s="64">
        <v>185191.45611111101</v>
      </c>
      <c r="J600" s="62" t="s">
        <v>664</v>
      </c>
      <c r="K600" s="62" t="s">
        <v>377</v>
      </c>
      <c r="L600" s="65" t="s">
        <v>353</v>
      </c>
      <c r="M600" s="62" t="s">
        <v>825</v>
      </c>
      <c r="N600" s="62" t="s">
        <v>378</v>
      </c>
      <c r="O600" s="62" t="s">
        <v>371</v>
      </c>
      <c r="P600" s="62" t="s">
        <v>2421</v>
      </c>
      <c r="Q600" s="66" t="s">
        <v>1986</v>
      </c>
    </row>
    <row r="601" spans="1:17" x14ac:dyDescent="0.3">
      <c r="A601" s="61" t="s">
        <v>2053</v>
      </c>
      <c r="B601" s="62" t="s">
        <v>917</v>
      </c>
      <c r="C601" s="62" t="s">
        <v>918</v>
      </c>
      <c r="D601" s="63">
        <v>44950</v>
      </c>
      <c r="E601" s="63">
        <v>46387</v>
      </c>
      <c r="F601" s="62" t="s">
        <v>1930</v>
      </c>
      <c r="G601" s="62" t="s">
        <v>695</v>
      </c>
      <c r="H601" s="62" t="s">
        <v>2427</v>
      </c>
      <c r="I601" s="64">
        <v>185191.45611111101</v>
      </c>
      <c r="J601" s="62" t="s">
        <v>664</v>
      </c>
      <c r="K601" s="62" t="s">
        <v>377</v>
      </c>
      <c r="L601" s="65" t="s">
        <v>353</v>
      </c>
      <c r="M601" s="62" t="s">
        <v>825</v>
      </c>
      <c r="N601" s="62" t="s">
        <v>378</v>
      </c>
      <c r="O601" s="62" t="s">
        <v>371</v>
      </c>
      <c r="P601" s="62" t="s">
        <v>2421</v>
      </c>
      <c r="Q601" s="66" t="s">
        <v>1986</v>
      </c>
    </row>
    <row r="602" spans="1:17" x14ac:dyDescent="0.3">
      <c r="A602" s="61" t="s">
        <v>2053</v>
      </c>
      <c r="B602" s="62" t="s">
        <v>917</v>
      </c>
      <c r="C602" s="62" t="s">
        <v>918</v>
      </c>
      <c r="D602" s="63">
        <v>44950</v>
      </c>
      <c r="E602" s="63">
        <v>46387</v>
      </c>
      <c r="F602" s="62" t="s">
        <v>1930</v>
      </c>
      <c r="G602" s="62" t="s">
        <v>919</v>
      </c>
      <c r="H602" s="62" t="s">
        <v>2427</v>
      </c>
      <c r="I602" s="64">
        <v>185191.45611111101</v>
      </c>
      <c r="J602" s="62" t="s">
        <v>664</v>
      </c>
      <c r="K602" s="62" t="s">
        <v>377</v>
      </c>
      <c r="L602" s="65" t="s">
        <v>353</v>
      </c>
      <c r="M602" s="62" t="s">
        <v>825</v>
      </c>
      <c r="N602" s="62" t="s">
        <v>378</v>
      </c>
      <c r="O602" s="62" t="s">
        <v>371</v>
      </c>
      <c r="P602" s="62" t="s">
        <v>2421</v>
      </c>
      <c r="Q602" s="66" t="s">
        <v>1986</v>
      </c>
    </row>
    <row r="603" spans="1:17" x14ac:dyDescent="0.3">
      <c r="A603" s="61" t="s">
        <v>2053</v>
      </c>
      <c r="B603" s="62" t="s">
        <v>917</v>
      </c>
      <c r="C603" s="62" t="s">
        <v>918</v>
      </c>
      <c r="D603" s="63">
        <v>44950</v>
      </c>
      <c r="E603" s="63">
        <v>46387</v>
      </c>
      <c r="F603" s="62" t="s">
        <v>1930</v>
      </c>
      <c r="G603" s="62" t="s">
        <v>516</v>
      </c>
      <c r="H603" s="62" t="s">
        <v>2427</v>
      </c>
      <c r="I603" s="64">
        <v>185191.45611111101</v>
      </c>
      <c r="J603" s="62" t="s">
        <v>664</v>
      </c>
      <c r="K603" s="62" t="s">
        <v>377</v>
      </c>
      <c r="L603" s="65" t="s">
        <v>306</v>
      </c>
      <c r="M603" s="62" t="s">
        <v>825</v>
      </c>
      <c r="N603" s="62" t="s">
        <v>378</v>
      </c>
      <c r="O603" s="62" t="s">
        <v>371</v>
      </c>
      <c r="P603" s="62" t="s">
        <v>2421</v>
      </c>
      <c r="Q603" s="66" t="s">
        <v>1986</v>
      </c>
    </row>
    <row r="604" spans="1:17" x14ac:dyDescent="0.3">
      <c r="A604" s="61" t="s">
        <v>2053</v>
      </c>
      <c r="B604" s="62" t="s">
        <v>917</v>
      </c>
      <c r="C604" s="62" t="s">
        <v>918</v>
      </c>
      <c r="D604" s="63">
        <v>44950</v>
      </c>
      <c r="E604" s="63">
        <v>46387</v>
      </c>
      <c r="F604" s="62" t="s">
        <v>1930</v>
      </c>
      <c r="G604" s="62" t="s">
        <v>518</v>
      </c>
      <c r="H604" s="62" t="s">
        <v>2427</v>
      </c>
      <c r="I604" s="64">
        <v>185191.45611111101</v>
      </c>
      <c r="J604" s="62" t="s">
        <v>664</v>
      </c>
      <c r="K604" s="62" t="s">
        <v>377</v>
      </c>
      <c r="L604" s="65" t="s">
        <v>306</v>
      </c>
      <c r="M604" s="62" t="s">
        <v>825</v>
      </c>
      <c r="N604" s="62" t="s">
        <v>378</v>
      </c>
      <c r="O604" s="62" t="s">
        <v>371</v>
      </c>
      <c r="P604" s="62" t="s">
        <v>2421</v>
      </c>
      <c r="Q604" s="66" t="s">
        <v>1986</v>
      </c>
    </row>
    <row r="605" spans="1:17" x14ac:dyDescent="0.3">
      <c r="A605" s="61" t="s">
        <v>2053</v>
      </c>
      <c r="B605" s="62" t="s">
        <v>917</v>
      </c>
      <c r="C605" s="62" t="s">
        <v>918</v>
      </c>
      <c r="D605" s="63">
        <v>44950</v>
      </c>
      <c r="E605" s="63">
        <v>46387</v>
      </c>
      <c r="F605" s="62" t="s">
        <v>1930</v>
      </c>
      <c r="G605" s="62" t="s">
        <v>920</v>
      </c>
      <c r="H605" s="62" t="s">
        <v>2427</v>
      </c>
      <c r="I605" s="64">
        <v>185191.45611111101</v>
      </c>
      <c r="J605" s="62" t="s">
        <v>664</v>
      </c>
      <c r="K605" s="62" t="s">
        <v>377</v>
      </c>
      <c r="L605" s="65" t="s">
        <v>306</v>
      </c>
      <c r="M605" s="62" t="s">
        <v>825</v>
      </c>
      <c r="N605" s="62" t="s">
        <v>378</v>
      </c>
      <c r="O605" s="62" t="s">
        <v>371</v>
      </c>
      <c r="P605" s="62" t="s">
        <v>2421</v>
      </c>
      <c r="Q605" s="66" t="s">
        <v>1986</v>
      </c>
    </row>
    <row r="606" spans="1:17" x14ac:dyDescent="0.3">
      <c r="A606" s="61" t="s">
        <v>2053</v>
      </c>
      <c r="B606" s="62" t="s">
        <v>917</v>
      </c>
      <c r="C606" s="62" t="s">
        <v>918</v>
      </c>
      <c r="D606" s="63">
        <v>44950</v>
      </c>
      <c r="E606" s="63">
        <v>46387</v>
      </c>
      <c r="F606" s="62" t="s">
        <v>348</v>
      </c>
      <c r="G606" s="62" t="s">
        <v>348</v>
      </c>
      <c r="H606" s="62" t="s">
        <v>2427</v>
      </c>
      <c r="I606" s="64">
        <v>1111148.7366666701</v>
      </c>
      <c r="J606" s="62" t="s">
        <v>664</v>
      </c>
      <c r="K606" s="62" t="s">
        <v>377</v>
      </c>
      <c r="L606" s="65" t="s">
        <v>306</v>
      </c>
      <c r="M606" s="62" t="s">
        <v>825</v>
      </c>
      <c r="N606" s="62" t="s">
        <v>378</v>
      </c>
      <c r="O606" s="62" t="s">
        <v>371</v>
      </c>
      <c r="P606" s="62" t="s">
        <v>2421</v>
      </c>
      <c r="Q606" s="66" t="s">
        <v>1986</v>
      </c>
    </row>
    <row r="607" spans="1:17" x14ac:dyDescent="0.3">
      <c r="A607" s="61" t="s">
        <v>2053</v>
      </c>
      <c r="B607" s="62" t="s">
        <v>917</v>
      </c>
      <c r="C607" s="62" t="s">
        <v>918</v>
      </c>
      <c r="D607" s="63">
        <v>44950</v>
      </c>
      <c r="E607" s="63">
        <v>46387</v>
      </c>
      <c r="F607" s="62" t="s">
        <v>1933</v>
      </c>
      <c r="G607" s="62" t="s">
        <v>921</v>
      </c>
      <c r="H607" s="62" t="s">
        <v>2427</v>
      </c>
      <c r="I607" s="64">
        <v>1111148.7366666701</v>
      </c>
      <c r="J607" s="62" t="s">
        <v>664</v>
      </c>
      <c r="K607" s="62" t="s">
        <v>377</v>
      </c>
      <c r="L607" s="65" t="s">
        <v>306</v>
      </c>
      <c r="M607" s="62" t="s">
        <v>825</v>
      </c>
      <c r="N607" s="62" t="s">
        <v>378</v>
      </c>
      <c r="O607" s="62" t="s">
        <v>371</v>
      </c>
      <c r="P607" s="62" t="s">
        <v>2421</v>
      </c>
      <c r="Q607" s="66" t="s">
        <v>1986</v>
      </c>
    </row>
    <row r="608" spans="1:17" x14ac:dyDescent="0.3">
      <c r="A608" s="61" t="s">
        <v>2054</v>
      </c>
      <c r="B608" s="62" t="s">
        <v>922</v>
      </c>
      <c r="C608" s="62" t="s">
        <v>923</v>
      </c>
      <c r="D608" s="63">
        <v>44943</v>
      </c>
      <c r="E608" s="63">
        <v>46216</v>
      </c>
      <c r="F608" s="62" t="s">
        <v>1921</v>
      </c>
      <c r="G608" s="62" t="s">
        <v>559</v>
      </c>
      <c r="H608" s="62" t="s">
        <v>373</v>
      </c>
      <c r="I608" s="64">
        <v>72019.857142857101</v>
      </c>
      <c r="J608" s="62" t="s">
        <v>373</v>
      </c>
      <c r="K608" s="62" t="s">
        <v>1693</v>
      </c>
      <c r="L608" s="65" t="s">
        <v>306</v>
      </c>
      <c r="M608" s="62" t="s">
        <v>2443</v>
      </c>
      <c r="N608" s="62" t="s">
        <v>640</v>
      </c>
      <c r="O608" s="62" t="s">
        <v>417</v>
      </c>
      <c r="P608" s="62" t="s">
        <v>2421</v>
      </c>
      <c r="Q608" s="66" t="s">
        <v>1965</v>
      </c>
    </row>
    <row r="609" spans="1:17" x14ac:dyDescent="0.3">
      <c r="A609" s="61" t="s">
        <v>2054</v>
      </c>
      <c r="B609" s="62" t="s">
        <v>922</v>
      </c>
      <c r="C609" s="62" t="s">
        <v>923</v>
      </c>
      <c r="D609" s="63">
        <v>44943</v>
      </c>
      <c r="E609" s="63">
        <v>46216</v>
      </c>
      <c r="F609" s="62" t="s">
        <v>1921</v>
      </c>
      <c r="G609" s="62" t="s">
        <v>487</v>
      </c>
      <c r="H609" s="62" t="s">
        <v>373</v>
      </c>
      <c r="I609" s="64">
        <v>72019.857142857101</v>
      </c>
      <c r="J609" s="62" t="s">
        <v>373</v>
      </c>
      <c r="K609" s="62" t="s">
        <v>1693</v>
      </c>
      <c r="L609" s="65" t="s">
        <v>306</v>
      </c>
      <c r="M609" s="62" t="s">
        <v>2443</v>
      </c>
      <c r="N609" s="62" t="s">
        <v>640</v>
      </c>
      <c r="O609" s="62" t="s">
        <v>417</v>
      </c>
      <c r="P609" s="62" t="s">
        <v>2421</v>
      </c>
      <c r="Q609" s="66" t="s">
        <v>1965</v>
      </c>
    </row>
    <row r="610" spans="1:17" x14ac:dyDescent="0.3">
      <c r="A610" s="61" t="s">
        <v>2054</v>
      </c>
      <c r="B610" s="62" t="s">
        <v>922</v>
      </c>
      <c r="C610" s="62" t="s">
        <v>923</v>
      </c>
      <c r="D610" s="63">
        <v>44943</v>
      </c>
      <c r="E610" s="63">
        <v>46216</v>
      </c>
      <c r="F610" s="62" t="s">
        <v>1921</v>
      </c>
      <c r="G610" s="62" t="s">
        <v>560</v>
      </c>
      <c r="H610" s="62" t="s">
        <v>373</v>
      </c>
      <c r="I610" s="64">
        <v>72019.857142857101</v>
      </c>
      <c r="J610" s="62" t="s">
        <v>373</v>
      </c>
      <c r="K610" s="62" t="s">
        <v>1693</v>
      </c>
      <c r="L610" s="65" t="s">
        <v>306</v>
      </c>
      <c r="M610" s="62" t="s">
        <v>2443</v>
      </c>
      <c r="N610" s="62" t="s">
        <v>640</v>
      </c>
      <c r="O610" s="62" t="s">
        <v>417</v>
      </c>
      <c r="P610" s="62" t="s">
        <v>2421</v>
      </c>
      <c r="Q610" s="66" t="s">
        <v>1965</v>
      </c>
    </row>
    <row r="611" spans="1:17" x14ac:dyDescent="0.3">
      <c r="A611" s="61" t="s">
        <v>2054</v>
      </c>
      <c r="B611" s="62" t="s">
        <v>922</v>
      </c>
      <c r="C611" s="62" t="s">
        <v>923</v>
      </c>
      <c r="D611" s="63">
        <v>44943</v>
      </c>
      <c r="E611" s="63">
        <v>46216</v>
      </c>
      <c r="F611" s="62" t="s">
        <v>1922</v>
      </c>
      <c r="G611" s="62" t="s">
        <v>349</v>
      </c>
      <c r="H611" s="62" t="s">
        <v>373</v>
      </c>
      <c r="I611" s="64">
        <v>72019.857142857101</v>
      </c>
      <c r="J611" s="62" t="s">
        <v>373</v>
      </c>
      <c r="K611" s="62" t="s">
        <v>1693</v>
      </c>
      <c r="L611" s="65" t="s">
        <v>306</v>
      </c>
      <c r="M611" s="62" t="s">
        <v>2443</v>
      </c>
      <c r="N611" s="62" t="s">
        <v>640</v>
      </c>
      <c r="O611" s="62" t="s">
        <v>417</v>
      </c>
      <c r="P611" s="62" t="s">
        <v>2421</v>
      </c>
      <c r="Q611" s="66" t="s">
        <v>1965</v>
      </c>
    </row>
    <row r="612" spans="1:17" x14ac:dyDescent="0.3">
      <c r="A612" s="61" t="s">
        <v>2054</v>
      </c>
      <c r="B612" s="62" t="s">
        <v>922</v>
      </c>
      <c r="C612" s="62" t="s">
        <v>923</v>
      </c>
      <c r="D612" s="63">
        <v>44943</v>
      </c>
      <c r="E612" s="63">
        <v>46216</v>
      </c>
      <c r="F612" s="62" t="s">
        <v>1922</v>
      </c>
      <c r="G612" s="62" t="s">
        <v>387</v>
      </c>
      <c r="H612" s="62" t="s">
        <v>373</v>
      </c>
      <c r="I612" s="64">
        <v>72019.857142857101</v>
      </c>
      <c r="J612" s="62" t="s">
        <v>373</v>
      </c>
      <c r="K612" s="62" t="s">
        <v>1693</v>
      </c>
      <c r="L612" s="65" t="s">
        <v>306</v>
      </c>
      <c r="M612" s="62" t="s">
        <v>2443</v>
      </c>
      <c r="N612" s="62" t="s">
        <v>640</v>
      </c>
      <c r="O612" s="62" t="s">
        <v>417</v>
      </c>
      <c r="P612" s="62" t="s">
        <v>2421</v>
      </c>
      <c r="Q612" s="66" t="s">
        <v>1965</v>
      </c>
    </row>
    <row r="613" spans="1:17" x14ac:dyDescent="0.3">
      <c r="A613" s="61" t="s">
        <v>2054</v>
      </c>
      <c r="B613" s="62" t="s">
        <v>922</v>
      </c>
      <c r="C613" s="62" t="s">
        <v>923</v>
      </c>
      <c r="D613" s="63">
        <v>44943</v>
      </c>
      <c r="E613" s="63">
        <v>46216</v>
      </c>
      <c r="F613" s="62" t="s">
        <v>1922</v>
      </c>
      <c r="G613" s="62" t="s">
        <v>553</v>
      </c>
      <c r="H613" s="62" t="s">
        <v>373</v>
      </c>
      <c r="I613" s="64">
        <v>72019.857142857101</v>
      </c>
      <c r="J613" s="62" t="s">
        <v>373</v>
      </c>
      <c r="K613" s="62" t="s">
        <v>1693</v>
      </c>
      <c r="L613" s="65" t="s">
        <v>306</v>
      </c>
      <c r="M613" s="62" t="s">
        <v>2443</v>
      </c>
      <c r="N613" s="62" t="s">
        <v>640</v>
      </c>
      <c r="O613" s="62" t="s">
        <v>417</v>
      </c>
      <c r="P613" s="62" t="s">
        <v>2421</v>
      </c>
      <c r="Q613" s="66" t="s">
        <v>1965</v>
      </c>
    </row>
    <row r="614" spans="1:17" x14ac:dyDescent="0.3">
      <c r="A614" s="61" t="s">
        <v>2054</v>
      </c>
      <c r="B614" s="62" t="s">
        <v>922</v>
      </c>
      <c r="C614" s="62" t="s">
        <v>923</v>
      </c>
      <c r="D614" s="63">
        <v>44943</v>
      </c>
      <c r="E614" s="63">
        <v>46216</v>
      </c>
      <c r="F614" s="62" t="s">
        <v>1931</v>
      </c>
      <c r="G614" s="62" t="s">
        <v>281</v>
      </c>
      <c r="H614" s="62" t="s">
        <v>373</v>
      </c>
      <c r="I614" s="64">
        <v>108029.785714286</v>
      </c>
      <c r="J614" s="62" t="s">
        <v>373</v>
      </c>
      <c r="K614" s="62" t="s">
        <v>1693</v>
      </c>
      <c r="L614" s="65" t="s">
        <v>306</v>
      </c>
      <c r="M614" s="62" t="s">
        <v>2443</v>
      </c>
      <c r="N614" s="62" t="s">
        <v>640</v>
      </c>
      <c r="O614" s="62" t="s">
        <v>417</v>
      </c>
      <c r="P614" s="62" t="s">
        <v>2421</v>
      </c>
      <c r="Q614" s="66" t="s">
        <v>1965</v>
      </c>
    </row>
    <row r="615" spans="1:17" x14ac:dyDescent="0.3">
      <c r="A615" s="61" t="s">
        <v>2054</v>
      </c>
      <c r="B615" s="62" t="s">
        <v>922</v>
      </c>
      <c r="C615" s="62" t="s">
        <v>923</v>
      </c>
      <c r="D615" s="63">
        <v>44943</v>
      </c>
      <c r="E615" s="63">
        <v>46216</v>
      </c>
      <c r="F615" s="62" t="s">
        <v>1931</v>
      </c>
      <c r="G615" s="62" t="s">
        <v>344</v>
      </c>
      <c r="H615" s="62" t="s">
        <v>373</v>
      </c>
      <c r="I615" s="64">
        <v>108029.785714286</v>
      </c>
      <c r="J615" s="62" t="s">
        <v>373</v>
      </c>
      <c r="K615" s="62" t="s">
        <v>1693</v>
      </c>
      <c r="L615" s="65" t="s">
        <v>306</v>
      </c>
      <c r="M615" s="62" t="s">
        <v>2443</v>
      </c>
      <c r="N615" s="62" t="s">
        <v>640</v>
      </c>
      <c r="O615" s="62" t="s">
        <v>417</v>
      </c>
      <c r="P615" s="62" t="s">
        <v>2421</v>
      </c>
      <c r="Q615" s="66" t="s">
        <v>1965</v>
      </c>
    </row>
    <row r="616" spans="1:17" x14ac:dyDescent="0.3">
      <c r="A616" s="61" t="s">
        <v>2054</v>
      </c>
      <c r="B616" s="62" t="s">
        <v>922</v>
      </c>
      <c r="C616" s="62" t="s">
        <v>923</v>
      </c>
      <c r="D616" s="63">
        <v>44943</v>
      </c>
      <c r="E616" s="63">
        <v>46216</v>
      </c>
      <c r="F616" s="62" t="s">
        <v>280</v>
      </c>
      <c r="G616" s="62" t="s">
        <v>280</v>
      </c>
      <c r="H616" s="62" t="s">
        <v>373</v>
      </c>
      <c r="I616" s="64">
        <v>108029.785714286</v>
      </c>
      <c r="J616" s="62" t="s">
        <v>373</v>
      </c>
      <c r="K616" s="62" t="s">
        <v>1693</v>
      </c>
      <c r="L616" s="65" t="s">
        <v>306</v>
      </c>
      <c r="M616" s="62" t="s">
        <v>2443</v>
      </c>
      <c r="N616" s="62" t="s">
        <v>640</v>
      </c>
      <c r="O616" s="62" t="s">
        <v>417</v>
      </c>
      <c r="P616" s="62" t="s">
        <v>2421</v>
      </c>
      <c r="Q616" s="66" t="s">
        <v>1965</v>
      </c>
    </row>
    <row r="617" spans="1:17" x14ac:dyDescent="0.3">
      <c r="A617" s="61" t="s">
        <v>2054</v>
      </c>
      <c r="B617" s="62" t="s">
        <v>922</v>
      </c>
      <c r="C617" s="62" t="s">
        <v>923</v>
      </c>
      <c r="D617" s="63">
        <v>44943</v>
      </c>
      <c r="E617" s="63">
        <v>46216</v>
      </c>
      <c r="F617" s="62" t="s">
        <v>280</v>
      </c>
      <c r="G617" s="62" t="s">
        <v>409</v>
      </c>
      <c r="H617" s="62" t="s">
        <v>373</v>
      </c>
      <c r="I617" s="64">
        <v>108029.785714286</v>
      </c>
      <c r="J617" s="62" t="s">
        <v>373</v>
      </c>
      <c r="K617" s="62" t="s">
        <v>1693</v>
      </c>
      <c r="L617" s="65" t="s">
        <v>306</v>
      </c>
      <c r="M617" s="62" t="s">
        <v>2443</v>
      </c>
      <c r="N617" s="62" t="s">
        <v>640</v>
      </c>
      <c r="O617" s="62" t="s">
        <v>417</v>
      </c>
      <c r="P617" s="62" t="s">
        <v>2421</v>
      </c>
      <c r="Q617" s="66" t="s">
        <v>1965</v>
      </c>
    </row>
    <row r="618" spans="1:17" x14ac:dyDescent="0.3">
      <c r="A618" s="61" t="s">
        <v>2054</v>
      </c>
      <c r="B618" s="62" t="s">
        <v>922</v>
      </c>
      <c r="C618" s="62" t="s">
        <v>923</v>
      </c>
      <c r="D618" s="63">
        <v>44943</v>
      </c>
      <c r="E618" s="63">
        <v>46216</v>
      </c>
      <c r="F618" s="62" t="s">
        <v>282</v>
      </c>
      <c r="G618" s="62" t="s">
        <v>283</v>
      </c>
      <c r="H618" s="62" t="s">
        <v>373</v>
      </c>
      <c r="I618" s="64">
        <v>216059.57142857101</v>
      </c>
      <c r="J618" s="62" t="s">
        <v>373</v>
      </c>
      <c r="K618" s="62" t="s">
        <v>1693</v>
      </c>
      <c r="L618" s="65" t="s">
        <v>306</v>
      </c>
      <c r="M618" s="62" t="s">
        <v>2443</v>
      </c>
      <c r="N618" s="62" t="s">
        <v>640</v>
      </c>
      <c r="O618" s="62" t="s">
        <v>417</v>
      </c>
      <c r="P618" s="62" t="s">
        <v>2421</v>
      </c>
      <c r="Q618" s="66" t="s">
        <v>1965</v>
      </c>
    </row>
    <row r="619" spans="1:17" x14ac:dyDescent="0.3">
      <c r="A619" s="61" t="s">
        <v>2054</v>
      </c>
      <c r="B619" s="62" t="s">
        <v>922</v>
      </c>
      <c r="C619" s="62" t="s">
        <v>923</v>
      </c>
      <c r="D619" s="63">
        <v>44943</v>
      </c>
      <c r="E619" s="63">
        <v>46216</v>
      </c>
      <c r="F619" s="62" t="s">
        <v>348</v>
      </c>
      <c r="G619" s="62" t="s">
        <v>348</v>
      </c>
      <c r="H619" s="62" t="s">
        <v>373</v>
      </c>
      <c r="I619" s="64">
        <v>216059.57142857101</v>
      </c>
      <c r="J619" s="62" t="s">
        <v>373</v>
      </c>
      <c r="K619" s="62" t="s">
        <v>1693</v>
      </c>
      <c r="L619" s="65" t="s">
        <v>306</v>
      </c>
      <c r="M619" s="62" t="s">
        <v>2443</v>
      </c>
      <c r="N619" s="62" t="s">
        <v>640</v>
      </c>
      <c r="O619" s="62" t="s">
        <v>417</v>
      </c>
      <c r="P619" s="62" t="s">
        <v>2421</v>
      </c>
      <c r="Q619" s="66" t="s">
        <v>1965</v>
      </c>
    </row>
    <row r="620" spans="1:17" x14ac:dyDescent="0.3">
      <c r="A620" s="61" t="s">
        <v>2054</v>
      </c>
      <c r="B620" s="62" t="s">
        <v>922</v>
      </c>
      <c r="C620" s="62" t="s">
        <v>923</v>
      </c>
      <c r="D620" s="63">
        <v>44943</v>
      </c>
      <c r="E620" s="63">
        <v>46216</v>
      </c>
      <c r="F620" s="62" t="s">
        <v>1937</v>
      </c>
      <c r="G620" s="62" t="s">
        <v>566</v>
      </c>
      <c r="H620" s="62" t="s">
        <v>373</v>
      </c>
      <c r="I620" s="64">
        <v>216059.57142857101</v>
      </c>
      <c r="J620" s="62" t="s">
        <v>373</v>
      </c>
      <c r="K620" s="62" t="s">
        <v>1693</v>
      </c>
      <c r="L620" s="65" t="s">
        <v>306</v>
      </c>
      <c r="M620" s="62" t="s">
        <v>2443</v>
      </c>
      <c r="N620" s="62" t="s">
        <v>640</v>
      </c>
      <c r="O620" s="62" t="s">
        <v>417</v>
      </c>
      <c r="P620" s="62" t="s">
        <v>2421</v>
      </c>
      <c r="Q620" s="66" t="s">
        <v>1965</v>
      </c>
    </row>
    <row r="621" spans="1:17" x14ac:dyDescent="0.3">
      <c r="A621" s="61" t="s">
        <v>2055</v>
      </c>
      <c r="B621" s="62" t="s">
        <v>924</v>
      </c>
      <c r="C621" s="62" t="s">
        <v>925</v>
      </c>
      <c r="D621" s="63">
        <v>44958</v>
      </c>
      <c r="E621" s="63">
        <v>46053</v>
      </c>
      <c r="F621" s="62" t="s">
        <v>350</v>
      </c>
      <c r="G621" s="62" t="s">
        <v>304</v>
      </c>
      <c r="H621" s="62" t="s">
        <v>2452</v>
      </c>
      <c r="I621" s="64">
        <v>500000</v>
      </c>
      <c r="J621" s="62" t="s">
        <v>2453</v>
      </c>
      <c r="K621" s="62" t="s">
        <v>1957</v>
      </c>
      <c r="L621" s="65" t="s">
        <v>306</v>
      </c>
      <c r="M621" s="62" t="s">
        <v>424</v>
      </c>
      <c r="N621" s="62" t="s">
        <v>909</v>
      </c>
      <c r="O621" s="62" t="s">
        <v>637</v>
      </c>
      <c r="P621" s="62" t="s">
        <v>2421</v>
      </c>
      <c r="Q621" s="66" t="s">
        <v>1983</v>
      </c>
    </row>
    <row r="622" spans="1:17" x14ac:dyDescent="0.3">
      <c r="A622" s="61" t="s">
        <v>2056</v>
      </c>
      <c r="B622" s="62" t="s">
        <v>936</v>
      </c>
      <c r="C622" s="62" t="s">
        <v>937</v>
      </c>
      <c r="D622" s="63">
        <v>44941</v>
      </c>
      <c r="E622" s="63">
        <v>46036</v>
      </c>
      <c r="F622" s="62" t="s">
        <v>287</v>
      </c>
      <c r="G622" s="62" t="s">
        <v>396</v>
      </c>
      <c r="H622" s="62" t="s">
        <v>373</v>
      </c>
      <c r="I622" s="64">
        <v>649859.5</v>
      </c>
      <c r="J622" s="62" t="s">
        <v>373</v>
      </c>
      <c r="K622" s="62" t="s">
        <v>1693</v>
      </c>
      <c r="L622" s="65" t="s">
        <v>306</v>
      </c>
      <c r="M622" s="62" t="s">
        <v>2443</v>
      </c>
      <c r="N622" s="62" t="s">
        <v>2424</v>
      </c>
      <c r="O622" s="62" t="s">
        <v>426</v>
      </c>
      <c r="P622" s="62" t="s">
        <v>2421</v>
      </c>
      <c r="Q622" s="66" t="s">
        <v>1972</v>
      </c>
    </row>
    <row r="623" spans="1:17" x14ac:dyDescent="0.3">
      <c r="A623" s="61" t="s">
        <v>2056</v>
      </c>
      <c r="B623" s="62" t="s">
        <v>936</v>
      </c>
      <c r="C623" s="62" t="s">
        <v>937</v>
      </c>
      <c r="D623" s="63">
        <v>44941</v>
      </c>
      <c r="E623" s="63">
        <v>46036</v>
      </c>
      <c r="F623" s="62" t="s">
        <v>1945</v>
      </c>
      <c r="G623" s="62" t="s">
        <v>400</v>
      </c>
      <c r="H623" s="62" t="s">
        <v>373</v>
      </c>
      <c r="I623" s="64">
        <v>649859.5</v>
      </c>
      <c r="J623" s="62" t="s">
        <v>373</v>
      </c>
      <c r="K623" s="62" t="s">
        <v>1693</v>
      </c>
      <c r="L623" s="65" t="s">
        <v>306</v>
      </c>
      <c r="M623" s="62" t="s">
        <v>2443</v>
      </c>
      <c r="N623" s="62" t="s">
        <v>2424</v>
      </c>
      <c r="O623" s="62" t="s">
        <v>426</v>
      </c>
      <c r="P623" s="62" t="s">
        <v>2421</v>
      </c>
      <c r="Q623" s="66" t="s">
        <v>1972</v>
      </c>
    </row>
    <row r="624" spans="1:17" x14ac:dyDescent="0.3">
      <c r="A624" s="61" t="s">
        <v>2057</v>
      </c>
      <c r="B624" s="62" t="s">
        <v>942</v>
      </c>
      <c r="C624" s="62" t="s">
        <v>943</v>
      </c>
      <c r="D624" s="63">
        <v>44958</v>
      </c>
      <c r="E624" s="63">
        <v>46783</v>
      </c>
      <c r="F624" s="62" t="s">
        <v>350</v>
      </c>
      <c r="G624" s="62" t="s">
        <v>304</v>
      </c>
      <c r="H624" s="62" t="s">
        <v>2422</v>
      </c>
      <c r="I624" s="64">
        <v>60000000</v>
      </c>
      <c r="J624" s="62" t="s">
        <v>941</v>
      </c>
      <c r="K624" s="62" t="s">
        <v>377</v>
      </c>
      <c r="L624" s="65" t="s">
        <v>353</v>
      </c>
      <c r="M624" s="62" t="s">
        <v>825</v>
      </c>
      <c r="N624" s="62" t="s">
        <v>644</v>
      </c>
      <c r="O624" s="62" t="s">
        <v>371</v>
      </c>
      <c r="P624" s="62" t="s">
        <v>2421</v>
      </c>
      <c r="Q624" s="66" t="s">
        <v>1986</v>
      </c>
    </row>
    <row r="625" spans="1:17" x14ac:dyDescent="0.3">
      <c r="A625" s="61" t="s">
        <v>2058</v>
      </c>
      <c r="B625" s="62" t="s">
        <v>944</v>
      </c>
      <c r="C625" s="62" t="s">
        <v>945</v>
      </c>
      <c r="D625" s="63">
        <v>44756</v>
      </c>
      <c r="E625" s="63">
        <v>46598</v>
      </c>
      <c r="F625" s="62" t="s">
        <v>350</v>
      </c>
      <c r="G625" s="62" t="s">
        <v>350</v>
      </c>
      <c r="H625" s="62" t="s">
        <v>2426</v>
      </c>
      <c r="I625" s="64">
        <v>12844037</v>
      </c>
      <c r="J625" s="62" t="s">
        <v>601</v>
      </c>
      <c r="K625" s="62" t="s">
        <v>377</v>
      </c>
      <c r="L625" s="65" t="s">
        <v>306</v>
      </c>
      <c r="M625" s="62" t="s">
        <v>457</v>
      </c>
      <c r="N625" s="62" t="s">
        <v>855</v>
      </c>
      <c r="O625" s="62" t="s">
        <v>465</v>
      </c>
      <c r="P625" s="62" t="s">
        <v>2421</v>
      </c>
      <c r="Q625" s="66" t="s">
        <v>1972</v>
      </c>
    </row>
    <row r="626" spans="1:17" x14ac:dyDescent="0.3">
      <c r="A626" s="61" t="s">
        <v>2059</v>
      </c>
      <c r="B626" s="62" t="s">
        <v>951</v>
      </c>
      <c r="C626" s="62" t="s">
        <v>952</v>
      </c>
      <c r="D626" s="63">
        <v>44835</v>
      </c>
      <c r="E626" s="63">
        <v>46477</v>
      </c>
      <c r="F626" s="62" t="s">
        <v>289</v>
      </c>
      <c r="G626" s="62" t="s">
        <v>574</v>
      </c>
      <c r="H626" s="62" t="s">
        <v>377</v>
      </c>
      <c r="I626" s="64">
        <v>81146.952380952396</v>
      </c>
      <c r="J626" s="62" t="s">
        <v>542</v>
      </c>
      <c r="K626" s="62" t="s">
        <v>377</v>
      </c>
      <c r="L626" s="65" t="s">
        <v>306</v>
      </c>
      <c r="M626" s="62" t="s">
        <v>356</v>
      </c>
      <c r="N626" s="62" t="s">
        <v>552</v>
      </c>
      <c r="O626" s="62" t="s">
        <v>371</v>
      </c>
      <c r="P626" s="62" t="s">
        <v>2421</v>
      </c>
      <c r="Q626" s="66" t="s">
        <v>1972</v>
      </c>
    </row>
    <row r="627" spans="1:17" x14ac:dyDescent="0.3">
      <c r="A627" s="61" t="s">
        <v>2059</v>
      </c>
      <c r="B627" s="62" t="s">
        <v>951</v>
      </c>
      <c r="C627" s="62" t="s">
        <v>952</v>
      </c>
      <c r="D627" s="63">
        <v>44835</v>
      </c>
      <c r="E627" s="63">
        <v>46477</v>
      </c>
      <c r="F627" s="62" t="s">
        <v>289</v>
      </c>
      <c r="G627" s="62" t="s">
        <v>575</v>
      </c>
      <c r="H627" s="62" t="s">
        <v>377</v>
      </c>
      <c r="I627" s="64">
        <v>81146.952380952396</v>
      </c>
      <c r="J627" s="62" t="s">
        <v>542</v>
      </c>
      <c r="K627" s="62" t="s">
        <v>377</v>
      </c>
      <c r="L627" s="65" t="s">
        <v>306</v>
      </c>
      <c r="M627" s="62" t="s">
        <v>356</v>
      </c>
      <c r="N627" s="62" t="s">
        <v>552</v>
      </c>
      <c r="O627" s="62" t="s">
        <v>371</v>
      </c>
      <c r="P627" s="62" t="s">
        <v>2421</v>
      </c>
      <c r="Q627" s="66" t="s">
        <v>1972</v>
      </c>
    </row>
    <row r="628" spans="1:17" x14ac:dyDescent="0.3">
      <c r="A628" s="61" t="s">
        <v>2059</v>
      </c>
      <c r="B628" s="62" t="s">
        <v>951</v>
      </c>
      <c r="C628" s="62" t="s">
        <v>952</v>
      </c>
      <c r="D628" s="63">
        <v>44835</v>
      </c>
      <c r="E628" s="63">
        <v>46477</v>
      </c>
      <c r="F628" s="62" t="s">
        <v>289</v>
      </c>
      <c r="G628" s="62" t="s">
        <v>953</v>
      </c>
      <c r="H628" s="62" t="s">
        <v>377</v>
      </c>
      <c r="I628" s="64">
        <v>81146.952380952396</v>
      </c>
      <c r="J628" s="62" t="s">
        <v>542</v>
      </c>
      <c r="K628" s="62" t="s">
        <v>377</v>
      </c>
      <c r="L628" s="65" t="s">
        <v>306</v>
      </c>
      <c r="M628" s="62" t="s">
        <v>356</v>
      </c>
      <c r="N628" s="62" t="s">
        <v>552</v>
      </c>
      <c r="O628" s="62" t="s">
        <v>371</v>
      </c>
      <c r="P628" s="62" t="s">
        <v>2421</v>
      </c>
      <c r="Q628" s="66" t="s">
        <v>1972</v>
      </c>
    </row>
    <row r="629" spans="1:17" x14ac:dyDescent="0.3">
      <c r="A629" s="61" t="s">
        <v>2059</v>
      </c>
      <c r="B629" s="62" t="s">
        <v>951</v>
      </c>
      <c r="C629" s="62" t="s">
        <v>952</v>
      </c>
      <c r="D629" s="63">
        <v>44835</v>
      </c>
      <c r="E629" s="63">
        <v>46477</v>
      </c>
      <c r="F629" s="62" t="s">
        <v>289</v>
      </c>
      <c r="G629" s="62" t="s">
        <v>831</v>
      </c>
      <c r="H629" s="62" t="s">
        <v>377</v>
      </c>
      <c r="I629" s="64">
        <v>81146.952380952396</v>
      </c>
      <c r="J629" s="62" t="s">
        <v>542</v>
      </c>
      <c r="K629" s="62" t="s">
        <v>377</v>
      </c>
      <c r="L629" s="65" t="s">
        <v>306</v>
      </c>
      <c r="M629" s="62" t="s">
        <v>356</v>
      </c>
      <c r="N629" s="62" t="s">
        <v>552</v>
      </c>
      <c r="O629" s="62" t="s">
        <v>371</v>
      </c>
      <c r="P629" s="62" t="s">
        <v>2421</v>
      </c>
      <c r="Q629" s="66" t="s">
        <v>1972</v>
      </c>
    </row>
    <row r="630" spans="1:17" x14ac:dyDescent="0.3">
      <c r="A630" s="61" t="s">
        <v>2059</v>
      </c>
      <c r="B630" s="62" t="s">
        <v>951</v>
      </c>
      <c r="C630" s="62" t="s">
        <v>952</v>
      </c>
      <c r="D630" s="63">
        <v>44835</v>
      </c>
      <c r="E630" s="63">
        <v>46477</v>
      </c>
      <c r="F630" s="62" t="s">
        <v>289</v>
      </c>
      <c r="G630" s="62" t="s">
        <v>594</v>
      </c>
      <c r="H630" s="62" t="s">
        <v>377</v>
      </c>
      <c r="I630" s="64">
        <v>81146.952380952396</v>
      </c>
      <c r="J630" s="62" t="s">
        <v>542</v>
      </c>
      <c r="K630" s="62" t="s">
        <v>377</v>
      </c>
      <c r="L630" s="65" t="s">
        <v>306</v>
      </c>
      <c r="M630" s="62" t="s">
        <v>356</v>
      </c>
      <c r="N630" s="62" t="s">
        <v>552</v>
      </c>
      <c r="O630" s="62" t="s">
        <v>371</v>
      </c>
      <c r="P630" s="62" t="s">
        <v>2421</v>
      </c>
      <c r="Q630" s="66" t="s">
        <v>1972</v>
      </c>
    </row>
    <row r="631" spans="1:17" x14ac:dyDescent="0.3">
      <c r="A631" s="61" t="s">
        <v>2059</v>
      </c>
      <c r="B631" s="62" t="s">
        <v>951</v>
      </c>
      <c r="C631" s="62" t="s">
        <v>952</v>
      </c>
      <c r="D631" s="63">
        <v>44835</v>
      </c>
      <c r="E631" s="63">
        <v>46477</v>
      </c>
      <c r="F631" s="62" t="s">
        <v>289</v>
      </c>
      <c r="G631" s="62" t="s">
        <v>595</v>
      </c>
      <c r="H631" s="62" t="s">
        <v>377</v>
      </c>
      <c r="I631" s="64">
        <v>81146.952380952396</v>
      </c>
      <c r="J631" s="62" t="s">
        <v>542</v>
      </c>
      <c r="K631" s="62" t="s">
        <v>377</v>
      </c>
      <c r="L631" s="65" t="s">
        <v>306</v>
      </c>
      <c r="M631" s="62" t="s">
        <v>356</v>
      </c>
      <c r="N631" s="62" t="s">
        <v>552</v>
      </c>
      <c r="O631" s="62" t="s">
        <v>371</v>
      </c>
      <c r="P631" s="62" t="s">
        <v>2421</v>
      </c>
      <c r="Q631" s="66" t="s">
        <v>1972</v>
      </c>
    </row>
    <row r="632" spans="1:17" x14ac:dyDescent="0.3">
      <c r="A632" s="61" t="s">
        <v>2059</v>
      </c>
      <c r="B632" s="62" t="s">
        <v>951</v>
      </c>
      <c r="C632" s="62" t="s">
        <v>952</v>
      </c>
      <c r="D632" s="63">
        <v>44835</v>
      </c>
      <c r="E632" s="63">
        <v>46477</v>
      </c>
      <c r="F632" s="62" t="s">
        <v>289</v>
      </c>
      <c r="G632" s="62" t="s">
        <v>576</v>
      </c>
      <c r="H632" s="62" t="s">
        <v>377</v>
      </c>
      <c r="I632" s="64">
        <v>81146.952380952396</v>
      </c>
      <c r="J632" s="62" t="s">
        <v>542</v>
      </c>
      <c r="K632" s="62" t="s">
        <v>377</v>
      </c>
      <c r="L632" s="65" t="s">
        <v>306</v>
      </c>
      <c r="M632" s="62" t="s">
        <v>356</v>
      </c>
      <c r="N632" s="62" t="s">
        <v>552</v>
      </c>
      <c r="O632" s="62" t="s">
        <v>371</v>
      </c>
      <c r="P632" s="62" t="s">
        <v>2421</v>
      </c>
      <c r="Q632" s="66" t="s">
        <v>1972</v>
      </c>
    </row>
    <row r="633" spans="1:17" x14ac:dyDescent="0.3">
      <c r="A633" s="61" t="s">
        <v>2059</v>
      </c>
      <c r="B633" s="62" t="s">
        <v>951</v>
      </c>
      <c r="C633" s="62" t="s">
        <v>952</v>
      </c>
      <c r="D633" s="63">
        <v>44835</v>
      </c>
      <c r="E633" s="63">
        <v>46477</v>
      </c>
      <c r="F633" s="62" t="s">
        <v>282</v>
      </c>
      <c r="G633" s="62" t="s">
        <v>470</v>
      </c>
      <c r="H633" s="62" t="s">
        <v>377</v>
      </c>
      <c r="I633" s="64">
        <v>94671.444444444394</v>
      </c>
      <c r="J633" s="62" t="s">
        <v>542</v>
      </c>
      <c r="K633" s="62" t="s">
        <v>377</v>
      </c>
      <c r="L633" s="65" t="s">
        <v>306</v>
      </c>
      <c r="M633" s="62" t="s">
        <v>356</v>
      </c>
      <c r="N633" s="62" t="s">
        <v>552</v>
      </c>
      <c r="O633" s="62" t="s">
        <v>371</v>
      </c>
      <c r="P633" s="62" t="s">
        <v>2421</v>
      </c>
      <c r="Q633" s="66" t="s">
        <v>1972</v>
      </c>
    </row>
    <row r="634" spans="1:17" x14ac:dyDescent="0.3">
      <c r="A634" s="61" t="s">
        <v>2059</v>
      </c>
      <c r="B634" s="62" t="s">
        <v>951</v>
      </c>
      <c r="C634" s="62" t="s">
        <v>952</v>
      </c>
      <c r="D634" s="63">
        <v>44835</v>
      </c>
      <c r="E634" s="63">
        <v>46477</v>
      </c>
      <c r="F634" s="62" t="s">
        <v>282</v>
      </c>
      <c r="G634" s="62" t="s">
        <v>472</v>
      </c>
      <c r="H634" s="62" t="s">
        <v>377</v>
      </c>
      <c r="I634" s="64">
        <v>94671.444444444394</v>
      </c>
      <c r="J634" s="62" t="s">
        <v>542</v>
      </c>
      <c r="K634" s="62" t="s">
        <v>377</v>
      </c>
      <c r="L634" s="65" t="s">
        <v>306</v>
      </c>
      <c r="M634" s="62" t="s">
        <v>356</v>
      </c>
      <c r="N634" s="62" t="s">
        <v>552</v>
      </c>
      <c r="O634" s="62" t="s">
        <v>371</v>
      </c>
      <c r="P634" s="62" t="s">
        <v>2421</v>
      </c>
      <c r="Q634" s="66" t="s">
        <v>1972</v>
      </c>
    </row>
    <row r="635" spans="1:17" x14ac:dyDescent="0.3">
      <c r="A635" s="61" t="s">
        <v>2059</v>
      </c>
      <c r="B635" s="62" t="s">
        <v>951</v>
      </c>
      <c r="C635" s="62" t="s">
        <v>952</v>
      </c>
      <c r="D635" s="63">
        <v>44835</v>
      </c>
      <c r="E635" s="63">
        <v>46477</v>
      </c>
      <c r="F635" s="62" t="s">
        <v>282</v>
      </c>
      <c r="G635" s="62" t="s">
        <v>833</v>
      </c>
      <c r="H635" s="62" t="s">
        <v>377</v>
      </c>
      <c r="I635" s="64">
        <v>94671.444444444394</v>
      </c>
      <c r="J635" s="62" t="s">
        <v>542</v>
      </c>
      <c r="K635" s="62" t="s">
        <v>377</v>
      </c>
      <c r="L635" s="65" t="s">
        <v>306</v>
      </c>
      <c r="M635" s="62" t="s">
        <v>356</v>
      </c>
      <c r="N635" s="62" t="s">
        <v>552</v>
      </c>
      <c r="O635" s="62" t="s">
        <v>371</v>
      </c>
      <c r="P635" s="62" t="s">
        <v>2421</v>
      </c>
      <c r="Q635" s="66" t="s">
        <v>1972</v>
      </c>
    </row>
    <row r="636" spans="1:17" x14ac:dyDescent="0.3">
      <c r="A636" s="61" t="s">
        <v>2059</v>
      </c>
      <c r="B636" s="62" t="s">
        <v>951</v>
      </c>
      <c r="C636" s="62" t="s">
        <v>952</v>
      </c>
      <c r="D636" s="63">
        <v>44835</v>
      </c>
      <c r="E636" s="63">
        <v>46477</v>
      </c>
      <c r="F636" s="62" t="s">
        <v>282</v>
      </c>
      <c r="G636" s="62" t="s">
        <v>473</v>
      </c>
      <c r="H636" s="62" t="s">
        <v>377</v>
      </c>
      <c r="I636" s="64">
        <v>94671.444444444394</v>
      </c>
      <c r="J636" s="62" t="s">
        <v>542</v>
      </c>
      <c r="K636" s="62" t="s">
        <v>377</v>
      </c>
      <c r="L636" s="65" t="s">
        <v>306</v>
      </c>
      <c r="M636" s="62" t="s">
        <v>356</v>
      </c>
      <c r="N636" s="62" t="s">
        <v>552</v>
      </c>
      <c r="O636" s="62" t="s">
        <v>371</v>
      </c>
      <c r="P636" s="62" t="s">
        <v>2421</v>
      </c>
      <c r="Q636" s="66" t="s">
        <v>1972</v>
      </c>
    </row>
    <row r="637" spans="1:17" x14ac:dyDescent="0.3">
      <c r="A637" s="61" t="s">
        <v>2059</v>
      </c>
      <c r="B637" s="62" t="s">
        <v>951</v>
      </c>
      <c r="C637" s="62" t="s">
        <v>952</v>
      </c>
      <c r="D637" s="63">
        <v>44835</v>
      </c>
      <c r="E637" s="63">
        <v>46477</v>
      </c>
      <c r="F637" s="62" t="s">
        <v>282</v>
      </c>
      <c r="G637" s="62" t="s">
        <v>577</v>
      </c>
      <c r="H637" s="62" t="s">
        <v>377</v>
      </c>
      <c r="I637" s="64">
        <v>94671.444444444394</v>
      </c>
      <c r="J637" s="62" t="s">
        <v>542</v>
      </c>
      <c r="K637" s="62" t="s">
        <v>377</v>
      </c>
      <c r="L637" s="65" t="s">
        <v>306</v>
      </c>
      <c r="M637" s="62" t="s">
        <v>356</v>
      </c>
      <c r="N637" s="62" t="s">
        <v>552</v>
      </c>
      <c r="O637" s="62" t="s">
        <v>371</v>
      </c>
      <c r="P637" s="62" t="s">
        <v>2421</v>
      </c>
      <c r="Q637" s="66" t="s">
        <v>1972</v>
      </c>
    </row>
    <row r="638" spans="1:17" x14ac:dyDescent="0.3">
      <c r="A638" s="61" t="s">
        <v>2059</v>
      </c>
      <c r="B638" s="62" t="s">
        <v>951</v>
      </c>
      <c r="C638" s="62" t="s">
        <v>952</v>
      </c>
      <c r="D638" s="63">
        <v>44835</v>
      </c>
      <c r="E638" s="63">
        <v>46477</v>
      </c>
      <c r="F638" s="62" t="s">
        <v>282</v>
      </c>
      <c r="G638" s="62" t="s">
        <v>834</v>
      </c>
      <c r="H638" s="62" t="s">
        <v>377</v>
      </c>
      <c r="I638" s="64">
        <v>94671.444444444394</v>
      </c>
      <c r="J638" s="62" t="s">
        <v>542</v>
      </c>
      <c r="K638" s="62" t="s">
        <v>377</v>
      </c>
      <c r="L638" s="65" t="s">
        <v>306</v>
      </c>
      <c r="M638" s="62" t="s">
        <v>356</v>
      </c>
      <c r="N638" s="62" t="s">
        <v>552</v>
      </c>
      <c r="O638" s="62" t="s">
        <v>371</v>
      </c>
      <c r="P638" s="62" t="s">
        <v>2421</v>
      </c>
      <c r="Q638" s="66" t="s">
        <v>1972</v>
      </c>
    </row>
    <row r="639" spans="1:17" x14ac:dyDescent="0.3">
      <c r="A639" s="61" t="s">
        <v>2059</v>
      </c>
      <c r="B639" s="62" t="s">
        <v>951</v>
      </c>
      <c r="C639" s="62" t="s">
        <v>952</v>
      </c>
      <c r="D639" s="63">
        <v>44835</v>
      </c>
      <c r="E639" s="63">
        <v>46477</v>
      </c>
      <c r="F639" s="62" t="s">
        <v>1930</v>
      </c>
      <c r="G639" s="62" t="s">
        <v>415</v>
      </c>
      <c r="H639" s="62" t="s">
        <v>377</v>
      </c>
      <c r="I639" s="64">
        <v>94671.444444444394</v>
      </c>
      <c r="J639" s="62" t="s">
        <v>542</v>
      </c>
      <c r="K639" s="62" t="s">
        <v>377</v>
      </c>
      <c r="L639" s="65" t="s">
        <v>306</v>
      </c>
      <c r="M639" s="62" t="s">
        <v>356</v>
      </c>
      <c r="N639" s="62" t="s">
        <v>552</v>
      </c>
      <c r="O639" s="62" t="s">
        <v>371</v>
      </c>
      <c r="P639" s="62" t="s">
        <v>2421</v>
      </c>
      <c r="Q639" s="66" t="s">
        <v>1972</v>
      </c>
    </row>
    <row r="640" spans="1:17" x14ac:dyDescent="0.3">
      <c r="A640" s="61" t="s">
        <v>2059</v>
      </c>
      <c r="B640" s="62" t="s">
        <v>951</v>
      </c>
      <c r="C640" s="62" t="s">
        <v>952</v>
      </c>
      <c r="D640" s="63">
        <v>44835</v>
      </c>
      <c r="E640" s="63">
        <v>46477</v>
      </c>
      <c r="F640" s="62" t="s">
        <v>1930</v>
      </c>
      <c r="G640" s="62" t="s">
        <v>418</v>
      </c>
      <c r="H640" s="62" t="s">
        <v>377</v>
      </c>
      <c r="I640" s="64">
        <v>94671.444444444394</v>
      </c>
      <c r="J640" s="62" t="s">
        <v>542</v>
      </c>
      <c r="K640" s="62" t="s">
        <v>377</v>
      </c>
      <c r="L640" s="65" t="s">
        <v>306</v>
      </c>
      <c r="M640" s="62" t="s">
        <v>356</v>
      </c>
      <c r="N640" s="62" t="s">
        <v>552</v>
      </c>
      <c r="O640" s="62" t="s">
        <v>371</v>
      </c>
      <c r="P640" s="62" t="s">
        <v>2421</v>
      </c>
      <c r="Q640" s="66" t="s">
        <v>1972</v>
      </c>
    </row>
    <row r="641" spans="1:17" x14ac:dyDescent="0.3">
      <c r="A641" s="61" t="s">
        <v>2059</v>
      </c>
      <c r="B641" s="62" t="s">
        <v>951</v>
      </c>
      <c r="C641" s="62" t="s">
        <v>952</v>
      </c>
      <c r="D641" s="63">
        <v>44835</v>
      </c>
      <c r="E641" s="63">
        <v>46477</v>
      </c>
      <c r="F641" s="62" t="s">
        <v>1930</v>
      </c>
      <c r="G641" s="62" t="s">
        <v>419</v>
      </c>
      <c r="H641" s="62" t="s">
        <v>377</v>
      </c>
      <c r="I641" s="64">
        <v>94671.444444444394</v>
      </c>
      <c r="J641" s="62" t="s">
        <v>542</v>
      </c>
      <c r="K641" s="62" t="s">
        <v>377</v>
      </c>
      <c r="L641" s="65" t="s">
        <v>306</v>
      </c>
      <c r="M641" s="62" t="s">
        <v>356</v>
      </c>
      <c r="N641" s="62" t="s">
        <v>552</v>
      </c>
      <c r="O641" s="62" t="s">
        <v>371</v>
      </c>
      <c r="P641" s="62" t="s">
        <v>2421</v>
      </c>
      <c r="Q641" s="66" t="s">
        <v>1972</v>
      </c>
    </row>
    <row r="642" spans="1:17" x14ac:dyDescent="0.3">
      <c r="A642" s="61" t="s">
        <v>2059</v>
      </c>
      <c r="B642" s="62" t="s">
        <v>951</v>
      </c>
      <c r="C642" s="62" t="s">
        <v>952</v>
      </c>
      <c r="D642" s="63">
        <v>44835</v>
      </c>
      <c r="E642" s="63">
        <v>46477</v>
      </c>
      <c r="F642" s="62" t="s">
        <v>1930</v>
      </c>
      <c r="G642" s="62" t="s">
        <v>420</v>
      </c>
      <c r="H642" s="62" t="s">
        <v>377</v>
      </c>
      <c r="I642" s="64">
        <v>94671.444444444394</v>
      </c>
      <c r="J642" s="62" t="s">
        <v>542</v>
      </c>
      <c r="K642" s="62" t="s">
        <v>377</v>
      </c>
      <c r="L642" s="65" t="s">
        <v>306</v>
      </c>
      <c r="M642" s="62" t="s">
        <v>356</v>
      </c>
      <c r="N642" s="62" t="s">
        <v>552</v>
      </c>
      <c r="O642" s="62" t="s">
        <v>371</v>
      </c>
      <c r="P642" s="62" t="s">
        <v>2421</v>
      </c>
      <c r="Q642" s="66" t="s">
        <v>1972</v>
      </c>
    </row>
    <row r="643" spans="1:17" x14ac:dyDescent="0.3">
      <c r="A643" s="61" t="s">
        <v>2059</v>
      </c>
      <c r="B643" s="62" t="s">
        <v>951</v>
      </c>
      <c r="C643" s="62" t="s">
        <v>952</v>
      </c>
      <c r="D643" s="63">
        <v>44835</v>
      </c>
      <c r="E643" s="63">
        <v>46477</v>
      </c>
      <c r="F643" s="62" t="s">
        <v>1930</v>
      </c>
      <c r="G643" s="62" t="s">
        <v>421</v>
      </c>
      <c r="H643" s="62" t="s">
        <v>377</v>
      </c>
      <c r="I643" s="64">
        <v>94671.444444444394</v>
      </c>
      <c r="J643" s="62" t="s">
        <v>542</v>
      </c>
      <c r="K643" s="62" t="s">
        <v>377</v>
      </c>
      <c r="L643" s="65" t="s">
        <v>306</v>
      </c>
      <c r="M643" s="62" t="s">
        <v>356</v>
      </c>
      <c r="N643" s="62" t="s">
        <v>552</v>
      </c>
      <c r="O643" s="62" t="s">
        <v>371</v>
      </c>
      <c r="P643" s="62" t="s">
        <v>2421</v>
      </c>
      <c r="Q643" s="66" t="s">
        <v>1972</v>
      </c>
    </row>
    <row r="644" spans="1:17" x14ac:dyDescent="0.3">
      <c r="A644" s="61" t="s">
        <v>2059</v>
      </c>
      <c r="B644" s="62" t="s">
        <v>951</v>
      </c>
      <c r="C644" s="62" t="s">
        <v>952</v>
      </c>
      <c r="D644" s="63">
        <v>44835</v>
      </c>
      <c r="E644" s="63">
        <v>46477</v>
      </c>
      <c r="F644" s="62" t="s">
        <v>1930</v>
      </c>
      <c r="G644" s="62" t="s">
        <v>422</v>
      </c>
      <c r="H644" s="62" t="s">
        <v>377</v>
      </c>
      <c r="I644" s="64">
        <v>94671.444444444394</v>
      </c>
      <c r="J644" s="62" t="s">
        <v>542</v>
      </c>
      <c r="K644" s="62" t="s">
        <v>377</v>
      </c>
      <c r="L644" s="65" t="s">
        <v>306</v>
      </c>
      <c r="M644" s="62" t="s">
        <v>356</v>
      </c>
      <c r="N644" s="62" t="s">
        <v>552</v>
      </c>
      <c r="O644" s="62" t="s">
        <v>371</v>
      </c>
      <c r="P644" s="62" t="s">
        <v>2421</v>
      </c>
      <c r="Q644" s="66" t="s">
        <v>1972</v>
      </c>
    </row>
    <row r="645" spans="1:17" x14ac:dyDescent="0.3">
      <c r="A645" s="61" t="s">
        <v>2060</v>
      </c>
      <c r="B645" s="62" t="s">
        <v>954</v>
      </c>
      <c r="C645" s="62" t="s">
        <v>955</v>
      </c>
      <c r="D645" s="63">
        <v>44617</v>
      </c>
      <c r="E645" s="63">
        <v>46077</v>
      </c>
      <c r="F645" s="62" t="s">
        <v>350</v>
      </c>
      <c r="G645" s="62" t="s">
        <v>350</v>
      </c>
      <c r="H645" s="62" t="s">
        <v>2427</v>
      </c>
      <c r="I645" s="64">
        <v>140000</v>
      </c>
      <c r="J645" s="62" t="s">
        <v>782</v>
      </c>
      <c r="K645" s="62" t="s">
        <v>1957</v>
      </c>
      <c r="L645" s="65" t="s">
        <v>306</v>
      </c>
      <c r="M645" s="62" t="s">
        <v>457</v>
      </c>
      <c r="N645" s="62" t="s">
        <v>949</v>
      </c>
      <c r="O645" s="62" t="s">
        <v>309</v>
      </c>
      <c r="P645" s="62" t="s">
        <v>2421</v>
      </c>
      <c r="Q645" s="66" t="s">
        <v>1971</v>
      </c>
    </row>
    <row r="646" spans="1:17" x14ac:dyDescent="0.3">
      <c r="A646" s="61" t="s">
        <v>2060</v>
      </c>
      <c r="B646" s="62" t="s">
        <v>954</v>
      </c>
      <c r="C646" s="62" t="s">
        <v>955</v>
      </c>
      <c r="D646" s="63">
        <v>44617</v>
      </c>
      <c r="E646" s="63">
        <v>46077</v>
      </c>
      <c r="F646" s="62" t="s">
        <v>350</v>
      </c>
      <c r="G646" s="62" t="s">
        <v>350</v>
      </c>
      <c r="H646" s="62" t="s">
        <v>2426</v>
      </c>
      <c r="I646" s="64">
        <v>3791550</v>
      </c>
      <c r="J646" s="62" t="s">
        <v>601</v>
      </c>
      <c r="K646" s="62" t="s">
        <v>1957</v>
      </c>
      <c r="L646" s="65" t="s">
        <v>306</v>
      </c>
      <c r="M646" s="62" t="s">
        <v>457</v>
      </c>
      <c r="N646" s="62" t="s">
        <v>949</v>
      </c>
      <c r="O646" s="62" t="s">
        <v>309</v>
      </c>
      <c r="P646" s="62" t="s">
        <v>2421</v>
      </c>
      <c r="Q646" s="66" t="s">
        <v>1971</v>
      </c>
    </row>
    <row r="647" spans="1:17" x14ac:dyDescent="0.3">
      <c r="A647" s="61" t="s">
        <v>2061</v>
      </c>
      <c r="B647" s="62" t="s">
        <v>958</v>
      </c>
      <c r="C647" s="62" t="s">
        <v>959</v>
      </c>
      <c r="D647" s="63">
        <v>44941</v>
      </c>
      <c r="E647" s="63">
        <v>46402</v>
      </c>
      <c r="F647" s="62" t="s">
        <v>1940</v>
      </c>
      <c r="G647" s="62" t="s">
        <v>622</v>
      </c>
      <c r="H647" s="62" t="s">
        <v>373</v>
      </c>
      <c r="I647" s="64">
        <v>263193.25</v>
      </c>
      <c r="J647" s="62" t="s">
        <v>373</v>
      </c>
      <c r="K647" s="62" t="s">
        <v>1693</v>
      </c>
      <c r="L647" s="65" t="s">
        <v>306</v>
      </c>
      <c r="M647" s="62" t="s">
        <v>424</v>
      </c>
      <c r="N647" s="62" t="s">
        <v>960</v>
      </c>
      <c r="O647" s="62" t="s">
        <v>358</v>
      </c>
      <c r="P647" s="62" t="s">
        <v>2421</v>
      </c>
      <c r="Q647" s="66" t="s">
        <v>1968</v>
      </c>
    </row>
    <row r="648" spans="1:17" x14ac:dyDescent="0.3">
      <c r="A648" s="61" t="s">
        <v>2061</v>
      </c>
      <c r="B648" s="62" t="s">
        <v>958</v>
      </c>
      <c r="C648" s="62" t="s">
        <v>959</v>
      </c>
      <c r="D648" s="63">
        <v>44941</v>
      </c>
      <c r="E648" s="63">
        <v>46402</v>
      </c>
      <c r="F648" s="62" t="s">
        <v>1940</v>
      </c>
      <c r="G648" s="62" t="s">
        <v>561</v>
      </c>
      <c r="H648" s="62" t="s">
        <v>373</v>
      </c>
      <c r="I648" s="64">
        <v>263193.25</v>
      </c>
      <c r="J648" s="62" t="s">
        <v>373</v>
      </c>
      <c r="K648" s="62" t="s">
        <v>1693</v>
      </c>
      <c r="L648" s="65" t="s">
        <v>306</v>
      </c>
      <c r="M648" s="62" t="s">
        <v>424</v>
      </c>
      <c r="N648" s="62" t="s">
        <v>960</v>
      </c>
      <c r="O648" s="62" t="s">
        <v>358</v>
      </c>
      <c r="P648" s="62" t="s">
        <v>2421</v>
      </c>
      <c r="Q648" s="66" t="s">
        <v>1968</v>
      </c>
    </row>
    <row r="649" spans="1:17" x14ac:dyDescent="0.3">
      <c r="A649" s="61" t="s">
        <v>2061</v>
      </c>
      <c r="B649" s="62" t="s">
        <v>958</v>
      </c>
      <c r="C649" s="62" t="s">
        <v>959</v>
      </c>
      <c r="D649" s="63">
        <v>44941</v>
      </c>
      <c r="E649" s="63">
        <v>46402</v>
      </c>
      <c r="F649" s="62" t="s">
        <v>1940</v>
      </c>
      <c r="G649" s="62" t="s">
        <v>623</v>
      </c>
      <c r="H649" s="62" t="s">
        <v>373</v>
      </c>
      <c r="I649" s="64">
        <v>263193.25</v>
      </c>
      <c r="J649" s="62" t="s">
        <v>373</v>
      </c>
      <c r="K649" s="62" t="s">
        <v>1693</v>
      </c>
      <c r="L649" s="65" t="s">
        <v>2423</v>
      </c>
      <c r="M649" s="62" t="s">
        <v>424</v>
      </c>
      <c r="N649" s="62" t="s">
        <v>960</v>
      </c>
      <c r="O649" s="62" t="s">
        <v>358</v>
      </c>
      <c r="P649" s="62" t="s">
        <v>2421</v>
      </c>
      <c r="Q649" s="66" t="s">
        <v>1968</v>
      </c>
    </row>
    <row r="650" spans="1:17" x14ac:dyDescent="0.3">
      <c r="A650" s="61" t="s">
        <v>2061</v>
      </c>
      <c r="B650" s="62" t="s">
        <v>958</v>
      </c>
      <c r="C650" s="62" t="s">
        <v>959</v>
      </c>
      <c r="D650" s="63">
        <v>44941</v>
      </c>
      <c r="E650" s="63">
        <v>46402</v>
      </c>
      <c r="F650" s="62" t="s">
        <v>1940</v>
      </c>
      <c r="G650" s="62" t="s">
        <v>451</v>
      </c>
      <c r="H650" s="62" t="s">
        <v>373</v>
      </c>
      <c r="I650" s="64">
        <v>263193.25</v>
      </c>
      <c r="J650" s="62" t="s">
        <v>373</v>
      </c>
      <c r="K650" s="62" t="s">
        <v>1693</v>
      </c>
      <c r="L650" s="65" t="s">
        <v>2423</v>
      </c>
      <c r="M650" s="62" t="s">
        <v>424</v>
      </c>
      <c r="N650" s="62" t="s">
        <v>960</v>
      </c>
      <c r="O650" s="62" t="s">
        <v>358</v>
      </c>
      <c r="P650" s="62" t="s">
        <v>2421</v>
      </c>
      <c r="Q650" s="66" t="s">
        <v>1968</v>
      </c>
    </row>
    <row r="651" spans="1:17" x14ac:dyDescent="0.3">
      <c r="A651" s="61" t="s">
        <v>2062</v>
      </c>
      <c r="B651" s="62" t="s">
        <v>966</v>
      </c>
      <c r="C651" s="62" t="s">
        <v>967</v>
      </c>
      <c r="D651" s="63">
        <v>44883</v>
      </c>
      <c r="E651" s="63">
        <v>48538</v>
      </c>
      <c r="F651" s="62" t="s">
        <v>350</v>
      </c>
      <c r="G651" s="62" t="s">
        <v>350</v>
      </c>
      <c r="H651" s="62" t="s">
        <v>2426</v>
      </c>
      <c r="I651" s="64">
        <v>6200000</v>
      </c>
      <c r="J651" s="62" t="s">
        <v>968</v>
      </c>
      <c r="K651" s="62" t="s">
        <v>377</v>
      </c>
      <c r="L651" s="65" t="s">
        <v>306</v>
      </c>
      <c r="M651" s="62" t="s">
        <v>354</v>
      </c>
      <c r="N651" s="62" t="s">
        <v>969</v>
      </c>
      <c r="O651" s="62" t="s">
        <v>744</v>
      </c>
      <c r="P651" s="62" t="s">
        <v>2421</v>
      </c>
      <c r="Q651" s="66" t="s">
        <v>1971</v>
      </c>
    </row>
    <row r="652" spans="1:17" x14ac:dyDescent="0.3">
      <c r="A652" s="61" t="s">
        <v>2063</v>
      </c>
      <c r="B652" s="62" t="s">
        <v>970</v>
      </c>
      <c r="C652" s="62"/>
      <c r="D652" s="63">
        <v>44682</v>
      </c>
      <c r="E652" s="63">
        <v>46112</v>
      </c>
      <c r="F652" s="62" t="s">
        <v>350</v>
      </c>
      <c r="G652" s="62" t="s">
        <v>350</v>
      </c>
      <c r="H652" s="62" t="s">
        <v>638</v>
      </c>
      <c r="I652" s="64">
        <v>287500</v>
      </c>
      <c r="J652" s="62" t="s">
        <v>645</v>
      </c>
      <c r="K652" s="62" t="s">
        <v>638</v>
      </c>
      <c r="L652" s="65" t="s">
        <v>306</v>
      </c>
      <c r="M652" s="62" t="s">
        <v>356</v>
      </c>
      <c r="N652" s="62" t="s">
        <v>370</v>
      </c>
      <c r="O652" s="62" t="s">
        <v>371</v>
      </c>
      <c r="P652" s="62" t="s">
        <v>2421</v>
      </c>
      <c r="Q652" s="66" t="s">
        <v>1978</v>
      </c>
    </row>
    <row r="653" spans="1:17" x14ac:dyDescent="0.3">
      <c r="A653" s="61" t="s">
        <v>2064</v>
      </c>
      <c r="B653" s="62" t="s">
        <v>972</v>
      </c>
      <c r="C653" s="62" t="s">
        <v>973</v>
      </c>
      <c r="D653" s="63">
        <v>45061</v>
      </c>
      <c r="E653" s="63">
        <v>46142</v>
      </c>
      <c r="F653" s="62" t="s">
        <v>350</v>
      </c>
      <c r="G653" s="62" t="s">
        <v>350</v>
      </c>
      <c r="H653" s="62" t="s">
        <v>638</v>
      </c>
      <c r="I653" s="64">
        <v>239583</v>
      </c>
      <c r="J653" s="62" t="s">
        <v>645</v>
      </c>
      <c r="K653" s="62" t="s">
        <v>638</v>
      </c>
      <c r="L653" s="65" t="s">
        <v>306</v>
      </c>
      <c r="M653" s="62" t="s">
        <v>825</v>
      </c>
      <c r="N653" s="62" t="s">
        <v>370</v>
      </c>
      <c r="O653" s="62" t="s">
        <v>371</v>
      </c>
      <c r="P653" s="62" t="s">
        <v>2421</v>
      </c>
      <c r="Q653" s="66" t="s">
        <v>1972</v>
      </c>
    </row>
    <row r="654" spans="1:17" x14ac:dyDescent="0.3">
      <c r="A654" s="61" t="s">
        <v>2065</v>
      </c>
      <c r="B654" s="62" t="s">
        <v>974</v>
      </c>
      <c r="C654" s="62" t="s">
        <v>975</v>
      </c>
      <c r="D654" s="63">
        <v>45147</v>
      </c>
      <c r="E654" s="63">
        <v>46427</v>
      </c>
      <c r="F654" s="62" t="s">
        <v>1921</v>
      </c>
      <c r="G654" s="62" t="s">
        <v>304</v>
      </c>
      <c r="H654" s="62" t="s">
        <v>467</v>
      </c>
      <c r="I654" s="64">
        <v>82387.25</v>
      </c>
      <c r="J654" s="62" t="s">
        <v>468</v>
      </c>
      <c r="K654" s="62" t="s">
        <v>467</v>
      </c>
      <c r="L654" s="65" t="s">
        <v>2423</v>
      </c>
      <c r="M654" s="62" t="s">
        <v>424</v>
      </c>
      <c r="N654" s="62" t="s">
        <v>370</v>
      </c>
      <c r="O654" s="62" t="s">
        <v>371</v>
      </c>
      <c r="P654" s="62" t="s">
        <v>2421</v>
      </c>
      <c r="Q654" s="66" t="s">
        <v>1989</v>
      </c>
    </row>
    <row r="655" spans="1:17" x14ac:dyDescent="0.3">
      <c r="A655" s="61" t="s">
        <v>2065</v>
      </c>
      <c r="B655" s="62" t="s">
        <v>974</v>
      </c>
      <c r="C655" s="62" t="s">
        <v>975</v>
      </c>
      <c r="D655" s="63">
        <v>45147</v>
      </c>
      <c r="E655" s="63">
        <v>46427</v>
      </c>
      <c r="F655" s="62" t="s">
        <v>1922</v>
      </c>
      <c r="G655" s="62" t="s">
        <v>304</v>
      </c>
      <c r="H655" s="62" t="s">
        <v>467</v>
      </c>
      <c r="I655" s="64">
        <v>82387.25</v>
      </c>
      <c r="J655" s="62" t="s">
        <v>468</v>
      </c>
      <c r="K655" s="62" t="s">
        <v>467</v>
      </c>
      <c r="L655" s="65" t="s">
        <v>2423</v>
      </c>
      <c r="M655" s="62" t="s">
        <v>424</v>
      </c>
      <c r="N655" s="62" t="s">
        <v>370</v>
      </c>
      <c r="O655" s="62" t="s">
        <v>371</v>
      </c>
      <c r="P655" s="62" t="s">
        <v>2421</v>
      </c>
      <c r="Q655" s="66" t="s">
        <v>1989</v>
      </c>
    </row>
    <row r="656" spans="1:17" x14ac:dyDescent="0.3">
      <c r="A656" s="61" t="s">
        <v>2065</v>
      </c>
      <c r="B656" s="62" t="s">
        <v>974</v>
      </c>
      <c r="C656" s="62" t="s">
        <v>975</v>
      </c>
      <c r="D656" s="63">
        <v>45147</v>
      </c>
      <c r="E656" s="63">
        <v>46427</v>
      </c>
      <c r="F656" s="62" t="s">
        <v>1936</v>
      </c>
      <c r="G656" s="62" t="s">
        <v>304</v>
      </c>
      <c r="H656" s="62" t="s">
        <v>467</v>
      </c>
      <c r="I656" s="64">
        <v>82387.25</v>
      </c>
      <c r="J656" s="62" t="s">
        <v>468</v>
      </c>
      <c r="K656" s="62" t="s">
        <v>467</v>
      </c>
      <c r="L656" s="65" t="s">
        <v>306</v>
      </c>
      <c r="M656" s="62" t="s">
        <v>424</v>
      </c>
      <c r="N656" s="62" t="s">
        <v>370</v>
      </c>
      <c r="O656" s="62" t="s">
        <v>371</v>
      </c>
      <c r="P656" s="62" t="s">
        <v>2421</v>
      </c>
      <c r="Q656" s="66" t="s">
        <v>1989</v>
      </c>
    </row>
    <row r="657" spans="1:17" x14ac:dyDescent="0.3">
      <c r="A657" s="61" t="s">
        <v>2065</v>
      </c>
      <c r="B657" s="62" t="s">
        <v>974</v>
      </c>
      <c r="C657" s="62" t="s">
        <v>975</v>
      </c>
      <c r="D657" s="63">
        <v>45147</v>
      </c>
      <c r="E657" s="63">
        <v>46427</v>
      </c>
      <c r="F657" s="62" t="s">
        <v>287</v>
      </c>
      <c r="G657" s="62" t="s">
        <v>304</v>
      </c>
      <c r="H657" s="62" t="s">
        <v>467</v>
      </c>
      <c r="I657" s="64">
        <v>82387.25</v>
      </c>
      <c r="J657" s="62" t="s">
        <v>468</v>
      </c>
      <c r="K657" s="62" t="s">
        <v>467</v>
      </c>
      <c r="L657" s="65" t="s">
        <v>306</v>
      </c>
      <c r="M657" s="62" t="s">
        <v>424</v>
      </c>
      <c r="N657" s="62" t="s">
        <v>370</v>
      </c>
      <c r="O657" s="62" t="s">
        <v>371</v>
      </c>
      <c r="P657" s="62" t="s">
        <v>2421</v>
      </c>
      <c r="Q657" s="66" t="s">
        <v>1989</v>
      </c>
    </row>
    <row r="658" spans="1:17" x14ac:dyDescent="0.3">
      <c r="A658" s="61" t="s">
        <v>2066</v>
      </c>
      <c r="B658" s="62" t="s">
        <v>976</v>
      </c>
      <c r="C658" s="62" t="s">
        <v>977</v>
      </c>
      <c r="D658" s="63">
        <v>45149</v>
      </c>
      <c r="E658" s="63">
        <v>46064</v>
      </c>
      <c r="F658" s="62" t="s">
        <v>350</v>
      </c>
      <c r="G658" s="62" t="s">
        <v>350</v>
      </c>
      <c r="H658" s="62" t="s">
        <v>467</v>
      </c>
      <c r="I658" s="64">
        <v>274324</v>
      </c>
      <c r="J658" s="62" t="s">
        <v>468</v>
      </c>
      <c r="K658" s="62" t="s">
        <v>467</v>
      </c>
      <c r="L658" s="65" t="s">
        <v>306</v>
      </c>
      <c r="M658" s="62" t="s">
        <v>424</v>
      </c>
      <c r="N658" s="62" t="s">
        <v>639</v>
      </c>
      <c r="O658" s="62" t="s">
        <v>371</v>
      </c>
      <c r="P658" s="62" t="s">
        <v>2421</v>
      </c>
      <c r="Q658" s="66" t="s">
        <v>1970</v>
      </c>
    </row>
    <row r="659" spans="1:17" x14ac:dyDescent="0.3">
      <c r="A659" s="61" t="s">
        <v>2067</v>
      </c>
      <c r="B659" s="62" t="s">
        <v>978</v>
      </c>
      <c r="C659" s="62" t="s">
        <v>979</v>
      </c>
      <c r="D659" s="63">
        <v>45082</v>
      </c>
      <c r="E659" s="63">
        <v>48735</v>
      </c>
      <c r="F659" s="62" t="s">
        <v>350</v>
      </c>
      <c r="G659" s="62" t="s">
        <v>350</v>
      </c>
      <c r="H659" s="62" t="s">
        <v>2427</v>
      </c>
      <c r="I659" s="64">
        <v>8300000</v>
      </c>
      <c r="J659" s="62" t="s">
        <v>980</v>
      </c>
      <c r="K659" s="62" t="s">
        <v>377</v>
      </c>
      <c r="L659" s="65" t="s">
        <v>306</v>
      </c>
      <c r="M659" s="62" t="s">
        <v>1518</v>
      </c>
      <c r="N659" s="62" t="s">
        <v>743</v>
      </c>
      <c r="O659" s="62" t="s">
        <v>744</v>
      </c>
      <c r="P659" s="62" t="s">
        <v>2421</v>
      </c>
      <c r="Q659" s="66" t="s">
        <v>1971</v>
      </c>
    </row>
    <row r="660" spans="1:17" x14ac:dyDescent="0.3">
      <c r="A660" s="61" t="s">
        <v>2068</v>
      </c>
      <c r="B660" s="62" t="s">
        <v>981</v>
      </c>
      <c r="C660" s="62" t="s">
        <v>982</v>
      </c>
      <c r="D660" s="63">
        <v>45131</v>
      </c>
      <c r="E660" s="63">
        <v>47090</v>
      </c>
      <c r="F660" s="62" t="s">
        <v>1941</v>
      </c>
      <c r="G660" s="62" t="s">
        <v>304</v>
      </c>
      <c r="H660" s="62" t="s">
        <v>2426</v>
      </c>
      <c r="I660" s="64">
        <v>5000000</v>
      </c>
      <c r="J660" s="62" t="s">
        <v>983</v>
      </c>
      <c r="K660" s="62" t="s">
        <v>1957</v>
      </c>
      <c r="L660" s="65" t="s">
        <v>306</v>
      </c>
      <c r="M660" s="62" t="s">
        <v>1518</v>
      </c>
      <c r="N660" s="62" t="s">
        <v>684</v>
      </c>
      <c r="O660" s="62" t="s">
        <v>459</v>
      </c>
      <c r="P660" s="62" t="s">
        <v>2421</v>
      </c>
      <c r="Q660" s="66" t="s">
        <v>1971</v>
      </c>
    </row>
    <row r="661" spans="1:17" x14ac:dyDescent="0.3">
      <c r="A661" s="61" t="s">
        <v>2069</v>
      </c>
      <c r="B661" s="62" t="s">
        <v>986</v>
      </c>
      <c r="C661" s="62" t="s">
        <v>987</v>
      </c>
      <c r="D661" s="63">
        <v>45154</v>
      </c>
      <c r="E661" s="63">
        <v>46320</v>
      </c>
      <c r="F661" s="62" t="s">
        <v>287</v>
      </c>
      <c r="G661" s="62" t="s">
        <v>589</v>
      </c>
      <c r="H661" s="62" t="s">
        <v>467</v>
      </c>
      <c r="I661" s="64">
        <v>109080</v>
      </c>
      <c r="J661" s="62" t="s">
        <v>468</v>
      </c>
      <c r="K661" s="62" t="s">
        <v>467</v>
      </c>
      <c r="L661" s="65" t="s">
        <v>306</v>
      </c>
      <c r="M661" s="62" t="s">
        <v>424</v>
      </c>
      <c r="N661" s="62" t="s">
        <v>551</v>
      </c>
      <c r="O661" s="62" t="s">
        <v>428</v>
      </c>
      <c r="P661" s="62" t="s">
        <v>2421</v>
      </c>
      <c r="Q661" s="66" t="s">
        <v>1970</v>
      </c>
    </row>
    <row r="662" spans="1:17" x14ac:dyDescent="0.3">
      <c r="A662" s="61" t="s">
        <v>2069</v>
      </c>
      <c r="B662" s="62" t="s">
        <v>986</v>
      </c>
      <c r="C662" s="62" t="s">
        <v>987</v>
      </c>
      <c r="D662" s="63">
        <v>45154</v>
      </c>
      <c r="E662" s="63">
        <v>46320</v>
      </c>
      <c r="F662" s="62" t="s">
        <v>287</v>
      </c>
      <c r="G662" s="62" t="s">
        <v>396</v>
      </c>
      <c r="H662" s="62" t="s">
        <v>467</v>
      </c>
      <c r="I662" s="64">
        <v>109080</v>
      </c>
      <c r="J662" s="62" t="s">
        <v>468</v>
      </c>
      <c r="K662" s="62" t="s">
        <v>467</v>
      </c>
      <c r="L662" s="65" t="s">
        <v>306</v>
      </c>
      <c r="M662" s="62" t="s">
        <v>424</v>
      </c>
      <c r="N662" s="62" t="s">
        <v>551</v>
      </c>
      <c r="O662" s="62" t="s">
        <v>428</v>
      </c>
      <c r="P662" s="62" t="s">
        <v>2421</v>
      </c>
      <c r="Q662" s="66" t="s">
        <v>1970</v>
      </c>
    </row>
    <row r="663" spans="1:17" x14ac:dyDescent="0.3">
      <c r="A663" s="61" t="s">
        <v>2070</v>
      </c>
      <c r="B663" s="62" t="s">
        <v>988</v>
      </c>
      <c r="C663" s="62" t="s">
        <v>989</v>
      </c>
      <c r="D663" s="63">
        <v>45108</v>
      </c>
      <c r="E663" s="63">
        <v>46203</v>
      </c>
      <c r="F663" s="62" t="s">
        <v>1944</v>
      </c>
      <c r="G663" s="62" t="s">
        <v>990</v>
      </c>
      <c r="H663" s="62" t="s">
        <v>2427</v>
      </c>
      <c r="I663" s="64">
        <v>27700.6</v>
      </c>
      <c r="J663" s="62" t="s">
        <v>2454</v>
      </c>
      <c r="K663" s="62" t="s">
        <v>2433</v>
      </c>
      <c r="L663" s="65" t="s">
        <v>2423</v>
      </c>
      <c r="M663" s="62" t="s">
        <v>1518</v>
      </c>
      <c r="N663" s="62" t="s">
        <v>991</v>
      </c>
      <c r="O663" s="62" t="s">
        <v>426</v>
      </c>
      <c r="P663" s="62" t="s">
        <v>2421</v>
      </c>
      <c r="Q663" s="66" t="s">
        <v>1971</v>
      </c>
    </row>
    <row r="664" spans="1:17" x14ac:dyDescent="0.3">
      <c r="A664" s="61" t="s">
        <v>2070</v>
      </c>
      <c r="B664" s="62" t="s">
        <v>988</v>
      </c>
      <c r="C664" s="62" t="s">
        <v>989</v>
      </c>
      <c r="D664" s="63">
        <v>45108</v>
      </c>
      <c r="E664" s="63">
        <v>46203</v>
      </c>
      <c r="F664" s="62" t="s">
        <v>1944</v>
      </c>
      <c r="G664" s="62" t="s">
        <v>992</v>
      </c>
      <c r="H664" s="62" t="s">
        <v>2427</v>
      </c>
      <c r="I664" s="64">
        <v>27700.6</v>
      </c>
      <c r="J664" s="62" t="s">
        <v>2454</v>
      </c>
      <c r="K664" s="62" t="s">
        <v>2433</v>
      </c>
      <c r="L664" s="65" t="s">
        <v>2423</v>
      </c>
      <c r="M664" s="62" t="s">
        <v>1518</v>
      </c>
      <c r="N664" s="62" t="s">
        <v>991</v>
      </c>
      <c r="O664" s="62" t="s">
        <v>426</v>
      </c>
      <c r="P664" s="62" t="s">
        <v>2421</v>
      </c>
      <c r="Q664" s="66" t="s">
        <v>1971</v>
      </c>
    </row>
    <row r="665" spans="1:17" x14ac:dyDescent="0.3">
      <c r="A665" s="61" t="s">
        <v>2070</v>
      </c>
      <c r="B665" s="62" t="s">
        <v>988</v>
      </c>
      <c r="C665" s="62" t="s">
        <v>989</v>
      </c>
      <c r="D665" s="63">
        <v>45108</v>
      </c>
      <c r="E665" s="63">
        <v>46203</v>
      </c>
      <c r="F665" s="62" t="s">
        <v>1944</v>
      </c>
      <c r="G665" s="62" t="s">
        <v>518</v>
      </c>
      <c r="H665" s="62" t="s">
        <v>2427</v>
      </c>
      <c r="I665" s="64">
        <v>27700.6</v>
      </c>
      <c r="J665" s="62" t="s">
        <v>2454</v>
      </c>
      <c r="K665" s="62" t="s">
        <v>2433</v>
      </c>
      <c r="L665" s="65" t="s">
        <v>2423</v>
      </c>
      <c r="M665" s="62" t="s">
        <v>1518</v>
      </c>
      <c r="N665" s="62" t="s">
        <v>991</v>
      </c>
      <c r="O665" s="62" t="s">
        <v>426</v>
      </c>
      <c r="P665" s="62" t="s">
        <v>2421</v>
      </c>
      <c r="Q665" s="66" t="s">
        <v>1971</v>
      </c>
    </row>
    <row r="666" spans="1:17" x14ac:dyDescent="0.3">
      <c r="A666" s="61" t="s">
        <v>2070</v>
      </c>
      <c r="B666" s="62" t="s">
        <v>988</v>
      </c>
      <c r="C666" s="62" t="s">
        <v>989</v>
      </c>
      <c r="D666" s="63">
        <v>45108</v>
      </c>
      <c r="E666" s="63">
        <v>46203</v>
      </c>
      <c r="F666" s="62" t="s">
        <v>1944</v>
      </c>
      <c r="G666" s="62" t="s">
        <v>726</v>
      </c>
      <c r="H666" s="62" t="s">
        <v>2427</v>
      </c>
      <c r="I666" s="64">
        <v>27700.6</v>
      </c>
      <c r="J666" s="62" t="s">
        <v>2454</v>
      </c>
      <c r="K666" s="62" t="s">
        <v>2433</v>
      </c>
      <c r="L666" s="65" t="s">
        <v>2423</v>
      </c>
      <c r="M666" s="62" t="s">
        <v>1518</v>
      </c>
      <c r="N666" s="62" t="s">
        <v>991</v>
      </c>
      <c r="O666" s="62" t="s">
        <v>426</v>
      </c>
      <c r="P666" s="62" t="s">
        <v>2421</v>
      </c>
      <c r="Q666" s="66" t="s">
        <v>1971</v>
      </c>
    </row>
    <row r="667" spans="1:17" x14ac:dyDescent="0.3">
      <c r="A667" s="61" t="s">
        <v>2070</v>
      </c>
      <c r="B667" s="62" t="s">
        <v>988</v>
      </c>
      <c r="C667" s="62" t="s">
        <v>989</v>
      </c>
      <c r="D667" s="63">
        <v>45108</v>
      </c>
      <c r="E667" s="63">
        <v>46203</v>
      </c>
      <c r="F667" s="62" t="s">
        <v>1944</v>
      </c>
      <c r="G667" s="62" t="s">
        <v>681</v>
      </c>
      <c r="H667" s="62" t="s">
        <v>2427</v>
      </c>
      <c r="I667" s="64">
        <v>27700.6</v>
      </c>
      <c r="J667" s="62" t="s">
        <v>2454</v>
      </c>
      <c r="K667" s="62" t="s">
        <v>2433</v>
      </c>
      <c r="L667" s="65" t="s">
        <v>2423</v>
      </c>
      <c r="M667" s="62" t="s">
        <v>1518</v>
      </c>
      <c r="N667" s="62" t="s">
        <v>991</v>
      </c>
      <c r="O667" s="62" t="s">
        <v>426</v>
      </c>
      <c r="P667" s="62" t="s">
        <v>2421</v>
      </c>
      <c r="Q667" s="66" t="s">
        <v>1971</v>
      </c>
    </row>
    <row r="668" spans="1:17" x14ac:dyDescent="0.3">
      <c r="A668" s="61" t="s">
        <v>2070</v>
      </c>
      <c r="B668" s="62" t="s">
        <v>988</v>
      </c>
      <c r="C668" s="62" t="s">
        <v>989</v>
      </c>
      <c r="D668" s="63">
        <v>45108</v>
      </c>
      <c r="E668" s="63">
        <v>46203</v>
      </c>
      <c r="F668" s="62" t="s">
        <v>1944</v>
      </c>
      <c r="G668" s="62" t="s">
        <v>990</v>
      </c>
      <c r="H668" s="62" t="s">
        <v>2426</v>
      </c>
      <c r="I668" s="64">
        <v>200000</v>
      </c>
      <c r="J668" s="62" t="s">
        <v>993</v>
      </c>
      <c r="K668" s="62" t="s">
        <v>2433</v>
      </c>
      <c r="L668" s="65" t="s">
        <v>2423</v>
      </c>
      <c r="M668" s="62" t="s">
        <v>1518</v>
      </c>
      <c r="N668" s="62" t="s">
        <v>991</v>
      </c>
      <c r="O668" s="62" t="s">
        <v>426</v>
      </c>
      <c r="P668" s="62" t="s">
        <v>2421</v>
      </c>
      <c r="Q668" s="66" t="s">
        <v>1971</v>
      </c>
    </row>
    <row r="669" spans="1:17" x14ac:dyDescent="0.3">
      <c r="A669" s="61" t="s">
        <v>2070</v>
      </c>
      <c r="B669" s="62" t="s">
        <v>988</v>
      </c>
      <c r="C669" s="62" t="s">
        <v>989</v>
      </c>
      <c r="D669" s="63">
        <v>45108</v>
      </c>
      <c r="E669" s="63">
        <v>46203</v>
      </c>
      <c r="F669" s="62" t="s">
        <v>1944</v>
      </c>
      <c r="G669" s="62" t="s">
        <v>992</v>
      </c>
      <c r="H669" s="62" t="s">
        <v>2426</v>
      </c>
      <c r="I669" s="64">
        <v>200000</v>
      </c>
      <c r="J669" s="62" t="s">
        <v>993</v>
      </c>
      <c r="K669" s="62" t="s">
        <v>2433</v>
      </c>
      <c r="L669" s="65" t="s">
        <v>2423</v>
      </c>
      <c r="M669" s="62" t="s">
        <v>1518</v>
      </c>
      <c r="N669" s="62" t="s">
        <v>991</v>
      </c>
      <c r="O669" s="62" t="s">
        <v>426</v>
      </c>
      <c r="P669" s="62" t="s">
        <v>2421</v>
      </c>
      <c r="Q669" s="66" t="s">
        <v>1971</v>
      </c>
    </row>
    <row r="670" spans="1:17" x14ac:dyDescent="0.3">
      <c r="A670" s="61" t="s">
        <v>2070</v>
      </c>
      <c r="B670" s="62" t="s">
        <v>988</v>
      </c>
      <c r="C670" s="62" t="s">
        <v>989</v>
      </c>
      <c r="D670" s="63">
        <v>45108</v>
      </c>
      <c r="E670" s="63">
        <v>46203</v>
      </c>
      <c r="F670" s="62" t="s">
        <v>1944</v>
      </c>
      <c r="G670" s="62" t="s">
        <v>518</v>
      </c>
      <c r="H670" s="62" t="s">
        <v>2426</v>
      </c>
      <c r="I670" s="64">
        <v>200000</v>
      </c>
      <c r="J670" s="62" t="s">
        <v>993</v>
      </c>
      <c r="K670" s="62" t="s">
        <v>2433</v>
      </c>
      <c r="L670" s="65" t="s">
        <v>2423</v>
      </c>
      <c r="M670" s="62" t="s">
        <v>1518</v>
      </c>
      <c r="N670" s="62" t="s">
        <v>991</v>
      </c>
      <c r="O670" s="62" t="s">
        <v>426</v>
      </c>
      <c r="P670" s="62" t="s">
        <v>2421</v>
      </c>
      <c r="Q670" s="66" t="s">
        <v>1971</v>
      </c>
    </row>
    <row r="671" spans="1:17" x14ac:dyDescent="0.3">
      <c r="A671" s="61" t="s">
        <v>2070</v>
      </c>
      <c r="B671" s="62" t="s">
        <v>988</v>
      </c>
      <c r="C671" s="62" t="s">
        <v>989</v>
      </c>
      <c r="D671" s="63">
        <v>45108</v>
      </c>
      <c r="E671" s="63">
        <v>46203</v>
      </c>
      <c r="F671" s="62" t="s">
        <v>1944</v>
      </c>
      <c r="G671" s="62" t="s">
        <v>726</v>
      </c>
      <c r="H671" s="62" t="s">
        <v>2426</v>
      </c>
      <c r="I671" s="64">
        <v>200000</v>
      </c>
      <c r="J671" s="62" t="s">
        <v>993</v>
      </c>
      <c r="K671" s="62" t="s">
        <v>2433</v>
      </c>
      <c r="L671" s="65" t="s">
        <v>2423</v>
      </c>
      <c r="M671" s="62" t="s">
        <v>1518</v>
      </c>
      <c r="N671" s="62" t="s">
        <v>991</v>
      </c>
      <c r="O671" s="62" t="s">
        <v>426</v>
      </c>
      <c r="P671" s="62" t="s">
        <v>2421</v>
      </c>
      <c r="Q671" s="66" t="s">
        <v>1971</v>
      </c>
    </row>
    <row r="672" spans="1:17" x14ac:dyDescent="0.3">
      <c r="A672" s="61" t="s">
        <v>2070</v>
      </c>
      <c r="B672" s="62" t="s">
        <v>988</v>
      </c>
      <c r="C672" s="62" t="s">
        <v>989</v>
      </c>
      <c r="D672" s="63">
        <v>45108</v>
      </c>
      <c r="E672" s="63">
        <v>46203</v>
      </c>
      <c r="F672" s="62" t="s">
        <v>1944</v>
      </c>
      <c r="G672" s="62" t="s">
        <v>681</v>
      </c>
      <c r="H672" s="62" t="s">
        <v>2426</v>
      </c>
      <c r="I672" s="64">
        <v>200000</v>
      </c>
      <c r="J672" s="62" t="s">
        <v>993</v>
      </c>
      <c r="K672" s="62" t="s">
        <v>2433</v>
      </c>
      <c r="L672" s="65" t="s">
        <v>306</v>
      </c>
      <c r="M672" s="62" t="s">
        <v>1518</v>
      </c>
      <c r="N672" s="62" t="s">
        <v>991</v>
      </c>
      <c r="O672" s="62" t="s">
        <v>426</v>
      </c>
      <c r="P672" s="62" t="s">
        <v>2421</v>
      </c>
      <c r="Q672" s="66" t="s">
        <v>1971</v>
      </c>
    </row>
    <row r="673" spans="1:17" x14ac:dyDescent="0.3">
      <c r="A673" s="61" t="s">
        <v>2071</v>
      </c>
      <c r="B673" s="62" t="s">
        <v>1000</v>
      </c>
      <c r="C673" s="62" t="s">
        <v>1001</v>
      </c>
      <c r="D673" s="63">
        <v>45148</v>
      </c>
      <c r="E673" s="63">
        <v>46032</v>
      </c>
      <c r="F673" s="62" t="s">
        <v>282</v>
      </c>
      <c r="G673" s="62" t="s">
        <v>304</v>
      </c>
      <c r="H673" s="62" t="s">
        <v>467</v>
      </c>
      <c r="I673" s="64">
        <v>64283.166666666701</v>
      </c>
      <c r="J673" s="62" t="s">
        <v>468</v>
      </c>
      <c r="K673" s="62" t="s">
        <v>467</v>
      </c>
      <c r="L673" s="65" t="s">
        <v>306</v>
      </c>
      <c r="M673" s="62" t="s">
        <v>424</v>
      </c>
      <c r="N673" s="62" t="s">
        <v>896</v>
      </c>
      <c r="O673" s="62" t="s">
        <v>428</v>
      </c>
      <c r="P673" s="62" t="s">
        <v>2421</v>
      </c>
      <c r="Q673" s="66" t="s">
        <v>1970</v>
      </c>
    </row>
    <row r="674" spans="1:17" x14ac:dyDescent="0.3">
      <c r="A674" s="61" t="s">
        <v>2071</v>
      </c>
      <c r="B674" s="62" t="s">
        <v>1000</v>
      </c>
      <c r="C674" s="62" t="s">
        <v>1001</v>
      </c>
      <c r="D674" s="63">
        <v>45148</v>
      </c>
      <c r="E674" s="63">
        <v>46032</v>
      </c>
      <c r="F674" s="62" t="s">
        <v>1935</v>
      </c>
      <c r="G674" s="62" t="s">
        <v>304</v>
      </c>
      <c r="H674" s="62" t="s">
        <v>467</v>
      </c>
      <c r="I674" s="64">
        <v>64283.166666666701</v>
      </c>
      <c r="J674" s="62" t="s">
        <v>468</v>
      </c>
      <c r="K674" s="62" t="s">
        <v>467</v>
      </c>
      <c r="L674" s="65" t="s">
        <v>306</v>
      </c>
      <c r="M674" s="62" t="s">
        <v>424</v>
      </c>
      <c r="N674" s="62" t="s">
        <v>896</v>
      </c>
      <c r="O674" s="62" t="s">
        <v>428</v>
      </c>
      <c r="P674" s="62" t="s">
        <v>2421</v>
      </c>
      <c r="Q674" s="66" t="s">
        <v>1970</v>
      </c>
    </row>
    <row r="675" spans="1:17" x14ac:dyDescent="0.3">
      <c r="A675" s="61" t="s">
        <v>2071</v>
      </c>
      <c r="B675" s="62" t="s">
        <v>1000</v>
      </c>
      <c r="C675" s="62" t="s">
        <v>1001</v>
      </c>
      <c r="D675" s="63">
        <v>45148</v>
      </c>
      <c r="E675" s="63">
        <v>46032</v>
      </c>
      <c r="F675" s="62" t="s">
        <v>286</v>
      </c>
      <c r="G675" s="62" t="s">
        <v>304</v>
      </c>
      <c r="H675" s="62" t="s">
        <v>467</v>
      </c>
      <c r="I675" s="64">
        <v>64283.166666666701</v>
      </c>
      <c r="J675" s="62" t="s">
        <v>468</v>
      </c>
      <c r="K675" s="62" t="s">
        <v>467</v>
      </c>
      <c r="L675" s="65" t="s">
        <v>306</v>
      </c>
      <c r="M675" s="62" t="s">
        <v>424</v>
      </c>
      <c r="N675" s="62" t="s">
        <v>896</v>
      </c>
      <c r="O675" s="62" t="s">
        <v>428</v>
      </c>
      <c r="P675" s="62" t="s">
        <v>2421</v>
      </c>
      <c r="Q675" s="66" t="s">
        <v>1970</v>
      </c>
    </row>
    <row r="676" spans="1:17" x14ac:dyDescent="0.3">
      <c r="A676" s="61" t="s">
        <v>2071</v>
      </c>
      <c r="B676" s="62" t="s">
        <v>1000</v>
      </c>
      <c r="C676" s="62" t="s">
        <v>1001</v>
      </c>
      <c r="D676" s="63">
        <v>45148</v>
      </c>
      <c r="E676" s="63">
        <v>46032</v>
      </c>
      <c r="F676" s="62" t="s">
        <v>1930</v>
      </c>
      <c r="G676" s="62" t="s">
        <v>304</v>
      </c>
      <c r="H676" s="62" t="s">
        <v>467</v>
      </c>
      <c r="I676" s="64">
        <v>64283.166666666701</v>
      </c>
      <c r="J676" s="62" t="s">
        <v>468</v>
      </c>
      <c r="K676" s="62" t="s">
        <v>467</v>
      </c>
      <c r="L676" s="65" t="s">
        <v>306</v>
      </c>
      <c r="M676" s="62" t="s">
        <v>424</v>
      </c>
      <c r="N676" s="62" t="s">
        <v>896</v>
      </c>
      <c r="O676" s="62" t="s">
        <v>428</v>
      </c>
      <c r="P676" s="62" t="s">
        <v>2421</v>
      </c>
      <c r="Q676" s="66" t="s">
        <v>1970</v>
      </c>
    </row>
    <row r="677" spans="1:17" x14ac:dyDescent="0.3">
      <c r="A677" s="61" t="s">
        <v>2071</v>
      </c>
      <c r="B677" s="62" t="s">
        <v>1000</v>
      </c>
      <c r="C677" s="62" t="s">
        <v>1001</v>
      </c>
      <c r="D677" s="63">
        <v>45148</v>
      </c>
      <c r="E677" s="63">
        <v>46032</v>
      </c>
      <c r="F677" s="62" t="s">
        <v>1959</v>
      </c>
      <c r="G677" s="62" t="s">
        <v>304</v>
      </c>
      <c r="H677" s="62" t="s">
        <v>467</v>
      </c>
      <c r="I677" s="64">
        <v>64283.166666666701</v>
      </c>
      <c r="J677" s="62" t="s">
        <v>468</v>
      </c>
      <c r="K677" s="62" t="s">
        <v>467</v>
      </c>
      <c r="L677" s="65" t="s">
        <v>306</v>
      </c>
      <c r="M677" s="62" t="s">
        <v>424</v>
      </c>
      <c r="N677" s="62" t="s">
        <v>896</v>
      </c>
      <c r="O677" s="62" t="s">
        <v>428</v>
      </c>
      <c r="P677" s="62" t="s">
        <v>2421</v>
      </c>
      <c r="Q677" s="66" t="s">
        <v>1970</v>
      </c>
    </row>
    <row r="678" spans="1:17" x14ac:dyDescent="0.3">
      <c r="A678" s="61" t="s">
        <v>2071</v>
      </c>
      <c r="B678" s="62" t="s">
        <v>1000</v>
      </c>
      <c r="C678" s="62" t="s">
        <v>1001</v>
      </c>
      <c r="D678" s="63">
        <v>45148</v>
      </c>
      <c r="E678" s="63">
        <v>46032</v>
      </c>
      <c r="F678" s="62" t="s">
        <v>1936</v>
      </c>
      <c r="G678" s="62" t="s">
        <v>304</v>
      </c>
      <c r="H678" s="62" t="s">
        <v>467</v>
      </c>
      <c r="I678" s="64">
        <v>64283.166666666701</v>
      </c>
      <c r="J678" s="62" t="s">
        <v>468</v>
      </c>
      <c r="K678" s="62" t="s">
        <v>467</v>
      </c>
      <c r="L678" s="65" t="s">
        <v>306</v>
      </c>
      <c r="M678" s="62" t="s">
        <v>424</v>
      </c>
      <c r="N678" s="62" t="s">
        <v>896</v>
      </c>
      <c r="O678" s="62" t="s">
        <v>428</v>
      </c>
      <c r="P678" s="62" t="s">
        <v>2421</v>
      </c>
      <c r="Q678" s="66" t="s">
        <v>1970</v>
      </c>
    </row>
    <row r="679" spans="1:17" x14ac:dyDescent="0.3">
      <c r="A679" s="61" t="s">
        <v>2071</v>
      </c>
      <c r="B679" s="62" t="s">
        <v>1000</v>
      </c>
      <c r="C679" s="62" t="s">
        <v>1001</v>
      </c>
      <c r="D679" s="63">
        <v>45148</v>
      </c>
      <c r="E679" s="63">
        <v>46032</v>
      </c>
      <c r="F679" s="62" t="s">
        <v>282</v>
      </c>
      <c r="G679" s="62" t="s">
        <v>304</v>
      </c>
      <c r="H679" s="62" t="s">
        <v>2427</v>
      </c>
      <c r="I679" s="64">
        <v>3729.3333333333298</v>
      </c>
      <c r="J679" s="62" t="s">
        <v>2455</v>
      </c>
      <c r="K679" s="62" t="s">
        <v>467</v>
      </c>
      <c r="L679" s="65" t="s">
        <v>306</v>
      </c>
      <c r="M679" s="62" t="s">
        <v>424</v>
      </c>
      <c r="N679" s="62" t="s">
        <v>896</v>
      </c>
      <c r="O679" s="62" t="s">
        <v>428</v>
      </c>
      <c r="P679" s="62" t="s">
        <v>2421</v>
      </c>
      <c r="Q679" s="66" t="s">
        <v>1970</v>
      </c>
    </row>
    <row r="680" spans="1:17" x14ac:dyDescent="0.3">
      <c r="A680" s="61" t="s">
        <v>2071</v>
      </c>
      <c r="B680" s="62" t="s">
        <v>1000</v>
      </c>
      <c r="C680" s="62" t="s">
        <v>1001</v>
      </c>
      <c r="D680" s="63">
        <v>45148</v>
      </c>
      <c r="E680" s="63">
        <v>46032</v>
      </c>
      <c r="F680" s="62" t="s">
        <v>1935</v>
      </c>
      <c r="G680" s="62" t="s">
        <v>304</v>
      </c>
      <c r="H680" s="62" t="s">
        <v>2427</v>
      </c>
      <c r="I680" s="64">
        <v>3729.3333333333298</v>
      </c>
      <c r="J680" s="62" t="s">
        <v>2455</v>
      </c>
      <c r="K680" s="62" t="s">
        <v>467</v>
      </c>
      <c r="L680" s="65" t="s">
        <v>306</v>
      </c>
      <c r="M680" s="62" t="s">
        <v>424</v>
      </c>
      <c r="N680" s="62" t="s">
        <v>896</v>
      </c>
      <c r="O680" s="62" t="s">
        <v>428</v>
      </c>
      <c r="P680" s="62" t="s">
        <v>2421</v>
      </c>
      <c r="Q680" s="66" t="s">
        <v>1970</v>
      </c>
    </row>
    <row r="681" spans="1:17" x14ac:dyDescent="0.3">
      <c r="A681" s="61" t="s">
        <v>2071</v>
      </c>
      <c r="B681" s="62" t="s">
        <v>1000</v>
      </c>
      <c r="C681" s="62" t="s">
        <v>1001</v>
      </c>
      <c r="D681" s="63">
        <v>45148</v>
      </c>
      <c r="E681" s="63">
        <v>46032</v>
      </c>
      <c r="F681" s="62" t="s">
        <v>286</v>
      </c>
      <c r="G681" s="62" t="s">
        <v>304</v>
      </c>
      <c r="H681" s="62" t="s">
        <v>2427</v>
      </c>
      <c r="I681" s="64">
        <v>3729.3333333333298</v>
      </c>
      <c r="J681" s="62" t="s">
        <v>2455</v>
      </c>
      <c r="K681" s="62" t="s">
        <v>467</v>
      </c>
      <c r="L681" s="65" t="s">
        <v>306</v>
      </c>
      <c r="M681" s="62" t="s">
        <v>424</v>
      </c>
      <c r="N681" s="62" t="s">
        <v>896</v>
      </c>
      <c r="O681" s="62" t="s">
        <v>428</v>
      </c>
      <c r="P681" s="62" t="s">
        <v>2421</v>
      </c>
      <c r="Q681" s="66" t="s">
        <v>1970</v>
      </c>
    </row>
    <row r="682" spans="1:17" x14ac:dyDescent="0.3">
      <c r="A682" s="61" t="s">
        <v>2071</v>
      </c>
      <c r="B682" s="62" t="s">
        <v>1000</v>
      </c>
      <c r="C682" s="62" t="s">
        <v>1001</v>
      </c>
      <c r="D682" s="63">
        <v>45148</v>
      </c>
      <c r="E682" s="63">
        <v>46032</v>
      </c>
      <c r="F682" s="62" t="s">
        <v>1930</v>
      </c>
      <c r="G682" s="62" t="s">
        <v>304</v>
      </c>
      <c r="H682" s="62" t="s">
        <v>2427</v>
      </c>
      <c r="I682" s="64">
        <v>3729.3333333333298</v>
      </c>
      <c r="J682" s="62" t="s">
        <v>2455</v>
      </c>
      <c r="K682" s="62" t="s">
        <v>467</v>
      </c>
      <c r="L682" s="65" t="s">
        <v>306</v>
      </c>
      <c r="M682" s="62" t="s">
        <v>424</v>
      </c>
      <c r="N682" s="62" t="s">
        <v>896</v>
      </c>
      <c r="O682" s="62" t="s">
        <v>428</v>
      </c>
      <c r="P682" s="62" t="s">
        <v>2421</v>
      </c>
      <c r="Q682" s="66" t="s">
        <v>1970</v>
      </c>
    </row>
    <row r="683" spans="1:17" x14ac:dyDescent="0.3">
      <c r="A683" s="61" t="s">
        <v>2071</v>
      </c>
      <c r="B683" s="62" t="s">
        <v>1000</v>
      </c>
      <c r="C683" s="62" t="s">
        <v>1001</v>
      </c>
      <c r="D683" s="63">
        <v>45148</v>
      </c>
      <c r="E683" s="63">
        <v>46032</v>
      </c>
      <c r="F683" s="62" t="s">
        <v>1959</v>
      </c>
      <c r="G683" s="62" t="s">
        <v>304</v>
      </c>
      <c r="H683" s="62" t="s">
        <v>2427</v>
      </c>
      <c r="I683" s="64">
        <v>3729.3333333333298</v>
      </c>
      <c r="J683" s="62" t="s">
        <v>2455</v>
      </c>
      <c r="K683" s="62" t="s">
        <v>467</v>
      </c>
      <c r="L683" s="65" t="s">
        <v>306</v>
      </c>
      <c r="M683" s="62" t="s">
        <v>424</v>
      </c>
      <c r="N683" s="62" t="s">
        <v>896</v>
      </c>
      <c r="O683" s="62" t="s">
        <v>428</v>
      </c>
      <c r="P683" s="62" t="s">
        <v>2421</v>
      </c>
      <c r="Q683" s="66" t="s">
        <v>1970</v>
      </c>
    </row>
    <row r="684" spans="1:17" x14ac:dyDescent="0.3">
      <c r="A684" s="61" t="s">
        <v>2071</v>
      </c>
      <c r="B684" s="62" t="s">
        <v>1000</v>
      </c>
      <c r="C684" s="62" t="s">
        <v>1001</v>
      </c>
      <c r="D684" s="63">
        <v>45148</v>
      </c>
      <c r="E684" s="63">
        <v>46032</v>
      </c>
      <c r="F684" s="62" t="s">
        <v>1936</v>
      </c>
      <c r="G684" s="62" t="s">
        <v>304</v>
      </c>
      <c r="H684" s="62" t="s">
        <v>2427</v>
      </c>
      <c r="I684" s="64">
        <v>3729.3333333333298</v>
      </c>
      <c r="J684" s="62" t="s">
        <v>2455</v>
      </c>
      <c r="K684" s="62" t="s">
        <v>467</v>
      </c>
      <c r="L684" s="65" t="s">
        <v>306</v>
      </c>
      <c r="M684" s="62" t="s">
        <v>424</v>
      </c>
      <c r="N684" s="62" t="s">
        <v>896</v>
      </c>
      <c r="O684" s="62" t="s">
        <v>428</v>
      </c>
      <c r="P684" s="62" t="s">
        <v>2421</v>
      </c>
      <c r="Q684" s="66" t="s">
        <v>1970</v>
      </c>
    </row>
    <row r="685" spans="1:17" x14ac:dyDescent="0.3">
      <c r="A685" s="61" t="s">
        <v>2072</v>
      </c>
      <c r="B685" s="62" t="s">
        <v>1002</v>
      </c>
      <c r="C685" s="62" t="s">
        <v>1003</v>
      </c>
      <c r="D685" s="63">
        <v>44972</v>
      </c>
      <c r="E685" s="63">
        <v>46433</v>
      </c>
      <c r="F685" s="62" t="s">
        <v>1916</v>
      </c>
      <c r="G685" s="62" t="s">
        <v>304</v>
      </c>
      <c r="H685" s="62" t="s">
        <v>373</v>
      </c>
      <c r="I685" s="64">
        <v>3929131.8</v>
      </c>
      <c r="J685" s="62" t="s">
        <v>373</v>
      </c>
      <c r="K685" s="62" t="s">
        <v>1693</v>
      </c>
      <c r="L685" s="65" t="s">
        <v>306</v>
      </c>
      <c r="M685" s="62" t="s">
        <v>1518</v>
      </c>
      <c r="N685" s="62" t="s">
        <v>458</v>
      </c>
      <c r="O685" s="62" t="s">
        <v>459</v>
      </c>
      <c r="P685" s="62" t="s">
        <v>2421</v>
      </c>
      <c r="Q685" s="66" t="s">
        <v>1971</v>
      </c>
    </row>
    <row r="686" spans="1:17" x14ac:dyDescent="0.3">
      <c r="A686" s="61" t="s">
        <v>2072</v>
      </c>
      <c r="B686" s="62" t="s">
        <v>1002</v>
      </c>
      <c r="C686" s="62" t="s">
        <v>1003</v>
      </c>
      <c r="D686" s="63">
        <v>44972</v>
      </c>
      <c r="E686" s="63">
        <v>46433</v>
      </c>
      <c r="F686" s="62" t="s">
        <v>1934</v>
      </c>
      <c r="G686" s="62" t="s">
        <v>304</v>
      </c>
      <c r="H686" s="62" t="s">
        <v>373</v>
      </c>
      <c r="I686" s="64">
        <v>3929131.8</v>
      </c>
      <c r="J686" s="62" t="s">
        <v>373</v>
      </c>
      <c r="K686" s="62" t="s">
        <v>1693</v>
      </c>
      <c r="L686" s="65" t="s">
        <v>306</v>
      </c>
      <c r="M686" s="62" t="s">
        <v>1518</v>
      </c>
      <c r="N686" s="62" t="s">
        <v>458</v>
      </c>
      <c r="O686" s="62" t="s">
        <v>459</v>
      </c>
      <c r="P686" s="62" t="s">
        <v>2421</v>
      </c>
      <c r="Q686" s="66" t="s">
        <v>1971</v>
      </c>
    </row>
    <row r="687" spans="1:17" x14ac:dyDescent="0.3">
      <c r="A687" s="61" t="s">
        <v>2072</v>
      </c>
      <c r="B687" s="62" t="s">
        <v>1002</v>
      </c>
      <c r="C687" s="62" t="s">
        <v>1003</v>
      </c>
      <c r="D687" s="63">
        <v>44972</v>
      </c>
      <c r="E687" s="63">
        <v>46433</v>
      </c>
      <c r="F687" s="62" t="s">
        <v>1958</v>
      </c>
      <c r="G687" s="62" t="s">
        <v>304</v>
      </c>
      <c r="H687" s="62" t="s">
        <v>373</v>
      </c>
      <c r="I687" s="64">
        <v>3929131.8</v>
      </c>
      <c r="J687" s="62" t="s">
        <v>373</v>
      </c>
      <c r="K687" s="62" t="s">
        <v>1693</v>
      </c>
      <c r="L687" s="65" t="s">
        <v>306</v>
      </c>
      <c r="M687" s="62" t="s">
        <v>1518</v>
      </c>
      <c r="N687" s="62" t="s">
        <v>458</v>
      </c>
      <c r="O687" s="62" t="s">
        <v>459</v>
      </c>
      <c r="P687" s="62" t="s">
        <v>2421</v>
      </c>
      <c r="Q687" s="66" t="s">
        <v>1971</v>
      </c>
    </row>
    <row r="688" spans="1:17" x14ac:dyDescent="0.3">
      <c r="A688" s="61" t="s">
        <v>2072</v>
      </c>
      <c r="B688" s="62" t="s">
        <v>1002</v>
      </c>
      <c r="C688" s="62" t="s">
        <v>1003</v>
      </c>
      <c r="D688" s="63">
        <v>44972</v>
      </c>
      <c r="E688" s="63">
        <v>46433</v>
      </c>
      <c r="F688" s="62" t="s">
        <v>1938</v>
      </c>
      <c r="G688" s="62" t="s">
        <v>304</v>
      </c>
      <c r="H688" s="62" t="s">
        <v>373</v>
      </c>
      <c r="I688" s="64">
        <v>3929131.8</v>
      </c>
      <c r="J688" s="62" t="s">
        <v>373</v>
      </c>
      <c r="K688" s="62" t="s">
        <v>1693</v>
      </c>
      <c r="L688" s="65" t="s">
        <v>306</v>
      </c>
      <c r="M688" s="62" t="s">
        <v>1518</v>
      </c>
      <c r="N688" s="62" t="s">
        <v>458</v>
      </c>
      <c r="O688" s="62" t="s">
        <v>459</v>
      </c>
      <c r="P688" s="62" t="s">
        <v>2421</v>
      </c>
      <c r="Q688" s="66" t="s">
        <v>1971</v>
      </c>
    </row>
    <row r="689" spans="1:17" x14ac:dyDescent="0.3">
      <c r="A689" s="61" t="s">
        <v>2072</v>
      </c>
      <c r="B689" s="62" t="s">
        <v>1002</v>
      </c>
      <c r="C689" s="62" t="s">
        <v>1003</v>
      </c>
      <c r="D689" s="63">
        <v>44972</v>
      </c>
      <c r="E689" s="63">
        <v>46433</v>
      </c>
      <c r="F689" s="62" t="s">
        <v>1963</v>
      </c>
      <c r="G689" s="62" t="s">
        <v>304</v>
      </c>
      <c r="H689" s="62" t="s">
        <v>373</v>
      </c>
      <c r="I689" s="64">
        <v>3929131.8</v>
      </c>
      <c r="J689" s="62" t="s">
        <v>373</v>
      </c>
      <c r="K689" s="62" t="s">
        <v>1693</v>
      </c>
      <c r="L689" s="65" t="s">
        <v>306</v>
      </c>
      <c r="M689" s="62" t="s">
        <v>1518</v>
      </c>
      <c r="N689" s="62" t="s">
        <v>458</v>
      </c>
      <c r="O689" s="62" t="s">
        <v>459</v>
      </c>
      <c r="P689" s="62" t="s">
        <v>2421</v>
      </c>
      <c r="Q689" s="66" t="s">
        <v>1971</v>
      </c>
    </row>
    <row r="690" spans="1:17" x14ac:dyDescent="0.3">
      <c r="A690" s="61" t="s">
        <v>2073</v>
      </c>
      <c r="B690" s="62" t="s">
        <v>1004</v>
      </c>
      <c r="C690" s="62" t="s">
        <v>1005</v>
      </c>
      <c r="D690" s="63">
        <v>45170</v>
      </c>
      <c r="E690" s="63">
        <v>46568</v>
      </c>
      <c r="F690" s="62" t="s">
        <v>1931</v>
      </c>
      <c r="G690" s="62" t="s">
        <v>281</v>
      </c>
      <c r="H690" s="62" t="s">
        <v>489</v>
      </c>
      <c r="I690" s="64">
        <v>2226300</v>
      </c>
      <c r="J690" s="62" t="s">
        <v>549</v>
      </c>
      <c r="K690" s="62" t="s">
        <v>489</v>
      </c>
      <c r="L690" s="65" t="s">
        <v>306</v>
      </c>
      <c r="M690" s="62" t="s">
        <v>1518</v>
      </c>
      <c r="N690" s="62" t="s">
        <v>755</v>
      </c>
      <c r="O690" s="62" t="s">
        <v>365</v>
      </c>
      <c r="P690" s="62" t="s">
        <v>2421</v>
      </c>
      <c r="Q690" s="66" t="s">
        <v>1971</v>
      </c>
    </row>
    <row r="691" spans="1:17" x14ac:dyDescent="0.3">
      <c r="A691" s="61" t="s">
        <v>2074</v>
      </c>
      <c r="B691" s="62" t="s">
        <v>1006</v>
      </c>
      <c r="C691" s="62" t="s">
        <v>1007</v>
      </c>
      <c r="D691" s="63">
        <v>45121</v>
      </c>
      <c r="E691" s="63">
        <v>48774</v>
      </c>
      <c r="F691" s="62" t="s">
        <v>350</v>
      </c>
      <c r="G691" s="62" t="s">
        <v>304</v>
      </c>
      <c r="H691" s="62" t="s">
        <v>2427</v>
      </c>
      <c r="I691" s="64">
        <v>32777951</v>
      </c>
      <c r="J691" s="62" t="s">
        <v>980</v>
      </c>
      <c r="K691" s="62" t="s">
        <v>377</v>
      </c>
      <c r="L691" s="65" t="s">
        <v>306</v>
      </c>
      <c r="M691" s="62" t="s">
        <v>1518</v>
      </c>
      <c r="N691" s="62" t="s">
        <v>684</v>
      </c>
      <c r="O691" s="62" t="s">
        <v>459</v>
      </c>
      <c r="P691" s="62" t="s">
        <v>2421</v>
      </c>
      <c r="Q691" s="66" t="s">
        <v>1971</v>
      </c>
    </row>
    <row r="692" spans="1:17" x14ac:dyDescent="0.3">
      <c r="A692" s="61" t="s">
        <v>2075</v>
      </c>
      <c r="B692" s="62" t="s">
        <v>1008</v>
      </c>
      <c r="C692" s="62" t="s">
        <v>1009</v>
      </c>
      <c r="D692" s="63">
        <v>45148</v>
      </c>
      <c r="E692" s="63">
        <v>46793</v>
      </c>
      <c r="F692" s="62" t="s">
        <v>1945</v>
      </c>
      <c r="G692" s="62" t="s">
        <v>400</v>
      </c>
      <c r="H692" s="62" t="s">
        <v>467</v>
      </c>
      <c r="I692" s="64">
        <v>550998</v>
      </c>
      <c r="J692" s="62" t="s">
        <v>468</v>
      </c>
      <c r="K692" s="62" t="s">
        <v>467</v>
      </c>
      <c r="L692" s="65" t="s">
        <v>306</v>
      </c>
      <c r="M692" s="62" t="s">
        <v>825</v>
      </c>
      <c r="N692" s="62" t="s">
        <v>2424</v>
      </c>
      <c r="O692" s="62" t="s">
        <v>426</v>
      </c>
      <c r="P692" s="62" t="s">
        <v>2421</v>
      </c>
      <c r="Q692" s="66" t="s">
        <v>1976</v>
      </c>
    </row>
    <row r="693" spans="1:17" x14ac:dyDescent="0.3">
      <c r="A693" s="61" t="s">
        <v>2076</v>
      </c>
      <c r="B693" s="62" t="s">
        <v>1010</v>
      </c>
      <c r="C693" s="62" t="s">
        <v>1011</v>
      </c>
      <c r="D693" s="63">
        <v>45159</v>
      </c>
      <c r="E693" s="63">
        <v>46439</v>
      </c>
      <c r="F693" s="62" t="s">
        <v>1959</v>
      </c>
      <c r="G693" s="62" t="s">
        <v>578</v>
      </c>
      <c r="H693" s="62" t="s">
        <v>467</v>
      </c>
      <c r="I693" s="64">
        <v>217779</v>
      </c>
      <c r="J693" s="62" t="s">
        <v>468</v>
      </c>
      <c r="K693" s="62" t="s">
        <v>467</v>
      </c>
      <c r="L693" s="65" t="s">
        <v>306</v>
      </c>
      <c r="M693" s="62" t="s">
        <v>424</v>
      </c>
      <c r="N693" s="62" t="s">
        <v>940</v>
      </c>
      <c r="O693" s="62" t="s">
        <v>571</v>
      </c>
      <c r="P693" s="62" t="s">
        <v>2421</v>
      </c>
      <c r="Q693" s="66" t="s">
        <v>1966</v>
      </c>
    </row>
    <row r="694" spans="1:17" x14ac:dyDescent="0.3">
      <c r="A694" s="61" t="s">
        <v>2077</v>
      </c>
      <c r="B694" s="62" t="s">
        <v>1012</v>
      </c>
      <c r="C694" s="62" t="s">
        <v>1013</v>
      </c>
      <c r="D694" s="63">
        <v>45141</v>
      </c>
      <c r="E694" s="63">
        <v>46421</v>
      </c>
      <c r="F694" s="62" t="s">
        <v>1922</v>
      </c>
      <c r="G694" s="62" t="s">
        <v>304</v>
      </c>
      <c r="H694" s="62" t="s">
        <v>467</v>
      </c>
      <c r="I694" s="64">
        <v>164009.66666666701</v>
      </c>
      <c r="J694" s="62" t="s">
        <v>468</v>
      </c>
      <c r="K694" s="62" t="s">
        <v>467</v>
      </c>
      <c r="L694" s="65" t="s">
        <v>306</v>
      </c>
      <c r="M694" s="62" t="s">
        <v>825</v>
      </c>
      <c r="N694" s="62" t="s">
        <v>370</v>
      </c>
      <c r="O694" s="62" t="s">
        <v>371</v>
      </c>
      <c r="P694" s="62" t="s">
        <v>2421</v>
      </c>
      <c r="Q694" s="66" t="s">
        <v>1978</v>
      </c>
    </row>
    <row r="695" spans="1:17" x14ac:dyDescent="0.3">
      <c r="A695" s="61" t="s">
        <v>2077</v>
      </c>
      <c r="B695" s="62" t="s">
        <v>1012</v>
      </c>
      <c r="C695" s="62" t="s">
        <v>1013</v>
      </c>
      <c r="D695" s="63">
        <v>45141</v>
      </c>
      <c r="E695" s="63">
        <v>46421</v>
      </c>
      <c r="F695" s="62" t="s">
        <v>1959</v>
      </c>
      <c r="G695" s="62" t="s">
        <v>304</v>
      </c>
      <c r="H695" s="62" t="s">
        <v>467</v>
      </c>
      <c r="I695" s="64">
        <v>164009.66666666701</v>
      </c>
      <c r="J695" s="62" t="s">
        <v>468</v>
      </c>
      <c r="K695" s="62" t="s">
        <v>467</v>
      </c>
      <c r="L695" s="65" t="s">
        <v>306</v>
      </c>
      <c r="M695" s="62" t="s">
        <v>825</v>
      </c>
      <c r="N695" s="62" t="s">
        <v>370</v>
      </c>
      <c r="O695" s="62" t="s">
        <v>371</v>
      </c>
      <c r="P695" s="62" t="s">
        <v>2421</v>
      </c>
      <c r="Q695" s="66" t="s">
        <v>1978</v>
      </c>
    </row>
    <row r="696" spans="1:17" x14ac:dyDescent="0.3">
      <c r="A696" s="61" t="s">
        <v>2077</v>
      </c>
      <c r="B696" s="62" t="s">
        <v>1012</v>
      </c>
      <c r="C696" s="62" t="s">
        <v>1013</v>
      </c>
      <c r="D696" s="63">
        <v>45141</v>
      </c>
      <c r="E696" s="63">
        <v>46421</v>
      </c>
      <c r="F696" s="62" t="s">
        <v>287</v>
      </c>
      <c r="G696" s="62" t="s">
        <v>304</v>
      </c>
      <c r="H696" s="62" t="s">
        <v>467</v>
      </c>
      <c r="I696" s="64">
        <v>164009.66666666701</v>
      </c>
      <c r="J696" s="62" t="s">
        <v>468</v>
      </c>
      <c r="K696" s="62" t="s">
        <v>467</v>
      </c>
      <c r="L696" s="65" t="s">
        <v>306</v>
      </c>
      <c r="M696" s="62" t="s">
        <v>825</v>
      </c>
      <c r="N696" s="62" t="s">
        <v>370</v>
      </c>
      <c r="O696" s="62" t="s">
        <v>371</v>
      </c>
      <c r="P696" s="62" t="s">
        <v>2421</v>
      </c>
      <c r="Q696" s="66" t="s">
        <v>1978</v>
      </c>
    </row>
    <row r="697" spans="1:17" x14ac:dyDescent="0.3">
      <c r="A697" s="61" t="s">
        <v>2078</v>
      </c>
      <c r="B697" s="62" t="s">
        <v>1015</v>
      </c>
      <c r="C697" s="62" t="s">
        <v>1016</v>
      </c>
      <c r="D697" s="63">
        <v>45121</v>
      </c>
      <c r="E697" s="63">
        <v>48774</v>
      </c>
      <c r="F697" s="62" t="s">
        <v>350</v>
      </c>
      <c r="G697" s="62" t="s">
        <v>350</v>
      </c>
      <c r="H697" s="62" t="s">
        <v>2422</v>
      </c>
      <c r="I697" s="64">
        <v>42974559</v>
      </c>
      <c r="J697" s="62" t="s">
        <v>432</v>
      </c>
      <c r="K697" s="62" t="s">
        <v>345</v>
      </c>
      <c r="L697" s="65" t="s">
        <v>353</v>
      </c>
      <c r="M697" s="62" t="s">
        <v>1518</v>
      </c>
      <c r="N697" s="62" t="s">
        <v>684</v>
      </c>
      <c r="O697" s="62" t="s">
        <v>459</v>
      </c>
      <c r="P697" s="62" t="s">
        <v>2421</v>
      </c>
      <c r="Q697" s="66" t="s">
        <v>1971</v>
      </c>
    </row>
    <row r="698" spans="1:17" x14ac:dyDescent="0.3">
      <c r="A698" s="61" t="s">
        <v>2079</v>
      </c>
      <c r="B698" s="62" t="s">
        <v>1017</v>
      </c>
      <c r="C698" s="62" t="s">
        <v>1018</v>
      </c>
      <c r="D698" s="63">
        <v>45218</v>
      </c>
      <c r="E698" s="63">
        <v>46130</v>
      </c>
      <c r="F698" s="62" t="s">
        <v>1959</v>
      </c>
      <c r="G698" s="62" t="s">
        <v>304</v>
      </c>
      <c r="H698" s="62" t="s">
        <v>467</v>
      </c>
      <c r="I698" s="64">
        <v>132124.75</v>
      </c>
      <c r="J698" s="62" t="s">
        <v>468</v>
      </c>
      <c r="K698" s="62" t="s">
        <v>467</v>
      </c>
      <c r="L698" s="65" t="s">
        <v>306</v>
      </c>
      <c r="M698" s="62" t="s">
        <v>424</v>
      </c>
      <c r="N698" s="62" t="s">
        <v>416</v>
      </c>
      <c r="O698" s="62" t="s">
        <v>417</v>
      </c>
      <c r="P698" s="62" t="s">
        <v>2421</v>
      </c>
      <c r="Q698" s="66" t="s">
        <v>2021</v>
      </c>
    </row>
    <row r="699" spans="1:17" x14ac:dyDescent="0.3">
      <c r="A699" s="61" t="s">
        <v>2079</v>
      </c>
      <c r="B699" s="62" t="s">
        <v>1017</v>
      </c>
      <c r="C699" s="62" t="s">
        <v>1018</v>
      </c>
      <c r="D699" s="63">
        <v>45218</v>
      </c>
      <c r="E699" s="63">
        <v>46130</v>
      </c>
      <c r="F699" s="62" t="s">
        <v>1936</v>
      </c>
      <c r="G699" s="62" t="s">
        <v>304</v>
      </c>
      <c r="H699" s="62" t="s">
        <v>467</v>
      </c>
      <c r="I699" s="64">
        <v>132124.75</v>
      </c>
      <c r="J699" s="62" t="s">
        <v>468</v>
      </c>
      <c r="K699" s="62" t="s">
        <v>467</v>
      </c>
      <c r="L699" s="65" t="s">
        <v>306</v>
      </c>
      <c r="M699" s="62" t="s">
        <v>424</v>
      </c>
      <c r="N699" s="62" t="s">
        <v>416</v>
      </c>
      <c r="O699" s="62" t="s">
        <v>417</v>
      </c>
      <c r="P699" s="62" t="s">
        <v>2421</v>
      </c>
      <c r="Q699" s="66" t="s">
        <v>2021</v>
      </c>
    </row>
    <row r="700" spans="1:17" x14ac:dyDescent="0.3">
      <c r="A700" s="61" t="s">
        <v>2079</v>
      </c>
      <c r="B700" s="62" t="s">
        <v>1017</v>
      </c>
      <c r="C700" s="62" t="s">
        <v>1018</v>
      </c>
      <c r="D700" s="63">
        <v>45218</v>
      </c>
      <c r="E700" s="63">
        <v>46130</v>
      </c>
      <c r="F700" s="62" t="s">
        <v>287</v>
      </c>
      <c r="G700" s="62" t="s">
        <v>304</v>
      </c>
      <c r="H700" s="62" t="s">
        <v>467</v>
      </c>
      <c r="I700" s="64">
        <v>132124.75</v>
      </c>
      <c r="J700" s="62" t="s">
        <v>468</v>
      </c>
      <c r="K700" s="62" t="s">
        <v>467</v>
      </c>
      <c r="L700" s="65" t="s">
        <v>306</v>
      </c>
      <c r="M700" s="62" t="s">
        <v>424</v>
      </c>
      <c r="N700" s="62" t="s">
        <v>416</v>
      </c>
      <c r="O700" s="62" t="s">
        <v>417</v>
      </c>
      <c r="P700" s="62" t="s">
        <v>2421</v>
      </c>
      <c r="Q700" s="66" t="s">
        <v>2021</v>
      </c>
    </row>
    <row r="701" spans="1:17" x14ac:dyDescent="0.3">
      <c r="A701" s="61" t="s">
        <v>2079</v>
      </c>
      <c r="B701" s="62" t="s">
        <v>1017</v>
      </c>
      <c r="C701" s="62" t="s">
        <v>1018</v>
      </c>
      <c r="D701" s="63">
        <v>45218</v>
      </c>
      <c r="E701" s="63">
        <v>46130</v>
      </c>
      <c r="F701" s="62" t="s">
        <v>1945</v>
      </c>
      <c r="G701" s="62" t="s">
        <v>304</v>
      </c>
      <c r="H701" s="62" t="s">
        <v>467</v>
      </c>
      <c r="I701" s="64">
        <v>132124.75</v>
      </c>
      <c r="J701" s="62" t="s">
        <v>468</v>
      </c>
      <c r="K701" s="62" t="s">
        <v>467</v>
      </c>
      <c r="L701" s="65" t="s">
        <v>306</v>
      </c>
      <c r="M701" s="62" t="s">
        <v>424</v>
      </c>
      <c r="N701" s="62" t="s">
        <v>416</v>
      </c>
      <c r="O701" s="62" t="s">
        <v>417</v>
      </c>
      <c r="P701" s="62" t="s">
        <v>2421</v>
      </c>
      <c r="Q701" s="66" t="s">
        <v>2021</v>
      </c>
    </row>
    <row r="702" spans="1:17" x14ac:dyDescent="0.3">
      <c r="A702" s="61" t="s">
        <v>2080</v>
      </c>
      <c r="B702" s="62" t="s">
        <v>1019</v>
      </c>
      <c r="C702" s="62" t="s">
        <v>1020</v>
      </c>
      <c r="D702" s="63">
        <v>45177</v>
      </c>
      <c r="E702" s="63">
        <v>46273</v>
      </c>
      <c r="F702" s="62" t="s">
        <v>1922</v>
      </c>
      <c r="G702" s="62" t="s">
        <v>349</v>
      </c>
      <c r="H702" s="62" t="s">
        <v>467</v>
      </c>
      <c r="I702" s="64">
        <v>26789.833333333299</v>
      </c>
      <c r="J702" s="62" t="s">
        <v>468</v>
      </c>
      <c r="K702" s="62" t="s">
        <v>467</v>
      </c>
      <c r="L702" s="65" t="s">
        <v>306</v>
      </c>
      <c r="M702" s="62" t="s">
        <v>424</v>
      </c>
      <c r="N702" s="62" t="s">
        <v>639</v>
      </c>
      <c r="O702" s="62" t="s">
        <v>371</v>
      </c>
      <c r="P702" s="62" t="s">
        <v>2421</v>
      </c>
      <c r="Q702" s="66" t="s">
        <v>1970</v>
      </c>
    </row>
    <row r="703" spans="1:17" x14ac:dyDescent="0.3">
      <c r="A703" s="61" t="s">
        <v>2080</v>
      </c>
      <c r="B703" s="62" t="s">
        <v>1019</v>
      </c>
      <c r="C703" s="62" t="s">
        <v>1020</v>
      </c>
      <c r="D703" s="63">
        <v>45177</v>
      </c>
      <c r="E703" s="63">
        <v>46273</v>
      </c>
      <c r="F703" s="62" t="s">
        <v>1922</v>
      </c>
      <c r="G703" s="62" t="s">
        <v>387</v>
      </c>
      <c r="H703" s="62" t="s">
        <v>467</v>
      </c>
      <c r="I703" s="64">
        <v>26789.833333333299</v>
      </c>
      <c r="J703" s="62" t="s">
        <v>468</v>
      </c>
      <c r="K703" s="62" t="s">
        <v>467</v>
      </c>
      <c r="L703" s="65" t="s">
        <v>306</v>
      </c>
      <c r="M703" s="62" t="s">
        <v>424</v>
      </c>
      <c r="N703" s="62" t="s">
        <v>639</v>
      </c>
      <c r="O703" s="62" t="s">
        <v>371</v>
      </c>
      <c r="P703" s="62" t="s">
        <v>2421</v>
      </c>
      <c r="Q703" s="66" t="s">
        <v>1970</v>
      </c>
    </row>
    <row r="704" spans="1:17" x14ac:dyDescent="0.3">
      <c r="A704" s="61" t="s">
        <v>2080</v>
      </c>
      <c r="B704" s="62" t="s">
        <v>1019</v>
      </c>
      <c r="C704" s="62" t="s">
        <v>1020</v>
      </c>
      <c r="D704" s="63">
        <v>45177</v>
      </c>
      <c r="E704" s="63">
        <v>46273</v>
      </c>
      <c r="F704" s="62" t="s">
        <v>287</v>
      </c>
      <c r="G704" s="62" t="s">
        <v>396</v>
      </c>
      <c r="H704" s="62" t="s">
        <v>467</v>
      </c>
      <c r="I704" s="64">
        <v>53579.666666666701</v>
      </c>
      <c r="J704" s="62" t="s">
        <v>468</v>
      </c>
      <c r="K704" s="62" t="s">
        <v>467</v>
      </c>
      <c r="L704" s="65" t="s">
        <v>306</v>
      </c>
      <c r="M704" s="62" t="s">
        <v>424</v>
      </c>
      <c r="N704" s="62" t="s">
        <v>639</v>
      </c>
      <c r="O704" s="62" t="s">
        <v>371</v>
      </c>
      <c r="P704" s="62" t="s">
        <v>2421</v>
      </c>
      <c r="Q704" s="66" t="s">
        <v>1970</v>
      </c>
    </row>
    <row r="705" spans="1:17" x14ac:dyDescent="0.3">
      <c r="A705" s="61" t="s">
        <v>2080</v>
      </c>
      <c r="B705" s="62" t="s">
        <v>1019</v>
      </c>
      <c r="C705" s="62" t="s">
        <v>1020</v>
      </c>
      <c r="D705" s="63">
        <v>45177</v>
      </c>
      <c r="E705" s="63">
        <v>46273</v>
      </c>
      <c r="F705" s="62" t="s">
        <v>1945</v>
      </c>
      <c r="G705" s="62" t="s">
        <v>400</v>
      </c>
      <c r="H705" s="62" t="s">
        <v>467</v>
      </c>
      <c r="I705" s="64">
        <v>53579.666666666701</v>
      </c>
      <c r="J705" s="62" t="s">
        <v>468</v>
      </c>
      <c r="K705" s="62" t="s">
        <v>467</v>
      </c>
      <c r="L705" s="65" t="s">
        <v>306</v>
      </c>
      <c r="M705" s="62" t="s">
        <v>424</v>
      </c>
      <c r="N705" s="62" t="s">
        <v>639</v>
      </c>
      <c r="O705" s="62" t="s">
        <v>371</v>
      </c>
      <c r="P705" s="62" t="s">
        <v>2421</v>
      </c>
      <c r="Q705" s="66" t="s">
        <v>1970</v>
      </c>
    </row>
    <row r="706" spans="1:17" x14ac:dyDescent="0.3">
      <c r="A706" s="61" t="s">
        <v>2081</v>
      </c>
      <c r="B706" s="62" t="s">
        <v>1022</v>
      </c>
      <c r="C706" s="62" t="s">
        <v>1023</v>
      </c>
      <c r="D706" s="63">
        <v>45219</v>
      </c>
      <c r="E706" s="63">
        <v>46132</v>
      </c>
      <c r="F706" s="62" t="s">
        <v>1936</v>
      </c>
      <c r="G706" s="62" t="s">
        <v>411</v>
      </c>
      <c r="H706" s="62" t="s">
        <v>467</v>
      </c>
      <c r="I706" s="64">
        <v>211799.5</v>
      </c>
      <c r="J706" s="62" t="s">
        <v>468</v>
      </c>
      <c r="K706" s="62" t="s">
        <v>467</v>
      </c>
      <c r="L706" s="65" t="s">
        <v>306</v>
      </c>
      <c r="M706" s="62" t="s">
        <v>424</v>
      </c>
      <c r="N706" s="62" t="s">
        <v>842</v>
      </c>
      <c r="O706" s="62" t="s">
        <v>375</v>
      </c>
      <c r="P706" s="62" t="s">
        <v>2421</v>
      </c>
      <c r="Q706" s="66" t="s">
        <v>1968</v>
      </c>
    </row>
    <row r="707" spans="1:17" x14ac:dyDescent="0.3">
      <c r="A707" s="61" t="s">
        <v>2081</v>
      </c>
      <c r="B707" s="62" t="s">
        <v>1022</v>
      </c>
      <c r="C707" s="62" t="s">
        <v>1023</v>
      </c>
      <c r="D707" s="63">
        <v>45219</v>
      </c>
      <c r="E707" s="63">
        <v>46132</v>
      </c>
      <c r="F707" s="62" t="s">
        <v>1936</v>
      </c>
      <c r="G707" s="62" t="s">
        <v>605</v>
      </c>
      <c r="H707" s="62" t="s">
        <v>467</v>
      </c>
      <c r="I707" s="64">
        <v>211799.5</v>
      </c>
      <c r="J707" s="62" t="s">
        <v>468</v>
      </c>
      <c r="K707" s="62" t="s">
        <v>467</v>
      </c>
      <c r="L707" s="65" t="s">
        <v>306</v>
      </c>
      <c r="M707" s="62" t="s">
        <v>424</v>
      </c>
      <c r="N707" s="62" t="s">
        <v>842</v>
      </c>
      <c r="O707" s="62" t="s">
        <v>375</v>
      </c>
      <c r="P707" s="62" t="s">
        <v>2421</v>
      </c>
      <c r="Q707" s="66" t="s">
        <v>1968</v>
      </c>
    </row>
    <row r="708" spans="1:17" x14ac:dyDescent="0.3">
      <c r="A708" s="61" t="s">
        <v>2082</v>
      </c>
      <c r="B708" s="62" t="s">
        <v>1024</v>
      </c>
      <c r="C708" s="62" t="s">
        <v>1025</v>
      </c>
      <c r="D708" s="63">
        <v>45200</v>
      </c>
      <c r="E708" s="63">
        <v>46295</v>
      </c>
      <c r="F708" s="62" t="s">
        <v>350</v>
      </c>
      <c r="G708" s="62" t="s">
        <v>350</v>
      </c>
      <c r="H708" s="62" t="s">
        <v>2426</v>
      </c>
      <c r="I708" s="64">
        <v>3364043</v>
      </c>
      <c r="J708" s="62" t="s">
        <v>1026</v>
      </c>
      <c r="K708" s="62" t="s">
        <v>377</v>
      </c>
      <c r="L708" s="65" t="s">
        <v>306</v>
      </c>
      <c r="M708" s="62" t="s">
        <v>1518</v>
      </c>
      <c r="N708" s="62" t="s">
        <v>684</v>
      </c>
      <c r="O708" s="62" t="s">
        <v>459</v>
      </c>
      <c r="P708" s="62" t="s">
        <v>2421</v>
      </c>
      <c r="Q708" s="66" t="s">
        <v>1971</v>
      </c>
    </row>
    <row r="709" spans="1:17" x14ac:dyDescent="0.3">
      <c r="A709" s="61" t="s">
        <v>2083</v>
      </c>
      <c r="B709" s="62" t="s">
        <v>1027</v>
      </c>
      <c r="C709" s="62" t="s">
        <v>1028</v>
      </c>
      <c r="D709" s="63">
        <v>45229</v>
      </c>
      <c r="E709" s="63">
        <v>46873</v>
      </c>
      <c r="F709" s="62" t="s">
        <v>1930</v>
      </c>
      <c r="G709" s="62" t="s">
        <v>721</v>
      </c>
      <c r="H709" s="62" t="s">
        <v>467</v>
      </c>
      <c r="I709" s="64">
        <v>94526.866666666698</v>
      </c>
      <c r="J709" s="62" t="s">
        <v>468</v>
      </c>
      <c r="K709" s="62" t="s">
        <v>467</v>
      </c>
      <c r="L709" s="65" t="s">
        <v>306</v>
      </c>
      <c r="M709" s="62" t="s">
        <v>424</v>
      </c>
      <c r="N709" s="62" t="s">
        <v>579</v>
      </c>
      <c r="O709" s="62" t="s">
        <v>428</v>
      </c>
      <c r="P709" s="62" t="s">
        <v>2421</v>
      </c>
      <c r="Q709" s="66" t="s">
        <v>1970</v>
      </c>
    </row>
    <row r="710" spans="1:17" x14ac:dyDescent="0.3">
      <c r="A710" s="61" t="s">
        <v>2083</v>
      </c>
      <c r="B710" s="62" t="s">
        <v>1027</v>
      </c>
      <c r="C710" s="62" t="s">
        <v>1028</v>
      </c>
      <c r="D710" s="63">
        <v>45229</v>
      </c>
      <c r="E710" s="63">
        <v>46873</v>
      </c>
      <c r="F710" s="62" t="s">
        <v>1930</v>
      </c>
      <c r="G710" s="62" t="s">
        <v>723</v>
      </c>
      <c r="H710" s="62" t="s">
        <v>467</v>
      </c>
      <c r="I710" s="64">
        <v>94526.866666666698</v>
      </c>
      <c r="J710" s="62" t="s">
        <v>468</v>
      </c>
      <c r="K710" s="62" t="s">
        <v>467</v>
      </c>
      <c r="L710" s="65" t="s">
        <v>306</v>
      </c>
      <c r="M710" s="62" t="s">
        <v>424</v>
      </c>
      <c r="N710" s="62" t="s">
        <v>579</v>
      </c>
      <c r="O710" s="62" t="s">
        <v>428</v>
      </c>
      <c r="P710" s="62" t="s">
        <v>2421</v>
      </c>
      <c r="Q710" s="66" t="s">
        <v>1970</v>
      </c>
    </row>
    <row r="711" spans="1:17" x14ac:dyDescent="0.3">
      <c r="A711" s="61" t="s">
        <v>2083</v>
      </c>
      <c r="B711" s="62" t="s">
        <v>1027</v>
      </c>
      <c r="C711" s="62" t="s">
        <v>1028</v>
      </c>
      <c r="D711" s="63">
        <v>45229</v>
      </c>
      <c r="E711" s="63">
        <v>46873</v>
      </c>
      <c r="F711" s="62" t="s">
        <v>1930</v>
      </c>
      <c r="G711" s="62" t="s">
        <v>546</v>
      </c>
      <c r="H711" s="62" t="s">
        <v>467</v>
      </c>
      <c r="I711" s="64">
        <v>94526.866666666698</v>
      </c>
      <c r="J711" s="62" t="s">
        <v>468</v>
      </c>
      <c r="K711" s="62" t="s">
        <v>467</v>
      </c>
      <c r="L711" s="65" t="s">
        <v>306</v>
      </c>
      <c r="M711" s="62" t="s">
        <v>424</v>
      </c>
      <c r="N711" s="62" t="s">
        <v>579</v>
      </c>
      <c r="O711" s="62" t="s">
        <v>428</v>
      </c>
      <c r="P711" s="62" t="s">
        <v>2421</v>
      </c>
      <c r="Q711" s="66" t="s">
        <v>1970</v>
      </c>
    </row>
    <row r="712" spans="1:17" x14ac:dyDescent="0.3">
      <c r="A712" s="61" t="s">
        <v>2083</v>
      </c>
      <c r="B712" s="62" t="s">
        <v>1027</v>
      </c>
      <c r="C712" s="62" t="s">
        <v>1028</v>
      </c>
      <c r="D712" s="63">
        <v>45229</v>
      </c>
      <c r="E712" s="63">
        <v>46873</v>
      </c>
      <c r="F712" s="62" t="s">
        <v>1921</v>
      </c>
      <c r="G712" s="62" t="s">
        <v>559</v>
      </c>
      <c r="H712" s="62" t="s">
        <v>467</v>
      </c>
      <c r="I712" s="64">
        <v>141790.29999999999</v>
      </c>
      <c r="J712" s="62" t="s">
        <v>468</v>
      </c>
      <c r="K712" s="62" t="s">
        <v>467</v>
      </c>
      <c r="L712" s="65" t="s">
        <v>306</v>
      </c>
      <c r="M712" s="62" t="s">
        <v>424</v>
      </c>
      <c r="N712" s="62" t="s">
        <v>579</v>
      </c>
      <c r="O712" s="62" t="s">
        <v>428</v>
      </c>
      <c r="P712" s="62" t="s">
        <v>2421</v>
      </c>
      <c r="Q712" s="66" t="s">
        <v>1970</v>
      </c>
    </row>
    <row r="713" spans="1:17" x14ac:dyDescent="0.3">
      <c r="A713" s="61" t="s">
        <v>2083</v>
      </c>
      <c r="B713" s="62" t="s">
        <v>1027</v>
      </c>
      <c r="C713" s="62" t="s">
        <v>1028</v>
      </c>
      <c r="D713" s="63">
        <v>45229</v>
      </c>
      <c r="E713" s="63">
        <v>46873</v>
      </c>
      <c r="F713" s="62" t="s">
        <v>1921</v>
      </c>
      <c r="G713" s="62" t="s">
        <v>487</v>
      </c>
      <c r="H713" s="62" t="s">
        <v>467</v>
      </c>
      <c r="I713" s="64">
        <v>141790.29999999999</v>
      </c>
      <c r="J713" s="62" t="s">
        <v>468</v>
      </c>
      <c r="K713" s="62" t="s">
        <v>467</v>
      </c>
      <c r="L713" s="65" t="s">
        <v>306</v>
      </c>
      <c r="M713" s="62" t="s">
        <v>424</v>
      </c>
      <c r="N713" s="62" t="s">
        <v>579</v>
      </c>
      <c r="O713" s="62" t="s">
        <v>428</v>
      </c>
      <c r="P713" s="62" t="s">
        <v>2421</v>
      </c>
      <c r="Q713" s="66" t="s">
        <v>1970</v>
      </c>
    </row>
    <row r="714" spans="1:17" x14ac:dyDescent="0.3">
      <c r="A714" s="61" t="s">
        <v>2083</v>
      </c>
      <c r="B714" s="62" t="s">
        <v>1027</v>
      </c>
      <c r="C714" s="62" t="s">
        <v>1028</v>
      </c>
      <c r="D714" s="63">
        <v>45229</v>
      </c>
      <c r="E714" s="63">
        <v>46873</v>
      </c>
      <c r="F714" s="62" t="s">
        <v>1922</v>
      </c>
      <c r="G714" s="62" t="s">
        <v>349</v>
      </c>
      <c r="H714" s="62" t="s">
        <v>467</v>
      </c>
      <c r="I714" s="64">
        <v>141790.29999999999</v>
      </c>
      <c r="J714" s="62" t="s">
        <v>468</v>
      </c>
      <c r="K714" s="62" t="s">
        <v>467</v>
      </c>
      <c r="L714" s="65" t="s">
        <v>306</v>
      </c>
      <c r="M714" s="62" t="s">
        <v>424</v>
      </c>
      <c r="N714" s="62" t="s">
        <v>579</v>
      </c>
      <c r="O714" s="62" t="s">
        <v>428</v>
      </c>
      <c r="P714" s="62" t="s">
        <v>2421</v>
      </c>
      <c r="Q714" s="66" t="s">
        <v>1970</v>
      </c>
    </row>
    <row r="715" spans="1:17" x14ac:dyDescent="0.3">
      <c r="A715" s="61" t="s">
        <v>2083</v>
      </c>
      <c r="B715" s="62" t="s">
        <v>1027</v>
      </c>
      <c r="C715" s="62" t="s">
        <v>1028</v>
      </c>
      <c r="D715" s="63">
        <v>45229</v>
      </c>
      <c r="E715" s="63">
        <v>46873</v>
      </c>
      <c r="F715" s="62" t="s">
        <v>1922</v>
      </c>
      <c r="G715" s="62" t="s">
        <v>553</v>
      </c>
      <c r="H715" s="62" t="s">
        <v>467</v>
      </c>
      <c r="I715" s="64">
        <v>141790.29999999999</v>
      </c>
      <c r="J715" s="62" t="s">
        <v>468</v>
      </c>
      <c r="K715" s="62" t="s">
        <v>467</v>
      </c>
      <c r="L715" s="65" t="s">
        <v>306</v>
      </c>
      <c r="M715" s="62" t="s">
        <v>424</v>
      </c>
      <c r="N715" s="62" t="s">
        <v>579</v>
      </c>
      <c r="O715" s="62" t="s">
        <v>428</v>
      </c>
      <c r="P715" s="62" t="s">
        <v>2421</v>
      </c>
      <c r="Q715" s="66" t="s">
        <v>1970</v>
      </c>
    </row>
    <row r="716" spans="1:17" x14ac:dyDescent="0.3">
      <c r="A716" s="61" t="s">
        <v>2083</v>
      </c>
      <c r="B716" s="62" t="s">
        <v>1027</v>
      </c>
      <c r="C716" s="62" t="s">
        <v>1028</v>
      </c>
      <c r="D716" s="63">
        <v>45229</v>
      </c>
      <c r="E716" s="63">
        <v>46873</v>
      </c>
      <c r="F716" s="62" t="s">
        <v>1936</v>
      </c>
      <c r="G716" s="62" t="s">
        <v>730</v>
      </c>
      <c r="H716" s="62" t="s">
        <v>467</v>
      </c>
      <c r="I716" s="64">
        <v>141790.29999999999</v>
      </c>
      <c r="J716" s="62" t="s">
        <v>468</v>
      </c>
      <c r="K716" s="62" t="s">
        <v>467</v>
      </c>
      <c r="L716" s="65" t="s">
        <v>306</v>
      </c>
      <c r="M716" s="62" t="s">
        <v>424</v>
      </c>
      <c r="N716" s="62" t="s">
        <v>579</v>
      </c>
      <c r="O716" s="62" t="s">
        <v>428</v>
      </c>
      <c r="P716" s="62" t="s">
        <v>2421</v>
      </c>
      <c r="Q716" s="66" t="s">
        <v>1970</v>
      </c>
    </row>
    <row r="717" spans="1:17" x14ac:dyDescent="0.3">
      <c r="A717" s="61" t="s">
        <v>2083</v>
      </c>
      <c r="B717" s="62" t="s">
        <v>1027</v>
      </c>
      <c r="C717" s="62" t="s">
        <v>1028</v>
      </c>
      <c r="D717" s="63">
        <v>45229</v>
      </c>
      <c r="E717" s="63">
        <v>46873</v>
      </c>
      <c r="F717" s="62" t="s">
        <v>1936</v>
      </c>
      <c r="G717" s="62" t="s">
        <v>547</v>
      </c>
      <c r="H717" s="62" t="s">
        <v>467</v>
      </c>
      <c r="I717" s="64">
        <v>141790.29999999999</v>
      </c>
      <c r="J717" s="62" t="s">
        <v>468</v>
      </c>
      <c r="K717" s="62" t="s">
        <v>467</v>
      </c>
      <c r="L717" s="65" t="s">
        <v>306</v>
      </c>
      <c r="M717" s="62" t="s">
        <v>424</v>
      </c>
      <c r="N717" s="62" t="s">
        <v>579</v>
      </c>
      <c r="O717" s="62" t="s">
        <v>428</v>
      </c>
      <c r="P717" s="62" t="s">
        <v>2421</v>
      </c>
      <c r="Q717" s="66" t="s">
        <v>1970</v>
      </c>
    </row>
    <row r="718" spans="1:17" x14ac:dyDescent="0.3">
      <c r="A718" s="61" t="s">
        <v>2083</v>
      </c>
      <c r="B718" s="62" t="s">
        <v>1027</v>
      </c>
      <c r="C718" s="62" t="s">
        <v>1028</v>
      </c>
      <c r="D718" s="63">
        <v>45229</v>
      </c>
      <c r="E718" s="63">
        <v>46873</v>
      </c>
      <c r="F718" s="62" t="s">
        <v>287</v>
      </c>
      <c r="G718" s="62" t="s">
        <v>390</v>
      </c>
      <c r="H718" s="62" t="s">
        <v>467</v>
      </c>
      <c r="I718" s="64">
        <v>141790.29999999999</v>
      </c>
      <c r="J718" s="62" t="s">
        <v>468</v>
      </c>
      <c r="K718" s="62" t="s">
        <v>467</v>
      </c>
      <c r="L718" s="65" t="s">
        <v>306</v>
      </c>
      <c r="M718" s="62" t="s">
        <v>424</v>
      </c>
      <c r="N718" s="62" t="s">
        <v>579</v>
      </c>
      <c r="O718" s="62" t="s">
        <v>428</v>
      </c>
      <c r="P718" s="62" t="s">
        <v>2421</v>
      </c>
      <c r="Q718" s="66" t="s">
        <v>1970</v>
      </c>
    </row>
    <row r="719" spans="1:17" x14ac:dyDescent="0.3">
      <c r="A719" s="61" t="s">
        <v>2083</v>
      </c>
      <c r="B719" s="62" t="s">
        <v>1027</v>
      </c>
      <c r="C719" s="62" t="s">
        <v>1028</v>
      </c>
      <c r="D719" s="63">
        <v>45229</v>
      </c>
      <c r="E719" s="63">
        <v>46873</v>
      </c>
      <c r="F719" s="62" t="s">
        <v>287</v>
      </c>
      <c r="G719" s="62" t="s">
        <v>554</v>
      </c>
      <c r="H719" s="62" t="s">
        <v>467</v>
      </c>
      <c r="I719" s="64">
        <v>141790.29999999999</v>
      </c>
      <c r="J719" s="62" t="s">
        <v>468</v>
      </c>
      <c r="K719" s="62" t="s">
        <v>467</v>
      </c>
      <c r="L719" s="65" t="s">
        <v>306</v>
      </c>
      <c r="M719" s="62" t="s">
        <v>424</v>
      </c>
      <c r="N719" s="62" t="s">
        <v>579</v>
      </c>
      <c r="O719" s="62" t="s">
        <v>428</v>
      </c>
      <c r="P719" s="62" t="s">
        <v>2421</v>
      </c>
      <c r="Q719" s="66" t="s">
        <v>1970</v>
      </c>
    </row>
    <row r="720" spans="1:17" x14ac:dyDescent="0.3">
      <c r="A720" s="61" t="s">
        <v>2456</v>
      </c>
      <c r="B720" s="62" t="s">
        <v>2457</v>
      </c>
      <c r="C720" s="62" t="s">
        <v>2458</v>
      </c>
      <c r="D720" s="63">
        <v>45170</v>
      </c>
      <c r="E720" s="63">
        <v>46265</v>
      </c>
      <c r="F720" s="62" t="s">
        <v>350</v>
      </c>
      <c r="G720" s="62" t="s">
        <v>304</v>
      </c>
      <c r="H720" s="62" t="s">
        <v>2427</v>
      </c>
      <c r="I720" s="64">
        <v>1911632.78</v>
      </c>
      <c r="J720" s="62" t="s">
        <v>2447</v>
      </c>
      <c r="K720" s="62" t="s">
        <v>2433</v>
      </c>
      <c r="L720" s="65"/>
      <c r="M720" s="62" t="s">
        <v>424</v>
      </c>
      <c r="N720" s="62" t="s">
        <v>603</v>
      </c>
      <c r="O720" s="62" t="s">
        <v>371</v>
      </c>
      <c r="P720" s="62" t="s">
        <v>2421</v>
      </c>
      <c r="Q720" s="66" t="s">
        <v>1970</v>
      </c>
    </row>
    <row r="721" spans="1:17" x14ac:dyDescent="0.3">
      <c r="A721" s="61" t="s">
        <v>2084</v>
      </c>
      <c r="B721" s="62" t="s">
        <v>1029</v>
      </c>
      <c r="C721" s="62" t="s">
        <v>1030</v>
      </c>
      <c r="D721" s="63">
        <v>45236</v>
      </c>
      <c r="E721" s="63">
        <v>46209</v>
      </c>
      <c r="F721" s="62" t="s">
        <v>350</v>
      </c>
      <c r="G721" s="62" t="s">
        <v>304</v>
      </c>
      <c r="H721" s="62" t="s">
        <v>467</v>
      </c>
      <c r="I721" s="64">
        <v>123578</v>
      </c>
      <c r="J721" s="62" t="s">
        <v>468</v>
      </c>
      <c r="K721" s="62" t="s">
        <v>467</v>
      </c>
      <c r="L721" s="65"/>
      <c r="M721" s="62" t="s">
        <v>424</v>
      </c>
      <c r="N721" s="62" t="s">
        <v>639</v>
      </c>
      <c r="O721" s="62" t="s">
        <v>371</v>
      </c>
      <c r="P721" s="62" t="s">
        <v>2421</v>
      </c>
      <c r="Q721" s="66" t="s">
        <v>1970</v>
      </c>
    </row>
    <row r="722" spans="1:17" x14ac:dyDescent="0.3">
      <c r="A722" s="61" t="s">
        <v>2085</v>
      </c>
      <c r="B722" s="62" t="s">
        <v>1031</v>
      </c>
      <c r="C722" s="62" t="s">
        <v>1032</v>
      </c>
      <c r="D722" s="63">
        <v>45078</v>
      </c>
      <c r="E722" s="63">
        <v>46174</v>
      </c>
      <c r="F722" s="62" t="s">
        <v>1958</v>
      </c>
      <c r="G722" s="62" t="s">
        <v>328</v>
      </c>
      <c r="H722" s="62" t="s">
        <v>373</v>
      </c>
      <c r="I722" s="64">
        <v>181694.285714286</v>
      </c>
      <c r="J722" s="62" t="s">
        <v>373</v>
      </c>
      <c r="K722" s="62" t="s">
        <v>1693</v>
      </c>
      <c r="L722" s="65"/>
      <c r="M722" s="62" t="s">
        <v>424</v>
      </c>
      <c r="N722" s="62" t="s">
        <v>896</v>
      </c>
      <c r="O722" s="62" t="s">
        <v>428</v>
      </c>
      <c r="P722" s="62" t="s">
        <v>2421</v>
      </c>
      <c r="Q722" s="66" t="s">
        <v>2021</v>
      </c>
    </row>
    <row r="723" spans="1:17" x14ac:dyDescent="0.3">
      <c r="A723" s="61" t="s">
        <v>2085</v>
      </c>
      <c r="B723" s="62" t="s">
        <v>1031</v>
      </c>
      <c r="C723" s="62" t="s">
        <v>1032</v>
      </c>
      <c r="D723" s="63">
        <v>45078</v>
      </c>
      <c r="E723" s="63">
        <v>46174</v>
      </c>
      <c r="F723" s="62" t="s">
        <v>1958</v>
      </c>
      <c r="G723" s="62" t="s">
        <v>329</v>
      </c>
      <c r="H723" s="62" t="s">
        <v>373</v>
      </c>
      <c r="I723" s="64">
        <v>181694.285714286</v>
      </c>
      <c r="J723" s="62" t="s">
        <v>373</v>
      </c>
      <c r="K723" s="62" t="s">
        <v>1693</v>
      </c>
      <c r="L723" s="65"/>
      <c r="M723" s="62" t="s">
        <v>424</v>
      </c>
      <c r="N723" s="62" t="s">
        <v>896</v>
      </c>
      <c r="O723" s="62" t="s">
        <v>428</v>
      </c>
      <c r="P723" s="62" t="s">
        <v>2421</v>
      </c>
      <c r="Q723" s="66" t="s">
        <v>2021</v>
      </c>
    </row>
    <row r="724" spans="1:17" x14ac:dyDescent="0.3">
      <c r="A724" s="61" t="s">
        <v>2085</v>
      </c>
      <c r="B724" s="62" t="s">
        <v>1031</v>
      </c>
      <c r="C724" s="62" t="s">
        <v>1032</v>
      </c>
      <c r="D724" s="63">
        <v>45078</v>
      </c>
      <c r="E724" s="63">
        <v>46174</v>
      </c>
      <c r="F724" s="62" t="s">
        <v>1958</v>
      </c>
      <c r="G724" s="62" t="s">
        <v>330</v>
      </c>
      <c r="H724" s="62" t="s">
        <v>373</v>
      </c>
      <c r="I724" s="64">
        <v>181694.285714286</v>
      </c>
      <c r="J724" s="62" t="s">
        <v>373</v>
      </c>
      <c r="K724" s="62" t="s">
        <v>1693</v>
      </c>
      <c r="L724" s="65"/>
      <c r="M724" s="62" t="s">
        <v>424</v>
      </c>
      <c r="N724" s="62" t="s">
        <v>896</v>
      </c>
      <c r="O724" s="62" t="s">
        <v>428</v>
      </c>
      <c r="P724" s="62" t="s">
        <v>2421</v>
      </c>
      <c r="Q724" s="66" t="s">
        <v>2021</v>
      </c>
    </row>
    <row r="725" spans="1:17" x14ac:dyDescent="0.3">
      <c r="A725" s="61" t="s">
        <v>2085</v>
      </c>
      <c r="B725" s="62" t="s">
        <v>1031</v>
      </c>
      <c r="C725" s="62" t="s">
        <v>1032</v>
      </c>
      <c r="D725" s="63">
        <v>45078</v>
      </c>
      <c r="E725" s="63">
        <v>46174</v>
      </c>
      <c r="F725" s="62" t="s">
        <v>1958</v>
      </c>
      <c r="G725" s="62" t="s">
        <v>332</v>
      </c>
      <c r="H725" s="62" t="s">
        <v>373</v>
      </c>
      <c r="I725" s="64">
        <v>181694.285714286</v>
      </c>
      <c r="J725" s="62" t="s">
        <v>373</v>
      </c>
      <c r="K725" s="62" t="s">
        <v>1693</v>
      </c>
      <c r="L725" s="65"/>
      <c r="M725" s="62" t="s">
        <v>424</v>
      </c>
      <c r="N725" s="62" t="s">
        <v>896</v>
      </c>
      <c r="O725" s="62" t="s">
        <v>428</v>
      </c>
      <c r="P725" s="62" t="s">
        <v>2421</v>
      </c>
      <c r="Q725" s="66" t="s">
        <v>2021</v>
      </c>
    </row>
    <row r="726" spans="1:17" x14ac:dyDescent="0.3">
      <c r="A726" s="61" t="s">
        <v>2085</v>
      </c>
      <c r="B726" s="62" t="s">
        <v>1031</v>
      </c>
      <c r="C726" s="62" t="s">
        <v>1032</v>
      </c>
      <c r="D726" s="63">
        <v>45078</v>
      </c>
      <c r="E726" s="63">
        <v>46174</v>
      </c>
      <c r="F726" s="62" t="s">
        <v>1958</v>
      </c>
      <c r="G726" s="62" t="s">
        <v>333</v>
      </c>
      <c r="H726" s="62" t="s">
        <v>373</v>
      </c>
      <c r="I726" s="64">
        <v>181694.285714286</v>
      </c>
      <c r="J726" s="62" t="s">
        <v>373</v>
      </c>
      <c r="K726" s="62" t="s">
        <v>1693</v>
      </c>
      <c r="L726" s="65"/>
      <c r="M726" s="62" t="s">
        <v>424</v>
      </c>
      <c r="N726" s="62" t="s">
        <v>896</v>
      </c>
      <c r="O726" s="62" t="s">
        <v>428</v>
      </c>
      <c r="P726" s="62" t="s">
        <v>2421</v>
      </c>
      <c r="Q726" s="66" t="s">
        <v>2021</v>
      </c>
    </row>
    <row r="727" spans="1:17" x14ac:dyDescent="0.3">
      <c r="A727" s="61" t="s">
        <v>2085</v>
      </c>
      <c r="B727" s="62" t="s">
        <v>1031</v>
      </c>
      <c r="C727" s="62" t="s">
        <v>1032</v>
      </c>
      <c r="D727" s="63">
        <v>45078</v>
      </c>
      <c r="E727" s="63">
        <v>46174</v>
      </c>
      <c r="F727" s="62" t="s">
        <v>1958</v>
      </c>
      <c r="G727" s="62" t="s">
        <v>334</v>
      </c>
      <c r="H727" s="62" t="s">
        <v>373</v>
      </c>
      <c r="I727" s="64">
        <v>181694.285714286</v>
      </c>
      <c r="J727" s="62" t="s">
        <v>373</v>
      </c>
      <c r="K727" s="62" t="s">
        <v>1693</v>
      </c>
      <c r="L727" s="65"/>
      <c r="M727" s="62" t="s">
        <v>424</v>
      </c>
      <c r="N727" s="62" t="s">
        <v>896</v>
      </c>
      <c r="O727" s="62" t="s">
        <v>428</v>
      </c>
      <c r="P727" s="62" t="s">
        <v>2421</v>
      </c>
      <c r="Q727" s="66" t="s">
        <v>2021</v>
      </c>
    </row>
    <row r="728" spans="1:17" x14ac:dyDescent="0.3">
      <c r="A728" s="61" t="s">
        <v>2085</v>
      </c>
      <c r="B728" s="62" t="s">
        <v>1031</v>
      </c>
      <c r="C728" s="62" t="s">
        <v>1032</v>
      </c>
      <c r="D728" s="63">
        <v>45078</v>
      </c>
      <c r="E728" s="63">
        <v>46174</v>
      </c>
      <c r="F728" s="62" t="s">
        <v>1958</v>
      </c>
      <c r="G728" s="62" t="s">
        <v>335</v>
      </c>
      <c r="H728" s="62" t="s">
        <v>373</v>
      </c>
      <c r="I728" s="64">
        <v>181694.285714286</v>
      </c>
      <c r="J728" s="62" t="s">
        <v>373</v>
      </c>
      <c r="K728" s="62" t="s">
        <v>1693</v>
      </c>
      <c r="L728" s="65"/>
      <c r="M728" s="62" t="s">
        <v>424</v>
      </c>
      <c r="N728" s="62" t="s">
        <v>896</v>
      </c>
      <c r="O728" s="62" t="s">
        <v>428</v>
      </c>
      <c r="P728" s="62" t="s">
        <v>2421</v>
      </c>
      <c r="Q728" s="66" t="s">
        <v>2021</v>
      </c>
    </row>
    <row r="729" spans="1:17" x14ac:dyDescent="0.3">
      <c r="A729" s="61" t="s">
        <v>2086</v>
      </c>
      <c r="B729" s="62" t="s">
        <v>1033</v>
      </c>
      <c r="C729" s="62" t="s">
        <v>1034</v>
      </c>
      <c r="D729" s="63">
        <v>45294</v>
      </c>
      <c r="E729" s="63">
        <v>46873</v>
      </c>
      <c r="F729" s="62" t="s">
        <v>1930</v>
      </c>
      <c r="G729" s="62" t="s">
        <v>721</v>
      </c>
      <c r="H729" s="62" t="s">
        <v>467</v>
      </c>
      <c r="I729" s="64">
        <v>48354.266666666699</v>
      </c>
      <c r="J729" s="62" t="s">
        <v>468</v>
      </c>
      <c r="K729" s="62" t="s">
        <v>467</v>
      </c>
      <c r="L729" s="65"/>
      <c r="M729" s="62" t="s">
        <v>424</v>
      </c>
      <c r="N729" s="62" t="s">
        <v>579</v>
      </c>
      <c r="O729" s="62" t="s">
        <v>428</v>
      </c>
      <c r="P729" s="62" t="s">
        <v>2421</v>
      </c>
      <c r="Q729" s="66" t="s">
        <v>1970</v>
      </c>
    </row>
    <row r="730" spans="1:17" x14ac:dyDescent="0.3">
      <c r="A730" s="61" t="s">
        <v>2086</v>
      </c>
      <c r="B730" s="62" t="s">
        <v>1033</v>
      </c>
      <c r="C730" s="62" t="s">
        <v>1034</v>
      </c>
      <c r="D730" s="63">
        <v>45294</v>
      </c>
      <c r="E730" s="63">
        <v>46873</v>
      </c>
      <c r="F730" s="62" t="s">
        <v>1930</v>
      </c>
      <c r="G730" s="62" t="s">
        <v>723</v>
      </c>
      <c r="H730" s="62" t="s">
        <v>467</v>
      </c>
      <c r="I730" s="64">
        <v>48354.266666666699</v>
      </c>
      <c r="J730" s="62" t="s">
        <v>468</v>
      </c>
      <c r="K730" s="62" t="s">
        <v>467</v>
      </c>
      <c r="L730" s="65"/>
      <c r="M730" s="62" t="s">
        <v>424</v>
      </c>
      <c r="N730" s="62" t="s">
        <v>579</v>
      </c>
      <c r="O730" s="62" t="s">
        <v>428</v>
      </c>
      <c r="P730" s="62" t="s">
        <v>2421</v>
      </c>
      <c r="Q730" s="66" t="s">
        <v>1970</v>
      </c>
    </row>
    <row r="731" spans="1:17" x14ac:dyDescent="0.3">
      <c r="A731" s="61" t="s">
        <v>2086</v>
      </c>
      <c r="B731" s="62" t="s">
        <v>1033</v>
      </c>
      <c r="C731" s="62" t="s">
        <v>1034</v>
      </c>
      <c r="D731" s="63">
        <v>45294</v>
      </c>
      <c r="E731" s="63">
        <v>46873</v>
      </c>
      <c r="F731" s="62" t="s">
        <v>1930</v>
      </c>
      <c r="G731" s="62" t="s">
        <v>546</v>
      </c>
      <c r="H731" s="62" t="s">
        <v>467</v>
      </c>
      <c r="I731" s="64">
        <v>48354.266666666699</v>
      </c>
      <c r="J731" s="62" t="s">
        <v>468</v>
      </c>
      <c r="K731" s="62" t="s">
        <v>467</v>
      </c>
      <c r="L731" s="65"/>
      <c r="M731" s="62" t="s">
        <v>424</v>
      </c>
      <c r="N731" s="62" t="s">
        <v>579</v>
      </c>
      <c r="O731" s="62" t="s">
        <v>428</v>
      </c>
      <c r="P731" s="62" t="s">
        <v>2421</v>
      </c>
      <c r="Q731" s="66" t="s">
        <v>1970</v>
      </c>
    </row>
    <row r="732" spans="1:17" x14ac:dyDescent="0.3">
      <c r="A732" s="61" t="s">
        <v>2086</v>
      </c>
      <c r="B732" s="62" t="s">
        <v>1033</v>
      </c>
      <c r="C732" s="62" t="s">
        <v>1034</v>
      </c>
      <c r="D732" s="63">
        <v>45294</v>
      </c>
      <c r="E732" s="63">
        <v>46873</v>
      </c>
      <c r="F732" s="62" t="s">
        <v>1921</v>
      </c>
      <c r="G732" s="62" t="s">
        <v>559</v>
      </c>
      <c r="H732" s="62" t="s">
        <v>467</v>
      </c>
      <c r="I732" s="64">
        <v>72531.399999999994</v>
      </c>
      <c r="J732" s="62" t="s">
        <v>468</v>
      </c>
      <c r="K732" s="62" t="s">
        <v>467</v>
      </c>
      <c r="L732" s="65"/>
      <c r="M732" s="62" t="s">
        <v>424</v>
      </c>
      <c r="N732" s="62" t="s">
        <v>579</v>
      </c>
      <c r="O732" s="62" t="s">
        <v>428</v>
      </c>
      <c r="P732" s="62" t="s">
        <v>2421</v>
      </c>
      <c r="Q732" s="66" t="s">
        <v>1970</v>
      </c>
    </row>
    <row r="733" spans="1:17" x14ac:dyDescent="0.3">
      <c r="A733" s="61" t="s">
        <v>2086</v>
      </c>
      <c r="B733" s="62" t="s">
        <v>1033</v>
      </c>
      <c r="C733" s="62" t="s">
        <v>1034</v>
      </c>
      <c r="D733" s="63">
        <v>45294</v>
      </c>
      <c r="E733" s="63">
        <v>46873</v>
      </c>
      <c r="F733" s="62" t="s">
        <v>1921</v>
      </c>
      <c r="G733" s="62" t="s">
        <v>487</v>
      </c>
      <c r="H733" s="62" t="s">
        <v>467</v>
      </c>
      <c r="I733" s="64">
        <v>72531.399999999994</v>
      </c>
      <c r="J733" s="62" t="s">
        <v>468</v>
      </c>
      <c r="K733" s="62" t="s">
        <v>467</v>
      </c>
      <c r="L733" s="65"/>
      <c r="M733" s="62" t="s">
        <v>424</v>
      </c>
      <c r="N733" s="62" t="s">
        <v>579</v>
      </c>
      <c r="O733" s="62" t="s">
        <v>428</v>
      </c>
      <c r="P733" s="62" t="s">
        <v>2421</v>
      </c>
      <c r="Q733" s="66" t="s">
        <v>1970</v>
      </c>
    </row>
    <row r="734" spans="1:17" x14ac:dyDescent="0.3">
      <c r="A734" s="61" t="s">
        <v>2086</v>
      </c>
      <c r="B734" s="62" t="s">
        <v>1033</v>
      </c>
      <c r="C734" s="62" t="s">
        <v>1034</v>
      </c>
      <c r="D734" s="63">
        <v>45294</v>
      </c>
      <c r="E734" s="63">
        <v>46873</v>
      </c>
      <c r="F734" s="62" t="s">
        <v>1922</v>
      </c>
      <c r="G734" s="62" t="s">
        <v>349</v>
      </c>
      <c r="H734" s="62" t="s">
        <v>467</v>
      </c>
      <c r="I734" s="64">
        <v>72531.399999999994</v>
      </c>
      <c r="J734" s="62" t="s">
        <v>468</v>
      </c>
      <c r="K734" s="62" t="s">
        <v>467</v>
      </c>
      <c r="L734" s="65"/>
      <c r="M734" s="62" t="s">
        <v>424</v>
      </c>
      <c r="N734" s="62" t="s">
        <v>579</v>
      </c>
      <c r="O734" s="62" t="s">
        <v>428</v>
      </c>
      <c r="P734" s="62" t="s">
        <v>2421</v>
      </c>
      <c r="Q734" s="66" t="s">
        <v>1970</v>
      </c>
    </row>
    <row r="735" spans="1:17" x14ac:dyDescent="0.3">
      <c r="A735" s="61" t="s">
        <v>2086</v>
      </c>
      <c r="B735" s="62" t="s">
        <v>1033</v>
      </c>
      <c r="C735" s="62" t="s">
        <v>1034</v>
      </c>
      <c r="D735" s="63">
        <v>45294</v>
      </c>
      <c r="E735" s="63">
        <v>46873</v>
      </c>
      <c r="F735" s="62" t="s">
        <v>1922</v>
      </c>
      <c r="G735" s="62" t="s">
        <v>553</v>
      </c>
      <c r="H735" s="62" t="s">
        <v>467</v>
      </c>
      <c r="I735" s="64">
        <v>72531.399999999994</v>
      </c>
      <c r="J735" s="62" t="s">
        <v>468</v>
      </c>
      <c r="K735" s="62" t="s">
        <v>467</v>
      </c>
      <c r="L735" s="65"/>
      <c r="M735" s="62" t="s">
        <v>424</v>
      </c>
      <c r="N735" s="62" t="s">
        <v>579</v>
      </c>
      <c r="O735" s="62" t="s">
        <v>428</v>
      </c>
      <c r="P735" s="62" t="s">
        <v>2421</v>
      </c>
      <c r="Q735" s="66" t="s">
        <v>1970</v>
      </c>
    </row>
    <row r="736" spans="1:17" x14ac:dyDescent="0.3">
      <c r="A736" s="61" t="s">
        <v>2086</v>
      </c>
      <c r="B736" s="62" t="s">
        <v>1033</v>
      </c>
      <c r="C736" s="62" t="s">
        <v>1034</v>
      </c>
      <c r="D736" s="63">
        <v>45294</v>
      </c>
      <c r="E736" s="63">
        <v>46873</v>
      </c>
      <c r="F736" s="62" t="s">
        <v>1936</v>
      </c>
      <c r="G736" s="62" t="s">
        <v>730</v>
      </c>
      <c r="H736" s="62" t="s">
        <v>467</v>
      </c>
      <c r="I736" s="64">
        <v>72531.399999999994</v>
      </c>
      <c r="J736" s="62" t="s">
        <v>468</v>
      </c>
      <c r="K736" s="62" t="s">
        <v>467</v>
      </c>
      <c r="L736" s="65"/>
      <c r="M736" s="62" t="s">
        <v>424</v>
      </c>
      <c r="N736" s="62" t="s">
        <v>579</v>
      </c>
      <c r="O736" s="62" t="s">
        <v>428</v>
      </c>
      <c r="P736" s="62" t="s">
        <v>2421</v>
      </c>
      <c r="Q736" s="66" t="s">
        <v>1970</v>
      </c>
    </row>
    <row r="737" spans="1:17" x14ac:dyDescent="0.3">
      <c r="A737" s="61" t="s">
        <v>2086</v>
      </c>
      <c r="B737" s="62" t="s">
        <v>1033</v>
      </c>
      <c r="C737" s="62" t="s">
        <v>1034</v>
      </c>
      <c r="D737" s="63">
        <v>45294</v>
      </c>
      <c r="E737" s="63">
        <v>46873</v>
      </c>
      <c r="F737" s="62" t="s">
        <v>1936</v>
      </c>
      <c r="G737" s="62" t="s">
        <v>547</v>
      </c>
      <c r="H737" s="62" t="s">
        <v>467</v>
      </c>
      <c r="I737" s="64">
        <v>72531.399999999994</v>
      </c>
      <c r="J737" s="62" t="s">
        <v>468</v>
      </c>
      <c r="K737" s="62" t="s">
        <v>467</v>
      </c>
      <c r="L737" s="65"/>
      <c r="M737" s="62" t="s">
        <v>424</v>
      </c>
      <c r="N737" s="62" t="s">
        <v>579</v>
      </c>
      <c r="O737" s="62" t="s">
        <v>428</v>
      </c>
      <c r="P737" s="62" t="s">
        <v>2421</v>
      </c>
      <c r="Q737" s="66" t="s">
        <v>1970</v>
      </c>
    </row>
    <row r="738" spans="1:17" x14ac:dyDescent="0.3">
      <c r="A738" s="61" t="s">
        <v>2086</v>
      </c>
      <c r="B738" s="62" t="s">
        <v>1033</v>
      </c>
      <c r="C738" s="62" t="s">
        <v>1034</v>
      </c>
      <c r="D738" s="63">
        <v>45294</v>
      </c>
      <c r="E738" s="63">
        <v>46873</v>
      </c>
      <c r="F738" s="62" t="s">
        <v>287</v>
      </c>
      <c r="G738" s="62" t="s">
        <v>390</v>
      </c>
      <c r="H738" s="62" t="s">
        <v>467</v>
      </c>
      <c r="I738" s="64">
        <v>72531.399999999994</v>
      </c>
      <c r="J738" s="62" t="s">
        <v>468</v>
      </c>
      <c r="K738" s="62" t="s">
        <v>467</v>
      </c>
      <c r="L738" s="65"/>
      <c r="M738" s="62" t="s">
        <v>424</v>
      </c>
      <c r="N738" s="62" t="s">
        <v>579</v>
      </c>
      <c r="O738" s="62" t="s">
        <v>428</v>
      </c>
      <c r="P738" s="62" t="s">
        <v>2421</v>
      </c>
      <c r="Q738" s="66" t="s">
        <v>1970</v>
      </c>
    </row>
    <row r="739" spans="1:17" x14ac:dyDescent="0.3">
      <c r="A739" s="61" t="s">
        <v>2086</v>
      </c>
      <c r="B739" s="62" t="s">
        <v>1033</v>
      </c>
      <c r="C739" s="62" t="s">
        <v>1034</v>
      </c>
      <c r="D739" s="63">
        <v>45294</v>
      </c>
      <c r="E739" s="63">
        <v>46873</v>
      </c>
      <c r="F739" s="62" t="s">
        <v>287</v>
      </c>
      <c r="G739" s="62" t="s">
        <v>554</v>
      </c>
      <c r="H739" s="62" t="s">
        <v>467</v>
      </c>
      <c r="I739" s="64">
        <v>72531.399999999994</v>
      </c>
      <c r="J739" s="62" t="s">
        <v>468</v>
      </c>
      <c r="K739" s="62" t="s">
        <v>467</v>
      </c>
      <c r="L739" s="65"/>
      <c r="M739" s="62" t="s">
        <v>424</v>
      </c>
      <c r="N739" s="62" t="s">
        <v>579</v>
      </c>
      <c r="O739" s="62" t="s">
        <v>428</v>
      </c>
      <c r="P739" s="62" t="s">
        <v>2421</v>
      </c>
      <c r="Q739" s="66" t="s">
        <v>1970</v>
      </c>
    </row>
    <row r="740" spans="1:17" x14ac:dyDescent="0.3">
      <c r="A740" s="61" t="s">
        <v>2087</v>
      </c>
      <c r="B740" s="62" t="s">
        <v>2459</v>
      </c>
      <c r="C740" s="62" t="s">
        <v>1035</v>
      </c>
      <c r="D740" s="63">
        <v>45139</v>
      </c>
      <c r="E740" s="63">
        <v>46081</v>
      </c>
      <c r="F740" s="62" t="s">
        <v>350</v>
      </c>
      <c r="G740" s="62" t="s">
        <v>304</v>
      </c>
      <c r="H740" s="62" t="s">
        <v>373</v>
      </c>
      <c r="I740" s="64">
        <v>916913</v>
      </c>
      <c r="J740" s="62" t="s">
        <v>373</v>
      </c>
      <c r="K740" s="62" t="s">
        <v>1693</v>
      </c>
      <c r="L740" s="65"/>
      <c r="M740" s="62" t="s">
        <v>424</v>
      </c>
      <c r="N740" s="62" t="s">
        <v>671</v>
      </c>
      <c r="O740" s="62" t="s">
        <v>426</v>
      </c>
      <c r="P740" s="62" t="s">
        <v>2421</v>
      </c>
      <c r="Q740" s="66" t="s">
        <v>1972</v>
      </c>
    </row>
    <row r="741" spans="1:17" x14ac:dyDescent="0.3">
      <c r="A741" s="61" t="s">
        <v>2088</v>
      </c>
      <c r="B741" s="62" t="s">
        <v>1036</v>
      </c>
      <c r="C741" s="62" t="s">
        <v>1037</v>
      </c>
      <c r="D741" s="63">
        <v>45366</v>
      </c>
      <c r="E741" s="63">
        <v>46460</v>
      </c>
      <c r="F741" s="62" t="s">
        <v>1945</v>
      </c>
      <c r="G741" s="62" t="s">
        <v>1038</v>
      </c>
      <c r="H741" s="62" t="s">
        <v>2427</v>
      </c>
      <c r="I741" s="64">
        <v>3362.6666666666702</v>
      </c>
      <c r="J741" s="62" t="s">
        <v>2460</v>
      </c>
      <c r="K741" s="62" t="s">
        <v>2461</v>
      </c>
      <c r="L741" s="65"/>
      <c r="M741" s="62" t="s">
        <v>1518</v>
      </c>
      <c r="N741" s="62" t="s">
        <v>1039</v>
      </c>
      <c r="O741" s="62" t="s">
        <v>465</v>
      </c>
      <c r="P741" s="62" t="s">
        <v>2421</v>
      </c>
      <c r="Q741" s="66" t="s">
        <v>1971</v>
      </c>
    </row>
    <row r="742" spans="1:17" x14ac:dyDescent="0.3">
      <c r="A742" s="61" t="s">
        <v>2088</v>
      </c>
      <c r="B742" s="62" t="s">
        <v>1036</v>
      </c>
      <c r="C742" s="62" t="s">
        <v>1037</v>
      </c>
      <c r="D742" s="63">
        <v>45366</v>
      </c>
      <c r="E742" s="63">
        <v>46460</v>
      </c>
      <c r="F742" s="62" t="s">
        <v>1945</v>
      </c>
      <c r="G742" s="62" t="s">
        <v>450</v>
      </c>
      <c r="H742" s="62" t="s">
        <v>2427</v>
      </c>
      <c r="I742" s="64">
        <v>3362.6666666666702</v>
      </c>
      <c r="J742" s="62" t="s">
        <v>2460</v>
      </c>
      <c r="K742" s="62" t="s">
        <v>2461</v>
      </c>
      <c r="L742" s="65"/>
      <c r="M742" s="62" t="s">
        <v>1518</v>
      </c>
      <c r="N742" s="62" t="s">
        <v>1039</v>
      </c>
      <c r="O742" s="62" t="s">
        <v>465</v>
      </c>
      <c r="P742" s="62" t="s">
        <v>2421</v>
      </c>
      <c r="Q742" s="66" t="s">
        <v>1971</v>
      </c>
    </row>
    <row r="743" spans="1:17" x14ac:dyDescent="0.3">
      <c r="A743" s="61" t="s">
        <v>2088</v>
      </c>
      <c r="B743" s="62" t="s">
        <v>1036</v>
      </c>
      <c r="C743" s="62" t="s">
        <v>1037</v>
      </c>
      <c r="D743" s="63">
        <v>45366</v>
      </c>
      <c r="E743" s="63">
        <v>46460</v>
      </c>
      <c r="F743" s="62" t="s">
        <v>1945</v>
      </c>
      <c r="G743" s="62" t="s">
        <v>404</v>
      </c>
      <c r="H743" s="62" t="s">
        <v>2427</v>
      </c>
      <c r="I743" s="64">
        <v>3362.6666666666702</v>
      </c>
      <c r="J743" s="62" t="s">
        <v>2460</v>
      </c>
      <c r="K743" s="62" t="s">
        <v>2461</v>
      </c>
      <c r="L743" s="65"/>
      <c r="M743" s="62" t="s">
        <v>1518</v>
      </c>
      <c r="N743" s="62" t="s">
        <v>1039</v>
      </c>
      <c r="O743" s="62" t="s">
        <v>465</v>
      </c>
      <c r="P743" s="62" t="s">
        <v>2421</v>
      </c>
      <c r="Q743" s="66" t="s">
        <v>1971</v>
      </c>
    </row>
    <row r="744" spans="1:17" x14ac:dyDescent="0.3">
      <c r="A744" s="61" t="s">
        <v>2088</v>
      </c>
      <c r="B744" s="62" t="s">
        <v>1036</v>
      </c>
      <c r="C744" s="62" t="s">
        <v>1037</v>
      </c>
      <c r="D744" s="63">
        <v>45366</v>
      </c>
      <c r="E744" s="63">
        <v>46460</v>
      </c>
      <c r="F744" s="62" t="s">
        <v>1945</v>
      </c>
      <c r="G744" s="62" t="s">
        <v>1038</v>
      </c>
      <c r="H744" s="62" t="s">
        <v>2427</v>
      </c>
      <c r="I744" s="64">
        <v>5762.6666666666697</v>
      </c>
      <c r="J744" s="62" t="s">
        <v>2462</v>
      </c>
      <c r="K744" s="62" t="s">
        <v>2461</v>
      </c>
      <c r="L744" s="65"/>
      <c r="M744" s="62" t="s">
        <v>1518</v>
      </c>
      <c r="N744" s="62" t="s">
        <v>1039</v>
      </c>
      <c r="O744" s="62" t="s">
        <v>465</v>
      </c>
      <c r="P744" s="62" t="s">
        <v>2421</v>
      </c>
      <c r="Q744" s="66" t="s">
        <v>1971</v>
      </c>
    </row>
    <row r="745" spans="1:17" x14ac:dyDescent="0.3">
      <c r="A745" s="61" t="s">
        <v>2088</v>
      </c>
      <c r="B745" s="62" t="s">
        <v>1036</v>
      </c>
      <c r="C745" s="62" t="s">
        <v>1037</v>
      </c>
      <c r="D745" s="63">
        <v>45366</v>
      </c>
      <c r="E745" s="63">
        <v>46460</v>
      </c>
      <c r="F745" s="62" t="s">
        <v>1945</v>
      </c>
      <c r="G745" s="62" t="s">
        <v>450</v>
      </c>
      <c r="H745" s="62" t="s">
        <v>2427</v>
      </c>
      <c r="I745" s="64">
        <v>5762.6666666666697</v>
      </c>
      <c r="J745" s="62" t="s">
        <v>2462</v>
      </c>
      <c r="K745" s="62" t="s">
        <v>2461</v>
      </c>
      <c r="L745" s="65"/>
      <c r="M745" s="62" t="s">
        <v>1518</v>
      </c>
      <c r="N745" s="62" t="s">
        <v>1039</v>
      </c>
      <c r="O745" s="62" t="s">
        <v>465</v>
      </c>
      <c r="P745" s="62" t="s">
        <v>2421</v>
      </c>
      <c r="Q745" s="66" t="s">
        <v>1971</v>
      </c>
    </row>
    <row r="746" spans="1:17" x14ac:dyDescent="0.3">
      <c r="A746" s="61" t="s">
        <v>2088</v>
      </c>
      <c r="B746" s="62" t="s">
        <v>1036</v>
      </c>
      <c r="C746" s="62" t="s">
        <v>1037</v>
      </c>
      <c r="D746" s="63">
        <v>45366</v>
      </c>
      <c r="E746" s="63">
        <v>46460</v>
      </c>
      <c r="F746" s="62" t="s">
        <v>1945</v>
      </c>
      <c r="G746" s="62" t="s">
        <v>404</v>
      </c>
      <c r="H746" s="62" t="s">
        <v>2427</v>
      </c>
      <c r="I746" s="64">
        <v>5762.6666666666697</v>
      </c>
      <c r="J746" s="62" t="s">
        <v>2462</v>
      </c>
      <c r="K746" s="62" t="s">
        <v>2461</v>
      </c>
      <c r="L746" s="65"/>
      <c r="M746" s="62" t="s">
        <v>1518</v>
      </c>
      <c r="N746" s="62" t="s">
        <v>1039</v>
      </c>
      <c r="O746" s="62" t="s">
        <v>465</v>
      </c>
      <c r="P746" s="62" t="s">
        <v>2421</v>
      </c>
      <c r="Q746" s="66" t="s">
        <v>1971</v>
      </c>
    </row>
    <row r="747" spans="1:17" x14ac:dyDescent="0.3">
      <c r="A747" s="61" t="s">
        <v>2088</v>
      </c>
      <c r="B747" s="62" t="s">
        <v>1036</v>
      </c>
      <c r="C747" s="62" t="s">
        <v>1037</v>
      </c>
      <c r="D747" s="63">
        <v>45366</v>
      </c>
      <c r="E747" s="63">
        <v>46460</v>
      </c>
      <c r="F747" s="62" t="s">
        <v>1945</v>
      </c>
      <c r="G747" s="62" t="s">
        <v>1038</v>
      </c>
      <c r="H747" s="62" t="s">
        <v>2427</v>
      </c>
      <c r="I747" s="64">
        <v>93750</v>
      </c>
      <c r="J747" s="62" t="s">
        <v>1040</v>
      </c>
      <c r="K747" s="62" t="s">
        <v>2461</v>
      </c>
      <c r="L747" s="65"/>
      <c r="M747" s="62" t="s">
        <v>1518</v>
      </c>
      <c r="N747" s="62" t="s">
        <v>1039</v>
      </c>
      <c r="O747" s="62" t="s">
        <v>465</v>
      </c>
      <c r="P747" s="62" t="s">
        <v>2421</v>
      </c>
      <c r="Q747" s="66" t="s">
        <v>1971</v>
      </c>
    </row>
    <row r="748" spans="1:17" x14ac:dyDescent="0.3">
      <c r="A748" s="61" t="s">
        <v>2088</v>
      </c>
      <c r="B748" s="62" t="s">
        <v>1036</v>
      </c>
      <c r="C748" s="62" t="s">
        <v>1037</v>
      </c>
      <c r="D748" s="63">
        <v>45366</v>
      </c>
      <c r="E748" s="63">
        <v>46460</v>
      </c>
      <c r="F748" s="62" t="s">
        <v>1945</v>
      </c>
      <c r="G748" s="62" t="s">
        <v>450</v>
      </c>
      <c r="H748" s="62" t="s">
        <v>2427</v>
      </c>
      <c r="I748" s="64">
        <v>93750</v>
      </c>
      <c r="J748" s="62" t="s">
        <v>1040</v>
      </c>
      <c r="K748" s="62" t="s">
        <v>2461</v>
      </c>
      <c r="L748" s="65"/>
      <c r="M748" s="62" t="s">
        <v>1518</v>
      </c>
      <c r="N748" s="62" t="s">
        <v>1039</v>
      </c>
      <c r="O748" s="62" t="s">
        <v>465</v>
      </c>
      <c r="P748" s="62" t="s">
        <v>2421</v>
      </c>
      <c r="Q748" s="66" t="s">
        <v>1971</v>
      </c>
    </row>
    <row r="749" spans="1:17" x14ac:dyDescent="0.3">
      <c r="A749" s="61" t="s">
        <v>2088</v>
      </c>
      <c r="B749" s="62" t="s">
        <v>1036</v>
      </c>
      <c r="C749" s="62" t="s">
        <v>1037</v>
      </c>
      <c r="D749" s="63">
        <v>45366</v>
      </c>
      <c r="E749" s="63">
        <v>46460</v>
      </c>
      <c r="F749" s="62" t="s">
        <v>1945</v>
      </c>
      <c r="G749" s="62" t="s">
        <v>404</v>
      </c>
      <c r="H749" s="62" t="s">
        <v>2427</v>
      </c>
      <c r="I749" s="64">
        <v>93750</v>
      </c>
      <c r="J749" s="62" t="s">
        <v>1040</v>
      </c>
      <c r="K749" s="62" t="s">
        <v>2461</v>
      </c>
      <c r="L749" s="65"/>
      <c r="M749" s="62" t="s">
        <v>1518</v>
      </c>
      <c r="N749" s="62" t="s">
        <v>1039</v>
      </c>
      <c r="O749" s="62" t="s">
        <v>465</v>
      </c>
      <c r="P749" s="62" t="s">
        <v>2421</v>
      </c>
      <c r="Q749" s="66" t="s">
        <v>1971</v>
      </c>
    </row>
    <row r="750" spans="1:17" x14ac:dyDescent="0.3">
      <c r="A750" s="61" t="s">
        <v>2088</v>
      </c>
      <c r="B750" s="62" t="s">
        <v>1036</v>
      </c>
      <c r="C750" s="62" t="s">
        <v>1037</v>
      </c>
      <c r="D750" s="63">
        <v>45366</v>
      </c>
      <c r="E750" s="63">
        <v>46460</v>
      </c>
      <c r="F750" s="62" t="s">
        <v>1945</v>
      </c>
      <c r="G750" s="62" t="s">
        <v>1038</v>
      </c>
      <c r="H750" s="62" t="s">
        <v>2426</v>
      </c>
      <c r="I750" s="64">
        <v>7070.3333333333303</v>
      </c>
      <c r="J750" s="62" t="s">
        <v>2463</v>
      </c>
      <c r="K750" s="62" t="s">
        <v>2461</v>
      </c>
      <c r="L750" s="65"/>
      <c r="M750" s="62" t="s">
        <v>1518</v>
      </c>
      <c r="N750" s="62" t="s">
        <v>1039</v>
      </c>
      <c r="O750" s="62" t="s">
        <v>465</v>
      </c>
      <c r="P750" s="62" t="s">
        <v>2421</v>
      </c>
      <c r="Q750" s="66" t="s">
        <v>1971</v>
      </c>
    </row>
    <row r="751" spans="1:17" x14ac:dyDescent="0.3">
      <c r="A751" s="61" t="s">
        <v>2088</v>
      </c>
      <c r="B751" s="62" t="s">
        <v>1036</v>
      </c>
      <c r="C751" s="62" t="s">
        <v>1037</v>
      </c>
      <c r="D751" s="63">
        <v>45366</v>
      </c>
      <c r="E751" s="63">
        <v>46460</v>
      </c>
      <c r="F751" s="62" t="s">
        <v>1945</v>
      </c>
      <c r="G751" s="62" t="s">
        <v>450</v>
      </c>
      <c r="H751" s="62" t="s">
        <v>2426</v>
      </c>
      <c r="I751" s="64">
        <v>7070.3333333333303</v>
      </c>
      <c r="J751" s="62" t="s">
        <v>2463</v>
      </c>
      <c r="K751" s="62" t="s">
        <v>2461</v>
      </c>
      <c r="L751" s="65"/>
      <c r="M751" s="62" t="s">
        <v>1518</v>
      </c>
      <c r="N751" s="62" t="s">
        <v>1039</v>
      </c>
      <c r="O751" s="62" t="s">
        <v>465</v>
      </c>
      <c r="P751" s="62" t="s">
        <v>2421</v>
      </c>
      <c r="Q751" s="66" t="s">
        <v>1971</v>
      </c>
    </row>
    <row r="752" spans="1:17" x14ac:dyDescent="0.3">
      <c r="A752" s="61" t="s">
        <v>2088</v>
      </c>
      <c r="B752" s="62" t="s">
        <v>1036</v>
      </c>
      <c r="C752" s="62" t="s">
        <v>1037</v>
      </c>
      <c r="D752" s="63">
        <v>45366</v>
      </c>
      <c r="E752" s="63">
        <v>46460</v>
      </c>
      <c r="F752" s="62" t="s">
        <v>1945</v>
      </c>
      <c r="G752" s="62" t="s">
        <v>404</v>
      </c>
      <c r="H752" s="62" t="s">
        <v>2426</v>
      </c>
      <c r="I752" s="64">
        <v>7070.3333333333303</v>
      </c>
      <c r="J752" s="62" t="s">
        <v>2463</v>
      </c>
      <c r="K752" s="62" t="s">
        <v>2461</v>
      </c>
      <c r="L752" s="65"/>
      <c r="M752" s="62" t="s">
        <v>1518</v>
      </c>
      <c r="N752" s="62" t="s">
        <v>1039</v>
      </c>
      <c r="O752" s="62" t="s">
        <v>465</v>
      </c>
      <c r="P752" s="62" t="s">
        <v>2421</v>
      </c>
      <c r="Q752" s="66" t="s">
        <v>1971</v>
      </c>
    </row>
    <row r="753" spans="1:17" x14ac:dyDescent="0.3">
      <c r="A753" s="61" t="s">
        <v>2088</v>
      </c>
      <c r="B753" s="62" t="s">
        <v>1036</v>
      </c>
      <c r="C753" s="62" t="s">
        <v>1037</v>
      </c>
      <c r="D753" s="63">
        <v>45366</v>
      </c>
      <c r="E753" s="63">
        <v>46460</v>
      </c>
      <c r="F753" s="62" t="s">
        <v>1945</v>
      </c>
      <c r="G753" s="62" t="s">
        <v>1038</v>
      </c>
      <c r="H753" s="62" t="s">
        <v>2426</v>
      </c>
      <c r="I753" s="64">
        <v>5742.6666666666697</v>
      </c>
      <c r="J753" s="62" t="s">
        <v>2464</v>
      </c>
      <c r="K753" s="62" t="s">
        <v>2461</v>
      </c>
      <c r="L753" s="65"/>
      <c r="M753" s="62" t="s">
        <v>1518</v>
      </c>
      <c r="N753" s="62" t="s">
        <v>1039</v>
      </c>
      <c r="O753" s="62" t="s">
        <v>465</v>
      </c>
      <c r="P753" s="62" t="s">
        <v>2421</v>
      </c>
      <c r="Q753" s="66" t="s">
        <v>1971</v>
      </c>
    </row>
    <row r="754" spans="1:17" x14ac:dyDescent="0.3">
      <c r="A754" s="61" t="s">
        <v>2088</v>
      </c>
      <c r="B754" s="62" t="s">
        <v>1036</v>
      </c>
      <c r="C754" s="62" t="s">
        <v>1037</v>
      </c>
      <c r="D754" s="63">
        <v>45366</v>
      </c>
      <c r="E754" s="63">
        <v>46460</v>
      </c>
      <c r="F754" s="62" t="s">
        <v>1945</v>
      </c>
      <c r="G754" s="62" t="s">
        <v>450</v>
      </c>
      <c r="H754" s="62" t="s">
        <v>2426</v>
      </c>
      <c r="I754" s="64">
        <v>5742.6666666666697</v>
      </c>
      <c r="J754" s="62" t="s">
        <v>2464</v>
      </c>
      <c r="K754" s="62" t="s">
        <v>2461</v>
      </c>
      <c r="L754" s="65"/>
      <c r="M754" s="62" t="s">
        <v>1518</v>
      </c>
      <c r="N754" s="62" t="s">
        <v>1039</v>
      </c>
      <c r="O754" s="62" t="s">
        <v>465</v>
      </c>
      <c r="P754" s="62" t="s">
        <v>2421</v>
      </c>
      <c r="Q754" s="66" t="s">
        <v>1971</v>
      </c>
    </row>
    <row r="755" spans="1:17" x14ac:dyDescent="0.3">
      <c r="A755" s="61" t="s">
        <v>2088</v>
      </c>
      <c r="B755" s="62" t="s">
        <v>1036</v>
      </c>
      <c r="C755" s="62" t="s">
        <v>1037</v>
      </c>
      <c r="D755" s="63">
        <v>45366</v>
      </c>
      <c r="E755" s="63">
        <v>46460</v>
      </c>
      <c r="F755" s="62" t="s">
        <v>1945</v>
      </c>
      <c r="G755" s="62" t="s">
        <v>404</v>
      </c>
      <c r="H755" s="62" t="s">
        <v>2426</v>
      </c>
      <c r="I755" s="64">
        <v>5742.6666666666697</v>
      </c>
      <c r="J755" s="62" t="s">
        <v>2464</v>
      </c>
      <c r="K755" s="62" t="s">
        <v>2461</v>
      </c>
      <c r="L755" s="65"/>
      <c r="M755" s="62" t="s">
        <v>1518</v>
      </c>
      <c r="N755" s="62" t="s">
        <v>1039</v>
      </c>
      <c r="O755" s="62" t="s">
        <v>465</v>
      </c>
      <c r="P755" s="62" t="s">
        <v>2421</v>
      </c>
      <c r="Q755" s="66" t="s">
        <v>1971</v>
      </c>
    </row>
    <row r="756" spans="1:17" x14ac:dyDescent="0.3">
      <c r="A756" s="61" t="s">
        <v>2089</v>
      </c>
      <c r="B756" s="62" t="s">
        <v>1041</v>
      </c>
      <c r="C756" s="62" t="s">
        <v>1042</v>
      </c>
      <c r="D756" s="63">
        <v>44942</v>
      </c>
      <c r="E756" s="63">
        <v>46038</v>
      </c>
      <c r="F756" s="62" t="s">
        <v>1959</v>
      </c>
      <c r="G756" s="62" t="s">
        <v>466</v>
      </c>
      <c r="H756" s="62" t="s">
        <v>2427</v>
      </c>
      <c r="I756" s="64">
        <v>36089.75</v>
      </c>
      <c r="J756" s="62" t="s">
        <v>1043</v>
      </c>
      <c r="K756" s="62" t="s">
        <v>638</v>
      </c>
      <c r="L756" s="65"/>
      <c r="M756" s="62" t="s">
        <v>825</v>
      </c>
      <c r="N756" s="62" t="s">
        <v>644</v>
      </c>
      <c r="O756" s="62" t="s">
        <v>371</v>
      </c>
      <c r="P756" s="62" t="s">
        <v>2421</v>
      </c>
      <c r="Q756" s="66" t="s">
        <v>1972</v>
      </c>
    </row>
    <row r="757" spans="1:17" x14ac:dyDescent="0.3">
      <c r="A757" s="61" t="s">
        <v>2089</v>
      </c>
      <c r="B757" s="62" t="s">
        <v>1041</v>
      </c>
      <c r="C757" s="62" t="s">
        <v>1042</v>
      </c>
      <c r="D757" s="63">
        <v>44942</v>
      </c>
      <c r="E757" s="63">
        <v>46038</v>
      </c>
      <c r="F757" s="62" t="s">
        <v>1959</v>
      </c>
      <c r="G757" s="62" t="s">
        <v>808</v>
      </c>
      <c r="H757" s="62" t="s">
        <v>2427</v>
      </c>
      <c r="I757" s="64">
        <v>36089.75</v>
      </c>
      <c r="J757" s="62" t="s">
        <v>1043</v>
      </c>
      <c r="K757" s="62" t="s">
        <v>638</v>
      </c>
      <c r="L757" s="65"/>
      <c r="M757" s="62" t="s">
        <v>825</v>
      </c>
      <c r="N757" s="62" t="s">
        <v>644</v>
      </c>
      <c r="O757" s="62" t="s">
        <v>371</v>
      </c>
      <c r="P757" s="62" t="s">
        <v>2421</v>
      </c>
      <c r="Q757" s="66" t="s">
        <v>1972</v>
      </c>
    </row>
    <row r="758" spans="1:17" x14ac:dyDescent="0.3">
      <c r="A758" s="61" t="s">
        <v>2089</v>
      </c>
      <c r="B758" s="62" t="s">
        <v>1041</v>
      </c>
      <c r="C758" s="62" t="s">
        <v>1042</v>
      </c>
      <c r="D758" s="63">
        <v>44942</v>
      </c>
      <c r="E758" s="63">
        <v>46038</v>
      </c>
      <c r="F758" s="62" t="s">
        <v>1945</v>
      </c>
      <c r="G758" s="62" t="s">
        <v>403</v>
      </c>
      <c r="H758" s="62" t="s">
        <v>2427</v>
      </c>
      <c r="I758" s="64">
        <v>72179.5</v>
      </c>
      <c r="J758" s="62" t="s">
        <v>1043</v>
      </c>
      <c r="K758" s="62" t="s">
        <v>638</v>
      </c>
      <c r="L758" s="65"/>
      <c r="M758" s="62" t="s">
        <v>825</v>
      </c>
      <c r="N758" s="62" t="s">
        <v>644</v>
      </c>
      <c r="O758" s="62" t="s">
        <v>371</v>
      </c>
      <c r="P758" s="62" t="s">
        <v>2421</v>
      </c>
      <c r="Q758" s="66" t="s">
        <v>1972</v>
      </c>
    </row>
    <row r="759" spans="1:17" x14ac:dyDescent="0.3">
      <c r="A759" s="61" t="s">
        <v>2089</v>
      </c>
      <c r="B759" s="62" t="s">
        <v>1041</v>
      </c>
      <c r="C759" s="62" t="s">
        <v>1042</v>
      </c>
      <c r="D759" s="63">
        <v>44942</v>
      </c>
      <c r="E759" s="63">
        <v>46038</v>
      </c>
      <c r="F759" s="62" t="s">
        <v>1959</v>
      </c>
      <c r="G759" s="62" t="s">
        <v>466</v>
      </c>
      <c r="H759" s="62" t="s">
        <v>373</v>
      </c>
      <c r="I759" s="64">
        <v>324809.75</v>
      </c>
      <c r="J759" s="62" t="s">
        <v>373</v>
      </c>
      <c r="K759" s="62" t="s">
        <v>638</v>
      </c>
      <c r="L759" s="65"/>
      <c r="M759" s="62" t="s">
        <v>825</v>
      </c>
      <c r="N759" s="62" t="s">
        <v>644</v>
      </c>
      <c r="O759" s="62" t="s">
        <v>371</v>
      </c>
      <c r="P759" s="62" t="s">
        <v>2421</v>
      </c>
      <c r="Q759" s="66" t="s">
        <v>1972</v>
      </c>
    </row>
    <row r="760" spans="1:17" x14ac:dyDescent="0.3">
      <c r="A760" s="61" t="s">
        <v>2089</v>
      </c>
      <c r="B760" s="62" t="s">
        <v>1041</v>
      </c>
      <c r="C760" s="62" t="s">
        <v>1042</v>
      </c>
      <c r="D760" s="63">
        <v>44942</v>
      </c>
      <c r="E760" s="63">
        <v>46038</v>
      </c>
      <c r="F760" s="62" t="s">
        <v>1959</v>
      </c>
      <c r="G760" s="62" t="s">
        <v>808</v>
      </c>
      <c r="H760" s="62" t="s">
        <v>373</v>
      </c>
      <c r="I760" s="64">
        <v>324809.75</v>
      </c>
      <c r="J760" s="62" t="s">
        <v>373</v>
      </c>
      <c r="K760" s="62" t="s">
        <v>638</v>
      </c>
      <c r="L760" s="65"/>
      <c r="M760" s="62" t="s">
        <v>825</v>
      </c>
      <c r="N760" s="62" t="s">
        <v>644</v>
      </c>
      <c r="O760" s="62" t="s">
        <v>371</v>
      </c>
      <c r="P760" s="62" t="s">
        <v>2421</v>
      </c>
      <c r="Q760" s="66" t="s">
        <v>1972</v>
      </c>
    </row>
    <row r="761" spans="1:17" x14ac:dyDescent="0.3">
      <c r="A761" s="61" t="s">
        <v>2089</v>
      </c>
      <c r="B761" s="62" t="s">
        <v>1041</v>
      </c>
      <c r="C761" s="62" t="s">
        <v>1042</v>
      </c>
      <c r="D761" s="63">
        <v>44942</v>
      </c>
      <c r="E761" s="63">
        <v>46038</v>
      </c>
      <c r="F761" s="62" t="s">
        <v>1945</v>
      </c>
      <c r="G761" s="62" t="s">
        <v>403</v>
      </c>
      <c r="H761" s="62" t="s">
        <v>373</v>
      </c>
      <c r="I761" s="64">
        <v>649619.5</v>
      </c>
      <c r="J761" s="62" t="s">
        <v>373</v>
      </c>
      <c r="K761" s="62" t="s">
        <v>638</v>
      </c>
      <c r="L761" s="65"/>
      <c r="M761" s="62" t="s">
        <v>825</v>
      </c>
      <c r="N761" s="62" t="s">
        <v>644</v>
      </c>
      <c r="O761" s="62" t="s">
        <v>371</v>
      </c>
      <c r="P761" s="62" t="s">
        <v>2421</v>
      </c>
      <c r="Q761" s="66" t="s">
        <v>1972</v>
      </c>
    </row>
    <row r="762" spans="1:17" x14ac:dyDescent="0.3">
      <c r="A762" s="61" t="s">
        <v>2090</v>
      </c>
      <c r="B762" s="62" t="s">
        <v>1044</v>
      </c>
      <c r="C762" s="62" t="s">
        <v>1045</v>
      </c>
      <c r="D762" s="63">
        <v>45288</v>
      </c>
      <c r="E762" s="63">
        <v>46689</v>
      </c>
      <c r="F762" s="62" t="s">
        <v>350</v>
      </c>
      <c r="G762" s="62" t="s">
        <v>350</v>
      </c>
      <c r="H762" s="62" t="s">
        <v>2420</v>
      </c>
      <c r="I762" s="64">
        <v>5000000</v>
      </c>
      <c r="J762" s="62" t="s">
        <v>305</v>
      </c>
      <c r="K762" s="62" t="s">
        <v>377</v>
      </c>
      <c r="L762" s="65"/>
      <c r="M762" s="62" t="s">
        <v>1518</v>
      </c>
      <c r="N762" s="62" t="s">
        <v>949</v>
      </c>
      <c r="O762" s="62" t="s">
        <v>309</v>
      </c>
      <c r="P762" s="62" t="s">
        <v>2421</v>
      </c>
      <c r="Q762" s="66" t="s">
        <v>1971</v>
      </c>
    </row>
    <row r="763" spans="1:17" x14ac:dyDescent="0.3">
      <c r="A763" s="61" t="s">
        <v>2091</v>
      </c>
      <c r="B763" s="62" t="s">
        <v>1046</v>
      </c>
      <c r="C763" s="62" t="s">
        <v>1047</v>
      </c>
      <c r="D763" s="63">
        <v>45243</v>
      </c>
      <c r="E763" s="63">
        <v>46216</v>
      </c>
      <c r="F763" s="62" t="s">
        <v>348</v>
      </c>
      <c r="G763" s="62" t="s">
        <v>348</v>
      </c>
      <c r="H763" s="62" t="s">
        <v>467</v>
      </c>
      <c r="I763" s="64">
        <v>342143</v>
      </c>
      <c r="J763" s="62" t="s">
        <v>468</v>
      </c>
      <c r="K763" s="62" t="s">
        <v>467</v>
      </c>
      <c r="L763" s="65"/>
      <c r="M763" s="62" t="s">
        <v>424</v>
      </c>
      <c r="N763" s="62" t="s">
        <v>971</v>
      </c>
      <c r="O763" s="62" t="s">
        <v>358</v>
      </c>
      <c r="P763" s="62" t="s">
        <v>2421</v>
      </c>
      <c r="Q763" s="66" t="s">
        <v>1975</v>
      </c>
    </row>
    <row r="764" spans="1:17" x14ac:dyDescent="0.3">
      <c r="A764" s="61" t="s">
        <v>2092</v>
      </c>
      <c r="B764" s="62" t="s">
        <v>1048</v>
      </c>
      <c r="C764" s="62" t="s">
        <v>1049</v>
      </c>
      <c r="D764" s="63">
        <v>45293</v>
      </c>
      <c r="E764" s="63">
        <v>46216</v>
      </c>
      <c r="F764" s="62" t="s">
        <v>348</v>
      </c>
      <c r="G764" s="62" t="s">
        <v>348</v>
      </c>
      <c r="H764" s="62" t="s">
        <v>467</v>
      </c>
      <c r="I764" s="64">
        <v>580084</v>
      </c>
      <c r="J764" s="62" t="s">
        <v>468</v>
      </c>
      <c r="K764" s="62" t="s">
        <v>467</v>
      </c>
      <c r="L764" s="65"/>
      <c r="M764" s="62" t="s">
        <v>424</v>
      </c>
      <c r="N764" s="62" t="s">
        <v>971</v>
      </c>
      <c r="O764" s="62" t="s">
        <v>358</v>
      </c>
      <c r="P764" s="62" t="s">
        <v>2421</v>
      </c>
      <c r="Q764" s="66" t="s">
        <v>1975</v>
      </c>
    </row>
    <row r="765" spans="1:17" x14ac:dyDescent="0.3">
      <c r="A765" s="61" t="s">
        <v>2093</v>
      </c>
      <c r="B765" s="62" t="s">
        <v>1050</v>
      </c>
      <c r="C765" s="62" t="s">
        <v>1051</v>
      </c>
      <c r="D765" s="63">
        <v>44927</v>
      </c>
      <c r="E765" s="63">
        <v>46023</v>
      </c>
      <c r="F765" s="62" t="s">
        <v>282</v>
      </c>
      <c r="G765" s="62" t="s">
        <v>304</v>
      </c>
      <c r="H765" s="62" t="s">
        <v>373</v>
      </c>
      <c r="I765" s="64">
        <v>290157.75</v>
      </c>
      <c r="J765" s="62" t="s">
        <v>373</v>
      </c>
      <c r="K765" s="62" t="s">
        <v>1693</v>
      </c>
      <c r="L765" s="65"/>
      <c r="M765" s="62" t="s">
        <v>424</v>
      </c>
      <c r="N765" s="62" t="s">
        <v>551</v>
      </c>
      <c r="O765" s="62" t="s">
        <v>428</v>
      </c>
      <c r="P765" s="62" t="s">
        <v>2421</v>
      </c>
      <c r="Q765" s="66" t="s">
        <v>2021</v>
      </c>
    </row>
    <row r="766" spans="1:17" x14ac:dyDescent="0.3">
      <c r="A766" s="61" t="s">
        <v>2093</v>
      </c>
      <c r="B766" s="62" t="s">
        <v>1050</v>
      </c>
      <c r="C766" s="62" t="s">
        <v>1051</v>
      </c>
      <c r="D766" s="63">
        <v>44927</v>
      </c>
      <c r="E766" s="63">
        <v>46023</v>
      </c>
      <c r="F766" s="62" t="s">
        <v>289</v>
      </c>
      <c r="G766" s="62" t="s">
        <v>304</v>
      </c>
      <c r="H766" s="62" t="s">
        <v>373</v>
      </c>
      <c r="I766" s="64">
        <v>290157.75</v>
      </c>
      <c r="J766" s="62" t="s">
        <v>373</v>
      </c>
      <c r="K766" s="62" t="s">
        <v>1693</v>
      </c>
      <c r="L766" s="65"/>
      <c r="M766" s="62" t="s">
        <v>424</v>
      </c>
      <c r="N766" s="62" t="s">
        <v>551</v>
      </c>
      <c r="O766" s="62" t="s">
        <v>428</v>
      </c>
      <c r="P766" s="62" t="s">
        <v>2421</v>
      </c>
      <c r="Q766" s="66" t="s">
        <v>2021</v>
      </c>
    </row>
    <row r="767" spans="1:17" x14ac:dyDescent="0.3">
      <c r="A767" s="61" t="s">
        <v>2093</v>
      </c>
      <c r="B767" s="62" t="s">
        <v>1050</v>
      </c>
      <c r="C767" s="62" t="s">
        <v>1051</v>
      </c>
      <c r="D767" s="63">
        <v>44927</v>
      </c>
      <c r="E767" s="63">
        <v>46023</v>
      </c>
      <c r="F767" s="62" t="s">
        <v>1941</v>
      </c>
      <c r="G767" s="62" t="s">
        <v>304</v>
      </c>
      <c r="H767" s="62" t="s">
        <v>373</v>
      </c>
      <c r="I767" s="64">
        <v>290157.75</v>
      </c>
      <c r="J767" s="62" t="s">
        <v>373</v>
      </c>
      <c r="K767" s="62" t="s">
        <v>1693</v>
      </c>
      <c r="L767" s="65"/>
      <c r="M767" s="62" t="s">
        <v>424</v>
      </c>
      <c r="N767" s="62" t="s">
        <v>551</v>
      </c>
      <c r="O767" s="62" t="s">
        <v>428</v>
      </c>
      <c r="P767" s="62" t="s">
        <v>2421</v>
      </c>
      <c r="Q767" s="66" t="s">
        <v>2021</v>
      </c>
    </row>
    <row r="768" spans="1:17" x14ac:dyDescent="0.3">
      <c r="A768" s="61" t="s">
        <v>2093</v>
      </c>
      <c r="B768" s="62" t="s">
        <v>1050</v>
      </c>
      <c r="C768" s="62" t="s">
        <v>1051</v>
      </c>
      <c r="D768" s="63">
        <v>44927</v>
      </c>
      <c r="E768" s="63">
        <v>46023</v>
      </c>
      <c r="F768" s="62" t="s">
        <v>1945</v>
      </c>
      <c r="G768" s="62" t="s">
        <v>304</v>
      </c>
      <c r="H768" s="62" t="s">
        <v>373</v>
      </c>
      <c r="I768" s="64">
        <v>290157.75</v>
      </c>
      <c r="J768" s="62" t="s">
        <v>373</v>
      </c>
      <c r="K768" s="62" t="s">
        <v>1693</v>
      </c>
      <c r="L768" s="65"/>
      <c r="M768" s="62" t="s">
        <v>424</v>
      </c>
      <c r="N768" s="62" t="s">
        <v>551</v>
      </c>
      <c r="O768" s="62" t="s">
        <v>428</v>
      </c>
      <c r="P768" s="62" t="s">
        <v>2421</v>
      </c>
      <c r="Q768" s="66" t="s">
        <v>2021</v>
      </c>
    </row>
    <row r="769" spans="1:17" x14ac:dyDescent="0.3">
      <c r="A769" s="61" t="s">
        <v>2094</v>
      </c>
      <c r="B769" s="62" t="s">
        <v>1052</v>
      </c>
      <c r="C769" s="62" t="s">
        <v>1053</v>
      </c>
      <c r="D769" s="63">
        <v>45253</v>
      </c>
      <c r="E769" s="63">
        <v>46349</v>
      </c>
      <c r="F769" s="62" t="s">
        <v>1959</v>
      </c>
      <c r="G769" s="62" t="s">
        <v>466</v>
      </c>
      <c r="H769" s="62" t="s">
        <v>467</v>
      </c>
      <c r="I769" s="64">
        <v>68193.625</v>
      </c>
      <c r="J769" s="62" t="s">
        <v>468</v>
      </c>
      <c r="K769" s="62" t="s">
        <v>467</v>
      </c>
      <c r="L769" s="65"/>
      <c r="M769" s="62" t="s">
        <v>424</v>
      </c>
      <c r="N769" s="62" t="s">
        <v>579</v>
      </c>
      <c r="O769" s="62" t="s">
        <v>428</v>
      </c>
      <c r="P769" s="62" t="s">
        <v>2421</v>
      </c>
      <c r="Q769" s="66" t="s">
        <v>2021</v>
      </c>
    </row>
    <row r="770" spans="1:17" x14ac:dyDescent="0.3">
      <c r="A770" s="61" t="s">
        <v>2094</v>
      </c>
      <c r="B770" s="62" t="s">
        <v>1052</v>
      </c>
      <c r="C770" s="62" t="s">
        <v>1053</v>
      </c>
      <c r="D770" s="63">
        <v>45253</v>
      </c>
      <c r="E770" s="63">
        <v>46349</v>
      </c>
      <c r="F770" s="62" t="s">
        <v>1959</v>
      </c>
      <c r="G770" s="62" t="s">
        <v>583</v>
      </c>
      <c r="H770" s="62" t="s">
        <v>467</v>
      </c>
      <c r="I770" s="64">
        <v>68193.625</v>
      </c>
      <c r="J770" s="62" t="s">
        <v>468</v>
      </c>
      <c r="K770" s="62" t="s">
        <v>467</v>
      </c>
      <c r="L770" s="65"/>
      <c r="M770" s="62" t="s">
        <v>424</v>
      </c>
      <c r="N770" s="62" t="s">
        <v>579</v>
      </c>
      <c r="O770" s="62" t="s">
        <v>428</v>
      </c>
      <c r="P770" s="62" t="s">
        <v>2421</v>
      </c>
      <c r="Q770" s="66" t="s">
        <v>2021</v>
      </c>
    </row>
    <row r="771" spans="1:17" x14ac:dyDescent="0.3">
      <c r="A771" s="61" t="s">
        <v>2094</v>
      </c>
      <c r="B771" s="62" t="s">
        <v>1052</v>
      </c>
      <c r="C771" s="62" t="s">
        <v>1053</v>
      </c>
      <c r="D771" s="63">
        <v>45253</v>
      </c>
      <c r="E771" s="63">
        <v>46349</v>
      </c>
      <c r="F771" s="62" t="s">
        <v>1959</v>
      </c>
      <c r="G771" s="62" t="s">
        <v>795</v>
      </c>
      <c r="H771" s="62" t="s">
        <v>467</v>
      </c>
      <c r="I771" s="64">
        <v>68193.625</v>
      </c>
      <c r="J771" s="62" t="s">
        <v>468</v>
      </c>
      <c r="K771" s="62" t="s">
        <v>467</v>
      </c>
      <c r="L771" s="65"/>
      <c r="M771" s="62" t="s">
        <v>424</v>
      </c>
      <c r="N771" s="62" t="s">
        <v>579</v>
      </c>
      <c r="O771" s="62" t="s">
        <v>428</v>
      </c>
      <c r="P771" s="62" t="s">
        <v>2421</v>
      </c>
      <c r="Q771" s="66" t="s">
        <v>2021</v>
      </c>
    </row>
    <row r="772" spans="1:17" x14ac:dyDescent="0.3">
      <c r="A772" s="61" t="s">
        <v>2094</v>
      </c>
      <c r="B772" s="62" t="s">
        <v>1052</v>
      </c>
      <c r="C772" s="62" t="s">
        <v>1053</v>
      </c>
      <c r="D772" s="63">
        <v>45253</v>
      </c>
      <c r="E772" s="63">
        <v>46349</v>
      </c>
      <c r="F772" s="62" t="s">
        <v>1959</v>
      </c>
      <c r="G772" s="62" t="s">
        <v>808</v>
      </c>
      <c r="H772" s="62" t="s">
        <v>467</v>
      </c>
      <c r="I772" s="64">
        <v>68193.625</v>
      </c>
      <c r="J772" s="62" t="s">
        <v>468</v>
      </c>
      <c r="K772" s="62" t="s">
        <v>467</v>
      </c>
      <c r="L772" s="65"/>
      <c r="M772" s="62" t="s">
        <v>424</v>
      </c>
      <c r="N772" s="62" t="s">
        <v>579</v>
      </c>
      <c r="O772" s="62" t="s">
        <v>428</v>
      </c>
      <c r="P772" s="62" t="s">
        <v>2421</v>
      </c>
      <c r="Q772" s="66" t="s">
        <v>2021</v>
      </c>
    </row>
    <row r="773" spans="1:17" x14ac:dyDescent="0.3">
      <c r="A773" s="61" t="s">
        <v>2094</v>
      </c>
      <c r="B773" s="62" t="s">
        <v>1052</v>
      </c>
      <c r="C773" s="62" t="s">
        <v>1053</v>
      </c>
      <c r="D773" s="63">
        <v>45253</v>
      </c>
      <c r="E773" s="63">
        <v>46349</v>
      </c>
      <c r="F773" s="62" t="s">
        <v>1945</v>
      </c>
      <c r="G773" s="62" t="s">
        <v>402</v>
      </c>
      <c r="H773" s="62" t="s">
        <v>467</v>
      </c>
      <c r="I773" s="64">
        <v>90924.833333333299</v>
      </c>
      <c r="J773" s="62" t="s">
        <v>468</v>
      </c>
      <c r="K773" s="62" t="s">
        <v>467</v>
      </c>
      <c r="L773" s="65"/>
      <c r="M773" s="62" t="s">
        <v>424</v>
      </c>
      <c r="N773" s="62" t="s">
        <v>579</v>
      </c>
      <c r="O773" s="62" t="s">
        <v>428</v>
      </c>
      <c r="P773" s="62" t="s">
        <v>2421</v>
      </c>
      <c r="Q773" s="66" t="s">
        <v>2021</v>
      </c>
    </row>
    <row r="774" spans="1:17" x14ac:dyDescent="0.3">
      <c r="A774" s="61" t="s">
        <v>2094</v>
      </c>
      <c r="B774" s="62" t="s">
        <v>1052</v>
      </c>
      <c r="C774" s="62" t="s">
        <v>1053</v>
      </c>
      <c r="D774" s="63">
        <v>45253</v>
      </c>
      <c r="E774" s="63">
        <v>46349</v>
      </c>
      <c r="F774" s="62" t="s">
        <v>1945</v>
      </c>
      <c r="G774" s="62" t="s">
        <v>403</v>
      </c>
      <c r="H774" s="62" t="s">
        <v>467</v>
      </c>
      <c r="I774" s="64">
        <v>90924.833333333299</v>
      </c>
      <c r="J774" s="62" t="s">
        <v>468</v>
      </c>
      <c r="K774" s="62" t="s">
        <v>467</v>
      </c>
      <c r="L774" s="65"/>
      <c r="M774" s="62" t="s">
        <v>424</v>
      </c>
      <c r="N774" s="62" t="s">
        <v>579</v>
      </c>
      <c r="O774" s="62" t="s">
        <v>428</v>
      </c>
      <c r="P774" s="62" t="s">
        <v>2421</v>
      </c>
      <c r="Q774" s="66" t="s">
        <v>2021</v>
      </c>
    </row>
    <row r="775" spans="1:17" x14ac:dyDescent="0.3">
      <c r="A775" s="61" t="s">
        <v>2094</v>
      </c>
      <c r="B775" s="62" t="s">
        <v>1052</v>
      </c>
      <c r="C775" s="62" t="s">
        <v>1053</v>
      </c>
      <c r="D775" s="63">
        <v>45253</v>
      </c>
      <c r="E775" s="63">
        <v>46349</v>
      </c>
      <c r="F775" s="62" t="s">
        <v>1945</v>
      </c>
      <c r="G775" s="62" t="s">
        <v>404</v>
      </c>
      <c r="H775" s="62" t="s">
        <v>467</v>
      </c>
      <c r="I775" s="64">
        <v>90924.833333333299</v>
      </c>
      <c r="J775" s="62" t="s">
        <v>468</v>
      </c>
      <c r="K775" s="62" t="s">
        <v>467</v>
      </c>
      <c r="L775" s="65"/>
      <c r="M775" s="62" t="s">
        <v>424</v>
      </c>
      <c r="N775" s="62" t="s">
        <v>579</v>
      </c>
      <c r="O775" s="62" t="s">
        <v>428</v>
      </c>
      <c r="P775" s="62" t="s">
        <v>2421</v>
      </c>
      <c r="Q775" s="66" t="s">
        <v>2021</v>
      </c>
    </row>
    <row r="776" spans="1:17" x14ac:dyDescent="0.3">
      <c r="A776" s="61" t="s">
        <v>2095</v>
      </c>
      <c r="B776" s="62" t="s">
        <v>1054</v>
      </c>
      <c r="C776" s="62" t="s">
        <v>1055</v>
      </c>
      <c r="D776" s="63">
        <v>45293</v>
      </c>
      <c r="E776" s="63">
        <v>46348</v>
      </c>
      <c r="F776" s="62" t="s">
        <v>1959</v>
      </c>
      <c r="G776" s="62" t="s">
        <v>466</v>
      </c>
      <c r="H776" s="62" t="s">
        <v>467</v>
      </c>
      <c r="I776" s="64">
        <v>68406.125</v>
      </c>
      <c r="J776" s="62" t="s">
        <v>468</v>
      </c>
      <c r="K776" s="62" t="s">
        <v>467</v>
      </c>
      <c r="L776" s="65"/>
      <c r="M776" s="62" t="s">
        <v>424</v>
      </c>
      <c r="N776" s="62" t="s">
        <v>579</v>
      </c>
      <c r="O776" s="62" t="s">
        <v>428</v>
      </c>
      <c r="P776" s="62" t="s">
        <v>2421</v>
      </c>
      <c r="Q776" s="66" t="s">
        <v>2021</v>
      </c>
    </row>
    <row r="777" spans="1:17" x14ac:dyDescent="0.3">
      <c r="A777" s="61" t="s">
        <v>2095</v>
      </c>
      <c r="B777" s="62" t="s">
        <v>1054</v>
      </c>
      <c r="C777" s="62" t="s">
        <v>1055</v>
      </c>
      <c r="D777" s="63">
        <v>45293</v>
      </c>
      <c r="E777" s="63">
        <v>46348</v>
      </c>
      <c r="F777" s="62" t="s">
        <v>1959</v>
      </c>
      <c r="G777" s="62" t="s">
        <v>583</v>
      </c>
      <c r="H777" s="62" t="s">
        <v>467</v>
      </c>
      <c r="I777" s="64">
        <v>68406.125</v>
      </c>
      <c r="J777" s="62" t="s">
        <v>468</v>
      </c>
      <c r="K777" s="62" t="s">
        <v>467</v>
      </c>
      <c r="L777" s="65"/>
      <c r="M777" s="62" t="s">
        <v>424</v>
      </c>
      <c r="N777" s="62" t="s">
        <v>579</v>
      </c>
      <c r="O777" s="62" t="s">
        <v>428</v>
      </c>
      <c r="P777" s="62" t="s">
        <v>2421</v>
      </c>
      <c r="Q777" s="66" t="s">
        <v>2021</v>
      </c>
    </row>
    <row r="778" spans="1:17" x14ac:dyDescent="0.3">
      <c r="A778" s="61" t="s">
        <v>2095</v>
      </c>
      <c r="B778" s="62" t="s">
        <v>1054</v>
      </c>
      <c r="C778" s="62" t="s">
        <v>1055</v>
      </c>
      <c r="D778" s="63">
        <v>45293</v>
      </c>
      <c r="E778" s="63">
        <v>46348</v>
      </c>
      <c r="F778" s="62" t="s">
        <v>1959</v>
      </c>
      <c r="G778" s="62" t="s">
        <v>795</v>
      </c>
      <c r="H778" s="62" t="s">
        <v>467</v>
      </c>
      <c r="I778" s="64">
        <v>68406.125</v>
      </c>
      <c r="J778" s="62" t="s">
        <v>468</v>
      </c>
      <c r="K778" s="62" t="s">
        <v>467</v>
      </c>
      <c r="L778" s="65"/>
      <c r="M778" s="62" t="s">
        <v>424</v>
      </c>
      <c r="N778" s="62" t="s">
        <v>579</v>
      </c>
      <c r="O778" s="62" t="s">
        <v>428</v>
      </c>
      <c r="P778" s="62" t="s">
        <v>2421</v>
      </c>
      <c r="Q778" s="66" t="s">
        <v>2021</v>
      </c>
    </row>
    <row r="779" spans="1:17" x14ac:dyDescent="0.3">
      <c r="A779" s="61" t="s">
        <v>2095</v>
      </c>
      <c r="B779" s="62" t="s">
        <v>1054</v>
      </c>
      <c r="C779" s="62" t="s">
        <v>1055</v>
      </c>
      <c r="D779" s="63">
        <v>45293</v>
      </c>
      <c r="E779" s="63">
        <v>46348</v>
      </c>
      <c r="F779" s="62" t="s">
        <v>1959</v>
      </c>
      <c r="G779" s="62" t="s">
        <v>808</v>
      </c>
      <c r="H779" s="62" t="s">
        <v>467</v>
      </c>
      <c r="I779" s="64">
        <v>68406.125</v>
      </c>
      <c r="J779" s="62" t="s">
        <v>468</v>
      </c>
      <c r="K779" s="62" t="s">
        <v>467</v>
      </c>
      <c r="L779" s="65"/>
      <c r="M779" s="62" t="s">
        <v>424</v>
      </c>
      <c r="N779" s="62" t="s">
        <v>579</v>
      </c>
      <c r="O779" s="62" t="s">
        <v>428</v>
      </c>
      <c r="P779" s="62" t="s">
        <v>2421</v>
      </c>
      <c r="Q779" s="66" t="s">
        <v>2021</v>
      </c>
    </row>
    <row r="780" spans="1:17" x14ac:dyDescent="0.3">
      <c r="A780" s="61" t="s">
        <v>2095</v>
      </c>
      <c r="B780" s="62" t="s">
        <v>1054</v>
      </c>
      <c r="C780" s="62" t="s">
        <v>1055</v>
      </c>
      <c r="D780" s="63">
        <v>45293</v>
      </c>
      <c r="E780" s="63">
        <v>46348</v>
      </c>
      <c r="F780" s="62" t="s">
        <v>1945</v>
      </c>
      <c r="G780" s="62" t="s">
        <v>402</v>
      </c>
      <c r="H780" s="62" t="s">
        <v>467</v>
      </c>
      <c r="I780" s="64">
        <v>91208.166666666701</v>
      </c>
      <c r="J780" s="62" t="s">
        <v>468</v>
      </c>
      <c r="K780" s="62" t="s">
        <v>467</v>
      </c>
      <c r="L780" s="65"/>
      <c r="M780" s="62" t="s">
        <v>424</v>
      </c>
      <c r="N780" s="62" t="s">
        <v>579</v>
      </c>
      <c r="O780" s="62" t="s">
        <v>428</v>
      </c>
      <c r="P780" s="62" t="s">
        <v>2421</v>
      </c>
      <c r="Q780" s="66" t="s">
        <v>2021</v>
      </c>
    </row>
    <row r="781" spans="1:17" x14ac:dyDescent="0.3">
      <c r="A781" s="61" t="s">
        <v>2095</v>
      </c>
      <c r="B781" s="62" t="s">
        <v>1054</v>
      </c>
      <c r="C781" s="62" t="s">
        <v>1055</v>
      </c>
      <c r="D781" s="63">
        <v>45293</v>
      </c>
      <c r="E781" s="63">
        <v>46348</v>
      </c>
      <c r="F781" s="62" t="s">
        <v>1945</v>
      </c>
      <c r="G781" s="62" t="s">
        <v>403</v>
      </c>
      <c r="H781" s="62" t="s">
        <v>467</v>
      </c>
      <c r="I781" s="64">
        <v>91208.166666666701</v>
      </c>
      <c r="J781" s="62" t="s">
        <v>468</v>
      </c>
      <c r="K781" s="62" t="s">
        <v>467</v>
      </c>
      <c r="L781" s="65"/>
      <c r="M781" s="62" t="s">
        <v>424</v>
      </c>
      <c r="N781" s="62" t="s">
        <v>579</v>
      </c>
      <c r="O781" s="62" t="s">
        <v>428</v>
      </c>
      <c r="P781" s="62" t="s">
        <v>2421</v>
      </c>
      <c r="Q781" s="66" t="s">
        <v>2021</v>
      </c>
    </row>
    <row r="782" spans="1:17" x14ac:dyDescent="0.3">
      <c r="A782" s="61" t="s">
        <v>2095</v>
      </c>
      <c r="B782" s="62" t="s">
        <v>1054</v>
      </c>
      <c r="C782" s="62" t="s">
        <v>1055</v>
      </c>
      <c r="D782" s="63">
        <v>45293</v>
      </c>
      <c r="E782" s="63">
        <v>46348</v>
      </c>
      <c r="F782" s="62" t="s">
        <v>1945</v>
      </c>
      <c r="G782" s="62" t="s">
        <v>404</v>
      </c>
      <c r="H782" s="62" t="s">
        <v>467</v>
      </c>
      <c r="I782" s="64">
        <v>91208.166666666701</v>
      </c>
      <c r="J782" s="62" t="s">
        <v>468</v>
      </c>
      <c r="K782" s="62" t="s">
        <v>467</v>
      </c>
      <c r="L782" s="65"/>
      <c r="M782" s="62" t="s">
        <v>424</v>
      </c>
      <c r="N782" s="62" t="s">
        <v>579</v>
      </c>
      <c r="O782" s="62" t="s">
        <v>428</v>
      </c>
      <c r="P782" s="62" t="s">
        <v>2421</v>
      </c>
      <c r="Q782" s="66" t="s">
        <v>2021</v>
      </c>
    </row>
    <row r="783" spans="1:17" x14ac:dyDescent="0.3">
      <c r="A783" s="61" t="s">
        <v>2096</v>
      </c>
      <c r="B783" s="62" t="s">
        <v>1056</v>
      </c>
      <c r="C783" s="62" t="s">
        <v>1055</v>
      </c>
      <c r="D783" s="63">
        <v>45659</v>
      </c>
      <c r="E783" s="63">
        <v>46349</v>
      </c>
      <c r="F783" s="62" t="s">
        <v>1959</v>
      </c>
      <c r="G783" s="62" t="s">
        <v>466</v>
      </c>
      <c r="H783" s="62" t="s">
        <v>467</v>
      </c>
      <c r="I783" s="64">
        <v>69193.75</v>
      </c>
      <c r="J783" s="62" t="s">
        <v>468</v>
      </c>
      <c r="K783" s="62" t="s">
        <v>467</v>
      </c>
      <c r="L783" s="65"/>
      <c r="M783" s="62" t="s">
        <v>424</v>
      </c>
      <c r="N783" s="62" t="s">
        <v>579</v>
      </c>
      <c r="O783" s="62" t="s">
        <v>428</v>
      </c>
      <c r="P783" s="62" t="s">
        <v>2421</v>
      </c>
      <c r="Q783" s="66" t="s">
        <v>2021</v>
      </c>
    </row>
    <row r="784" spans="1:17" x14ac:dyDescent="0.3">
      <c r="A784" s="61" t="s">
        <v>2096</v>
      </c>
      <c r="B784" s="62" t="s">
        <v>1056</v>
      </c>
      <c r="C784" s="62" t="s">
        <v>1055</v>
      </c>
      <c r="D784" s="63">
        <v>45659</v>
      </c>
      <c r="E784" s="63">
        <v>46349</v>
      </c>
      <c r="F784" s="62" t="s">
        <v>1959</v>
      </c>
      <c r="G784" s="62" t="s">
        <v>583</v>
      </c>
      <c r="H784" s="62" t="s">
        <v>467</v>
      </c>
      <c r="I784" s="64">
        <v>69193.75</v>
      </c>
      <c r="J784" s="62" t="s">
        <v>468</v>
      </c>
      <c r="K784" s="62" t="s">
        <v>467</v>
      </c>
      <c r="L784" s="65"/>
      <c r="M784" s="62" t="s">
        <v>424</v>
      </c>
      <c r="N784" s="62" t="s">
        <v>579</v>
      </c>
      <c r="O784" s="62" t="s">
        <v>428</v>
      </c>
      <c r="P784" s="62" t="s">
        <v>2421</v>
      </c>
      <c r="Q784" s="66" t="s">
        <v>2021</v>
      </c>
    </row>
    <row r="785" spans="1:17" x14ac:dyDescent="0.3">
      <c r="A785" s="61" t="s">
        <v>2096</v>
      </c>
      <c r="B785" s="62" t="s">
        <v>1056</v>
      </c>
      <c r="C785" s="62" t="s">
        <v>1055</v>
      </c>
      <c r="D785" s="63">
        <v>45659</v>
      </c>
      <c r="E785" s="63">
        <v>46349</v>
      </c>
      <c r="F785" s="62" t="s">
        <v>1959</v>
      </c>
      <c r="G785" s="62" t="s">
        <v>795</v>
      </c>
      <c r="H785" s="62" t="s">
        <v>467</v>
      </c>
      <c r="I785" s="64">
        <v>69193.75</v>
      </c>
      <c r="J785" s="62" t="s">
        <v>468</v>
      </c>
      <c r="K785" s="62" t="s">
        <v>467</v>
      </c>
      <c r="L785" s="65"/>
      <c r="M785" s="62" t="s">
        <v>424</v>
      </c>
      <c r="N785" s="62" t="s">
        <v>579</v>
      </c>
      <c r="O785" s="62" t="s">
        <v>428</v>
      </c>
      <c r="P785" s="62" t="s">
        <v>2421</v>
      </c>
      <c r="Q785" s="66" t="s">
        <v>2021</v>
      </c>
    </row>
    <row r="786" spans="1:17" x14ac:dyDescent="0.3">
      <c r="A786" s="61" t="s">
        <v>2096</v>
      </c>
      <c r="B786" s="62" t="s">
        <v>1056</v>
      </c>
      <c r="C786" s="62" t="s">
        <v>1055</v>
      </c>
      <c r="D786" s="63">
        <v>45659</v>
      </c>
      <c r="E786" s="63">
        <v>46349</v>
      </c>
      <c r="F786" s="62" t="s">
        <v>1959</v>
      </c>
      <c r="G786" s="62" t="s">
        <v>808</v>
      </c>
      <c r="H786" s="62" t="s">
        <v>467</v>
      </c>
      <c r="I786" s="64">
        <v>69193.75</v>
      </c>
      <c r="J786" s="62" t="s">
        <v>468</v>
      </c>
      <c r="K786" s="62" t="s">
        <v>467</v>
      </c>
      <c r="L786" s="65"/>
      <c r="M786" s="62" t="s">
        <v>424</v>
      </c>
      <c r="N786" s="62" t="s">
        <v>579</v>
      </c>
      <c r="O786" s="62" t="s">
        <v>428</v>
      </c>
      <c r="P786" s="62" t="s">
        <v>2421</v>
      </c>
      <c r="Q786" s="66" t="s">
        <v>2021</v>
      </c>
    </row>
    <row r="787" spans="1:17" x14ac:dyDescent="0.3">
      <c r="A787" s="61" t="s">
        <v>2096</v>
      </c>
      <c r="B787" s="62" t="s">
        <v>1056</v>
      </c>
      <c r="C787" s="62" t="s">
        <v>1055</v>
      </c>
      <c r="D787" s="63">
        <v>45659</v>
      </c>
      <c r="E787" s="63">
        <v>46349</v>
      </c>
      <c r="F787" s="62" t="s">
        <v>1945</v>
      </c>
      <c r="G787" s="62" t="s">
        <v>402</v>
      </c>
      <c r="H787" s="62" t="s">
        <v>467</v>
      </c>
      <c r="I787" s="64">
        <v>92258.333333333299</v>
      </c>
      <c r="J787" s="62" t="s">
        <v>468</v>
      </c>
      <c r="K787" s="62" t="s">
        <v>467</v>
      </c>
      <c r="L787" s="65"/>
      <c r="M787" s="62" t="s">
        <v>424</v>
      </c>
      <c r="N787" s="62" t="s">
        <v>579</v>
      </c>
      <c r="O787" s="62" t="s">
        <v>428</v>
      </c>
      <c r="P787" s="62" t="s">
        <v>2421</v>
      </c>
      <c r="Q787" s="66" t="s">
        <v>2021</v>
      </c>
    </row>
    <row r="788" spans="1:17" x14ac:dyDescent="0.3">
      <c r="A788" s="61" t="s">
        <v>2096</v>
      </c>
      <c r="B788" s="62" t="s">
        <v>1056</v>
      </c>
      <c r="C788" s="62" t="s">
        <v>1055</v>
      </c>
      <c r="D788" s="63">
        <v>45659</v>
      </c>
      <c r="E788" s="63">
        <v>46349</v>
      </c>
      <c r="F788" s="62" t="s">
        <v>1945</v>
      </c>
      <c r="G788" s="62" t="s">
        <v>403</v>
      </c>
      <c r="H788" s="62" t="s">
        <v>467</v>
      </c>
      <c r="I788" s="64">
        <v>92258.333333333299</v>
      </c>
      <c r="J788" s="62" t="s">
        <v>468</v>
      </c>
      <c r="K788" s="62" t="s">
        <v>467</v>
      </c>
      <c r="L788" s="65"/>
      <c r="M788" s="62" t="s">
        <v>424</v>
      </c>
      <c r="N788" s="62" t="s">
        <v>579</v>
      </c>
      <c r="O788" s="62" t="s">
        <v>428</v>
      </c>
      <c r="P788" s="62" t="s">
        <v>2421</v>
      </c>
      <c r="Q788" s="66" t="s">
        <v>2021</v>
      </c>
    </row>
    <row r="789" spans="1:17" x14ac:dyDescent="0.3">
      <c r="A789" s="61" t="s">
        <v>2096</v>
      </c>
      <c r="B789" s="62" t="s">
        <v>1056</v>
      </c>
      <c r="C789" s="62" t="s">
        <v>1055</v>
      </c>
      <c r="D789" s="63">
        <v>45659</v>
      </c>
      <c r="E789" s="63">
        <v>46349</v>
      </c>
      <c r="F789" s="62" t="s">
        <v>1945</v>
      </c>
      <c r="G789" s="62" t="s">
        <v>404</v>
      </c>
      <c r="H789" s="62" t="s">
        <v>467</v>
      </c>
      <c r="I789" s="64">
        <v>92258.333333333299</v>
      </c>
      <c r="J789" s="62" t="s">
        <v>468</v>
      </c>
      <c r="K789" s="62" t="s">
        <v>467</v>
      </c>
      <c r="L789" s="65"/>
      <c r="M789" s="62" t="s">
        <v>424</v>
      </c>
      <c r="N789" s="62" t="s">
        <v>579</v>
      </c>
      <c r="O789" s="62" t="s">
        <v>428</v>
      </c>
      <c r="P789" s="62" t="s">
        <v>2421</v>
      </c>
      <c r="Q789" s="66" t="s">
        <v>2021</v>
      </c>
    </row>
    <row r="790" spans="1:17" x14ac:dyDescent="0.3">
      <c r="A790" s="61" t="s">
        <v>2097</v>
      </c>
      <c r="B790" s="62" t="s">
        <v>1057</v>
      </c>
      <c r="C790" s="62" t="s">
        <v>1058</v>
      </c>
      <c r="D790" s="63">
        <v>45142</v>
      </c>
      <c r="E790" s="63">
        <v>46237</v>
      </c>
      <c r="F790" s="62" t="s">
        <v>350</v>
      </c>
      <c r="G790" s="62" t="s">
        <v>350</v>
      </c>
      <c r="H790" s="62" t="s">
        <v>2420</v>
      </c>
      <c r="I790" s="64">
        <v>108928.57</v>
      </c>
      <c r="J790" s="62" t="s">
        <v>2425</v>
      </c>
      <c r="K790" s="62" t="s">
        <v>377</v>
      </c>
      <c r="L790" s="65"/>
      <c r="M790" s="62" t="s">
        <v>424</v>
      </c>
      <c r="N790" s="62" t="s">
        <v>374</v>
      </c>
      <c r="O790" s="62" t="s">
        <v>375</v>
      </c>
      <c r="P790" s="62" t="s">
        <v>2421</v>
      </c>
      <c r="Q790" s="66" t="s">
        <v>1968</v>
      </c>
    </row>
    <row r="791" spans="1:17" x14ac:dyDescent="0.3">
      <c r="A791" s="61" t="s">
        <v>2098</v>
      </c>
      <c r="B791" s="62" t="s">
        <v>1059</v>
      </c>
      <c r="C791" s="62" t="s">
        <v>1060</v>
      </c>
      <c r="D791" s="63">
        <v>45301</v>
      </c>
      <c r="E791" s="63">
        <v>46507</v>
      </c>
      <c r="F791" s="62" t="s">
        <v>282</v>
      </c>
      <c r="G791" s="62" t="s">
        <v>283</v>
      </c>
      <c r="H791" s="62" t="s">
        <v>489</v>
      </c>
      <c r="I791" s="64">
        <v>2193796.25</v>
      </c>
      <c r="J791" s="62" t="s">
        <v>813</v>
      </c>
      <c r="K791" s="62" t="s">
        <v>489</v>
      </c>
      <c r="L791" s="65"/>
      <c r="M791" s="62" t="s">
        <v>1518</v>
      </c>
      <c r="N791" s="62" t="s">
        <v>812</v>
      </c>
      <c r="O791" s="62" t="s">
        <v>365</v>
      </c>
      <c r="P791" s="62" t="s">
        <v>2421</v>
      </c>
      <c r="Q791" s="66" t="s">
        <v>1971</v>
      </c>
    </row>
    <row r="792" spans="1:17" x14ac:dyDescent="0.3">
      <c r="A792" s="61" t="s">
        <v>2098</v>
      </c>
      <c r="B792" s="62" t="s">
        <v>1059</v>
      </c>
      <c r="C792" s="62" t="s">
        <v>1060</v>
      </c>
      <c r="D792" s="63">
        <v>45301</v>
      </c>
      <c r="E792" s="63">
        <v>46507</v>
      </c>
      <c r="F792" s="62" t="s">
        <v>348</v>
      </c>
      <c r="G792" s="62" t="s">
        <v>348</v>
      </c>
      <c r="H792" s="62" t="s">
        <v>489</v>
      </c>
      <c r="I792" s="64">
        <v>2193796.25</v>
      </c>
      <c r="J792" s="62" t="s">
        <v>813</v>
      </c>
      <c r="K792" s="62" t="s">
        <v>489</v>
      </c>
      <c r="L792" s="65"/>
      <c r="M792" s="62" t="s">
        <v>1518</v>
      </c>
      <c r="N792" s="62" t="s">
        <v>812</v>
      </c>
      <c r="O792" s="62" t="s">
        <v>365</v>
      </c>
      <c r="P792" s="62" t="s">
        <v>2421</v>
      </c>
      <c r="Q792" s="66" t="s">
        <v>1971</v>
      </c>
    </row>
    <row r="793" spans="1:17" x14ac:dyDescent="0.3">
      <c r="A793" s="61" t="s">
        <v>2098</v>
      </c>
      <c r="B793" s="62" t="s">
        <v>1059</v>
      </c>
      <c r="C793" s="62" t="s">
        <v>1060</v>
      </c>
      <c r="D793" s="63">
        <v>45301</v>
      </c>
      <c r="E793" s="63">
        <v>46507</v>
      </c>
      <c r="F793" s="62" t="s">
        <v>1922</v>
      </c>
      <c r="G793" s="62" t="s">
        <v>349</v>
      </c>
      <c r="H793" s="62" t="s">
        <v>489</v>
      </c>
      <c r="I793" s="64">
        <v>2193796.25</v>
      </c>
      <c r="J793" s="62" t="s">
        <v>813</v>
      </c>
      <c r="K793" s="62" t="s">
        <v>489</v>
      </c>
      <c r="L793" s="65"/>
      <c r="M793" s="62" t="s">
        <v>1518</v>
      </c>
      <c r="N793" s="62" t="s">
        <v>812</v>
      </c>
      <c r="O793" s="62" t="s">
        <v>365</v>
      </c>
      <c r="P793" s="62" t="s">
        <v>2421</v>
      </c>
      <c r="Q793" s="66" t="s">
        <v>1971</v>
      </c>
    </row>
    <row r="794" spans="1:17" x14ac:dyDescent="0.3">
      <c r="A794" s="61" t="s">
        <v>2098</v>
      </c>
      <c r="B794" s="62" t="s">
        <v>1059</v>
      </c>
      <c r="C794" s="62" t="s">
        <v>1060</v>
      </c>
      <c r="D794" s="63">
        <v>45301</v>
      </c>
      <c r="E794" s="63">
        <v>46507</v>
      </c>
      <c r="F794" s="62" t="s">
        <v>1945</v>
      </c>
      <c r="G794" s="62" t="s">
        <v>555</v>
      </c>
      <c r="H794" s="62" t="s">
        <v>489</v>
      </c>
      <c r="I794" s="64">
        <v>2193796.25</v>
      </c>
      <c r="J794" s="62" t="s">
        <v>813</v>
      </c>
      <c r="K794" s="62" t="s">
        <v>489</v>
      </c>
      <c r="L794" s="65"/>
      <c r="M794" s="62" t="s">
        <v>1518</v>
      </c>
      <c r="N794" s="62" t="s">
        <v>812</v>
      </c>
      <c r="O794" s="62" t="s">
        <v>365</v>
      </c>
      <c r="P794" s="62" t="s">
        <v>2421</v>
      </c>
      <c r="Q794" s="66" t="s">
        <v>1971</v>
      </c>
    </row>
    <row r="795" spans="1:17" x14ac:dyDescent="0.3">
      <c r="A795" s="61" t="s">
        <v>2099</v>
      </c>
      <c r="B795" s="62" t="s">
        <v>1061</v>
      </c>
      <c r="C795" s="62" t="s">
        <v>1062</v>
      </c>
      <c r="D795" s="63">
        <v>44797</v>
      </c>
      <c r="E795" s="63">
        <v>46257</v>
      </c>
      <c r="F795" s="62" t="s">
        <v>350</v>
      </c>
      <c r="G795" s="62" t="s">
        <v>350</v>
      </c>
      <c r="H795" s="62" t="s">
        <v>377</v>
      </c>
      <c r="I795" s="64">
        <v>20000000</v>
      </c>
      <c r="J795" s="62" t="s">
        <v>1063</v>
      </c>
      <c r="K795" s="62" t="s">
        <v>377</v>
      </c>
      <c r="L795" s="65"/>
      <c r="M795" s="62" t="s">
        <v>424</v>
      </c>
      <c r="N795" s="62" t="s">
        <v>644</v>
      </c>
      <c r="O795" s="62" t="s">
        <v>371</v>
      </c>
      <c r="P795" s="62" t="s">
        <v>2421</v>
      </c>
      <c r="Q795" s="66" t="s">
        <v>1986</v>
      </c>
    </row>
    <row r="796" spans="1:17" x14ac:dyDescent="0.3">
      <c r="A796" s="61" t="s">
        <v>2100</v>
      </c>
      <c r="B796" s="62" t="s">
        <v>1064</v>
      </c>
      <c r="C796" s="62" t="s">
        <v>1065</v>
      </c>
      <c r="D796" s="63">
        <v>45281</v>
      </c>
      <c r="E796" s="63">
        <v>46752</v>
      </c>
      <c r="F796" s="62" t="s">
        <v>350</v>
      </c>
      <c r="G796" s="62" t="s">
        <v>350</v>
      </c>
      <c r="H796" s="62" t="s">
        <v>360</v>
      </c>
      <c r="I796" s="64">
        <v>1258359</v>
      </c>
      <c r="J796" s="62" t="s">
        <v>361</v>
      </c>
      <c r="K796" s="62" t="s">
        <v>2433</v>
      </c>
      <c r="L796" s="65"/>
      <c r="M796" s="62" t="s">
        <v>424</v>
      </c>
      <c r="N796" s="62" t="s">
        <v>1066</v>
      </c>
      <c r="O796" s="62" t="s">
        <v>375</v>
      </c>
      <c r="P796" s="62" t="s">
        <v>2421</v>
      </c>
      <c r="Q796" s="66" t="s">
        <v>1968</v>
      </c>
    </row>
    <row r="797" spans="1:17" x14ac:dyDescent="0.3">
      <c r="A797" s="61" t="s">
        <v>2101</v>
      </c>
      <c r="B797" s="62" t="s">
        <v>1067</v>
      </c>
      <c r="C797" s="62" t="s">
        <v>1068</v>
      </c>
      <c r="D797" s="63">
        <v>45292</v>
      </c>
      <c r="E797" s="63">
        <v>46752</v>
      </c>
      <c r="F797" s="62" t="s">
        <v>1945</v>
      </c>
      <c r="G797" s="62" t="s">
        <v>555</v>
      </c>
      <c r="H797" s="62" t="s">
        <v>360</v>
      </c>
      <c r="I797" s="64">
        <v>1210413.27</v>
      </c>
      <c r="J797" s="62" t="s">
        <v>1069</v>
      </c>
      <c r="K797" s="62" t="s">
        <v>360</v>
      </c>
      <c r="L797" s="65"/>
      <c r="M797" s="62" t="s">
        <v>1518</v>
      </c>
      <c r="N797" s="62" t="s">
        <v>812</v>
      </c>
      <c r="O797" s="62" t="s">
        <v>365</v>
      </c>
      <c r="P797" s="62" t="s">
        <v>2421</v>
      </c>
      <c r="Q797" s="66" t="s">
        <v>1964</v>
      </c>
    </row>
    <row r="798" spans="1:17" x14ac:dyDescent="0.3">
      <c r="A798" s="61" t="s">
        <v>2102</v>
      </c>
      <c r="B798" s="62" t="s">
        <v>1073</v>
      </c>
      <c r="C798" s="62" t="s">
        <v>1074</v>
      </c>
      <c r="D798" s="63">
        <v>44440</v>
      </c>
      <c r="E798" s="63">
        <v>46265</v>
      </c>
      <c r="F798" s="62" t="s">
        <v>350</v>
      </c>
      <c r="G798" s="62" t="s">
        <v>350</v>
      </c>
      <c r="H798" s="62" t="s">
        <v>2427</v>
      </c>
      <c r="I798" s="64">
        <v>1500000</v>
      </c>
      <c r="J798" s="62" t="s">
        <v>1075</v>
      </c>
      <c r="K798" s="62" t="s">
        <v>377</v>
      </c>
      <c r="L798" s="65"/>
      <c r="M798" s="62" t="s">
        <v>424</v>
      </c>
      <c r="N798" s="62" t="s">
        <v>715</v>
      </c>
      <c r="O798" s="62" t="s">
        <v>347</v>
      </c>
      <c r="P798" s="62" t="s">
        <v>2421</v>
      </c>
      <c r="Q798" s="66" t="s">
        <v>1965</v>
      </c>
    </row>
    <row r="799" spans="1:17" x14ac:dyDescent="0.3">
      <c r="A799" s="61" t="s">
        <v>2103</v>
      </c>
      <c r="B799" s="62" t="s">
        <v>1076</v>
      </c>
      <c r="C799" s="62" t="s">
        <v>1077</v>
      </c>
      <c r="D799" s="63">
        <v>45096</v>
      </c>
      <c r="E799" s="63">
        <v>46356</v>
      </c>
      <c r="F799" s="62" t="s">
        <v>350</v>
      </c>
      <c r="G799" s="62" t="s">
        <v>350</v>
      </c>
      <c r="H799" s="62" t="s">
        <v>608</v>
      </c>
      <c r="I799" s="64">
        <v>1607313</v>
      </c>
      <c r="J799" s="62" t="s">
        <v>609</v>
      </c>
      <c r="K799" s="62" t="s">
        <v>608</v>
      </c>
      <c r="L799" s="65"/>
      <c r="M799" s="62" t="s">
        <v>825</v>
      </c>
      <c r="N799" s="62" t="s">
        <v>378</v>
      </c>
      <c r="O799" s="62" t="s">
        <v>371</v>
      </c>
      <c r="P799" s="62" t="s">
        <v>2421</v>
      </c>
      <c r="Q799" s="66" t="s">
        <v>1972</v>
      </c>
    </row>
    <row r="800" spans="1:17" x14ac:dyDescent="0.3">
      <c r="A800" s="61" t="s">
        <v>2104</v>
      </c>
      <c r="B800" s="62" t="s">
        <v>1078</v>
      </c>
      <c r="C800" s="62" t="s">
        <v>1079</v>
      </c>
      <c r="D800" s="63">
        <v>45323</v>
      </c>
      <c r="E800" s="63">
        <v>46234</v>
      </c>
      <c r="F800" s="62" t="s">
        <v>282</v>
      </c>
      <c r="G800" s="62" t="s">
        <v>1080</v>
      </c>
      <c r="H800" s="62" t="s">
        <v>467</v>
      </c>
      <c r="I800" s="64">
        <v>108299.66666666701</v>
      </c>
      <c r="J800" s="62" t="s">
        <v>1081</v>
      </c>
      <c r="K800" s="62" t="s">
        <v>467</v>
      </c>
      <c r="L800" s="65"/>
      <c r="M800" s="62" t="s">
        <v>424</v>
      </c>
      <c r="N800" s="62" t="s">
        <v>579</v>
      </c>
      <c r="O800" s="62" t="s">
        <v>428</v>
      </c>
      <c r="P800" s="62" t="s">
        <v>2421</v>
      </c>
      <c r="Q800" s="66" t="s">
        <v>2021</v>
      </c>
    </row>
    <row r="801" spans="1:17" x14ac:dyDescent="0.3">
      <c r="A801" s="61" t="s">
        <v>2104</v>
      </c>
      <c r="B801" s="62" t="s">
        <v>1078</v>
      </c>
      <c r="C801" s="62" t="s">
        <v>1079</v>
      </c>
      <c r="D801" s="63">
        <v>45323</v>
      </c>
      <c r="E801" s="63">
        <v>46234</v>
      </c>
      <c r="F801" s="62" t="s">
        <v>282</v>
      </c>
      <c r="G801" s="62" t="s">
        <v>833</v>
      </c>
      <c r="H801" s="62" t="s">
        <v>467</v>
      </c>
      <c r="I801" s="64">
        <v>108299.66666666701</v>
      </c>
      <c r="J801" s="62" t="s">
        <v>1081</v>
      </c>
      <c r="K801" s="62" t="s">
        <v>467</v>
      </c>
      <c r="L801" s="65"/>
      <c r="M801" s="62" t="s">
        <v>424</v>
      </c>
      <c r="N801" s="62" t="s">
        <v>579</v>
      </c>
      <c r="O801" s="62" t="s">
        <v>428</v>
      </c>
      <c r="P801" s="62" t="s">
        <v>2421</v>
      </c>
      <c r="Q801" s="66" t="s">
        <v>2021</v>
      </c>
    </row>
    <row r="802" spans="1:17" x14ac:dyDescent="0.3">
      <c r="A802" s="61" t="s">
        <v>2104</v>
      </c>
      <c r="B802" s="62" t="s">
        <v>1078</v>
      </c>
      <c r="C802" s="62" t="s">
        <v>1079</v>
      </c>
      <c r="D802" s="63">
        <v>45323</v>
      </c>
      <c r="E802" s="63">
        <v>46234</v>
      </c>
      <c r="F802" s="62" t="s">
        <v>282</v>
      </c>
      <c r="G802" s="62" t="s">
        <v>577</v>
      </c>
      <c r="H802" s="62" t="s">
        <v>467</v>
      </c>
      <c r="I802" s="64">
        <v>108299.66666666701</v>
      </c>
      <c r="J802" s="62" t="s">
        <v>1081</v>
      </c>
      <c r="K802" s="62" t="s">
        <v>467</v>
      </c>
      <c r="L802" s="65"/>
      <c r="M802" s="62" t="s">
        <v>424</v>
      </c>
      <c r="N802" s="62" t="s">
        <v>579</v>
      </c>
      <c r="O802" s="62" t="s">
        <v>428</v>
      </c>
      <c r="P802" s="62" t="s">
        <v>2421</v>
      </c>
      <c r="Q802" s="66" t="s">
        <v>2021</v>
      </c>
    </row>
    <row r="803" spans="1:17" x14ac:dyDescent="0.3">
      <c r="A803" s="61" t="s">
        <v>2104</v>
      </c>
      <c r="B803" s="62" t="s">
        <v>1078</v>
      </c>
      <c r="C803" s="62" t="s">
        <v>1079</v>
      </c>
      <c r="D803" s="63">
        <v>45323</v>
      </c>
      <c r="E803" s="63">
        <v>46234</v>
      </c>
      <c r="F803" s="62" t="s">
        <v>282</v>
      </c>
      <c r="G803" s="62" t="s">
        <v>1080</v>
      </c>
      <c r="H803" s="62" t="s">
        <v>2427</v>
      </c>
      <c r="I803" s="64">
        <v>18129.666666666701</v>
      </c>
      <c r="J803" s="62" t="s">
        <v>802</v>
      </c>
      <c r="K803" s="62" t="s">
        <v>467</v>
      </c>
      <c r="L803" s="65"/>
      <c r="M803" s="62" t="s">
        <v>424</v>
      </c>
      <c r="N803" s="62" t="s">
        <v>579</v>
      </c>
      <c r="O803" s="62" t="s">
        <v>428</v>
      </c>
      <c r="P803" s="62" t="s">
        <v>2421</v>
      </c>
      <c r="Q803" s="66" t="s">
        <v>2021</v>
      </c>
    </row>
    <row r="804" spans="1:17" x14ac:dyDescent="0.3">
      <c r="A804" s="61" t="s">
        <v>2104</v>
      </c>
      <c r="B804" s="62" t="s">
        <v>1078</v>
      </c>
      <c r="C804" s="62" t="s">
        <v>1079</v>
      </c>
      <c r="D804" s="63">
        <v>45323</v>
      </c>
      <c r="E804" s="63">
        <v>46234</v>
      </c>
      <c r="F804" s="62" t="s">
        <v>282</v>
      </c>
      <c r="G804" s="62" t="s">
        <v>833</v>
      </c>
      <c r="H804" s="62" t="s">
        <v>2427</v>
      </c>
      <c r="I804" s="64">
        <v>18129.666666666701</v>
      </c>
      <c r="J804" s="62" t="s">
        <v>802</v>
      </c>
      <c r="K804" s="62" t="s">
        <v>467</v>
      </c>
      <c r="L804" s="65"/>
      <c r="M804" s="62" t="s">
        <v>424</v>
      </c>
      <c r="N804" s="62" t="s">
        <v>579</v>
      </c>
      <c r="O804" s="62" t="s">
        <v>428</v>
      </c>
      <c r="P804" s="62" t="s">
        <v>2421</v>
      </c>
      <c r="Q804" s="66" t="s">
        <v>2021</v>
      </c>
    </row>
    <row r="805" spans="1:17" x14ac:dyDescent="0.3">
      <c r="A805" s="61" t="s">
        <v>2104</v>
      </c>
      <c r="B805" s="62" t="s">
        <v>1078</v>
      </c>
      <c r="C805" s="62" t="s">
        <v>1079</v>
      </c>
      <c r="D805" s="63">
        <v>45323</v>
      </c>
      <c r="E805" s="63">
        <v>46234</v>
      </c>
      <c r="F805" s="62" t="s">
        <v>282</v>
      </c>
      <c r="G805" s="62" t="s">
        <v>577</v>
      </c>
      <c r="H805" s="62" t="s">
        <v>2427</v>
      </c>
      <c r="I805" s="64">
        <v>18129.666666666701</v>
      </c>
      <c r="J805" s="62" t="s">
        <v>802</v>
      </c>
      <c r="K805" s="62" t="s">
        <v>467</v>
      </c>
      <c r="L805" s="65"/>
      <c r="M805" s="62" t="s">
        <v>424</v>
      </c>
      <c r="N805" s="62" t="s">
        <v>579</v>
      </c>
      <c r="O805" s="62" t="s">
        <v>428</v>
      </c>
      <c r="P805" s="62" t="s">
        <v>2421</v>
      </c>
      <c r="Q805" s="66" t="s">
        <v>2021</v>
      </c>
    </row>
    <row r="806" spans="1:17" x14ac:dyDescent="0.3">
      <c r="A806" s="61" t="s">
        <v>2104</v>
      </c>
      <c r="B806" s="62" t="s">
        <v>1078</v>
      </c>
      <c r="C806" s="62" t="s">
        <v>1079</v>
      </c>
      <c r="D806" s="63">
        <v>45323</v>
      </c>
      <c r="E806" s="63">
        <v>46234</v>
      </c>
      <c r="F806" s="62" t="s">
        <v>282</v>
      </c>
      <c r="G806" s="62" t="s">
        <v>1080</v>
      </c>
      <c r="H806" s="62" t="s">
        <v>2427</v>
      </c>
      <c r="I806" s="64">
        <v>1429.3333333333301</v>
      </c>
      <c r="J806" s="62" t="s">
        <v>1082</v>
      </c>
      <c r="K806" s="62" t="s">
        <v>467</v>
      </c>
      <c r="L806" s="65"/>
      <c r="M806" s="62" t="s">
        <v>424</v>
      </c>
      <c r="N806" s="62" t="s">
        <v>579</v>
      </c>
      <c r="O806" s="62" t="s">
        <v>428</v>
      </c>
      <c r="P806" s="62" t="s">
        <v>2421</v>
      </c>
      <c r="Q806" s="66" t="s">
        <v>2021</v>
      </c>
    </row>
    <row r="807" spans="1:17" x14ac:dyDescent="0.3">
      <c r="A807" s="61" t="s">
        <v>2104</v>
      </c>
      <c r="B807" s="62" t="s">
        <v>1078</v>
      </c>
      <c r="C807" s="62" t="s">
        <v>1079</v>
      </c>
      <c r="D807" s="63">
        <v>45323</v>
      </c>
      <c r="E807" s="63">
        <v>46234</v>
      </c>
      <c r="F807" s="62" t="s">
        <v>282</v>
      </c>
      <c r="G807" s="62" t="s">
        <v>833</v>
      </c>
      <c r="H807" s="62" t="s">
        <v>2427</v>
      </c>
      <c r="I807" s="64">
        <v>1429.3333333333301</v>
      </c>
      <c r="J807" s="62" t="s">
        <v>1082</v>
      </c>
      <c r="K807" s="62" t="s">
        <v>467</v>
      </c>
      <c r="L807" s="65"/>
      <c r="M807" s="62" t="s">
        <v>424</v>
      </c>
      <c r="N807" s="62" t="s">
        <v>579</v>
      </c>
      <c r="O807" s="62" t="s">
        <v>428</v>
      </c>
      <c r="P807" s="62" t="s">
        <v>2421</v>
      </c>
      <c r="Q807" s="66" t="s">
        <v>2021</v>
      </c>
    </row>
    <row r="808" spans="1:17" x14ac:dyDescent="0.3">
      <c r="A808" s="61" t="s">
        <v>2104</v>
      </c>
      <c r="B808" s="62" t="s">
        <v>1078</v>
      </c>
      <c r="C808" s="62" t="s">
        <v>1079</v>
      </c>
      <c r="D808" s="63">
        <v>45323</v>
      </c>
      <c r="E808" s="63">
        <v>46234</v>
      </c>
      <c r="F808" s="62" t="s">
        <v>282</v>
      </c>
      <c r="G808" s="62" t="s">
        <v>577</v>
      </c>
      <c r="H808" s="62" t="s">
        <v>2427</v>
      </c>
      <c r="I808" s="64">
        <v>1429.3333333333301</v>
      </c>
      <c r="J808" s="62" t="s">
        <v>1082</v>
      </c>
      <c r="K808" s="62" t="s">
        <v>467</v>
      </c>
      <c r="L808" s="65"/>
      <c r="M808" s="62" t="s">
        <v>424</v>
      </c>
      <c r="N808" s="62" t="s">
        <v>579</v>
      </c>
      <c r="O808" s="62" t="s">
        <v>428</v>
      </c>
      <c r="P808" s="62" t="s">
        <v>2421</v>
      </c>
      <c r="Q808" s="66" t="s">
        <v>2021</v>
      </c>
    </row>
    <row r="809" spans="1:17" x14ac:dyDescent="0.3">
      <c r="A809" s="61" t="s">
        <v>2105</v>
      </c>
      <c r="B809" s="62" t="s">
        <v>1084</v>
      </c>
      <c r="C809" s="62" t="s">
        <v>1085</v>
      </c>
      <c r="D809" s="63">
        <v>45226</v>
      </c>
      <c r="E809" s="63">
        <v>46870</v>
      </c>
      <c r="F809" s="62" t="s">
        <v>350</v>
      </c>
      <c r="G809" s="62" t="s">
        <v>350</v>
      </c>
      <c r="H809" s="62" t="s">
        <v>467</v>
      </c>
      <c r="I809" s="64">
        <v>952198</v>
      </c>
      <c r="J809" s="62" t="s">
        <v>468</v>
      </c>
      <c r="K809" s="62" t="s">
        <v>467</v>
      </c>
      <c r="L809" s="65"/>
      <c r="M809" s="62" t="s">
        <v>2443</v>
      </c>
      <c r="N809" s="62" t="s">
        <v>671</v>
      </c>
      <c r="O809" s="62" t="s">
        <v>426</v>
      </c>
      <c r="P809" s="62" t="s">
        <v>2421</v>
      </c>
      <c r="Q809" s="66" t="s">
        <v>1984</v>
      </c>
    </row>
    <row r="810" spans="1:17" x14ac:dyDescent="0.3">
      <c r="A810" s="61" t="s">
        <v>2106</v>
      </c>
      <c r="B810" s="62" t="s">
        <v>1086</v>
      </c>
      <c r="C810" s="62" t="s">
        <v>1087</v>
      </c>
      <c r="D810" s="63">
        <v>45323</v>
      </c>
      <c r="E810" s="63">
        <v>47149</v>
      </c>
      <c r="F810" s="62" t="s">
        <v>350</v>
      </c>
      <c r="G810" s="62" t="s">
        <v>350</v>
      </c>
      <c r="H810" s="62" t="s">
        <v>489</v>
      </c>
      <c r="I810" s="64">
        <v>18736554</v>
      </c>
      <c r="J810" s="62" t="s">
        <v>549</v>
      </c>
      <c r="K810" s="62" t="s">
        <v>489</v>
      </c>
      <c r="L810" s="65"/>
      <c r="M810" s="62" t="s">
        <v>1518</v>
      </c>
      <c r="N810" s="62" t="s">
        <v>684</v>
      </c>
      <c r="O810" s="62" t="s">
        <v>459</v>
      </c>
      <c r="P810" s="62" t="s">
        <v>2421</v>
      </c>
      <c r="Q810" s="66" t="s">
        <v>1971</v>
      </c>
    </row>
    <row r="811" spans="1:17" x14ac:dyDescent="0.3">
      <c r="A811" s="61" t="s">
        <v>2107</v>
      </c>
      <c r="B811" s="62" t="s">
        <v>1089</v>
      </c>
      <c r="C811" s="62" t="s">
        <v>1090</v>
      </c>
      <c r="D811" s="63">
        <v>45279</v>
      </c>
      <c r="E811" s="63">
        <v>46812</v>
      </c>
      <c r="F811" s="62" t="s">
        <v>350</v>
      </c>
      <c r="G811" s="62" t="s">
        <v>304</v>
      </c>
      <c r="H811" s="62" t="s">
        <v>608</v>
      </c>
      <c r="I811" s="64">
        <v>1323103.97</v>
      </c>
      <c r="J811" s="62" t="s">
        <v>609</v>
      </c>
      <c r="K811" s="62" t="s">
        <v>1957</v>
      </c>
      <c r="L811" s="65"/>
      <c r="M811" s="62" t="s">
        <v>2465</v>
      </c>
      <c r="N811" s="62" t="s">
        <v>1091</v>
      </c>
      <c r="O811" s="62" t="s">
        <v>375</v>
      </c>
      <c r="P811" s="62" t="s">
        <v>2421</v>
      </c>
      <c r="Q811" s="66" t="s">
        <v>1967</v>
      </c>
    </row>
    <row r="812" spans="1:17" x14ac:dyDescent="0.3">
      <c r="A812" s="61" t="s">
        <v>2108</v>
      </c>
      <c r="B812" s="62" t="s">
        <v>1092</v>
      </c>
      <c r="C812" s="62" t="s">
        <v>1093</v>
      </c>
      <c r="D812" s="63">
        <v>43488</v>
      </c>
      <c r="E812" s="63">
        <v>46044</v>
      </c>
      <c r="F812" s="62" t="s">
        <v>1930</v>
      </c>
      <c r="G812" s="62" t="s">
        <v>723</v>
      </c>
      <c r="H812" s="62" t="s">
        <v>2427</v>
      </c>
      <c r="I812" s="64">
        <v>4419</v>
      </c>
      <c r="J812" s="62" t="s">
        <v>2466</v>
      </c>
      <c r="K812" s="62" t="s">
        <v>2467</v>
      </c>
      <c r="L812" s="65"/>
      <c r="M812" s="62" t="s">
        <v>509</v>
      </c>
      <c r="N812" s="62" t="s">
        <v>374</v>
      </c>
      <c r="O812" s="62" t="s">
        <v>375</v>
      </c>
      <c r="P812" s="62" t="s">
        <v>2421</v>
      </c>
      <c r="Q812" s="66" t="s">
        <v>1967</v>
      </c>
    </row>
    <row r="813" spans="1:17" x14ac:dyDescent="0.3">
      <c r="A813" s="61" t="s">
        <v>2108</v>
      </c>
      <c r="B813" s="62" t="s">
        <v>1092</v>
      </c>
      <c r="C813" s="62" t="s">
        <v>1093</v>
      </c>
      <c r="D813" s="63">
        <v>43488</v>
      </c>
      <c r="E813" s="63">
        <v>46044</v>
      </c>
      <c r="F813" s="62" t="s">
        <v>1930</v>
      </c>
      <c r="G813" s="62" t="s">
        <v>723</v>
      </c>
      <c r="H813" s="62" t="s">
        <v>2427</v>
      </c>
      <c r="I813" s="64">
        <v>138100</v>
      </c>
      <c r="J813" s="62" t="s">
        <v>1094</v>
      </c>
      <c r="K813" s="62" t="s">
        <v>2467</v>
      </c>
      <c r="L813" s="65"/>
      <c r="M813" s="62" t="s">
        <v>509</v>
      </c>
      <c r="N813" s="62" t="s">
        <v>374</v>
      </c>
      <c r="O813" s="62" t="s">
        <v>375</v>
      </c>
      <c r="P813" s="62" t="s">
        <v>2421</v>
      </c>
      <c r="Q813" s="66" t="s">
        <v>1967</v>
      </c>
    </row>
    <row r="814" spans="1:17" x14ac:dyDescent="0.3">
      <c r="A814" s="61" t="s">
        <v>2108</v>
      </c>
      <c r="B814" s="62" t="s">
        <v>1092</v>
      </c>
      <c r="C814" s="62" t="s">
        <v>1093</v>
      </c>
      <c r="D814" s="63">
        <v>43488</v>
      </c>
      <c r="E814" s="63">
        <v>46044</v>
      </c>
      <c r="F814" s="62" t="s">
        <v>1930</v>
      </c>
      <c r="G814" s="62" t="s">
        <v>723</v>
      </c>
      <c r="H814" s="62" t="s">
        <v>2427</v>
      </c>
      <c r="I814" s="64">
        <v>18678</v>
      </c>
      <c r="J814" s="62" t="s">
        <v>1095</v>
      </c>
      <c r="K814" s="62" t="s">
        <v>2467</v>
      </c>
      <c r="L814" s="65"/>
      <c r="M814" s="62" t="s">
        <v>509</v>
      </c>
      <c r="N814" s="62" t="s">
        <v>374</v>
      </c>
      <c r="O814" s="62" t="s">
        <v>375</v>
      </c>
      <c r="P814" s="62" t="s">
        <v>2421</v>
      </c>
      <c r="Q814" s="66" t="s">
        <v>1967</v>
      </c>
    </row>
    <row r="815" spans="1:17" x14ac:dyDescent="0.3">
      <c r="A815" s="61" t="s">
        <v>2108</v>
      </c>
      <c r="B815" s="62" t="s">
        <v>1092</v>
      </c>
      <c r="C815" s="62" t="s">
        <v>1093</v>
      </c>
      <c r="D815" s="63">
        <v>43488</v>
      </c>
      <c r="E815" s="63">
        <v>46044</v>
      </c>
      <c r="F815" s="62" t="s">
        <v>1930</v>
      </c>
      <c r="G815" s="62" t="s">
        <v>723</v>
      </c>
      <c r="H815" s="62" t="s">
        <v>2427</v>
      </c>
      <c r="I815" s="64">
        <v>99432</v>
      </c>
      <c r="J815" s="62" t="s">
        <v>2468</v>
      </c>
      <c r="K815" s="62" t="s">
        <v>2467</v>
      </c>
      <c r="L815" s="65"/>
      <c r="M815" s="62" t="s">
        <v>509</v>
      </c>
      <c r="N815" s="62" t="s">
        <v>374</v>
      </c>
      <c r="O815" s="62" t="s">
        <v>375</v>
      </c>
      <c r="P815" s="62" t="s">
        <v>2421</v>
      </c>
      <c r="Q815" s="66" t="s">
        <v>1967</v>
      </c>
    </row>
    <row r="816" spans="1:17" x14ac:dyDescent="0.3">
      <c r="A816" s="61" t="s">
        <v>2108</v>
      </c>
      <c r="B816" s="62" t="s">
        <v>1092</v>
      </c>
      <c r="C816" s="62" t="s">
        <v>1093</v>
      </c>
      <c r="D816" s="63">
        <v>43488</v>
      </c>
      <c r="E816" s="63">
        <v>46044</v>
      </c>
      <c r="F816" s="62" t="s">
        <v>1930</v>
      </c>
      <c r="G816" s="62" t="s">
        <v>723</v>
      </c>
      <c r="H816" s="62" t="s">
        <v>2426</v>
      </c>
      <c r="I816" s="64">
        <v>4419</v>
      </c>
      <c r="J816" s="62" t="s">
        <v>2469</v>
      </c>
      <c r="K816" s="62" t="s">
        <v>2467</v>
      </c>
      <c r="L816" s="65"/>
      <c r="M816" s="62" t="s">
        <v>509</v>
      </c>
      <c r="N816" s="62" t="s">
        <v>374</v>
      </c>
      <c r="O816" s="62" t="s">
        <v>375</v>
      </c>
      <c r="P816" s="62" t="s">
        <v>2421</v>
      </c>
      <c r="Q816" s="66" t="s">
        <v>1967</v>
      </c>
    </row>
    <row r="817" spans="1:17" x14ac:dyDescent="0.3">
      <c r="A817" s="61" t="s">
        <v>2109</v>
      </c>
      <c r="B817" s="62" t="s">
        <v>1096</v>
      </c>
      <c r="C817" s="62" t="s">
        <v>1097</v>
      </c>
      <c r="D817" s="63">
        <v>44950</v>
      </c>
      <c r="E817" s="63">
        <v>46477</v>
      </c>
      <c r="F817" s="62" t="s">
        <v>350</v>
      </c>
      <c r="G817" s="62" t="s">
        <v>304</v>
      </c>
      <c r="H817" s="62" t="s">
        <v>311</v>
      </c>
      <c r="I817" s="64">
        <v>2320705.25</v>
      </c>
      <c r="J817" s="62" t="s">
        <v>312</v>
      </c>
      <c r="K817" s="62" t="s">
        <v>311</v>
      </c>
      <c r="L817" s="65"/>
      <c r="M817" s="62" t="s">
        <v>2443</v>
      </c>
      <c r="N817" s="62" t="s">
        <v>985</v>
      </c>
      <c r="O817" s="62" t="s">
        <v>375</v>
      </c>
      <c r="P817" s="62" t="s">
        <v>2421</v>
      </c>
      <c r="Q817" s="66" t="s">
        <v>2021</v>
      </c>
    </row>
    <row r="818" spans="1:17" x14ac:dyDescent="0.3">
      <c r="A818" s="61" t="s">
        <v>2110</v>
      </c>
      <c r="B818" s="62" t="s">
        <v>1098</v>
      </c>
      <c r="C818" s="62" t="s">
        <v>2470</v>
      </c>
      <c r="D818" s="63">
        <v>44993</v>
      </c>
      <c r="E818" s="63">
        <v>47026</v>
      </c>
      <c r="F818" s="62" t="s">
        <v>348</v>
      </c>
      <c r="G818" s="62" t="s">
        <v>304</v>
      </c>
      <c r="H818" s="62" t="s">
        <v>311</v>
      </c>
      <c r="I818" s="64">
        <v>745935.66428571404</v>
      </c>
      <c r="J818" s="62" t="s">
        <v>312</v>
      </c>
      <c r="K818" s="62" t="s">
        <v>311</v>
      </c>
      <c r="L818" s="65"/>
      <c r="M818" s="62" t="s">
        <v>2443</v>
      </c>
      <c r="N818" s="62" t="s">
        <v>985</v>
      </c>
      <c r="O818" s="62" t="s">
        <v>375</v>
      </c>
      <c r="P818" s="62" t="s">
        <v>2421</v>
      </c>
      <c r="Q818" s="66" t="s">
        <v>2021</v>
      </c>
    </row>
    <row r="819" spans="1:17" x14ac:dyDescent="0.3">
      <c r="A819" s="61" t="s">
        <v>2110</v>
      </c>
      <c r="B819" s="62" t="s">
        <v>1098</v>
      </c>
      <c r="C819" s="62" t="s">
        <v>2470</v>
      </c>
      <c r="D819" s="63">
        <v>44993</v>
      </c>
      <c r="E819" s="63">
        <v>47026</v>
      </c>
      <c r="F819" s="62" t="s">
        <v>1930</v>
      </c>
      <c r="G819" s="62" t="s">
        <v>304</v>
      </c>
      <c r="H819" s="62" t="s">
        <v>311</v>
      </c>
      <c r="I819" s="64">
        <v>745935.66428571404</v>
      </c>
      <c r="J819" s="62" t="s">
        <v>312</v>
      </c>
      <c r="K819" s="62" t="s">
        <v>311</v>
      </c>
      <c r="L819" s="65"/>
      <c r="M819" s="62" t="s">
        <v>2443</v>
      </c>
      <c r="N819" s="62" t="s">
        <v>985</v>
      </c>
      <c r="O819" s="62" t="s">
        <v>375</v>
      </c>
      <c r="P819" s="62" t="s">
        <v>2421</v>
      </c>
      <c r="Q819" s="66" t="s">
        <v>2021</v>
      </c>
    </row>
    <row r="820" spans="1:17" x14ac:dyDescent="0.3">
      <c r="A820" s="61" t="s">
        <v>2110</v>
      </c>
      <c r="B820" s="62" t="s">
        <v>1098</v>
      </c>
      <c r="C820" s="62" t="s">
        <v>2470</v>
      </c>
      <c r="D820" s="63">
        <v>44993</v>
      </c>
      <c r="E820" s="63">
        <v>47026</v>
      </c>
      <c r="F820" s="62" t="s">
        <v>1941</v>
      </c>
      <c r="G820" s="62" t="s">
        <v>304</v>
      </c>
      <c r="H820" s="62" t="s">
        <v>311</v>
      </c>
      <c r="I820" s="64">
        <v>745935.66428571404</v>
      </c>
      <c r="J820" s="62" t="s">
        <v>312</v>
      </c>
      <c r="K820" s="62" t="s">
        <v>311</v>
      </c>
      <c r="L820" s="65"/>
      <c r="M820" s="62" t="s">
        <v>2443</v>
      </c>
      <c r="N820" s="62" t="s">
        <v>985</v>
      </c>
      <c r="O820" s="62" t="s">
        <v>375</v>
      </c>
      <c r="P820" s="62" t="s">
        <v>2421</v>
      </c>
      <c r="Q820" s="66" t="s">
        <v>2021</v>
      </c>
    </row>
    <row r="821" spans="1:17" x14ac:dyDescent="0.3">
      <c r="A821" s="61" t="s">
        <v>2110</v>
      </c>
      <c r="B821" s="62" t="s">
        <v>1098</v>
      </c>
      <c r="C821" s="62" t="s">
        <v>2470</v>
      </c>
      <c r="D821" s="63">
        <v>44993</v>
      </c>
      <c r="E821" s="63">
        <v>47026</v>
      </c>
      <c r="F821" s="62" t="s">
        <v>1959</v>
      </c>
      <c r="G821" s="62" t="s">
        <v>304</v>
      </c>
      <c r="H821" s="62" t="s">
        <v>311</v>
      </c>
      <c r="I821" s="64">
        <v>745935.66428571404</v>
      </c>
      <c r="J821" s="62" t="s">
        <v>312</v>
      </c>
      <c r="K821" s="62" t="s">
        <v>311</v>
      </c>
      <c r="L821" s="65"/>
      <c r="M821" s="62" t="s">
        <v>2443</v>
      </c>
      <c r="N821" s="62" t="s">
        <v>985</v>
      </c>
      <c r="O821" s="62" t="s">
        <v>375</v>
      </c>
      <c r="P821" s="62" t="s">
        <v>2421</v>
      </c>
      <c r="Q821" s="66" t="s">
        <v>2021</v>
      </c>
    </row>
    <row r="822" spans="1:17" x14ac:dyDescent="0.3">
      <c r="A822" s="61" t="s">
        <v>2110</v>
      </c>
      <c r="B822" s="62" t="s">
        <v>1098</v>
      </c>
      <c r="C822" s="62" t="s">
        <v>2470</v>
      </c>
      <c r="D822" s="63">
        <v>44993</v>
      </c>
      <c r="E822" s="63">
        <v>47026</v>
      </c>
      <c r="F822" s="62" t="s">
        <v>1936</v>
      </c>
      <c r="G822" s="62" t="s">
        <v>304</v>
      </c>
      <c r="H822" s="62" t="s">
        <v>311</v>
      </c>
      <c r="I822" s="64">
        <v>745935.66428571404</v>
      </c>
      <c r="J822" s="62" t="s">
        <v>312</v>
      </c>
      <c r="K822" s="62" t="s">
        <v>311</v>
      </c>
      <c r="L822" s="65"/>
      <c r="M822" s="62" t="s">
        <v>2443</v>
      </c>
      <c r="N822" s="62" t="s">
        <v>985</v>
      </c>
      <c r="O822" s="62" t="s">
        <v>375</v>
      </c>
      <c r="P822" s="62" t="s">
        <v>2421</v>
      </c>
      <c r="Q822" s="66" t="s">
        <v>2021</v>
      </c>
    </row>
    <row r="823" spans="1:17" x14ac:dyDescent="0.3">
      <c r="A823" s="61" t="s">
        <v>2110</v>
      </c>
      <c r="B823" s="62" t="s">
        <v>1098</v>
      </c>
      <c r="C823" s="62" t="s">
        <v>2470</v>
      </c>
      <c r="D823" s="63">
        <v>44993</v>
      </c>
      <c r="E823" s="63">
        <v>47026</v>
      </c>
      <c r="F823" s="62" t="s">
        <v>287</v>
      </c>
      <c r="G823" s="62" t="s">
        <v>304</v>
      </c>
      <c r="H823" s="62" t="s">
        <v>311</v>
      </c>
      <c r="I823" s="64">
        <v>745935.66428571404</v>
      </c>
      <c r="J823" s="62" t="s">
        <v>312</v>
      </c>
      <c r="K823" s="62" t="s">
        <v>311</v>
      </c>
      <c r="L823" s="65"/>
      <c r="M823" s="62" t="s">
        <v>2443</v>
      </c>
      <c r="N823" s="62" t="s">
        <v>985</v>
      </c>
      <c r="O823" s="62" t="s">
        <v>375</v>
      </c>
      <c r="P823" s="62" t="s">
        <v>2421</v>
      </c>
      <c r="Q823" s="66" t="s">
        <v>2021</v>
      </c>
    </row>
    <row r="824" spans="1:17" x14ac:dyDescent="0.3">
      <c r="A824" s="61" t="s">
        <v>2110</v>
      </c>
      <c r="B824" s="62" t="s">
        <v>1098</v>
      </c>
      <c r="C824" s="62" t="s">
        <v>2470</v>
      </c>
      <c r="D824" s="63">
        <v>44993</v>
      </c>
      <c r="E824" s="63">
        <v>47026</v>
      </c>
      <c r="F824" s="62" t="s">
        <v>1945</v>
      </c>
      <c r="G824" s="62" t="s">
        <v>304</v>
      </c>
      <c r="H824" s="62" t="s">
        <v>311</v>
      </c>
      <c r="I824" s="64">
        <v>745935.66428571404</v>
      </c>
      <c r="J824" s="62" t="s">
        <v>312</v>
      </c>
      <c r="K824" s="62" t="s">
        <v>311</v>
      </c>
      <c r="L824" s="65"/>
      <c r="M824" s="62" t="s">
        <v>2443</v>
      </c>
      <c r="N824" s="62" t="s">
        <v>985</v>
      </c>
      <c r="O824" s="62" t="s">
        <v>375</v>
      </c>
      <c r="P824" s="62" t="s">
        <v>2421</v>
      </c>
      <c r="Q824" s="66" t="s">
        <v>2021</v>
      </c>
    </row>
    <row r="825" spans="1:17" x14ac:dyDescent="0.3">
      <c r="A825" s="61" t="s">
        <v>2111</v>
      </c>
      <c r="B825" s="62" t="s">
        <v>1099</v>
      </c>
      <c r="C825" s="62" t="s">
        <v>1100</v>
      </c>
      <c r="D825" s="63">
        <v>44774</v>
      </c>
      <c r="E825" s="63">
        <v>47118</v>
      </c>
      <c r="F825" s="62" t="s">
        <v>350</v>
      </c>
      <c r="G825" s="62" t="s">
        <v>304</v>
      </c>
      <c r="H825" s="62" t="s">
        <v>489</v>
      </c>
      <c r="I825" s="64">
        <v>7191102</v>
      </c>
      <c r="J825" s="62" t="s">
        <v>821</v>
      </c>
      <c r="K825" s="62" t="s">
        <v>489</v>
      </c>
      <c r="L825" s="65"/>
      <c r="M825" s="62" t="s">
        <v>457</v>
      </c>
      <c r="N825" s="62" t="s">
        <v>464</v>
      </c>
      <c r="O825" s="62" t="s">
        <v>465</v>
      </c>
      <c r="P825" s="62" t="s">
        <v>2421</v>
      </c>
      <c r="Q825" s="66" t="s">
        <v>1971</v>
      </c>
    </row>
    <row r="826" spans="1:17" x14ac:dyDescent="0.3">
      <c r="A826" s="61" t="s">
        <v>2112</v>
      </c>
      <c r="B826" s="62" t="s">
        <v>1101</v>
      </c>
      <c r="C826" s="62" t="s">
        <v>1102</v>
      </c>
      <c r="D826" s="63">
        <v>45301</v>
      </c>
      <c r="E826" s="63">
        <v>46326</v>
      </c>
      <c r="F826" s="62" t="s">
        <v>350</v>
      </c>
      <c r="G826" s="62" t="s">
        <v>304</v>
      </c>
      <c r="H826" s="62" t="s">
        <v>489</v>
      </c>
      <c r="I826" s="64">
        <v>2193796.25</v>
      </c>
      <c r="J826" s="62" t="s">
        <v>490</v>
      </c>
      <c r="K826" s="62" t="s">
        <v>489</v>
      </c>
      <c r="L826" s="65"/>
      <c r="M826" s="62" t="s">
        <v>1518</v>
      </c>
      <c r="N826" s="62" t="s">
        <v>458</v>
      </c>
      <c r="O826" s="62" t="s">
        <v>459</v>
      </c>
      <c r="P826" s="62" t="s">
        <v>2421</v>
      </c>
      <c r="Q826" s="66" t="s">
        <v>1971</v>
      </c>
    </row>
    <row r="827" spans="1:17" x14ac:dyDescent="0.3">
      <c r="A827" s="61" t="s">
        <v>2112</v>
      </c>
      <c r="B827" s="62" t="s">
        <v>1101</v>
      </c>
      <c r="C827" s="62" t="s">
        <v>1102</v>
      </c>
      <c r="D827" s="63">
        <v>45301</v>
      </c>
      <c r="E827" s="63">
        <v>46326</v>
      </c>
      <c r="F827" s="62" t="s">
        <v>1934</v>
      </c>
      <c r="G827" s="62" t="s">
        <v>304</v>
      </c>
      <c r="H827" s="62" t="s">
        <v>489</v>
      </c>
      <c r="I827" s="64">
        <v>2193796.25</v>
      </c>
      <c r="J827" s="62" t="s">
        <v>490</v>
      </c>
      <c r="K827" s="62" t="s">
        <v>489</v>
      </c>
      <c r="L827" s="65"/>
      <c r="M827" s="62" t="s">
        <v>1518</v>
      </c>
      <c r="N827" s="62" t="s">
        <v>458</v>
      </c>
      <c r="O827" s="62" t="s">
        <v>459</v>
      </c>
      <c r="P827" s="62" t="s">
        <v>2421</v>
      </c>
      <c r="Q827" s="66" t="s">
        <v>1971</v>
      </c>
    </row>
    <row r="828" spans="1:17" x14ac:dyDescent="0.3">
      <c r="A828" s="61" t="s">
        <v>2112</v>
      </c>
      <c r="B828" s="62" t="s">
        <v>1101</v>
      </c>
      <c r="C828" s="62" t="s">
        <v>1102</v>
      </c>
      <c r="D828" s="63">
        <v>45301</v>
      </c>
      <c r="E828" s="63">
        <v>46326</v>
      </c>
      <c r="F828" s="62" t="s">
        <v>1938</v>
      </c>
      <c r="G828" s="62" t="s">
        <v>304</v>
      </c>
      <c r="H828" s="62" t="s">
        <v>489</v>
      </c>
      <c r="I828" s="64">
        <v>2193796.25</v>
      </c>
      <c r="J828" s="62" t="s">
        <v>490</v>
      </c>
      <c r="K828" s="62" t="s">
        <v>489</v>
      </c>
      <c r="L828" s="65"/>
      <c r="M828" s="62" t="s">
        <v>1518</v>
      </c>
      <c r="N828" s="62" t="s">
        <v>458</v>
      </c>
      <c r="O828" s="62" t="s">
        <v>459</v>
      </c>
      <c r="P828" s="62" t="s">
        <v>2421</v>
      </c>
      <c r="Q828" s="66" t="s">
        <v>1971</v>
      </c>
    </row>
    <row r="829" spans="1:17" x14ac:dyDescent="0.3">
      <c r="A829" s="61" t="s">
        <v>2112</v>
      </c>
      <c r="B829" s="62" t="s">
        <v>1101</v>
      </c>
      <c r="C829" s="62" t="s">
        <v>1102</v>
      </c>
      <c r="D829" s="63">
        <v>45301</v>
      </c>
      <c r="E829" s="63">
        <v>46326</v>
      </c>
      <c r="F829" s="62" t="s">
        <v>1941</v>
      </c>
      <c r="G829" s="62" t="s">
        <v>304</v>
      </c>
      <c r="H829" s="62" t="s">
        <v>489</v>
      </c>
      <c r="I829" s="64">
        <v>2193796.25</v>
      </c>
      <c r="J829" s="62" t="s">
        <v>490</v>
      </c>
      <c r="K829" s="62" t="s">
        <v>489</v>
      </c>
      <c r="L829" s="65"/>
      <c r="M829" s="62" t="s">
        <v>1518</v>
      </c>
      <c r="N829" s="62" t="s">
        <v>458</v>
      </c>
      <c r="O829" s="62" t="s">
        <v>459</v>
      </c>
      <c r="P829" s="62" t="s">
        <v>2421</v>
      </c>
      <c r="Q829" s="66" t="s">
        <v>1971</v>
      </c>
    </row>
    <row r="830" spans="1:17" x14ac:dyDescent="0.3">
      <c r="A830" s="61" t="s">
        <v>2113</v>
      </c>
      <c r="B830" s="62" t="s">
        <v>1103</v>
      </c>
      <c r="C830" s="62" t="s">
        <v>1104</v>
      </c>
      <c r="D830" s="63">
        <v>44722</v>
      </c>
      <c r="E830" s="63">
        <v>46630</v>
      </c>
      <c r="F830" s="62" t="s">
        <v>350</v>
      </c>
      <c r="G830" s="62" t="s">
        <v>350</v>
      </c>
      <c r="H830" s="62" t="s">
        <v>489</v>
      </c>
      <c r="I830" s="64">
        <v>3059756</v>
      </c>
      <c r="J830" s="62" t="s">
        <v>1105</v>
      </c>
      <c r="K830" s="62" t="s">
        <v>489</v>
      </c>
      <c r="L830" s="65"/>
      <c r="M830" s="62" t="s">
        <v>457</v>
      </c>
      <c r="N830" s="62" t="s">
        <v>949</v>
      </c>
      <c r="O830" s="62" t="s">
        <v>309</v>
      </c>
      <c r="P830" s="62" t="s">
        <v>2421</v>
      </c>
      <c r="Q830" s="66" t="s">
        <v>1971</v>
      </c>
    </row>
    <row r="831" spans="1:17" x14ac:dyDescent="0.3">
      <c r="A831" s="61" t="s">
        <v>2114</v>
      </c>
      <c r="B831" s="62" t="s">
        <v>1106</v>
      </c>
      <c r="C831" s="62" t="s">
        <v>1107</v>
      </c>
      <c r="D831" s="63">
        <v>45224</v>
      </c>
      <c r="E831" s="63">
        <v>47415</v>
      </c>
      <c r="F831" s="62" t="s">
        <v>1987</v>
      </c>
      <c r="G831" s="62" t="s">
        <v>1108</v>
      </c>
      <c r="H831" s="62" t="s">
        <v>2422</v>
      </c>
      <c r="I831" s="64">
        <v>1500000</v>
      </c>
      <c r="J831" s="62" t="s">
        <v>1109</v>
      </c>
      <c r="K831" s="62" t="s">
        <v>377</v>
      </c>
      <c r="L831" s="65"/>
      <c r="M831" s="62" t="s">
        <v>1518</v>
      </c>
      <c r="N831" s="62" t="s">
        <v>969</v>
      </c>
      <c r="O831" s="62" t="s">
        <v>744</v>
      </c>
      <c r="P831" s="62" t="s">
        <v>2421</v>
      </c>
      <c r="Q831" s="66" t="s">
        <v>1971</v>
      </c>
    </row>
    <row r="832" spans="1:17" x14ac:dyDescent="0.3">
      <c r="A832" s="61" t="s">
        <v>2114</v>
      </c>
      <c r="B832" s="62" t="s">
        <v>1106</v>
      </c>
      <c r="C832" s="62" t="s">
        <v>1107</v>
      </c>
      <c r="D832" s="63">
        <v>45224</v>
      </c>
      <c r="E832" s="63">
        <v>47415</v>
      </c>
      <c r="F832" s="62" t="s">
        <v>1987</v>
      </c>
      <c r="G832" s="62" t="s">
        <v>962</v>
      </c>
      <c r="H832" s="62" t="s">
        <v>2422</v>
      </c>
      <c r="I832" s="64">
        <v>1500000</v>
      </c>
      <c r="J832" s="62" t="s">
        <v>1109</v>
      </c>
      <c r="K832" s="62" t="s">
        <v>377</v>
      </c>
      <c r="L832" s="65"/>
      <c r="M832" s="62" t="s">
        <v>1518</v>
      </c>
      <c r="N832" s="62" t="s">
        <v>969</v>
      </c>
      <c r="O832" s="62" t="s">
        <v>744</v>
      </c>
      <c r="P832" s="62" t="s">
        <v>2421</v>
      </c>
      <c r="Q832" s="66" t="s">
        <v>1971</v>
      </c>
    </row>
    <row r="833" spans="1:17" x14ac:dyDescent="0.3">
      <c r="A833" s="61" t="s">
        <v>2115</v>
      </c>
      <c r="B833" s="62" t="s">
        <v>1112</v>
      </c>
      <c r="C833" s="62" t="s">
        <v>1113</v>
      </c>
      <c r="D833" s="63">
        <v>45161</v>
      </c>
      <c r="E833" s="63">
        <v>46622</v>
      </c>
      <c r="F833" s="62" t="s">
        <v>348</v>
      </c>
      <c r="G833" s="62" t="s">
        <v>304</v>
      </c>
      <c r="H833" s="62" t="s">
        <v>2420</v>
      </c>
      <c r="I833" s="64">
        <v>1150000</v>
      </c>
      <c r="J833" s="62" t="s">
        <v>1114</v>
      </c>
      <c r="K833" s="62" t="s">
        <v>377</v>
      </c>
      <c r="L833" s="65"/>
      <c r="M833" s="62" t="s">
        <v>825</v>
      </c>
      <c r="N833" s="62" t="s">
        <v>948</v>
      </c>
      <c r="O833" s="62" t="s">
        <v>428</v>
      </c>
      <c r="P833" s="62" t="s">
        <v>2421</v>
      </c>
      <c r="Q833" s="66" t="s">
        <v>1965</v>
      </c>
    </row>
    <row r="834" spans="1:17" x14ac:dyDescent="0.3">
      <c r="A834" s="61" t="s">
        <v>2115</v>
      </c>
      <c r="B834" s="62" t="s">
        <v>1112</v>
      </c>
      <c r="C834" s="62" t="s">
        <v>1113</v>
      </c>
      <c r="D834" s="63">
        <v>45161</v>
      </c>
      <c r="E834" s="63">
        <v>46622</v>
      </c>
      <c r="F834" s="62" t="s">
        <v>348</v>
      </c>
      <c r="G834" s="62" t="s">
        <v>304</v>
      </c>
      <c r="H834" s="62" t="s">
        <v>2427</v>
      </c>
      <c r="I834" s="64">
        <v>650000</v>
      </c>
      <c r="J834" s="62" t="s">
        <v>1115</v>
      </c>
      <c r="K834" s="62" t="s">
        <v>377</v>
      </c>
      <c r="L834" s="65"/>
      <c r="M834" s="62" t="s">
        <v>825</v>
      </c>
      <c r="N834" s="62" t="s">
        <v>948</v>
      </c>
      <c r="O834" s="62" t="s">
        <v>428</v>
      </c>
      <c r="P834" s="62" t="s">
        <v>2421</v>
      </c>
      <c r="Q834" s="66" t="s">
        <v>1965</v>
      </c>
    </row>
    <row r="835" spans="1:17" x14ac:dyDescent="0.3">
      <c r="A835" s="61" t="s">
        <v>2115</v>
      </c>
      <c r="B835" s="62" t="s">
        <v>1112</v>
      </c>
      <c r="C835" s="62" t="s">
        <v>1113</v>
      </c>
      <c r="D835" s="63">
        <v>45161</v>
      </c>
      <c r="E835" s="63">
        <v>46622</v>
      </c>
      <c r="F835" s="62" t="s">
        <v>348</v>
      </c>
      <c r="G835" s="62" t="s">
        <v>304</v>
      </c>
      <c r="H835" s="62" t="s">
        <v>2427</v>
      </c>
      <c r="I835" s="64">
        <v>200000</v>
      </c>
      <c r="J835" s="62" t="s">
        <v>1116</v>
      </c>
      <c r="K835" s="62" t="s">
        <v>377</v>
      </c>
      <c r="L835" s="65"/>
      <c r="M835" s="62" t="s">
        <v>825</v>
      </c>
      <c r="N835" s="62" t="s">
        <v>948</v>
      </c>
      <c r="O835" s="62" t="s">
        <v>428</v>
      </c>
      <c r="P835" s="62" t="s">
        <v>2421</v>
      </c>
      <c r="Q835" s="66" t="s">
        <v>1965</v>
      </c>
    </row>
    <row r="836" spans="1:17" x14ac:dyDescent="0.3">
      <c r="A836" s="61" t="s">
        <v>2116</v>
      </c>
      <c r="B836" s="62" t="s">
        <v>1117</v>
      </c>
      <c r="C836" s="62" t="s">
        <v>1118</v>
      </c>
      <c r="D836" s="63">
        <v>45328</v>
      </c>
      <c r="E836" s="63">
        <v>46058</v>
      </c>
      <c r="F836" s="62" t="s">
        <v>1937</v>
      </c>
      <c r="G836" s="62" t="s">
        <v>1119</v>
      </c>
      <c r="H836" s="62" t="s">
        <v>443</v>
      </c>
      <c r="I836" s="64">
        <v>6806.2202380952403</v>
      </c>
      <c r="J836" s="62" t="s">
        <v>685</v>
      </c>
      <c r="K836" s="62" t="s">
        <v>377</v>
      </c>
      <c r="L836" s="65"/>
      <c r="M836" s="62" t="s">
        <v>2443</v>
      </c>
      <c r="N836" s="62" t="s">
        <v>374</v>
      </c>
      <c r="O836" s="62" t="s">
        <v>375</v>
      </c>
      <c r="P836" s="62" t="s">
        <v>2421</v>
      </c>
      <c r="Q836" s="66" t="s">
        <v>1968</v>
      </c>
    </row>
    <row r="837" spans="1:17" x14ac:dyDescent="0.3">
      <c r="A837" s="61" t="s">
        <v>2116</v>
      </c>
      <c r="B837" s="62" t="s">
        <v>1117</v>
      </c>
      <c r="C837" s="62" t="s">
        <v>1118</v>
      </c>
      <c r="D837" s="63">
        <v>45328</v>
      </c>
      <c r="E837" s="63">
        <v>46058</v>
      </c>
      <c r="F837" s="62" t="s">
        <v>1937</v>
      </c>
      <c r="G837" s="62" t="s">
        <v>1120</v>
      </c>
      <c r="H837" s="62" t="s">
        <v>443</v>
      </c>
      <c r="I837" s="64">
        <v>6806.2202380952403</v>
      </c>
      <c r="J837" s="62" t="s">
        <v>685</v>
      </c>
      <c r="K837" s="62" t="s">
        <v>377</v>
      </c>
      <c r="L837" s="65"/>
      <c r="M837" s="62" t="s">
        <v>2443</v>
      </c>
      <c r="N837" s="62" t="s">
        <v>374</v>
      </c>
      <c r="O837" s="62" t="s">
        <v>375</v>
      </c>
      <c r="P837" s="62" t="s">
        <v>2421</v>
      </c>
      <c r="Q837" s="66" t="s">
        <v>1968</v>
      </c>
    </row>
    <row r="838" spans="1:17" x14ac:dyDescent="0.3">
      <c r="A838" s="61" t="s">
        <v>2116</v>
      </c>
      <c r="B838" s="62" t="s">
        <v>1117</v>
      </c>
      <c r="C838" s="62" t="s">
        <v>1118</v>
      </c>
      <c r="D838" s="63">
        <v>45328</v>
      </c>
      <c r="E838" s="63">
        <v>46058</v>
      </c>
      <c r="F838" s="62" t="s">
        <v>1937</v>
      </c>
      <c r="G838" s="62" t="s">
        <v>1121</v>
      </c>
      <c r="H838" s="62" t="s">
        <v>443</v>
      </c>
      <c r="I838" s="64">
        <v>6806.2202380952403</v>
      </c>
      <c r="J838" s="62" t="s">
        <v>685</v>
      </c>
      <c r="K838" s="62" t="s">
        <v>377</v>
      </c>
      <c r="L838" s="65"/>
      <c r="M838" s="62" t="s">
        <v>2443</v>
      </c>
      <c r="N838" s="62" t="s">
        <v>374</v>
      </c>
      <c r="O838" s="62" t="s">
        <v>375</v>
      </c>
      <c r="P838" s="62" t="s">
        <v>2421</v>
      </c>
      <c r="Q838" s="66" t="s">
        <v>1968</v>
      </c>
    </row>
    <row r="839" spans="1:17" x14ac:dyDescent="0.3">
      <c r="A839" s="61" t="s">
        <v>2116</v>
      </c>
      <c r="B839" s="62" t="s">
        <v>1117</v>
      </c>
      <c r="C839" s="62" t="s">
        <v>1118</v>
      </c>
      <c r="D839" s="63">
        <v>45328</v>
      </c>
      <c r="E839" s="63">
        <v>46058</v>
      </c>
      <c r="F839" s="62" t="s">
        <v>1937</v>
      </c>
      <c r="G839" s="62" t="s">
        <v>1122</v>
      </c>
      <c r="H839" s="62" t="s">
        <v>443</v>
      </c>
      <c r="I839" s="64">
        <v>6806.2202380952403</v>
      </c>
      <c r="J839" s="62" t="s">
        <v>685</v>
      </c>
      <c r="K839" s="62" t="s">
        <v>377</v>
      </c>
      <c r="L839" s="65"/>
      <c r="M839" s="62" t="s">
        <v>2443</v>
      </c>
      <c r="N839" s="62" t="s">
        <v>374</v>
      </c>
      <c r="O839" s="62" t="s">
        <v>375</v>
      </c>
      <c r="P839" s="62" t="s">
        <v>2421</v>
      </c>
      <c r="Q839" s="66" t="s">
        <v>1968</v>
      </c>
    </row>
    <row r="840" spans="1:17" x14ac:dyDescent="0.3">
      <c r="A840" s="61" t="s">
        <v>2116</v>
      </c>
      <c r="B840" s="62" t="s">
        <v>1117</v>
      </c>
      <c r="C840" s="62" t="s">
        <v>1118</v>
      </c>
      <c r="D840" s="63">
        <v>45328</v>
      </c>
      <c r="E840" s="63">
        <v>46058</v>
      </c>
      <c r="F840" s="62" t="s">
        <v>1937</v>
      </c>
      <c r="G840" s="62" t="s">
        <v>699</v>
      </c>
      <c r="H840" s="62" t="s">
        <v>443</v>
      </c>
      <c r="I840" s="64">
        <v>6806.2202380952403</v>
      </c>
      <c r="J840" s="62" t="s">
        <v>685</v>
      </c>
      <c r="K840" s="62" t="s">
        <v>377</v>
      </c>
      <c r="L840" s="65"/>
      <c r="M840" s="62" t="s">
        <v>2443</v>
      </c>
      <c r="N840" s="62" t="s">
        <v>374</v>
      </c>
      <c r="O840" s="62" t="s">
        <v>375</v>
      </c>
      <c r="P840" s="62" t="s">
        <v>2421</v>
      </c>
      <c r="Q840" s="66" t="s">
        <v>1968</v>
      </c>
    </row>
    <row r="841" spans="1:17" x14ac:dyDescent="0.3">
      <c r="A841" s="61" t="s">
        <v>2116</v>
      </c>
      <c r="B841" s="62" t="s">
        <v>1117</v>
      </c>
      <c r="C841" s="62" t="s">
        <v>1118</v>
      </c>
      <c r="D841" s="63">
        <v>45328</v>
      </c>
      <c r="E841" s="63">
        <v>46058</v>
      </c>
      <c r="F841" s="62" t="s">
        <v>1937</v>
      </c>
      <c r="G841" s="62" t="s">
        <v>1123</v>
      </c>
      <c r="H841" s="62" t="s">
        <v>443</v>
      </c>
      <c r="I841" s="64">
        <v>6806.2202380952403</v>
      </c>
      <c r="J841" s="62" t="s">
        <v>685</v>
      </c>
      <c r="K841" s="62" t="s">
        <v>377</v>
      </c>
      <c r="L841" s="65"/>
      <c r="M841" s="62" t="s">
        <v>2443</v>
      </c>
      <c r="N841" s="62" t="s">
        <v>374</v>
      </c>
      <c r="O841" s="62" t="s">
        <v>375</v>
      </c>
      <c r="P841" s="62" t="s">
        <v>2421</v>
      </c>
      <c r="Q841" s="66" t="s">
        <v>1968</v>
      </c>
    </row>
    <row r="842" spans="1:17" x14ac:dyDescent="0.3">
      <c r="A842" s="61" t="s">
        <v>2116</v>
      </c>
      <c r="B842" s="62" t="s">
        <v>1117</v>
      </c>
      <c r="C842" s="62" t="s">
        <v>1118</v>
      </c>
      <c r="D842" s="63">
        <v>45328</v>
      </c>
      <c r="E842" s="63">
        <v>46058</v>
      </c>
      <c r="F842" s="62" t="s">
        <v>282</v>
      </c>
      <c r="G842" s="62" t="s">
        <v>470</v>
      </c>
      <c r="H842" s="62" t="s">
        <v>443</v>
      </c>
      <c r="I842" s="64">
        <v>8167.4642857142899</v>
      </c>
      <c r="J842" s="62" t="s">
        <v>685</v>
      </c>
      <c r="K842" s="62" t="s">
        <v>377</v>
      </c>
      <c r="L842" s="65"/>
      <c r="M842" s="62" t="s">
        <v>2443</v>
      </c>
      <c r="N842" s="62" t="s">
        <v>374</v>
      </c>
      <c r="O842" s="62" t="s">
        <v>375</v>
      </c>
      <c r="P842" s="62" t="s">
        <v>2421</v>
      </c>
      <c r="Q842" s="66" t="s">
        <v>1968</v>
      </c>
    </row>
    <row r="843" spans="1:17" x14ac:dyDescent="0.3">
      <c r="A843" s="61" t="s">
        <v>2116</v>
      </c>
      <c r="B843" s="62" t="s">
        <v>1117</v>
      </c>
      <c r="C843" s="62" t="s">
        <v>1118</v>
      </c>
      <c r="D843" s="63">
        <v>45328</v>
      </c>
      <c r="E843" s="63">
        <v>46058</v>
      </c>
      <c r="F843" s="62" t="s">
        <v>282</v>
      </c>
      <c r="G843" s="62" t="s">
        <v>1080</v>
      </c>
      <c r="H843" s="62" t="s">
        <v>443</v>
      </c>
      <c r="I843" s="64">
        <v>8167.4642857142899</v>
      </c>
      <c r="J843" s="62" t="s">
        <v>685</v>
      </c>
      <c r="K843" s="62" t="s">
        <v>377</v>
      </c>
      <c r="L843" s="65"/>
      <c r="M843" s="62" t="s">
        <v>2443</v>
      </c>
      <c r="N843" s="62" t="s">
        <v>374</v>
      </c>
      <c r="O843" s="62" t="s">
        <v>375</v>
      </c>
      <c r="P843" s="62" t="s">
        <v>2421</v>
      </c>
      <c r="Q843" s="66" t="s">
        <v>1968</v>
      </c>
    </row>
    <row r="844" spans="1:17" x14ac:dyDescent="0.3">
      <c r="A844" s="61" t="s">
        <v>2116</v>
      </c>
      <c r="B844" s="62" t="s">
        <v>1117</v>
      </c>
      <c r="C844" s="62" t="s">
        <v>1118</v>
      </c>
      <c r="D844" s="63">
        <v>45328</v>
      </c>
      <c r="E844" s="63">
        <v>46058</v>
      </c>
      <c r="F844" s="62" t="s">
        <v>282</v>
      </c>
      <c r="G844" s="62" t="s">
        <v>473</v>
      </c>
      <c r="H844" s="62" t="s">
        <v>443</v>
      </c>
      <c r="I844" s="64">
        <v>8167.4642857142899</v>
      </c>
      <c r="J844" s="62" t="s">
        <v>685</v>
      </c>
      <c r="K844" s="62" t="s">
        <v>377</v>
      </c>
      <c r="L844" s="65"/>
      <c r="M844" s="62" t="s">
        <v>2443</v>
      </c>
      <c r="N844" s="62" t="s">
        <v>374</v>
      </c>
      <c r="O844" s="62" t="s">
        <v>375</v>
      </c>
      <c r="P844" s="62" t="s">
        <v>2421</v>
      </c>
      <c r="Q844" s="66" t="s">
        <v>1968</v>
      </c>
    </row>
    <row r="845" spans="1:17" x14ac:dyDescent="0.3">
      <c r="A845" s="61" t="s">
        <v>2116</v>
      </c>
      <c r="B845" s="62" t="s">
        <v>1117</v>
      </c>
      <c r="C845" s="62" t="s">
        <v>1118</v>
      </c>
      <c r="D845" s="63">
        <v>45328</v>
      </c>
      <c r="E845" s="63">
        <v>46058</v>
      </c>
      <c r="F845" s="62" t="s">
        <v>282</v>
      </c>
      <c r="G845" s="62" t="s">
        <v>1124</v>
      </c>
      <c r="H845" s="62" t="s">
        <v>443</v>
      </c>
      <c r="I845" s="64">
        <v>8167.4642857142899</v>
      </c>
      <c r="J845" s="62" t="s">
        <v>685</v>
      </c>
      <c r="K845" s="62" t="s">
        <v>377</v>
      </c>
      <c r="L845" s="65"/>
      <c r="M845" s="62" t="s">
        <v>2443</v>
      </c>
      <c r="N845" s="62" t="s">
        <v>374</v>
      </c>
      <c r="O845" s="62" t="s">
        <v>375</v>
      </c>
      <c r="P845" s="62" t="s">
        <v>2421</v>
      </c>
      <c r="Q845" s="66" t="s">
        <v>1968</v>
      </c>
    </row>
    <row r="846" spans="1:17" x14ac:dyDescent="0.3">
      <c r="A846" s="61" t="s">
        <v>2116</v>
      </c>
      <c r="B846" s="62" t="s">
        <v>1117</v>
      </c>
      <c r="C846" s="62" t="s">
        <v>1118</v>
      </c>
      <c r="D846" s="63">
        <v>45328</v>
      </c>
      <c r="E846" s="63">
        <v>46058</v>
      </c>
      <c r="F846" s="62" t="s">
        <v>282</v>
      </c>
      <c r="G846" s="62" t="s">
        <v>834</v>
      </c>
      <c r="H846" s="62" t="s">
        <v>443</v>
      </c>
      <c r="I846" s="64">
        <v>8167.4642857142899</v>
      </c>
      <c r="J846" s="62" t="s">
        <v>685</v>
      </c>
      <c r="K846" s="62" t="s">
        <v>377</v>
      </c>
      <c r="L846" s="65"/>
      <c r="M846" s="62" t="s">
        <v>2443</v>
      </c>
      <c r="N846" s="62" t="s">
        <v>374</v>
      </c>
      <c r="O846" s="62" t="s">
        <v>375</v>
      </c>
      <c r="P846" s="62" t="s">
        <v>2421</v>
      </c>
      <c r="Q846" s="66" t="s">
        <v>1968</v>
      </c>
    </row>
    <row r="847" spans="1:17" x14ac:dyDescent="0.3">
      <c r="A847" s="61" t="s">
        <v>2116</v>
      </c>
      <c r="B847" s="62" t="s">
        <v>1117</v>
      </c>
      <c r="C847" s="62" t="s">
        <v>1118</v>
      </c>
      <c r="D847" s="63">
        <v>45328</v>
      </c>
      <c r="E847" s="63">
        <v>46058</v>
      </c>
      <c r="F847" s="62" t="s">
        <v>1944</v>
      </c>
      <c r="G847" s="62" t="s">
        <v>1125</v>
      </c>
      <c r="H847" s="62" t="s">
        <v>443</v>
      </c>
      <c r="I847" s="64">
        <v>8167.4642857142899</v>
      </c>
      <c r="J847" s="62" t="s">
        <v>685</v>
      </c>
      <c r="K847" s="62" t="s">
        <v>377</v>
      </c>
      <c r="L847" s="65"/>
      <c r="M847" s="62" t="s">
        <v>2443</v>
      </c>
      <c r="N847" s="62" t="s">
        <v>374</v>
      </c>
      <c r="O847" s="62" t="s">
        <v>375</v>
      </c>
      <c r="P847" s="62" t="s">
        <v>2421</v>
      </c>
      <c r="Q847" s="66" t="s">
        <v>1968</v>
      </c>
    </row>
    <row r="848" spans="1:17" x14ac:dyDescent="0.3">
      <c r="A848" s="61" t="s">
        <v>2116</v>
      </c>
      <c r="B848" s="62" t="s">
        <v>1117</v>
      </c>
      <c r="C848" s="62" t="s">
        <v>1118</v>
      </c>
      <c r="D848" s="63">
        <v>45328</v>
      </c>
      <c r="E848" s="63">
        <v>46058</v>
      </c>
      <c r="F848" s="62" t="s">
        <v>1944</v>
      </c>
      <c r="G848" s="62" t="s">
        <v>1126</v>
      </c>
      <c r="H848" s="62" t="s">
        <v>443</v>
      </c>
      <c r="I848" s="64">
        <v>8167.4642857142899</v>
      </c>
      <c r="J848" s="62" t="s">
        <v>685</v>
      </c>
      <c r="K848" s="62" t="s">
        <v>377</v>
      </c>
      <c r="L848" s="65"/>
      <c r="M848" s="62" t="s">
        <v>2443</v>
      </c>
      <c r="N848" s="62" t="s">
        <v>374</v>
      </c>
      <c r="O848" s="62" t="s">
        <v>375</v>
      </c>
      <c r="P848" s="62" t="s">
        <v>2421</v>
      </c>
      <c r="Q848" s="66" t="s">
        <v>1968</v>
      </c>
    </row>
    <row r="849" spans="1:17" x14ac:dyDescent="0.3">
      <c r="A849" s="61" t="s">
        <v>2116</v>
      </c>
      <c r="B849" s="62" t="s">
        <v>1117</v>
      </c>
      <c r="C849" s="62" t="s">
        <v>1118</v>
      </c>
      <c r="D849" s="63">
        <v>45328</v>
      </c>
      <c r="E849" s="63">
        <v>46058</v>
      </c>
      <c r="F849" s="62" t="s">
        <v>1944</v>
      </c>
      <c r="G849" s="62" t="s">
        <v>1127</v>
      </c>
      <c r="H849" s="62" t="s">
        <v>443</v>
      </c>
      <c r="I849" s="64">
        <v>8167.4642857142899</v>
      </c>
      <c r="J849" s="62" t="s">
        <v>685</v>
      </c>
      <c r="K849" s="62" t="s">
        <v>377</v>
      </c>
      <c r="L849" s="65"/>
      <c r="M849" s="62" t="s">
        <v>2443</v>
      </c>
      <c r="N849" s="62" t="s">
        <v>374</v>
      </c>
      <c r="O849" s="62" t="s">
        <v>375</v>
      </c>
      <c r="P849" s="62" t="s">
        <v>2421</v>
      </c>
      <c r="Q849" s="66" t="s">
        <v>1968</v>
      </c>
    </row>
    <row r="850" spans="1:17" x14ac:dyDescent="0.3">
      <c r="A850" s="61" t="s">
        <v>2116</v>
      </c>
      <c r="B850" s="62" t="s">
        <v>1117</v>
      </c>
      <c r="C850" s="62" t="s">
        <v>1118</v>
      </c>
      <c r="D850" s="63">
        <v>45328</v>
      </c>
      <c r="E850" s="63">
        <v>46058</v>
      </c>
      <c r="F850" s="62" t="s">
        <v>1944</v>
      </c>
      <c r="G850" s="62" t="s">
        <v>677</v>
      </c>
      <c r="H850" s="62" t="s">
        <v>443</v>
      </c>
      <c r="I850" s="64">
        <v>8167.4642857142899</v>
      </c>
      <c r="J850" s="62" t="s">
        <v>685</v>
      </c>
      <c r="K850" s="62" t="s">
        <v>377</v>
      </c>
      <c r="L850" s="65"/>
      <c r="M850" s="62" t="s">
        <v>2443</v>
      </c>
      <c r="N850" s="62" t="s">
        <v>374</v>
      </c>
      <c r="O850" s="62" t="s">
        <v>375</v>
      </c>
      <c r="P850" s="62" t="s">
        <v>2421</v>
      </c>
      <c r="Q850" s="66" t="s">
        <v>1968</v>
      </c>
    </row>
    <row r="851" spans="1:17" x14ac:dyDescent="0.3">
      <c r="A851" s="61" t="s">
        <v>2116</v>
      </c>
      <c r="B851" s="62" t="s">
        <v>1117</v>
      </c>
      <c r="C851" s="62" t="s">
        <v>1118</v>
      </c>
      <c r="D851" s="63">
        <v>45328</v>
      </c>
      <c r="E851" s="63">
        <v>46058</v>
      </c>
      <c r="F851" s="62" t="s">
        <v>1944</v>
      </c>
      <c r="G851" s="62" t="s">
        <v>725</v>
      </c>
      <c r="H851" s="62" t="s">
        <v>443</v>
      </c>
      <c r="I851" s="64">
        <v>8167.4642857142899</v>
      </c>
      <c r="J851" s="62" t="s">
        <v>685</v>
      </c>
      <c r="K851" s="62" t="s">
        <v>377</v>
      </c>
      <c r="L851" s="65"/>
      <c r="M851" s="62" t="s">
        <v>2443</v>
      </c>
      <c r="N851" s="62" t="s">
        <v>374</v>
      </c>
      <c r="O851" s="62" t="s">
        <v>375</v>
      </c>
      <c r="P851" s="62" t="s">
        <v>2421</v>
      </c>
      <c r="Q851" s="66" t="s">
        <v>1968</v>
      </c>
    </row>
    <row r="852" spans="1:17" x14ac:dyDescent="0.3">
      <c r="A852" s="61" t="s">
        <v>2116</v>
      </c>
      <c r="B852" s="62" t="s">
        <v>1117</v>
      </c>
      <c r="C852" s="62" t="s">
        <v>1118</v>
      </c>
      <c r="D852" s="63">
        <v>45328</v>
      </c>
      <c r="E852" s="63">
        <v>46058</v>
      </c>
      <c r="F852" s="62" t="s">
        <v>1941</v>
      </c>
      <c r="G852" s="62" t="s">
        <v>322</v>
      </c>
      <c r="H852" s="62" t="s">
        <v>443</v>
      </c>
      <c r="I852" s="64">
        <v>8167.4642857142899</v>
      </c>
      <c r="J852" s="62" t="s">
        <v>685</v>
      </c>
      <c r="K852" s="62" t="s">
        <v>377</v>
      </c>
      <c r="L852" s="65"/>
      <c r="M852" s="62" t="s">
        <v>2443</v>
      </c>
      <c r="N852" s="62" t="s">
        <v>374</v>
      </c>
      <c r="O852" s="62" t="s">
        <v>375</v>
      </c>
      <c r="P852" s="62" t="s">
        <v>2421</v>
      </c>
      <c r="Q852" s="66" t="s">
        <v>1968</v>
      </c>
    </row>
    <row r="853" spans="1:17" x14ac:dyDescent="0.3">
      <c r="A853" s="61" t="s">
        <v>2116</v>
      </c>
      <c r="B853" s="62" t="s">
        <v>1117</v>
      </c>
      <c r="C853" s="62" t="s">
        <v>1118</v>
      </c>
      <c r="D853" s="63">
        <v>45328</v>
      </c>
      <c r="E853" s="63">
        <v>46058</v>
      </c>
      <c r="F853" s="62" t="s">
        <v>1941</v>
      </c>
      <c r="G853" s="62" t="s">
        <v>324</v>
      </c>
      <c r="H853" s="62" t="s">
        <v>443</v>
      </c>
      <c r="I853" s="64">
        <v>8167.4642857142899</v>
      </c>
      <c r="J853" s="62" t="s">
        <v>685</v>
      </c>
      <c r="K853" s="62" t="s">
        <v>377</v>
      </c>
      <c r="L853" s="65"/>
      <c r="M853" s="62" t="s">
        <v>2443</v>
      </c>
      <c r="N853" s="62" t="s">
        <v>374</v>
      </c>
      <c r="O853" s="62" t="s">
        <v>375</v>
      </c>
      <c r="P853" s="62" t="s">
        <v>2421</v>
      </c>
      <c r="Q853" s="66" t="s">
        <v>1968</v>
      </c>
    </row>
    <row r="854" spans="1:17" x14ac:dyDescent="0.3">
      <c r="A854" s="61" t="s">
        <v>2116</v>
      </c>
      <c r="B854" s="62" t="s">
        <v>1117</v>
      </c>
      <c r="C854" s="62" t="s">
        <v>1118</v>
      </c>
      <c r="D854" s="63">
        <v>45328</v>
      </c>
      <c r="E854" s="63">
        <v>46058</v>
      </c>
      <c r="F854" s="62" t="s">
        <v>1941</v>
      </c>
      <c r="G854" s="62" t="s">
        <v>398</v>
      </c>
      <c r="H854" s="62" t="s">
        <v>443</v>
      </c>
      <c r="I854" s="64">
        <v>8167.4642857142899</v>
      </c>
      <c r="J854" s="62" t="s">
        <v>685</v>
      </c>
      <c r="K854" s="62" t="s">
        <v>377</v>
      </c>
      <c r="L854" s="65"/>
      <c r="M854" s="62" t="s">
        <v>2443</v>
      </c>
      <c r="N854" s="62" t="s">
        <v>374</v>
      </c>
      <c r="O854" s="62" t="s">
        <v>375</v>
      </c>
      <c r="P854" s="62" t="s">
        <v>2421</v>
      </c>
      <c r="Q854" s="66" t="s">
        <v>1968</v>
      </c>
    </row>
    <row r="855" spans="1:17" x14ac:dyDescent="0.3">
      <c r="A855" s="61" t="s">
        <v>2116</v>
      </c>
      <c r="B855" s="62" t="s">
        <v>1117</v>
      </c>
      <c r="C855" s="62" t="s">
        <v>1118</v>
      </c>
      <c r="D855" s="63">
        <v>45328</v>
      </c>
      <c r="E855" s="63">
        <v>46058</v>
      </c>
      <c r="F855" s="62" t="s">
        <v>1941</v>
      </c>
      <c r="G855" s="62" t="s">
        <v>325</v>
      </c>
      <c r="H855" s="62" t="s">
        <v>443</v>
      </c>
      <c r="I855" s="64">
        <v>8167.4642857142899</v>
      </c>
      <c r="J855" s="62" t="s">
        <v>685</v>
      </c>
      <c r="K855" s="62" t="s">
        <v>377</v>
      </c>
      <c r="L855" s="65"/>
      <c r="M855" s="62" t="s">
        <v>2443</v>
      </c>
      <c r="N855" s="62" t="s">
        <v>374</v>
      </c>
      <c r="O855" s="62" t="s">
        <v>375</v>
      </c>
      <c r="P855" s="62" t="s">
        <v>2421</v>
      </c>
      <c r="Q855" s="66" t="s">
        <v>1968</v>
      </c>
    </row>
    <row r="856" spans="1:17" x14ac:dyDescent="0.3">
      <c r="A856" s="61" t="s">
        <v>2116</v>
      </c>
      <c r="B856" s="62" t="s">
        <v>1117</v>
      </c>
      <c r="C856" s="62" t="s">
        <v>1118</v>
      </c>
      <c r="D856" s="63">
        <v>45328</v>
      </c>
      <c r="E856" s="63">
        <v>46058</v>
      </c>
      <c r="F856" s="62" t="s">
        <v>1941</v>
      </c>
      <c r="G856" s="62" t="s">
        <v>399</v>
      </c>
      <c r="H856" s="62" t="s">
        <v>443</v>
      </c>
      <c r="I856" s="64">
        <v>8167.4642857142899</v>
      </c>
      <c r="J856" s="62" t="s">
        <v>685</v>
      </c>
      <c r="K856" s="62" t="s">
        <v>377</v>
      </c>
      <c r="L856" s="65"/>
      <c r="M856" s="62" t="s">
        <v>2443</v>
      </c>
      <c r="N856" s="62" t="s">
        <v>374</v>
      </c>
      <c r="O856" s="62" t="s">
        <v>375</v>
      </c>
      <c r="P856" s="62" t="s">
        <v>2421</v>
      </c>
      <c r="Q856" s="66" t="s">
        <v>1968</v>
      </c>
    </row>
    <row r="857" spans="1:17" x14ac:dyDescent="0.3">
      <c r="A857" s="61" t="s">
        <v>2116</v>
      </c>
      <c r="B857" s="62" t="s">
        <v>1117</v>
      </c>
      <c r="C857" s="62" t="s">
        <v>1118</v>
      </c>
      <c r="D857" s="63">
        <v>45328</v>
      </c>
      <c r="E857" s="63">
        <v>46058</v>
      </c>
      <c r="F857" s="62" t="s">
        <v>289</v>
      </c>
      <c r="G857" s="62" t="s">
        <v>574</v>
      </c>
      <c r="H857" s="62" t="s">
        <v>443</v>
      </c>
      <c r="I857" s="64">
        <v>10209.330357142901</v>
      </c>
      <c r="J857" s="62" t="s">
        <v>685</v>
      </c>
      <c r="K857" s="62" t="s">
        <v>377</v>
      </c>
      <c r="L857" s="65"/>
      <c r="M857" s="62" t="s">
        <v>2443</v>
      </c>
      <c r="N857" s="62" t="s">
        <v>374</v>
      </c>
      <c r="O857" s="62" t="s">
        <v>375</v>
      </c>
      <c r="P857" s="62" t="s">
        <v>2421</v>
      </c>
      <c r="Q857" s="66" t="s">
        <v>1968</v>
      </c>
    </row>
    <row r="858" spans="1:17" x14ac:dyDescent="0.3">
      <c r="A858" s="61" t="s">
        <v>2116</v>
      </c>
      <c r="B858" s="62" t="s">
        <v>1117</v>
      </c>
      <c r="C858" s="62" t="s">
        <v>1118</v>
      </c>
      <c r="D858" s="63">
        <v>45328</v>
      </c>
      <c r="E858" s="63">
        <v>46058</v>
      </c>
      <c r="F858" s="62" t="s">
        <v>289</v>
      </c>
      <c r="G858" s="62" t="s">
        <v>953</v>
      </c>
      <c r="H858" s="62" t="s">
        <v>443</v>
      </c>
      <c r="I858" s="64">
        <v>10209.330357142901</v>
      </c>
      <c r="J858" s="62" t="s">
        <v>685</v>
      </c>
      <c r="K858" s="62" t="s">
        <v>377</v>
      </c>
      <c r="L858" s="65"/>
      <c r="M858" s="62" t="s">
        <v>2443</v>
      </c>
      <c r="N858" s="62" t="s">
        <v>374</v>
      </c>
      <c r="O858" s="62" t="s">
        <v>375</v>
      </c>
      <c r="P858" s="62" t="s">
        <v>2421</v>
      </c>
      <c r="Q858" s="66" t="s">
        <v>1968</v>
      </c>
    </row>
    <row r="859" spans="1:17" x14ac:dyDescent="0.3">
      <c r="A859" s="61" t="s">
        <v>2116</v>
      </c>
      <c r="B859" s="62" t="s">
        <v>1117</v>
      </c>
      <c r="C859" s="62" t="s">
        <v>1118</v>
      </c>
      <c r="D859" s="63">
        <v>45328</v>
      </c>
      <c r="E859" s="63">
        <v>46058</v>
      </c>
      <c r="F859" s="62" t="s">
        <v>289</v>
      </c>
      <c r="G859" s="62" t="s">
        <v>831</v>
      </c>
      <c r="H859" s="62" t="s">
        <v>443</v>
      </c>
      <c r="I859" s="64">
        <v>10209.330357142901</v>
      </c>
      <c r="J859" s="62" t="s">
        <v>685</v>
      </c>
      <c r="K859" s="62" t="s">
        <v>377</v>
      </c>
      <c r="L859" s="65"/>
      <c r="M859" s="62" t="s">
        <v>2443</v>
      </c>
      <c r="N859" s="62" t="s">
        <v>374</v>
      </c>
      <c r="O859" s="62" t="s">
        <v>375</v>
      </c>
      <c r="P859" s="62" t="s">
        <v>2421</v>
      </c>
      <c r="Q859" s="66" t="s">
        <v>1968</v>
      </c>
    </row>
    <row r="860" spans="1:17" x14ac:dyDescent="0.3">
      <c r="A860" s="61" t="s">
        <v>2116</v>
      </c>
      <c r="B860" s="62" t="s">
        <v>1117</v>
      </c>
      <c r="C860" s="62" t="s">
        <v>1118</v>
      </c>
      <c r="D860" s="63">
        <v>45328</v>
      </c>
      <c r="E860" s="63">
        <v>46058</v>
      </c>
      <c r="F860" s="62" t="s">
        <v>289</v>
      </c>
      <c r="G860" s="62" t="s">
        <v>594</v>
      </c>
      <c r="H860" s="62" t="s">
        <v>443</v>
      </c>
      <c r="I860" s="64">
        <v>10209.330357142901</v>
      </c>
      <c r="J860" s="62" t="s">
        <v>685</v>
      </c>
      <c r="K860" s="62" t="s">
        <v>377</v>
      </c>
      <c r="L860" s="65"/>
      <c r="M860" s="62" t="s">
        <v>2443</v>
      </c>
      <c r="N860" s="62" t="s">
        <v>374</v>
      </c>
      <c r="O860" s="62" t="s">
        <v>375</v>
      </c>
      <c r="P860" s="62" t="s">
        <v>2421</v>
      </c>
      <c r="Q860" s="66" t="s">
        <v>1968</v>
      </c>
    </row>
    <row r="861" spans="1:17" x14ac:dyDescent="0.3">
      <c r="A861" s="61" t="s">
        <v>2116</v>
      </c>
      <c r="B861" s="62" t="s">
        <v>1117</v>
      </c>
      <c r="C861" s="62" t="s">
        <v>1118</v>
      </c>
      <c r="D861" s="63">
        <v>45328</v>
      </c>
      <c r="E861" s="63">
        <v>46058</v>
      </c>
      <c r="F861" s="62" t="s">
        <v>1930</v>
      </c>
      <c r="G861" s="62" t="s">
        <v>572</v>
      </c>
      <c r="H861" s="62" t="s">
        <v>443</v>
      </c>
      <c r="I861" s="64">
        <v>10209.330357142901</v>
      </c>
      <c r="J861" s="62" t="s">
        <v>685</v>
      </c>
      <c r="K861" s="62" t="s">
        <v>377</v>
      </c>
      <c r="L861" s="65"/>
      <c r="M861" s="62" t="s">
        <v>2443</v>
      </c>
      <c r="N861" s="62" t="s">
        <v>374</v>
      </c>
      <c r="O861" s="62" t="s">
        <v>375</v>
      </c>
      <c r="P861" s="62" t="s">
        <v>2421</v>
      </c>
      <c r="Q861" s="66" t="s">
        <v>1968</v>
      </c>
    </row>
    <row r="862" spans="1:17" x14ac:dyDescent="0.3">
      <c r="A862" s="61" t="s">
        <v>2116</v>
      </c>
      <c r="B862" s="62" t="s">
        <v>1117</v>
      </c>
      <c r="C862" s="62" t="s">
        <v>1118</v>
      </c>
      <c r="D862" s="63">
        <v>45328</v>
      </c>
      <c r="E862" s="63">
        <v>46058</v>
      </c>
      <c r="F862" s="62" t="s">
        <v>1930</v>
      </c>
      <c r="G862" s="62" t="s">
        <v>581</v>
      </c>
      <c r="H862" s="62" t="s">
        <v>443</v>
      </c>
      <c r="I862" s="64">
        <v>10209.330357142901</v>
      </c>
      <c r="J862" s="62" t="s">
        <v>685</v>
      </c>
      <c r="K862" s="62" t="s">
        <v>377</v>
      </c>
      <c r="L862" s="65"/>
      <c r="M862" s="62" t="s">
        <v>2443</v>
      </c>
      <c r="N862" s="62" t="s">
        <v>374</v>
      </c>
      <c r="O862" s="62" t="s">
        <v>375</v>
      </c>
      <c r="P862" s="62" t="s">
        <v>2421</v>
      </c>
      <c r="Q862" s="66" t="s">
        <v>1968</v>
      </c>
    </row>
    <row r="863" spans="1:17" x14ac:dyDescent="0.3">
      <c r="A863" s="61" t="s">
        <v>2116</v>
      </c>
      <c r="B863" s="62" t="s">
        <v>1117</v>
      </c>
      <c r="C863" s="62" t="s">
        <v>1118</v>
      </c>
      <c r="D863" s="63">
        <v>45328</v>
      </c>
      <c r="E863" s="63">
        <v>46058</v>
      </c>
      <c r="F863" s="62" t="s">
        <v>1930</v>
      </c>
      <c r="G863" s="62" t="s">
        <v>453</v>
      </c>
      <c r="H863" s="62" t="s">
        <v>443</v>
      </c>
      <c r="I863" s="64">
        <v>10209.330357142901</v>
      </c>
      <c r="J863" s="62" t="s">
        <v>685</v>
      </c>
      <c r="K863" s="62" t="s">
        <v>377</v>
      </c>
      <c r="L863" s="65"/>
      <c r="M863" s="62" t="s">
        <v>2443</v>
      </c>
      <c r="N863" s="62" t="s">
        <v>374</v>
      </c>
      <c r="O863" s="62" t="s">
        <v>375</v>
      </c>
      <c r="P863" s="62" t="s">
        <v>2421</v>
      </c>
      <c r="Q863" s="66" t="s">
        <v>1968</v>
      </c>
    </row>
    <row r="864" spans="1:17" x14ac:dyDescent="0.3">
      <c r="A864" s="61" t="s">
        <v>2116</v>
      </c>
      <c r="B864" s="62" t="s">
        <v>1117</v>
      </c>
      <c r="C864" s="62" t="s">
        <v>1118</v>
      </c>
      <c r="D864" s="63">
        <v>45328</v>
      </c>
      <c r="E864" s="63">
        <v>46058</v>
      </c>
      <c r="F864" s="62" t="s">
        <v>1930</v>
      </c>
      <c r="G864" s="62" t="s">
        <v>545</v>
      </c>
      <c r="H864" s="62" t="s">
        <v>443</v>
      </c>
      <c r="I864" s="64">
        <v>10209.330357142901</v>
      </c>
      <c r="J864" s="62" t="s">
        <v>685</v>
      </c>
      <c r="K864" s="62" t="s">
        <v>377</v>
      </c>
      <c r="L864" s="65"/>
      <c r="M864" s="62" t="s">
        <v>2443</v>
      </c>
      <c r="N864" s="62" t="s">
        <v>374</v>
      </c>
      <c r="O864" s="62" t="s">
        <v>375</v>
      </c>
      <c r="P864" s="62" t="s">
        <v>2421</v>
      </c>
      <c r="Q864" s="66" t="s">
        <v>1968</v>
      </c>
    </row>
    <row r="865" spans="1:17" x14ac:dyDescent="0.3">
      <c r="A865" s="61" t="s">
        <v>2116</v>
      </c>
      <c r="B865" s="62" t="s">
        <v>1117</v>
      </c>
      <c r="C865" s="62" t="s">
        <v>1118</v>
      </c>
      <c r="D865" s="63">
        <v>45328</v>
      </c>
      <c r="E865" s="63">
        <v>46058</v>
      </c>
      <c r="F865" s="62" t="s">
        <v>1934</v>
      </c>
      <c r="G865" s="62" t="s">
        <v>526</v>
      </c>
      <c r="H865" s="62" t="s">
        <v>443</v>
      </c>
      <c r="I865" s="64">
        <v>20418.660714285699</v>
      </c>
      <c r="J865" s="62" t="s">
        <v>685</v>
      </c>
      <c r="K865" s="62" t="s">
        <v>377</v>
      </c>
      <c r="L865" s="65"/>
      <c r="M865" s="62" t="s">
        <v>2443</v>
      </c>
      <c r="N865" s="62" t="s">
        <v>374</v>
      </c>
      <c r="O865" s="62" t="s">
        <v>375</v>
      </c>
      <c r="P865" s="62" t="s">
        <v>2421</v>
      </c>
      <c r="Q865" s="66" t="s">
        <v>1968</v>
      </c>
    </row>
    <row r="866" spans="1:17" x14ac:dyDescent="0.3">
      <c r="A866" s="61" t="s">
        <v>2116</v>
      </c>
      <c r="B866" s="62" t="s">
        <v>1117</v>
      </c>
      <c r="C866" s="62" t="s">
        <v>1118</v>
      </c>
      <c r="D866" s="63">
        <v>45328</v>
      </c>
      <c r="E866" s="63">
        <v>46058</v>
      </c>
      <c r="F866" s="62" t="s">
        <v>1934</v>
      </c>
      <c r="G866" s="62" t="s">
        <v>499</v>
      </c>
      <c r="H866" s="62" t="s">
        <v>443</v>
      </c>
      <c r="I866" s="64">
        <v>20418.660714285699</v>
      </c>
      <c r="J866" s="62" t="s">
        <v>685</v>
      </c>
      <c r="K866" s="62" t="s">
        <v>377</v>
      </c>
      <c r="L866" s="65"/>
      <c r="M866" s="62" t="s">
        <v>2443</v>
      </c>
      <c r="N866" s="62" t="s">
        <v>374</v>
      </c>
      <c r="O866" s="62" t="s">
        <v>375</v>
      </c>
      <c r="P866" s="62" t="s">
        <v>2421</v>
      </c>
      <c r="Q866" s="66" t="s">
        <v>1968</v>
      </c>
    </row>
    <row r="867" spans="1:17" x14ac:dyDescent="0.3">
      <c r="A867" s="61" t="s">
        <v>2116</v>
      </c>
      <c r="B867" s="62" t="s">
        <v>1117</v>
      </c>
      <c r="C867" s="62" t="s">
        <v>1118</v>
      </c>
      <c r="D867" s="63">
        <v>45328</v>
      </c>
      <c r="E867" s="63">
        <v>46058</v>
      </c>
      <c r="F867" s="62" t="s">
        <v>1939</v>
      </c>
      <c r="G867" s="62" t="s">
        <v>1128</v>
      </c>
      <c r="H867" s="62" t="s">
        <v>443</v>
      </c>
      <c r="I867" s="64">
        <v>20418.660714285699</v>
      </c>
      <c r="J867" s="62" t="s">
        <v>685</v>
      </c>
      <c r="K867" s="62" t="s">
        <v>377</v>
      </c>
      <c r="L867" s="65"/>
      <c r="M867" s="62" t="s">
        <v>2443</v>
      </c>
      <c r="N867" s="62" t="s">
        <v>374</v>
      </c>
      <c r="O867" s="62" t="s">
        <v>375</v>
      </c>
      <c r="P867" s="62" t="s">
        <v>2421</v>
      </c>
      <c r="Q867" s="66" t="s">
        <v>1968</v>
      </c>
    </row>
    <row r="868" spans="1:17" x14ac:dyDescent="0.3">
      <c r="A868" s="61" t="s">
        <v>2116</v>
      </c>
      <c r="B868" s="62" t="s">
        <v>1117</v>
      </c>
      <c r="C868" s="62" t="s">
        <v>1118</v>
      </c>
      <c r="D868" s="63">
        <v>45328</v>
      </c>
      <c r="E868" s="63">
        <v>46058</v>
      </c>
      <c r="F868" s="62" t="s">
        <v>1939</v>
      </c>
      <c r="G868" s="62" t="s">
        <v>539</v>
      </c>
      <c r="H868" s="62" t="s">
        <v>443</v>
      </c>
      <c r="I868" s="64">
        <v>20418.660714285699</v>
      </c>
      <c r="J868" s="62" t="s">
        <v>685</v>
      </c>
      <c r="K868" s="62" t="s">
        <v>377</v>
      </c>
      <c r="L868" s="65"/>
      <c r="M868" s="62" t="s">
        <v>2443</v>
      </c>
      <c r="N868" s="62" t="s">
        <v>374</v>
      </c>
      <c r="O868" s="62" t="s">
        <v>375</v>
      </c>
      <c r="P868" s="62" t="s">
        <v>2421</v>
      </c>
      <c r="Q868" s="66" t="s">
        <v>1968</v>
      </c>
    </row>
    <row r="869" spans="1:17" x14ac:dyDescent="0.3">
      <c r="A869" s="61" t="s">
        <v>2116</v>
      </c>
      <c r="B869" s="62" t="s">
        <v>1117</v>
      </c>
      <c r="C869" s="62" t="s">
        <v>1118</v>
      </c>
      <c r="D869" s="63">
        <v>45328</v>
      </c>
      <c r="E869" s="63">
        <v>46058</v>
      </c>
      <c r="F869" s="62" t="s">
        <v>1936</v>
      </c>
      <c r="G869" s="62" t="s">
        <v>797</v>
      </c>
      <c r="H869" s="62" t="s">
        <v>443</v>
      </c>
      <c r="I869" s="64">
        <v>20418.660714285699</v>
      </c>
      <c r="J869" s="62" t="s">
        <v>685</v>
      </c>
      <c r="K869" s="62" t="s">
        <v>377</v>
      </c>
      <c r="L869" s="65"/>
      <c r="M869" s="62" t="s">
        <v>2443</v>
      </c>
      <c r="N869" s="62" t="s">
        <v>374</v>
      </c>
      <c r="O869" s="62" t="s">
        <v>375</v>
      </c>
      <c r="P869" s="62" t="s">
        <v>2421</v>
      </c>
      <c r="Q869" s="66" t="s">
        <v>1968</v>
      </c>
    </row>
    <row r="870" spans="1:17" x14ac:dyDescent="0.3">
      <c r="A870" s="61" t="s">
        <v>2116</v>
      </c>
      <c r="B870" s="62" t="s">
        <v>1117</v>
      </c>
      <c r="C870" s="62" t="s">
        <v>1118</v>
      </c>
      <c r="D870" s="63">
        <v>45328</v>
      </c>
      <c r="E870" s="63">
        <v>46058</v>
      </c>
      <c r="F870" s="62" t="s">
        <v>1936</v>
      </c>
      <c r="G870" s="62" t="s">
        <v>411</v>
      </c>
      <c r="H870" s="62" t="s">
        <v>443</v>
      </c>
      <c r="I870" s="64">
        <v>20418.660714285699</v>
      </c>
      <c r="J870" s="62" t="s">
        <v>685</v>
      </c>
      <c r="K870" s="62" t="s">
        <v>377</v>
      </c>
      <c r="L870" s="65"/>
      <c r="M870" s="62" t="s">
        <v>2443</v>
      </c>
      <c r="N870" s="62" t="s">
        <v>374</v>
      </c>
      <c r="O870" s="62" t="s">
        <v>375</v>
      </c>
      <c r="P870" s="62" t="s">
        <v>2421</v>
      </c>
      <c r="Q870" s="66" t="s">
        <v>1968</v>
      </c>
    </row>
    <row r="871" spans="1:17" x14ac:dyDescent="0.3">
      <c r="A871" s="61" t="s">
        <v>2116</v>
      </c>
      <c r="B871" s="62" t="s">
        <v>1117</v>
      </c>
      <c r="C871" s="62" t="s">
        <v>1118</v>
      </c>
      <c r="D871" s="63">
        <v>45328</v>
      </c>
      <c r="E871" s="63">
        <v>46058</v>
      </c>
      <c r="F871" s="62" t="s">
        <v>287</v>
      </c>
      <c r="G871" s="62" t="s">
        <v>554</v>
      </c>
      <c r="H871" s="62" t="s">
        <v>443</v>
      </c>
      <c r="I871" s="64">
        <v>20418.660714285699</v>
      </c>
      <c r="J871" s="62" t="s">
        <v>685</v>
      </c>
      <c r="K871" s="62" t="s">
        <v>377</v>
      </c>
      <c r="L871" s="65"/>
      <c r="M871" s="62" t="s">
        <v>2443</v>
      </c>
      <c r="N871" s="62" t="s">
        <v>374</v>
      </c>
      <c r="O871" s="62" t="s">
        <v>375</v>
      </c>
      <c r="P871" s="62" t="s">
        <v>2421</v>
      </c>
      <c r="Q871" s="66" t="s">
        <v>1968</v>
      </c>
    </row>
    <row r="872" spans="1:17" x14ac:dyDescent="0.3">
      <c r="A872" s="61" t="s">
        <v>2116</v>
      </c>
      <c r="B872" s="62" t="s">
        <v>1117</v>
      </c>
      <c r="C872" s="62" t="s">
        <v>1118</v>
      </c>
      <c r="D872" s="63">
        <v>45328</v>
      </c>
      <c r="E872" s="63">
        <v>46058</v>
      </c>
      <c r="F872" s="62" t="s">
        <v>287</v>
      </c>
      <c r="G872" s="62" t="s">
        <v>396</v>
      </c>
      <c r="H872" s="62" t="s">
        <v>443</v>
      </c>
      <c r="I872" s="64">
        <v>20418.660714285699</v>
      </c>
      <c r="J872" s="62" t="s">
        <v>685</v>
      </c>
      <c r="K872" s="62" t="s">
        <v>377</v>
      </c>
      <c r="L872" s="65"/>
      <c r="M872" s="62" t="s">
        <v>2443</v>
      </c>
      <c r="N872" s="62" t="s">
        <v>374</v>
      </c>
      <c r="O872" s="62" t="s">
        <v>375</v>
      </c>
      <c r="P872" s="62" t="s">
        <v>2421</v>
      </c>
      <c r="Q872" s="66" t="s">
        <v>1968</v>
      </c>
    </row>
    <row r="873" spans="1:17" x14ac:dyDescent="0.3">
      <c r="A873" s="61" t="s">
        <v>2116</v>
      </c>
      <c r="B873" s="62" t="s">
        <v>1117</v>
      </c>
      <c r="C873" s="62" t="s">
        <v>1118</v>
      </c>
      <c r="D873" s="63">
        <v>45328</v>
      </c>
      <c r="E873" s="63">
        <v>46058</v>
      </c>
      <c r="F873" s="62" t="s">
        <v>348</v>
      </c>
      <c r="G873" s="62" t="s">
        <v>348</v>
      </c>
      <c r="H873" s="62" t="s">
        <v>443</v>
      </c>
      <c r="I873" s="64">
        <v>40837.321428571398</v>
      </c>
      <c r="J873" s="62" t="s">
        <v>685</v>
      </c>
      <c r="K873" s="62" t="s">
        <v>377</v>
      </c>
      <c r="L873" s="65"/>
      <c r="M873" s="62" t="s">
        <v>2443</v>
      </c>
      <c r="N873" s="62" t="s">
        <v>374</v>
      </c>
      <c r="O873" s="62" t="s">
        <v>375</v>
      </c>
      <c r="P873" s="62" t="s">
        <v>2421</v>
      </c>
      <c r="Q873" s="66" t="s">
        <v>1968</v>
      </c>
    </row>
    <row r="874" spans="1:17" x14ac:dyDescent="0.3">
      <c r="A874" s="61" t="s">
        <v>2116</v>
      </c>
      <c r="B874" s="62" t="s">
        <v>1117</v>
      </c>
      <c r="C874" s="62" t="s">
        <v>1118</v>
      </c>
      <c r="D874" s="63">
        <v>45328</v>
      </c>
      <c r="E874" s="63">
        <v>46058</v>
      </c>
      <c r="F874" s="62" t="s">
        <v>1958</v>
      </c>
      <c r="G874" s="62" t="s">
        <v>330</v>
      </c>
      <c r="H874" s="62" t="s">
        <v>443</v>
      </c>
      <c r="I874" s="64">
        <v>40837.321428571398</v>
      </c>
      <c r="J874" s="62" t="s">
        <v>685</v>
      </c>
      <c r="K874" s="62" t="s">
        <v>377</v>
      </c>
      <c r="L874" s="65"/>
      <c r="M874" s="62" t="s">
        <v>2443</v>
      </c>
      <c r="N874" s="62" t="s">
        <v>374</v>
      </c>
      <c r="O874" s="62" t="s">
        <v>375</v>
      </c>
      <c r="P874" s="62" t="s">
        <v>2421</v>
      </c>
      <c r="Q874" s="66" t="s">
        <v>1968</v>
      </c>
    </row>
    <row r="875" spans="1:17" x14ac:dyDescent="0.3">
      <c r="A875" s="61" t="s">
        <v>2116</v>
      </c>
      <c r="B875" s="62" t="s">
        <v>1117</v>
      </c>
      <c r="C875" s="62" t="s">
        <v>1118</v>
      </c>
      <c r="D875" s="63">
        <v>45328</v>
      </c>
      <c r="E875" s="63">
        <v>46058</v>
      </c>
      <c r="F875" s="62" t="s">
        <v>284</v>
      </c>
      <c r="G875" s="62" t="s">
        <v>412</v>
      </c>
      <c r="H875" s="62" t="s">
        <v>443</v>
      </c>
      <c r="I875" s="64">
        <v>40837.321428571398</v>
      </c>
      <c r="J875" s="62" t="s">
        <v>685</v>
      </c>
      <c r="K875" s="62" t="s">
        <v>377</v>
      </c>
      <c r="L875" s="65"/>
      <c r="M875" s="62" t="s">
        <v>2443</v>
      </c>
      <c r="N875" s="62" t="s">
        <v>374</v>
      </c>
      <c r="O875" s="62" t="s">
        <v>375</v>
      </c>
      <c r="P875" s="62" t="s">
        <v>2421</v>
      </c>
      <c r="Q875" s="66" t="s">
        <v>1968</v>
      </c>
    </row>
    <row r="876" spans="1:17" x14ac:dyDescent="0.3">
      <c r="A876" s="61" t="s">
        <v>2116</v>
      </c>
      <c r="B876" s="62" t="s">
        <v>1117</v>
      </c>
      <c r="C876" s="62" t="s">
        <v>1118</v>
      </c>
      <c r="D876" s="63">
        <v>45328</v>
      </c>
      <c r="E876" s="63">
        <v>46058</v>
      </c>
      <c r="F876" s="62" t="s">
        <v>1945</v>
      </c>
      <c r="G876" s="62" t="s">
        <v>401</v>
      </c>
      <c r="H876" s="62" t="s">
        <v>443</v>
      </c>
      <c r="I876" s="64">
        <v>40837.321428571398</v>
      </c>
      <c r="J876" s="62" t="s">
        <v>685</v>
      </c>
      <c r="K876" s="62" t="s">
        <v>377</v>
      </c>
      <c r="L876" s="65"/>
      <c r="M876" s="62" t="s">
        <v>2443</v>
      </c>
      <c r="N876" s="62" t="s">
        <v>374</v>
      </c>
      <c r="O876" s="62" t="s">
        <v>375</v>
      </c>
      <c r="P876" s="62" t="s">
        <v>2421</v>
      </c>
      <c r="Q876" s="66" t="s">
        <v>1968</v>
      </c>
    </row>
    <row r="877" spans="1:17" x14ac:dyDescent="0.3">
      <c r="A877" s="61" t="s">
        <v>2117</v>
      </c>
      <c r="B877" s="62" t="s">
        <v>1129</v>
      </c>
      <c r="C877" s="62" t="s">
        <v>1130</v>
      </c>
      <c r="D877" s="63">
        <v>45245</v>
      </c>
      <c r="E877" s="63">
        <v>46157</v>
      </c>
      <c r="F877" s="62" t="s">
        <v>350</v>
      </c>
      <c r="G877" s="62" t="s">
        <v>304</v>
      </c>
      <c r="H877" s="62" t="s">
        <v>373</v>
      </c>
      <c r="I877" s="64">
        <v>1621355</v>
      </c>
      <c r="J877" s="62" t="s">
        <v>373</v>
      </c>
      <c r="K877" s="62" t="s">
        <v>1693</v>
      </c>
      <c r="L877" s="65"/>
      <c r="M877" s="62" t="s">
        <v>424</v>
      </c>
      <c r="N877" s="62" t="s">
        <v>961</v>
      </c>
      <c r="O877" s="62" t="s">
        <v>596</v>
      </c>
      <c r="P877" s="62" t="s">
        <v>2421</v>
      </c>
      <c r="Q877" s="66" t="s">
        <v>1972</v>
      </c>
    </row>
    <row r="878" spans="1:17" x14ac:dyDescent="0.3">
      <c r="A878" s="61" t="s">
        <v>2118</v>
      </c>
      <c r="B878" s="62" t="s">
        <v>1131</v>
      </c>
      <c r="C878" s="62" t="s">
        <v>1132</v>
      </c>
      <c r="D878" s="63">
        <v>45398</v>
      </c>
      <c r="E878" s="63">
        <v>46676</v>
      </c>
      <c r="F878" s="62" t="s">
        <v>286</v>
      </c>
      <c r="G878" s="62" t="s">
        <v>304</v>
      </c>
      <c r="H878" s="62" t="s">
        <v>2420</v>
      </c>
      <c r="I878" s="64">
        <v>45033.333333333299</v>
      </c>
      <c r="J878" s="62" t="s">
        <v>2425</v>
      </c>
      <c r="K878" s="62" t="s">
        <v>377</v>
      </c>
      <c r="L878" s="65"/>
      <c r="M878" s="62" t="s">
        <v>2443</v>
      </c>
      <c r="N878" s="62" t="s">
        <v>469</v>
      </c>
      <c r="O878" s="62" t="s">
        <v>315</v>
      </c>
      <c r="P878" s="62" t="s">
        <v>2421</v>
      </c>
      <c r="Q878" s="66" t="s">
        <v>1969</v>
      </c>
    </row>
    <row r="879" spans="1:17" x14ac:dyDescent="0.3">
      <c r="A879" s="61" t="s">
        <v>2118</v>
      </c>
      <c r="B879" s="62" t="s">
        <v>1131</v>
      </c>
      <c r="C879" s="62" t="s">
        <v>1132</v>
      </c>
      <c r="D879" s="63">
        <v>45398</v>
      </c>
      <c r="E879" s="63">
        <v>46676</v>
      </c>
      <c r="F879" s="62" t="s">
        <v>1944</v>
      </c>
      <c r="G879" s="62" t="s">
        <v>304</v>
      </c>
      <c r="H879" s="62" t="s">
        <v>2420</v>
      </c>
      <c r="I879" s="64">
        <v>45033.333333333299</v>
      </c>
      <c r="J879" s="62" t="s">
        <v>2425</v>
      </c>
      <c r="K879" s="62" t="s">
        <v>377</v>
      </c>
      <c r="L879" s="65"/>
      <c r="M879" s="62" t="s">
        <v>2443</v>
      </c>
      <c r="N879" s="62" t="s">
        <v>469</v>
      </c>
      <c r="O879" s="62" t="s">
        <v>315</v>
      </c>
      <c r="P879" s="62" t="s">
        <v>2421</v>
      </c>
      <c r="Q879" s="66" t="s">
        <v>1969</v>
      </c>
    </row>
    <row r="880" spans="1:17" x14ac:dyDescent="0.3">
      <c r="A880" s="61" t="s">
        <v>2118</v>
      </c>
      <c r="B880" s="62" t="s">
        <v>1131</v>
      </c>
      <c r="C880" s="62" t="s">
        <v>1132</v>
      </c>
      <c r="D880" s="63">
        <v>45398</v>
      </c>
      <c r="E880" s="63">
        <v>46676</v>
      </c>
      <c r="F880" s="62" t="s">
        <v>1941</v>
      </c>
      <c r="G880" s="62" t="s">
        <v>304</v>
      </c>
      <c r="H880" s="62" t="s">
        <v>2420</v>
      </c>
      <c r="I880" s="64">
        <v>45033.333333333299</v>
      </c>
      <c r="J880" s="62" t="s">
        <v>2425</v>
      </c>
      <c r="K880" s="62" t="s">
        <v>377</v>
      </c>
      <c r="L880" s="65"/>
      <c r="M880" s="62" t="s">
        <v>2443</v>
      </c>
      <c r="N880" s="62" t="s">
        <v>469</v>
      </c>
      <c r="O880" s="62" t="s">
        <v>315</v>
      </c>
      <c r="P880" s="62" t="s">
        <v>2421</v>
      </c>
      <c r="Q880" s="66" t="s">
        <v>1969</v>
      </c>
    </row>
    <row r="881" spans="1:17" x14ac:dyDescent="0.3">
      <c r="A881" s="61" t="s">
        <v>2119</v>
      </c>
      <c r="B881" s="62" t="s">
        <v>1133</v>
      </c>
      <c r="C881" s="62" t="s">
        <v>1134</v>
      </c>
      <c r="D881" s="63">
        <v>45393</v>
      </c>
      <c r="E881" s="63">
        <v>46126</v>
      </c>
      <c r="F881" s="62" t="s">
        <v>286</v>
      </c>
      <c r="G881" s="62" t="s">
        <v>304</v>
      </c>
      <c r="H881" s="62" t="s">
        <v>489</v>
      </c>
      <c r="I881" s="64">
        <v>546720.66666666698</v>
      </c>
      <c r="J881" s="62" t="s">
        <v>813</v>
      </c>
      <c r="K881" s="62" t="s">
        <v>489</v>
      </c>
      <c r="L881" s="65"/>
      <c r="M881" s="62" t="s">
        <v>424</v>
      </c>
      <c r="N881" s="62" t="s">
        <v>357</v>
      </c>
      <c r="O881" s="62" t="s">
        <v>358</v>
      </c>
      <c r="P881" s="62" t="s">
        <v>2421</v>
      </c>
      <c r="Q881" s="66" t="s">
        <v>1971</v>
      </c>
    </row>
    <row r="882" spans="1:17" x14ac:dyDescent="0.3">
      <c r="A882" s="61" t="s">
        <v>2119</v>
      </c>
      <c r="B882" s="62" t="s">
        <v>1133</v>
      </c>
      <c r="C882" s="62" t="s">
        <v>1134</v>
      </c>
      <c r="D882" s="63">
        <v>45393</v>
      </c>
      <c r="E882" s="63">
        <v>46126</v>
      </c>
      <c r="F882" s="62" t="s">
        <v>1943</v>
      </c>
      <c r="G882" s="62" t="s">
        <v>304</v>
      </c>
      <c r="H882" s="62" t="s">
        <v>489</v>
      </c>
      <c r="I882" s="64">
        <v>546720.66666666698</v>
      </c>
      <c r="J882" s="62" t="s">
        <v>813</v>
      </c>
      <c r="K882" s="62" t="s">
        <v>489</v>
      </c>
      <c r="L882" s="65"/>
      <c r="M882" s="62" t="s">
        <v>424</v>
      </c>
      <c r="N882" s="62" t="s">
        <v>357</v>
      </c>
      <c r="O882" s="62" t="s">
        <v>358</v>
      </c>
      <c r="P882" s="62" t="s">
        <v>2421</v>
      </c>
      <c r="Q882" s="66" t="s">
        <v>1971</v>
      </c>
    </row>
    <row r="883" spans="1:17" x14ac:dyDescent="0.3">
      <c r="A883" s="61" t="s">
        <v>2119</v>
      </c>
      <c r="B883" s="62" t="s">
        <v>1133</v>
      </c>
      <c r="C883" s="62" t="s">
        <v>1134</v>
      </c>
      <c r="D883" s="63">
        <v>45393</v>
      </c>
      <c r="E883" s="63">
        <v>46126</v>
      </c>
      <c r="F883" s="62" t="s">
        <v>1939</v>
      </c>
      <c r="G883" s="62" t="s">
        <v>304</v>
      </c>
      <c r="H883" s="62" t="s">
        <v>489</v>
      </c>
      <c r="I883" s="64">
        <v>546720.66666666698</v>
      </c>
      <c r="J883" s="62" t="s">
        <v>813</v>
      </c>
      <c r="K883" s="62" t="s">
        <v>489</v>
      </c>
      <c r="L883" s="65"/>
      <c r="M883" s="62" t="s">
        <v>424</v>
      </c>
      <c r="N883" s="62" t="s">
        <v>357</v>
      </c>
      <c r="O883" s="62" t="s">
        <v>358</v>
      </c>
      <c r="P883" s="62" t="s">
        <v>2421</v>
      </c>
      <c r="Q883" s="66" t="s">
        <v>1971</v>
      </c>
    </row>
    <row r="884" spans="1:17" x14ac:dyDescent="0.3">
      <c r="A884" s="61" t="s">
        <v>2120</v>
      </c>
      <c r="B884" s="62" t="s">
        <v>1136</v>
      </c>
      <c r="C884" s="62" t="s">
        <v>1137</v>
      </c>
      <c r="D884" s="63">
        <v>45139</v>
      </c>
      <c r="E884" s="63">
        <v>46234</v>
      </c>
      <c r="F884" s="62" t="s">
        <v>1959</v>
      </c>
      <c r="G884" s="62" t="s">
        <v>666</v>
      </c>
      <c r="H884" s="62" t="s">
        <v>638</v>
      </c>
      <c r="I884" s="64">
        <v>355821.25</v>
      </c>
      <c r="J884" s="62" t="s">
        <v>1138</v>
      </c>
      <c r="K884" s="62" t="s">
        <v>638</v>
      </c>
      <c r="L884" s="65"/>
      <c r="M884" s="62" t="s">
        <v>2443</v>
      </c>
      <c r="N884" s="62" t="s">
        <v>314</v>
      </c>
      <c r="O884" s="62" t="s">
        <v>315</v>
      </c>
      <c r="P884" s="62" t="s">
        <v>2421</v>
      </c>
      <c r="Q884" s="66" t="s">
        <v>1969</v>
      </c>
    </row>
    <row r="885" spans="1:17" x14ac:dyDescent="0.3">
      <c r="A885" s="61" t="s">
        <v>2120</v>
      </c>
      <c r="B885" s="62" t="s">
        <v>1136</v>
      </c>
      <c r="C885" s="62" t="s">
        <v>1137</v>
      </c>
      <c r="D885" s="63">
        <v>45139</v>
      </c>
      <c r="E885" s="63">
        <v>46234</v>
      </c>
      <c r="F885" s="62" t="s">
        <v>1959</v>
      </c>
      <c r="G885" s="62" t="s">
        <v>807</v>
      </c>
      <c r="H885" s="62" t="s">
        <v>638</v>
      </c>
      <c r="I885" s="64">
        <v>355821.25</v>
      </c>
      <c r="J885" s="62" t="s">
        <v>1138</v>
      </c>
      <c r="K885" s="62" t="s">
        <v>638</v>
      </c>
      <c r="L885" s="65"/>
      <c r="M885" s="62" t="s">
        <v>2443</v>
      </c>
      <c r="N885" s="62" t="s">
        <v>314</v>
      </c>
      <c r="O885" s="62" t="s">
        <v>315</v>
      </c>
      <c r="P885" s="62" t="s">
        <v>2421</v>
      </c>
      <c r="Q885" s="66" t="s">
        <v>1969</v>
      </c>
    </row>
    <row r="886" spans="1:17" x14ac:dyDescent="0.3">
      <c r="A886" s="61" t="s">
        <v>2120</v>
      </c>
      <c r="B886" s="62" t="s">
        <v>1136</v>
      </c>
      <c r="C886" s="62" t="s">
        <v>1137</v>
      </c>
      <c r="D886" s="63">
        <v>45139</v>
      </c>
      <c r="E886" s="63">
        <v>46234</v>
      </c>
      <c r="F886" s="62" t="s">
        <v>1959</v>
      </c>
      <c r="G886" s="62" t="s">
        <v>669</v>
      </c>
      <c r="H886" s="62" t="s">
        <v>638</v>
      </c>
      <c r="I886" s="64">
        <v>355821.25</v>
      </c>
      <c r="J886" s="62" t="s">
        <v>1138</v>
      </c>
      <c r="K886" s="62" t="s">
        <v>638</v>
      </c>
      <c r="L886" s="65"/>
      <c r="M886" s="62" t="s">
        <v>2443</v>
      </c>
      <c r="N886" s="62" t="s">
        <v>314</v>
      </c>
      <c r="O886" s="62" t="s">
        <v>315</v>
      </c>
      <c r="P886" s="62" t="s">
        <v>2421</v>
      </c>
      <c r="Q886" s="66" t="s">
        <v>1969</v>
      </c>
    </row>
    <row r="887" spans="1:17" x14ac:dyDescent="0.3">
      <c r="A887" s="61" t="s">
        <v>2120</v>
      </c>
      <c r="B887" s="62" t="s">
        <v>1136</v>
      </c>
      <c r="C887" s="62" t="s">
        <v>1137</v>
      </c>
      <c r="D887" s="63">
        <v>45139</v>
      </c>
      <c r="E887" s="63">
        <v>46234</v>
      </c>
      <c r="F887" s="62" t="s">
        <v>1959</v>
      </c>
      <c r="G887" s="62" t="s">
        <v>781</v>
      </c>
      <c r="H887" s="62" t="s">
        <v>638</v>
      </c>
      <c r="I887" s="64">
        <v>355821.25</v>
      </c>
      <c r="J887" s="62" t="s">
        <v>1138</v>
      </c>
      <c r="K887" s="62" t="s">
        <v>638</v>
      </c>
      <c r="L887" s="65"/>
      <c r="M887" s="62" t="s">
        <v>2443</v>
      </c>
      <c r="N887" s="62" t="s">
        <v>314</v>
      </c>
      <c r="O887" s="62" t="s">
        <v>315</v>
      </c>
      <c r="P887" s="62" t="s">
        <v>2421</v>
      </c>
      <c r="Q887" s="66" t="s">
        <v>1969</v>
      </c>
    </row>
    <row r="888" spans="1:17" x14ac:dyDescent="0.3">
      <c r="A888" s="61" t="s">
        <v>2121</v>
      </c>
      <c r="B888" s="62" t="s">
        <v>1140</v>
      </c>
      <c r="C888" s="62" t="s">
        <v>1141</v>
      </c>
      <c r="D888" s="63">
        <v>44593</v>
      </c>
      <c r="E888" s="63">
        <v>46419</v>
      </c>
      <c r="F888" s="62" t="s">
        <v>1916</v>
      </c>
      <c r="G888" s="62" t="s">
        <v>304</v>
      </c>
      <c r="H888" s="62" t="s">
        <v>373</v>
      </c>
      <c r="I888" s="64">
        <v>9915626</v>
      </c>
      <c r="J888" s="62" t="s">
        <v>373</v>
      </c>
      <c r="K888" s="62" t="s">
        <v>1693</v>
      </c>
      <c r="L888" s="65"/>
      <c r="M888" s="62" t="s">
        <v>457</v>
      </c>
      <c r="N888" s="62" t="s">
        <v>458</v>
      </c>
      <c r="O888" s="62" t="s">
        <v>459</v>
      </c>
      <c r="P888" s="62" t="s">
        <v>2421</v>
      </c>
      <c r="Q888" s="66" t="s">
        <v>1971</v>
      </c>
    </row>
    <row r="889" spans="1:17" x14ac:dyDescent="0.3">
      <c r="A889" s="61" t="s">
        <v>2121</v>
      </c>
      <c r="B889" s="62" t="s">
        <v>1140</v>
      </c>
      <c r="C889" s="62" t="s">
        <v>1141</v>
      </c>
      <c r="D889" s="63">
        <v>44593</v>
      </c>
      <c r="E889" s="63">
        <v>46419</v>
      </c>
      <c r="F889" s="62" t="s">
        <v>1958</v>
      </c>
      <c r="G889" s="62" t="s">
        <v>304</v>
      </c>
      <c r="H889" s="62" t="s">
        <v>373</v>
      </c>
      <c r="I889" s="64">
        <v>9915626</v>
      </c>
      <c r="J889" s="62" t="s">
        <v>373</v>
      </c>
      <c r="K889" s="62" t="s">
        <v>1693</v>
      </c>
      <c r="L889" s="65"/>
      <c r="M889" s="62" t="s">
        <v>457</v>
      </c>
      <c r="N889" s="62" t="s">
        <v>458</v>
      </c>
      <c r="O889" s="62" t="s">
        <v>459</v>
      </c>
      <c r="P889" s="62" t="s">
        <v>2421</v>
      </c>
      <c r="Q889" s="66" t="s">
        <v>1971</v>
      </c>
    </row>
    <row r="890" spans="1:17" x14ac:dyDescent="0.3">
      <c r="A890" s="61" t="s">
        <v>2122</v>
      </c>
      <c r="B890" s="62" t="s">
        <v>1142</v>
      </c>
      <c r="C890" s="62" t="s">
        <v>1143</v>
      </c>
      <c r="D890" s="63">
        <v>45041</v>
      </c>
      <c r="E890" s="63">
        <v>46102</v>
      </c>
      <c r="F890" s="62" t="s">
        <v>1930</v>
      </c>
      <c r="G890" s="62" t="s">
        <v>304</v>
      </c>
      <c r="H890" s="62" t="s">
        <v>533</v>
      </c>
      <c r="I890" s="64">
        <v>1231113</v>
      </c>
      <c r="J890" s="62" t="s">
        <v>827</v>
      </c>
      <c r="K890" s="62" t="s">
        <v>533</v>
      </c>
      <c r="L890" s="65"/>
      <c r="M890" s="62" t="s">
        <v>825</v>
      </c>
      <c r="N890" s="62" t="s">
        <v>579</v>
      </c>
      <c r="O890" s="62" t="s">
        <v>428</v>
      </c>
      <c r="P890" s="62" t="s">
        <v>2421</v>
      </c>
      <c r="Q890" s="66" t="s">
        <v>1970</v>
      </c>
    </row>
    <row r="891" spans="1:17" x14ac:dyDescent="0.3">
      <c r="A891" s="61" t="s">
        <v>2122</v>
      </c>
      <c r="B891" s="62" t="s">
        <v>1142</v>
      </c>
      <c r="C891" s="62" t="s">
        <v>1143</v>
      </c>
      <c r="D891" s="63">
        <v>45041</v>
      </c>
      <c r="E891" s="63">
        <v>46102</v>
      </c>
      <c r="F891" s="62" t="s">
        <v>1959</v>
      </c>
      <c r="G891" s="62" t="s">
        <v>304</v>
      </c>
      <c r="H891" s="62" t="s">
        <v>533</v>
      </c>
      <c r="I891" s="64">
        <v>1231113</v>
      </c>
      <c r="J891" s="62" t="s">
        <v>827</v>
      </c>
      <c r="K891" s="62" t="s">
        <v>533</v>
      </c>
      <c r="L891" s="65"/>
      <c r="M891" s="62" t="s">
        <v>825</v>
      </c>
      <c r="N891" s="62" t="s">
        <v>579</v>
      </c>
      <c r="O891" s="62" t="s">
        <v>428</v>
      </c>
      <c r="P891" s="62" t="s">
        <v>2421</v>
      </c>
      <c r="Q891" s="66" t="s">
        <v>1970</v>
      </c>
    </row>
    <row r="892" spans="1:17" x14ac:dyDescent="0.3">
      <c r="A892" s="61" t="s">
        <v>2122</v>
      </c>
      <c r="B892" s="62" t="s">
        <v>1142</v>
      </c>
      <c r="C892" s="62" t="s">
        <v>1143</v>
      </c>
      <c r="D892" s="63">
        <v>45041</v>
      </c>
      <c r="E892" s="63">
        <v>46102</v>
      </c>
      <c r="F892" s="62" t="s">
        <v>1936</v>
      </c>
      <c r="G892" s="62" t="s">
        <v>304</v>
      </c>
      <c r="H892" s="62" t="s">
        <v>533</v>
      </c>
      <c r="I892" s="64">
        <v>1231113</v>
      </c>
      <c r="J892" s="62" t="s">
        <v>827</v>
      </c>
      <c r="K892" s="62" t="s">
        <v>533</v>
      </c>
      <c r="L892" s="65"/>
      <c r="M892" s="62" t="s">
        <v>825</v>
      </c>
      <c r="N892" s="62" t="s">
        <v>579</v>
      </c>
      <c r="O892" s="62" t="s">
        <v>428</v>
      </c>
      <c r="P892" s="62" t="s">
        <v>2421</v>
      </c>
      <c r="Q892" s="66" t="s">
        <v>1970</v>
      </c>
    </row>
    <row r="893" spans="1:17" x14ac:dyDescent="0.3">
      <c r="A893" s="61" t="s">
        <v>2122</v>
      </c>
      <c r="B893" s="62" t="s">
        <v>1142</v>
      </c>
      <c r="C893" s="62" t="s">
        <v>1143</v>
      </c>
      <c r="D893" s="63">
        <v>45041</v>
      </c>
      <c r="E893" s="63">
        <v>46102</v>
      </c>
      <c r="F893" s="62" t="s">
        <v>287</v>
      </c>
      <c r="G893" s="62" t="s">
        <v>304</v>
      </c>
      <c r="H893" s="62" t="s">
        <v>533</v>
      </c>
      <c r="I893" s="64">
        <v>1231113</v>
      </c>
      <c r="J893" s="62" t="s">
        <v>827</v>
      </c>
      <c r="K893" s="62" t="s">
        <v>533</v>
      </c>
      <c r="L893" s="65"/>
      <c r="M893" s="62" t="s">
        <v>825</v>
      </c>
      <c r="N893" s="62" t="s">
        <v>579</v>
      </c>
      <c r="O893" s="62" t="s">
        <v>428</v>
      </c>
      <c r="P893" s="62" t="s">
        <v>2421</v>
      </c>
      <c r="Q893" s="66" t="s">
        <v>1970</v>
      </c>
    </row>
    <row r="894" spans="1:17" x14ac:dyDescent="0.3">
      <c r="A894" s="61" t="s">
        <v>2123</v>
      </c>
      <c r="B894" s="62" t="s">
        <v>1144</v>
      </c>
      <c r="C894" s="62" t="s">
        <v>1145</v>
      </c>
      <c r="D894" s="63">
        <v>45226</v>
      </c>
      <c r="E894" s="63">
        <v>46200</v>
      </c>
      <c r="F894" s="62" t="s">
        <v>350</v>
      </c>
      <c r="G894" s="62" t="s">
        <v>350</v>
      </c>
      <c r="H894" s="62" t="s">
        <v>467</v>
      </c>
      <c r="I894" s="64">
        <v>364239</v>
      </c>
      <c r="J894" s="62" t="s">
        <v>468</v>
      </c>
      <c r="K894" s="62" t="s">
        <v>467</v>
      </c>
      <c r="L894" s="65"/>
      <c r="M894" s="62" t="s">
        <v>825</v>
      </c>
      <c r="N894" s="62" t="s">
        <v>551</v>
      </c>
      <c r="O894" s="62" t="s">
        <v>428</v>
      </c>
      <c r="P894" s="62" t="s">
        <v>2421</v>
      </c>
      <c r="Q894" s="66" t="s">
        <v>2021</v>
      </c>
    </row>
    <row r="895" spans="1:17" x14ac:dyDescent="0.3">
      <c r="A895" s="61" t="s">
        <v>2124</v>
      </c>
      <c r="B895" s="62" t="s">
        <v>1146</v>
      </c>
      <c r="C895" s="62" t="s">
        <v>1147</v>
      </c>
      <c r="D895" s="63">
        <v>45245</v>
      </c>
      <c r="E895" s="63">
        <v>46265</v>
      </c>
      <c r="F895" s="62" t="s">
        <v>1922</v>
      </c>
      <c r="G895" s="62" t="s">
        <v>304</v>
      </c>
      <c r="H895" s="62" t="s">
        <v>467</v>
      </c>
      <c r="I895" s="64">
        <v>76219.833333333299</v>
      </c>
      <c r="J895" s="62" t="s">
        <v>468</v>
      </c>
      <c r="K895" s="62" t="s">
        <v>467</v>
      </c>
      <c r="L895" s="65"/>
      <c r="M895" s="62" t="s">
        <v>2443</v>
      </c>
      <c r="N895" s="62" t="s">
        <v>985</v>
      </c>
      <c r="O895" s="62" t="s">
        <v>375</v>
      </c>
      <c r="P895" s="62" t="s">
        <v>2421</v>
      </c>
      <c r="Q895" s="66" t="s">
        <v>2021</v>
      </c>
    </row>
    <row r="896" spans="1:17" x14ac:dyDescent="0.3">
      <c r="A896" s="61" t="s">
        <v>2124</v>
      </c>
      <c r="B896" s="62" t="s">
        <v>1146</v>
      </c>
      <c r="C896" s="62" t="s">
        <v>1147</v>
      </c>
      <c r="D896" s="63">
        <v>45245</v>
      </c>
      <c r="E896" s="63">
        <v>46265</v>
      </c>
      <c r="F896" s="62" t="s">
        <v>1930</v>
      </c>
      <c r="G896" s="62" t="s">
        <v>304</v>
      </c>
      <c r="H896" s="62" t="s">
        <v>467</v>
      </c>
      <c r="I896" s="64">
        <v>76219.833333333299</v>
      </c>
      <c r="J896" s="62" t="s">
        <v>468</v>
      </c>
      <c r="K896" s="62" t="s">
        <v>467</v>
      </c>
      <c r="L896" s="65"/>
      <c r="M896" s="62" t="s">
        <v>2443</v>
      </c>
      <c r="N896" s="62" t="s">
        <v>985</v>
      </c>
      <c r="O896" s="62" t="s">
        <v>375</v>
      </c>
      <c r="P896" s="62" t="s">
        <v>2421</v>
      </c>
      <c r="Q896" s="66" t="s">
        <v>2021</v>
      </c>
    </row>
    <row r="897" spans="1:17" x14ac:dyDescent="0.3">
      <c r="A897" s="61" t="s">
        <v>2124</v>
      </c>
      <c r="B897" s="62" t="s">
        <v>1146</v>
      </c>
      <c r="C897" s="62" t="s">
        <v>1147</v>
      </c>
      <c r="D897" s="63">
        <v>45245</v>
      </c>
      <c r="E897" s="63">
        <v>46265</v>
      </c>
      <c r="F897" s="62" t="s">
        <v>1959</v>
      </c>
      <c r="G897" s="62" t="s">
        <v>304</v>
      </c>
      <c r="H897" s="62" t="s">
        <v>467</v>
      </c>
      <c r="I897" s="64">
        <v>76219.833333333299</v>
      </c>
      <c r="J897" s="62" t="s">
        <v>468</v>
      </c>
      <c r="K897" s="62" t="s">
        <v>467</v>
      </c>
      <c r="L897" s="65"/>
      <c r="M897" s="62" t="s">
        <v>2443</v>
      </c>
      <c r="N897" s="62" t="s">
        <v>985</v>
      </c>
      <c r="O897" s="62" t="s">
        <v>375</v>
      </c>
      <c r="P897" s="62" t="s">
        <v>2421</v>
      </c>
      <c r="Q897" s="66" t="s">
        <v>2021</v>
      </c>
    </row>
    <row r="898" spans="1:17" x14ac:dyDescent="0.3">
      <c r="A898" s="61" t="s">
        <v>2124</v>
      </c>
      <c r="B898" s="62" t="s">
        <v>1146</v>
      </c>
      <c r="C898" s="62" t="s">
        <v>1147</v>
      </c>
      <c r="D898" s="63">
        <v>45245</v>
      </c>
      <c r="E898" s="63">
        <v>46265</v>
      </c>
      <c r="F898" s="62" t="s">
        <v>1936</v>
      </c>
      <c r="G898" s="62" t="s">
        <v>304</v>
      </c>
      <c r="H898" s="62" t="s">
        <v>467</v>
      </c>
      <c r="I898" s="64">
        <v>76219.833333333299</v>
      </c>
      <c r="J898" s="62" t="s">
        <v>468</v>
      </c>
      <c r="K898" s="62" t="s">
        <v>467</v>
      </c>
      <c r="L898" s="65"/>
      <c r="M898" s="62" t="s">
        <v>2443</v>
      </c>
      <c r="N898" s="62" t="s">
        <v>985</v>
      </c>
      <c r="O898" s="62" t="s">
        <v>375</v>
      </c>
      <c r="P898" s="62" t="s">
        <v>2421</v>
      </c>
      <c r="Q898" s="66" t="s">
        <v>2021</v>
      </c>
    </row>
    <row r="899" spans="1:17" x14ac:dyDescent="0.3">
      <c r="A899" s="61" t="s">
        <v>2124</v>
      </c>
      <c r="B899" s="62" t="s">
        <v>1146</v>
      </c>
      <c r="C899" s="62" t="s">
        <v>1147</v>
      </c>
      <c r="D899" s="63">
        <v>45245</v>
      </c>
      <c r="E899" s="63">
        <v>46265</v>
      </c>
      <c r="F899" s="62" t="s">
        <v>287</v>
      </c>
      <c r="G899" s="62" t="s">
        <v>304</v>
      </c>
      <c r="H899" s="62" t="s">
        <v>467</v>
      </c>
      <c r="I899" s="64">
        <v>76219.833333333299</v>
      </c>
      <c r="J899" s="62" t="s">
        <v>468</v>
      </c>
      <c r="K899" s="62" t="s">
        <v>467</v>
      </c>
      <c r="L899" s="65"/>
      <c r="M899" s="62" t="s">
        <v>2443</v>
      </c>
      <c r="N899" s="62" t="s">
        <v>985</v>
      </c>
      <c r="O899" s="62" t="s">
        <v>375</v>
      </c>
      <c r="P899" s="62" t="s">
        <v>2421</v>
      </c>
      <c r="Q899" s="66" t="s">
        <v>2021</v>
      </c>
    </row>
    <row r="900" spans="1:17" x14ac:dyDescent="0.3">
      <c r="A900" s="61" t="s">
        <v>2124</v>
      </c>
      <c r="B900" s="62" t="s">
        <v>1146</v>
      </c>
      <c r="C900" s="62" t="s">
        <v>1147</v>
      </c>
      <c r="D900" s="63">
        <v>45245</v>
      </c>
      <c r="E900" s="63">
        <v>46265</v>
      </c>
      <c r="F900" s="62" t="s">
        <v>1945</v>
      </c>
      <c r="G900" s="62" t="s">
        <v>304</v>
      </c>
      <c r="H900" s="62" t="s">
        <v>467</v>
      </c>
      <c r="I900" s="64">
        <v>76219.833333333299</v>
      </c>
      <c r="J900" s="62" t="s">
        <v>468</v>
      </c>
      <c r="K900" s="62" t="s">
        <v>467</v>
      </c>
      <c r="L900" s="65"/>
      <c r="M900" s="62" t="s">
        <v>2443</v>
      </c>
      <c r="N900" s="62" t="s">
        <v>985</v>
      </c>
      <c r="O900" s="62" t="s">
        <v>375</v>
      </c>
      <c r="P900" s="62" t="s">
        <v>2421</v>
      </c>
      <c r="Q900" s="66" t="s">
        <v>2021</v>
      </c>
    </row>
    <row r="901" spans="1:17" x14ac:dyDescent="0.3">
      <c r="A901" s="61" t="s">
        <v>2124</v>
      </c>
      <c r="B901" s="62" t="s">
        <v>1146</v>
      </c>
      <c r="C901" s="62" t="s">
        <v>1147</v>
      </c>
      <c r="D901" s="63">
        <v>45245</v>
      </c>
      <c r="E901" s="63">
        <v>46265</v>
      </c>
      <c r="F901" s="62" t="s">
        <v>1922</v>
      </c>
      <c r="G901" s="62" t="s">
        <v>304</v>
      </c>
      <c r="H901" s="62" t="s">
        <v>2427</v>
      </c>
      <c r="I901" s="64">
        <v>3409.3333333333298</v>
      </c>
      <c r="J901" s="62" t="s">
        <v>2471</v>
      </c>
      <c r="K901" s="62" t="s">
        <v>467</v>
      </c>
      <c r="L901" s="65"/>
      <c r="M901" s="62" t="s">
        <v>2443</v>
      </c>
      <c r="N901" s="62" t="s">
        <v>985</v>
      </c>
      <c r="O901" s="62" t="s">
        <v>375</v>
      </c>
      <c r="P901" s="62" t="s">
        <v>2421</v>
      </c>
      <c r="Q901" s="66" t="s">
        <v>2021</v>
      </c>
    </row>
    <row r="902" spans="1:17" x14ac:dyDescent="0.3">
      <c r="A902" s="61" t="s">
        <v>2124</v>
      </c>
      <c r="B902" s="62" t="s">
        <v>1146</v>
      </c>
      <c r="C902" s="62" t="s">
        <v>1147</v>
      </c>
      <c r="D902" s="63">
        <v>45245</v>
      </c>
      <c r="E902" s="63">
        <v>46265</v>
      </c>
      <c r="F902" s="62" t="s">
        <v>1930</v>
      </c>
      <c r="G902" s="62" t="s">
        <v>304</v>
      </c>
      <c r="H902" s="62" t="s">
        <v>2427</v>
      </c>
      <c r="I902" s="64">
        <v>3409.3333333333298</v>
      </c>
      <c r="J902" s="62" t="s">
        <v>2471</v>
      </c>
      <c r="K902" s="62" t="s">
        <v>467</v>
      </c>
      <c r="L902" s="65"/>
      <c r="M902" s="62" t="s">
        <v>2443</v>
      </c>
      <c r="N902" s="62" t="s">
        <v>985</v>
      </c>
      <c r="O902" s="62" t="s">
        <v>375</v>
      </c>
      <c r="P902" s="62" t="s">
        <v>2421</v>
      </c>
      <c r="Q902" s="66" t="s">
        <v>2021</v>
      </c>
    </row>
    <row r="903" spans="1:17" x14ac:dyDescent="0.3">
      <c r="A903" s="61" t="s">
        <v>2124</v>
      </c>
      <c r="B903" s="62" t="s">
        <v>1146</v>
      </c>
      <c r="C903" s="62" t="s">
        <v>1147</v>
      </c>
      <c r="D903" s="63">
        <v>45245</v>
      </c>
      <c r="E903" s="63">
        <v>46265</v>
      </c>
      <c r="F903" s="62" t="s">
        <v>1959</v>
      </c>
      <c r="G903" s="62" t="s">
        <v>304</v>
      </c>
      <c r="H903" s="62" t="s">
        <v>2427</v>
      </c>
      <c r="I903" s="64">
        <v>3409.3333333333298</v>
      </c>
      <c r="J903" s="62" t="s">
        <v>2471</v>
      </c>
      <c r="K903" s="62" t="s">
        <v>467</v>
      </c>
      <c r="L903" s="65"/>
      <c r="M903" s="62" t="s">
        <v>2443</v>
      </c>
      <c r="N903" s="62" t="s">
        <v>985</v>
      </c>
      <c r="O903" s="62" t="s">
        <v>375</v>
      </c>
      <c r="P903" s="62" t="s">
        <v>2421</v>
      </c>
      <c r="Q903" s="66" t="s">
        <v>2021</v>
      </c>
    </row>
    <row r="904" spans="1:17" x14ac:dyDescent="0.3">
      <c r="A904" s="61" t="s">
        <v>2124</v>
      </c>
      <c r="B904" s="62" t="s">
        <v>1146</v>
      </c>
      <c r="C904" s="62" t="s">
        <v>1147</v>
      </c>
      <c r="D904" s="63">
        <v>45245</v>
      </c>
      <c r="E904" s="63">
        <v>46265</v>
      </c>
      <c r="F904" s="62" t="s">
        <v>1936</v>
      </c>
      <c r="G904" s="62" t="s">
        <v>304</v>
      </c>
      <c r="H904" s="62" t="s">
        <v>2427</v>
      </c>
      <c r="I904" s="64">
        <v>3409.3333333333298</v>
      </c>
      <c r="J904" s="62" t="s">
        <v>2471</v>
      </c>
      <c r="K904" s="62" t="s">
        <v>467</v>
      </c>
      <c r="L904" s="65"/>
      <c r="M904" s="62" t="s">
        <v>2443</v>
      </c>
      <c r="N904" s="62" t="s">
        <v>985</v>
      </c>
      <c r="O904" s="62" t="s">
        <v>375</v>
      </c>
      <c r="P904" s="62" t="s">
        <v>2421</v>
      </c>
      <c r="Q904" s="66" t="s">
        <v>2021</v>
      </c>
    </row>
    <row r="905" spans="1:17" x14ac:dyDescent="0.3">
      <c r="A905" s="61" t="s">
        <v>2124</v>
      </c>
      <c r="B905" s="62" t="s">
        <v>1146</v>
      </c>
      <c r="C905" s="62" t="s">
        <v>1147</v>
      </c>
      <c r="D905" s="63">
        <v>45245</v>
      </c>
      <c r="E905" s="63">
        <v>46265</v>
      </c>
      <c r="F905" s="62" t="s">
        <v>287</v>
      </c>
      <c r="G905" s="62" t="s">
        <v>304</v>
      </c>
      <c r="H905" s="62" t="s">
        <v>2427</v>
      </c>
      <c r="I905" s="64">
        <v>3409.3333333333298</v>
      </c>
      <c r="J905" s="62" t="s">
        <v>2471</v>
      </c>
      <c r="K905" s="62" t="s">
        <v>467</v>
      </c>
      <c r="L905" s="65"/>
      <c r="M905" s="62" t="s">
        <v>2443</v>
      </c>
      <c r="N905" s="62" t="s">
        <v>985</v>
      </c>
      <c r="O905" s="62" t="s">
        <v>375</v>
      </c>
      <c r="P905" s="62" t="s">
        <v>2421</v>
      </c>
      <c r="Q905" s="66" t="s">
        <v>2021</v>
      </c>
    </row>
    <row r="906" spans="1:17" x14ac:dyDescent="0.3">
      <c r="A906" s="61" t="s">
        <v>2124</v>
      </c>
      <c r="B906" s="62" t="s">
        <v>1146</v>
      </c>
      <c r="C906" s="62" t="s">
        <v>1147</v>
      </c>
      <c r="D906" s="63">
        <v>45245</v>
      </c>
      <c r="E906" s="63">
        <v>46265</v>
      </c>
      <c r="F906" s="62" t="s">
        <v>1945</v>
      </c>
      <c r="G906" s="62" t="s">
        <v>304</v>
      </c>
      <c r="H906" s="62" t="s">
        <v>2427</v>
      </c>
      <c r="I906" s="64">
        <v>3409.3333333333298</v>
      </c>
      <c r="J906" s="62" t="s">
        <v>2471</v>
      </c>
      <c r="K906" s="62" t="s">
        <v>467</v>
      </c>
      <c r="L906" s="65"/>
      <c r="M906" s="62" t="s">
        <v>2443</v>
      </c>
      <c r="N906" s="62" t="s">
        <v>985</v>
      </c>
      <c r="O906" s="62" t="s">
        <v>375</v>
      </c>
      <c r="P906" s="62" t="s">
        <v>2421</v>
      </c>
      <c r="Q906" s="66" t="s">
        <v>2021</v>
      </c>
    </row>
    <row r="907" spans="1:17" x14ac:dyDescent="0.3">
      <c r="A907" s="61" t="s">
        <v>2125</v>
      </c>
      <c r="B907" s="62" t="s">
        <v>1148</v>
      </c>
      <c r="C907" s="62" t="s">
        <v>1149</v>
      </c>
      <c r="D907" s="63">
        <v>45398</v>
      </c>
      <c r="E907" s="63">
        <v>46676</v>
      </c>
      <c r="F907" s="62" t="s">
        <v>1945</v>
      </c>
      <c r="G907" s="62" t="s">
        <v>282</v>
      </c>
      <c r="H907" s="62" t="s">
        <v>2420</v>
      </c>
      <c r="I907" s="64">
        <v>22446.142857142899</v>
      </c>
      <c r="J907" s="62" t="s">
        <v>2425</v>
      </c>
      <c r="K907" s="62" t="s">
        <v>377</v>
      </c>
      <c r="L907" s="65"/>
      <c r="M907" s="62" t="s">
        <v>2443</v>
      </c>
      <c r="N907" s="62" t="s">
        <v>469</v>
      </c>
      <c r="O907" s="62" t="s">
        <v>315</v>
      </c>
      <c r="P907" s="62" t="s">
        <v>2421</v>
      </c>
      <c r="Q907" s="66" t="s">
        <v>1969</v>
      </c>
    </row>
    <row r="908" spans="1:17" x14ac:dyDescent="0.3">
      <c r="A908" s="61" t="s">
        <v>2125</v>
      </c>
      <c r="B908" s="62" t="s">
        <v>1148</v>
      </c>
      <c r="C908" s="62" t="s">
        <v>1149</v>
      </c>
      <c r="D908" s="63">
        <v>45398</v>
      </c>
      <c r="E908" s="63">
        <v>46676</v>
      </c>
      <c r="F908" s="62" t="s">
        <v>1945</v>
      </c>
      <c r="G908" s="62" t="s">
        <v>1150</v>
      </c>
      <c r="H908" s="62" t="s">
        <v>2420</v>
      </c>
      <c r="I908" s="64">
        <v>22446.142857142899</v>
      </c>
      <c r="J908" s="62" t="s">
        <v>2425</v>
      </c>
      <c r="K908" s="62" t="s">
        <v>377</v>
      </c>
      <c r="L908" s="65"/>
      <c r="M908" s="62" t="s">
        <v>2443</v>
      </c>
      <c r="N908" s="62" t="s">
        <v>469</v>
      </c>
      <c r="O908" s="62" t="s">
        <v>315</v>
      </c>
      <c r="P908" s="62" t="s">
        <v>2421</v>
      </c>
      <c r="Q908" s="66" t="s">
        <v>1969</v>
      </c>
    </row>
    <row r="909" spans="1:17" x14ac:dyDescent="0.3">
      <c r="A909" s="61" t="s">
        <v>2125</v>
      </c>
      <c r="B909" s="62" t="s">
        <v>1148</v>
      </c>
      <c r="C909" s="62" t="s">
        <v>1149</v>
      </c>
      <c r="D909" s="63">
        <v>45398</v>
      </c>
      <c r="E909" s="63">
        <v>46676</v>
      </c>
      <c r="F909" s="62" t="s">
        <v>1945</v>
      </c>
      <c r="G909" s="62" t="s">
        <v>1151</v>
      </c>
      <c r="H909" s="62" t="s">
        <v>2420</v>
      </c>
      <c r="I909" s="64">
        <v>22446.142857142899</v>
      </c>
      <c r="J909" s="62" t="s">
        <v>2425</v>
      </c>
      <c r="K909" s="62" t="s">
        <v>377</v>
      </c>
      <c r="L909" s="65"/>
      <c r="M909" s="62" t="s">
        <v>2443</v>
      </c>
      <c r="N909" s="62" t="s">
        <v>469</v>
      </c>
      <c r="O909" s="62" t="s">
        <v>315</v>
      </c>
      <c r="P909" s="62" t="s">
        <v>2421</v>
      </c>
      <c r="Q909" s="66" t="s">
        <v>1969</v>
      </c>
    </row>
    <row r="910" spans="1:17" x14ac:dyDescent="0.3">
      <c r="A910" s="61" t="s">
        <v>2125</v>
      </c>
      <c r="B910" s="62" t="s">
        <v>1148</v>
      </c>
      <c r="C910" s="62" t="s">
        <v>1149</v>
      </c>
      <c r="D910" s="63">
        <v>45398</v>
      </c>
      <c r="E910" s="63">
        <v>46676</v>
      </c>
      <c r="F910" s="62" t="s">
        <v>1945</v>
      </c>
      <c r="G910" s="62" t="s">
        <v>1152</v>
      </c>
      <c r="H910" s="62" t="s">
        <v>2420</v>
      </c>
      <c r="I910" s="64">
        <v>22446.142857142899</v>
      </c>
      <c r="J910" s="62" t="s">
        <v>2425</v>
      </c>
      <c r="K910" s="62" t="s">
        <v>377</v>
      </c>
      <c r="L910" s="65"/>
      <c r="M910" s="62" t="s">
        <v>2443</v>
      </c>
      <c r="N910" s="62" t="s">
        <v>469</v>
      </c>
      <c r="O910" s="62" t="s">
        <v>315</v>
      </c>
      <c r="P910" s="62" t="s">
        <v>2421</v>
      </c>
      <c r="Q910" s="66" t="s">
        <v>1969</v>
      </c>
    </row>
    <row r="911" spans="1:17" x14ac:dyDescent="0.3">
      <c r="A911" s="61" t="s">
        <v>2125</v>
      </c>
      <c r="B911" s="62" t="s">
        <v>1148</v>
      </c>
      <c r="C911" s="62" t="s">
        <v>1149</v>
      </c>
      <c r="D911" s="63">
        <v>45398</v>
      </c>
      <c r="E911" s="63">
        <v>46676</v>
      </c>
      <c r="F911" s="62" t="s">
        <v>1945</v>
      </c>
      <c r="G911" s="62" t="s">
        <v>1153</v>
      </c>
      <c r="H911" s="62" t="s">
        <v>2420</v>
      </c>
      <c r="I911" s="64">
        <v>22446.142857142899</v>
      </c>
      <c r="J911" s="62" t="s">
        <v>2425</v>
      </c>
      <c r="K911" s="62" t="s">
        <v>377</v>
      </c>
      <c r="L911" s="65"/>
      <c r="M911" s="62" t="s">
        <v>2443</v>
      </c>
      <c r="N911" s="62" t="s">
        <v>469</v>
      </c>
      <c r="O911" s="62" t="s">
        <v>315</v>
      </c>
      <c r="P911" s="62" t="s">
        <v>2421</v>
      </c>
      <c r="Q911" s="66" t="s">
        <v>1969</v>
      </c>
    </row>
    <row r="912" spans="1:17" x14ac:dyDescent="0.3">
      <c r="A912" s="61" t="s">
        <v>2125</v>
      </c>
      <c r="B912" s="62" t="s">
        <v>1148</v>
      </c>
      <c r="C912" s="62" t="s">
        <v>1149</v>
      </c>
      <c r="D912" s="63">
        <v>45398</v>
      </c>
      <c r="E912" s="63">
        <v>46676</v>
      </c>
      <c r="F912" s="62" t="s">
        <v>1945</v>
      </c>
      <c r="G912" s="62" t="s">
        <v>1154</v>
      </c>
      <c r="H912" s="62" t="s">
        <v>2420</v>
      </c>
      <c r="I912" s="64">
        <v>22446.142857142899</v>
      </c>
      <c r="J912" s="62" t="s">
        <v>2425</v>
      </c>
      <c r="K912" s="62" t="s">
        <v>377</v>
      </c>
      <c r="L912" s="65"/>
      <c r="M912" s="62" t="s">
        <v>2443</v>
      </c>
      <c r="N912" s="62" t="s">
        <v>469</v>
      </c>
      <c r="O912" s="62" t="s">
        <v>315</v>
      </c>
      <c r="P912" s="62" t="s">
        <v>2421</v>
      </c>
      <c r="Q912" s="66" t="s">
        <v>1969</v>
      </c>
    </row>
    <row r="913" spans="1:17" x14ac:dyDescent="0.3">
      <c r="A913" s="61" t="s">
        <v>2125</v>
      </c>
      <c r="B913" s="62" t="s">
        <v>1148</v>
      </c>
      <c r="C913" s="62" t="s">
        <v>1149</v>
      </c>
      <c r="D913" s="63">
        <v>45398</v>
      </c>
      <c r="E913" s="63">
        <v>46676</v>
      </c>
      <c r="F913" s="62" t="s">
        <v>1945</v>
      </c>
      <c r="G913" s="62" t="s">
        <v>1155</v>
      </c>
      <c r="H913" s="62" t="s">
        <v>2420</v>
      </c>
      <c r="I913" s="64">
        <v>22446.142857142899</v>
      </c>
      <c r="J913" s="62" t="s">
        <v>2425</v>
      </c>
      <c r="K913" s="62" t="s">
        <v>377</v>
      </c>
      <c r="L913" s="65"/>
      <c r="M913" s="62" t="s">
        <v>2443</v>
      </c>
      <c r="N913" s="62" t="s">
        <v>469</v>
      </c>
      <c r="O913" s="62" t="s">
        <v>315</v>
      </c>
      <c r="P913" s="62" t="s">
        <v>2421</v>
      </c>
      <c r="Q913" s="66" t="s">
        <v>1969</v>
      </c>
    </row>
    <row r="914" spans="1:17" x14ac:dyDescent="0.3">
      <c r="A914" s="61" t="s">
        <v>2126</v>
      </c>
      <c r="B914" s="62" t="s">
        <v>1156</v>
      </c>
      <c r="C914" s="62" t="s">
        <v>1157</v>
      </c>
      <c r="D914" s="63">
        <v>45398</v>
      </c>
      <c r="E914" s="63">
        <v>46676</v>
      </c>
      <c r="F914" s="62" t="s">
        <v>286</v>
      </c>
      <c r="G914" s="62" t="s">
        <v>304</v>
      </c>
      <c r="H914" s="62" t="s">
        <v>2420</v>
      </c>
      <c r="I914" s="64">
        <v>42538.666666666701</v>
      </c>
      <c r="J914" s="62" t="s">
        <v>2425</v>
      </c>
      <c r="K914" s="62" t="s">
        <v>377</v>
      </c>
      <c r="L914" s="65"/>
      <c r="M914" s="62" t="s">
        <v>2443</v>
      </c>
      <c r="N914" s="62" t="s">
        <v>469</v>
      </c>
      <c r="O914" s="62" t="s">
        <v>315</v>
      </c>
      <c r="P914" s="62" t="s">
        <v>2421</v>
      </c>
      <c r="Q914" s="66" t="s">
        <v>1969</v>
      </c>
    </row>
    <row r="915" spans="1:17" x14ac:dyDescent="0.3">
      <c r="A915" s="61" t="s">
        <v>2126</v>
      </c>
      <c r="B915" s="62" t="s">
        <v>1156</v>
      </c>
      <c r="C915" s="62" t="s">
        <v>1157</v>
      </c>
      <c r="D915" s="63">
        <v>45398</v>
      </c>
      <c r="E915" s="63">
        <v>46676</v>
      </c>
      <c r="F915" s="62" t="s">
        <v>1937</v>
      </c>
      <c r="G915" s="62" t="s">
        <v>304</v>
      </c>
      <c r="H915" s="62" t="s">
        <v>2420</v>
      </c>
      <c r="I915" s="64">
        <v>42538.666666666701</v>
      </c>
      <c r="J915" s="62" t="s">
        <v>2425</v>
      </c>
      <c r="K915" s="62" t="s">
        <v>377</v>
      </c>
      <c r="L915" s="65"/>
      <c r="M915" s="62" t="s">
        <v>2443</v>
      </c>
      <c r="N915" s="62" t="s">
        <v>469</v>
      </c>
      <c r="O915" s="62" t="s">
        <v>315</v>
      </c>
      <c r="P915" s="62" t="s">
        <v>2421</v>
      </c>
      <c r="Q915" s="66" t="s">
        <v>1969</v>
      </c>
    </row>
    <row r="916" spans="1:17" x14ac:dyDescent="0.3">
      <c r="A916" s="61" t="s">
        <v>2126</v>
      </c>
      <c r="B916" s="62" t="s">
        <v>1156</v>
      </c>
      <c r="C916" s="62" t="s">
        <v>1157</v>
      </c>
      <c r="D916" s="63">
        <v>45398</v>
      </c>
      <c r="E916" s="63">
        <v>46676</v>
      </c>
      <c r="F916" s="62" t="s">
        <v>1930</v>
      </c>
      <c r="G916" s="62" t="s">
        <v>304</v>
      </c>
      <c r="H916" s="62" t="s">
        <v>2420</v>
      </c>
      <c r="I916" s="64">
        <v>42538.666666666701</v>
      </c>
      <c r="J916" s="62" t="s">
        <v>2425</v>
      </c>
      <c r="K916" s="62" t="s">
        <v>377</v>
      </c>
      <c r="L916" s="65"/>
      <c r="M916" s="62" t="s">
        <v>2443</v>
      </c>
      <c r="N916" s="62" t="s">
        <v>469</v>
      </c>
      <c r="O916" s="62" t="s">
        <v>315</v>
      </c>
      <c r="P916" s="62" t="s">
        <v>2421</v>
      </c>
      <c r="Q916" s="66" t="s">
        <v>1969</v>
      </c>
    </row>
    <row r="917" spans="1:17" x14ac:dyDescent="0.3">
      <c r="A917" s="61" t="s">
        <v>2127</v>
      </c>
      <c r="B917" s="62" t="s">
        <v>1158</v>
      </c>
      <c r="C917" s="62" t="s">
        <v>1159</v>
      </c>
      <c r="D917" s="63">
        <v>45243</v>
      </c>
      <c r="E917" s="63">
        <v>46066</v>
      </c>
      <c r="F917" s="62" t="s">
        <v>1959</v>
      </c>
      <c r="G917" s="62" t="s">
        <v>304</v>
      </c>
      <c r="H917" s="62" t="s">
        <v>467</v>
      </c>
      <c r="I917" s="64">
        <v>427679.5</v>
      </c>
      <c r="J917" s="62" t="s">
        <v>468</v>
      </c>
      <c r="K917" s="62" t="s">
        <v>467</v>
      </c>
      <c r="L917" s="65"/>
      <c r="M917" s="62" t="s">
        <v>825</v>
      </c>
      <c r="N917" s="62" t="s">
        <v>558</v>
      </c>
      <c r="O917" s="62" t="s">
        <v>426</v>
      </c>
      <c r="P917" s="62" t="s">
        <v>2421</v>
      </c>
      <c r="Q917" s="66" t="s">
        <v>1972</v>
      </c>
    </row>
    <row r="918" spans="1:17" x14ac:dyDescent="0.3">
      <c r="A918" s="61" t="s">
        <v>2127</v>
      </c>
      <c r="B918" s="62" t="s">
        <v>1158</v>
      </c>
      <c r="C918" s="62" t="s">
        <v>1159</v>
      </c>
      <c r="D918" s="63">
        <v>45243</v>
      </c>
      <c r="E918" s="63">
        <v>46066</v>
      </c>
      <c r="F918" s="62" t="s">
        <v>1936</v>
      </c>
      <c r="G918" s="62" t="s">
        <v>304</v>
      </c>
      <c r="H918" s="62" t="s">
        <v>467</v>
      </c>
      <c r="I918" s="64">
        <v>427679.5</v>
      </c>
      <c r="J918" s="62" t="s">
        <v>468</v>
      </c>
      <c r="K918" s="62" t="s">
        <v>467</v>
      </c>
      <c r="L918" s="65"/>
      <c r="M918" s="62" t="s">
        <v>825</v>
      </c>
      <c r="N918" s="62" t="s">
        <v>558</v>
      </c>
      <c r="O918" s="62" t="s">
        <v>426</v>
      </c>
      <c r="P918" s="62" t="s">
        <v>2421</v>
      </c>
      <c r="Q918" s="66" t="s">
        <v>1972</v>
      </c>
    </row>
    <row r="919" spans="1:17" x14ac:dyDescent="0.3">
      <c r="A919" s="61" t="s">
        <v>2127</v>
      </c>
      <c r="B919" s="62" t="s">
        <v>1158</v>
      </c>
      <c r="C919" s="62" t="s">
        <v>1159</v>
      </c>
      <c r="D919" s="63">
        <v>45243</v>
      </c>
      <c r="E919" s="63">
        <v>46066</v>
      </c>
      <c r="F919" s="62" t="s">
        <v>1959</v>
      </c>
      <c r="G919" s="62" t="s">
        <v>304</v>
      </c>
      <c r="H919" s="62" t="s">
        <v>2427</v>
      </c>
      <c r="I919" s="64">
        <v>47525.5</v>
      </c>
      <c r="J919" s="62" t="s">
        <v>1160</v>
      </c>
      <c r="K919" s="62" t="s">
        <v>467</v>
      </c>
      <c r="L919" s="65"/>
      <c r="M919" s="62" t="s">
        <v>825</v>
      </c>
      <c r="N919" s="62" t="s">
        <v>558</v>
      </c>
      <c r="O919" s="62" t="s">
        <v>426</v>
      </c>
      <c r="P919" s="62" t="s">
        <v>2421</v>
      </c>
      <c r="Q919" s="66" t="s">
        <v>1972</v>
      </c>
    </row>
    <row r="920" spans="1:17" x14ac:dyDescent="0.3">
      <c r="A920" s="61" t="s">
        <v>2127</v>
      </c>
      <c r="B920" s="62" t="s">
        <v>1158</v>
      </c>
      <c r="C920" s="62" t="s">
        <v>1159</v>
      </c>
      <c r="D920" s="63">
        <v>45243</v>
      </c>
      <c r="E920" s="63">
        <v>46066</v>
      </c>
      <c r="F920" s="62" t="s">
        <v>1936</v>
      </c>
      <c r="G920" s="62" t="s">
        <v>304</v>
      </c>
      <c r="H920" s="62" t="s">
        <v>2427</v>
      </c>
      <c r="I920" s="64">
        <v>47525.5</v>
      </c>
      <c r="J920" s="62" t="s">
        <v>1160</v>
      </c>
      <c r="K920" s="62" t="s">
        <v>467</v>
      </c>
      <c r="L920" s="65"/>
      <c r="M920" s="62" t="s">
        <v>825</v>
      </c>
      <c r="N920" s="62" t="s">
        <v>558</v>
      </c>
      <c r="O920" s="62" t="s">
        <v>426</v>
      </c>
      <c r="P920" s="62" t="s">
        <v>2421</v>
      </c>
      <c r="Q920" s="66" t="s">
        <v>1972</v>
      </c>
    </row>
    <row r="921" spans="1:17" x14ac:dyDescent="0.3">
      <c r="A921" s="61" t="s">
        <v>2128</v>
      </c>
      <c r="B921" s="62" t="s">
        <v>1161</v>
      </c>
      <c r="C921" s="62" t="s">
        <v>1162</v>
      </c>
      <c r="D921" s="63">
        <v>45245</v>
      </c>
      <c r="E921" s="63">
        <v>46157</v>
      </c>
      <c r="F921" s="62" t="s">
        <v>1939</v>
      </c>
      <c r="G921" s="62" t="s">
        <v>764</v>
      </c>
      <c r="H921" s="62" t="s">
        <v>2426</v>
      </c>
      <c r="I921" s="64">
        <v>46572.714285714297</v>
      </c>
      <c r="J921" s="62" t="s">
        <v>1163</v>
      </c>
      <c r="K921" s="62" t="s">
        <v>489</v>
      </c>
      <c r="L921" s="65"/>
      <c r="M921" s="62" t="s">
        <v>2443</v>
      </c>
      <c r="N921" s="62" t="s">
        <v>1164</v>
      </c>
      <c r="O921" s="62" t="s">
        <v>365</v>
      </c>
      <c r="P921" s="62" t="s">
        <v>2421</v>
      </c>
      <c r="Q921" s="66" t="s">
        <v>1969</v>
      </c>
    </row>
    <row r="922" spans="1:17" x14ac:dyDescent="0.3">
      <c r="A922" s="61" t="s">
        <v>2128</v>
      </c>
      <c r="B922" s="62" t="s">
        <v>1161</v>
      </c>
      <c r="C922" s="62" t="s">
        <v>1162</v>
      </c>
      <c r="D922" s="63">
        <v>45245</v>
      </c>
      <c r="E922" s="63">
        <v>46157</v>
      </c>
      <c r="F922" s="62" t="s">
        <v>1939</v>
      </c>
      <c r="G922" s="62" t="s">
        <v>536</v>
      </c>
      <c r="H922" s="62" t="s">
        <v>2426</v>
      </c>
      <c r="I922" s="64">
        <v>46572.714285714297</v>
      </c>
      <c r="J922" s="62" t="s">
        <v>1163</v>
      </c>
      <c r="K922" s="62" t="s">
        <v>489</v>
      </c>
      <c r="L922" s="65"/>
      <c r="M922" s="62" t="s">
        <v>2443</v>
      </c>
      <c r="N922" s="62" t="s">
        <v>1164</v>
      </c>
      <c r="O922" s="62" t="s">
        <v>365</v>
      </c>
      <c r="P922" s="62" t="s">
        <v>2421</v>
      </c>
      <c r="Q922" s="66" t="s">
        <v>1969</v>
      </c>
    </row>
    <row r="923" spans="1:17" x14ac:dyDescent="0.3">
      <c r="A923" s="61" t="s">
        <v>2128</v>
      </c>
      <c r="B923" s="62" t="s">
        <v>1161</v>
      </c>
      <c r="C923" s="62" t="s">
        <v>1162</v>
      </c>
      <c r="D923" s="63">
        <v>45245</v>
      </c>
      <c r="E923" s="63">
        <v>46157</v>
      </c>
      <c r="F923" s="62" t="s">
        <v>1939</v>
      </c>
      <c r="G923" s="62" t="s">
        <v>537</v>
      </c>
      <c r="H923" s="62" t="s">
        <v>2426</v>
      </c>
      <c r="I923" s="64">
        <v>46572.714285714297</v>
      </c>
      <c r="J923" s="62" t="s">
        <v>1163</v>
      </c>
      <c r="K923" s="62" t="s">
        <v>489</v>
      </c>
      <c r="L923" s="65"/>
      <c r="M923" s="62" t="s">
        <v>2443</v>
      </c>
      <c r="N923" s="62" t="s">
        <v>1164</v>
      </c>
      <c r="O923" s="62" t="s">
        <v>365</v>
      </c>
      <c r="P923" s="62" t="s">
        <v>2421</v>
      </c>
      <c r="Q923" s="66" t="s">
        <v>1969</v>
      </c>
    </row>
    <row r="924" spans="1:17" x14ac:dyDescent="0.3">
      <c r="A924" s="61" t="s">
        <v>2128</v>
      </c>
      <c r="B924" s="62" t="s">
        <v>1161</v>
      </c>
      <c r="C924" s="62" t="s">
        <v>1162</v>
      </c>
      <c r="D924" s="63">
        <v>45245</v>
      </c>
      <c r="E924" s="63">
        <v>46157</v>
      </c>
      <c r="F924" s="62" t="s">
        <v>1939</v>
      </c>
      <c r="G924" s="62" t="s">
        <v>1165</v>
      </c>
      <c r="H924" s="62" t="s">
        <v>2426</v>
      </c>
      <c r="I924" s="64">
        <v>46572.714285714297</v>
      </c>
      <c r="J924" s="62" t="s">
        <v>1163</v>
      </c>
      <c r="K924" s="62" t="s">
        <v>489</v>
      </c>
      <c r="L924" s="65"/>
      <c r="M924" s="62" t="s">
        <v>2443</v>
      </c>
      <c r="N924" s="62" t="s">
        <v>1164</v>
      </c>
      <c r="O924" s="62" t="s">
        <v>365</v>
      </c>
      <c r="P924" s="62" t="s">
        <v>2421</v>
      </c>
      <c r="Q924" s="66" t="s">
        <v>1969</v>
      </c>
    </row>
    <row r="925" spans="1:17" x14ac:dyDescent="0.3">
      <c r="A925" s="61" t="s">
        <v>2128</v>
      </c>
      <c r="B925" s="62" t="s">
        <v>1161</v>
      </c>
      <c r="C925" s="62" t="s">
        <v>1162</v>
      </c>
      <c r="D925" s="63">
        <v>45245</v>
      </c>
      <c r="E925" s="63">
        <v>46157</v>
      </c>
      <c r="F925" s="62" t="s">
        <v>1939</v>
      </c>
      <c r="G925" s="62" t="s">
        <v>1166</v>
      </c>
      <c r="H925" s="62" t="s">
        <v>2426</v>
      </c>
      <c r="I925" s="64">
        <v>46572.714285714297</v>
      </c>
      <c r="J925" s="62" t="s">
        <v>1163</v>
      </c>
      <c r="K925" s="62" t="s">
        <v>489</v>
      </c>
      <c r="L925" s="65"/>
      <c r="M925" s="62" t="s">
        <v>2443</v>
      </c>
      <c r="N925" s="62" t="s">
        <v>1164</v>
      </c>
      <c r="O925" s="62" t="s">
        <v>365</v>
      </c>
      <c r="P925" s="62" t="s">
        <v>2421</v>
      </c>
      <c r="Q925" s="66" t="s">
        <v>1969</v>
      </c>
    </row>
    <row r="926" spans="1:17" x14ac:dyDescent="0.3">
      <c r="A926" s="61" t="s">
        <v>2128</v>
      </c>
      <c r="B926" s="62" t="s">
        <v>1161</v>
      </c>
      <c r="C926" s="62" t="s">
        <v>1162</v>
      </c>
      <c r="D926" s="63">
        <v>45245</v>
      </c>
      <c r="E926" s="63">
        <v>46157</v>
      </c>
      <c r="F926" s="62" t="s">
        <v>1939</v>
      </c>
      <c r="G926" s="62" t="s">
        <v>737</v>
      </c>
      <c r="H926" s="62" t="s">
        <v>2426</v>
      </c>
      <c r="I926" s="64">
        <v>46572.714285714297</v>
      </c>
      <c r="J926" s="62" t="s">
        <v>1163</v>
      </c>
      <c r="K926" s="62" t="s">
        <v>489</v>
      </c>
      <c r="L926" s="65"/>
      <c r="M926" s="62" t="s">
        <v>2443</v>
      </c>
      <c r="N926" s="62" t="s">
        <v>1164</v>
      </c>
      <c r="O926" s="62" t="s">
        <v>365</v>
      </c>
      <c r="P926" s="62" t="s">
        <v>2421</v>
      </c>
      <c r="Q926" s="66" t="s">
        <v>1969</v>
      </c>
    </row>
    <row r="927" spans="1:17" x14ac:dyDescent="0.3">
      <c r="A927" s="61" t="s">
        <v>2128</v>
      </c>
      <c r="B927" s="62" t="s">
        <v>1161</v>
      </c>
      <c r="C927" s="62" t="s">
        <v>1162</v>
      </c>
      <c r="D927" s="63">
        <v>45245</v>
      </c>
      <c r="E927" s="63">
        <v>46157</v>
      </c>
      <c r="F927" s="62" t="s">
        <v>1939</v>
      </c>
      <c r="G927" s="62" t="s">
        <v>1167</v>
      </c>
      <c r="H927" s="62" t="s">
        <v>2426</v>
      </c>
      <c r="I927" s="64">
        <v>46572.714285714297</v>
      </c>
      <c r="J927" s="62" t="s">
        <v>1163</v>
      </c>
      <c r="K927" s="62" t="s">
        <v>489</v>
      </c>
      <c r="L927" s="65"/>
      <c r="M927" s="62" t="s">
        <v>2443</v>
      </c>
      <c r="N927" s="62" t="s">
        <v>1164</v>
      </c>
      <c r="O927" s="62" t="s">
        <v>365</v>
      </c>
      <c r="P927" s="62" t="s">
        <v>2421</v>
      </c>
      <c r="Q927" s="66" t="s">
        <v>1969</v>
      </c>
    </row>
    <row r="928" spans="1:17" x14ac:dyDescent="0.3">
      <c r="A928" s="61" t="s">
        <v>2128</v>
      </c>
      <c r="B928" s="62" t="s">
        <v>1161</v>
      </c>
      <c r="C928" s="62" t="s">
        <v>1162</v>
      </c>
      <c r="D928" s="63">
        <v>45245</v>
      </c>
      <c r="E928" s="63">
        <v>46157</v>
      </c>
      <c r="F928" s="62" t="s">
        <v>1939</v>
      </c>
      <c r="G928" s="62" t="s">
        <v>764</v>
      </c>
      <c r="H928" s="62" t="s">
        <v>2426</v>
      </c>
      <c r="I928" s="64">
        <v>34823</v>
      </c>
      <c r="J928" s="62" t="s">
        <v>2472</v>
      </c>
      <c r="K928" s="62" t="s">
        <v>489</v>
      </c>
      <c r="L928" s="65"/>
      <c r="M928" s="62" t="s">
        <v>2443</v>
      </c>
      <c r="N928" s="62" t="s">
        <v>1164</v>
      </c>
      <c r="O928" s="62" t="s">
        <v>365</v>
      </c>
      <c r="P928" s="62" t="s">
        <v>2421</v>
      </c>
      <c r="Q928" s="66" t="s">
        <v>1969</v>
      </c>
    </row>
    <row r="929" spans="1:17" x14ac:dyDescent="0.3">
      <c r="A929" s="61" t="s">
        <v>2128</v>
      </c>
      <c r="B929" s="62" t="s">
        <v>1161</v>
      </c>
      <c r="C929" s="62" t="s">
        <v>1162</v>
      </c>
      <c r="D929" s="63">
        <v>45245</v>
      </c>
      <c r="E929" s="63">
        <v>46157</v>
      </c>
      <c r="F929" s="62" t="s">
        <v>1939</v>
      </c>
      <c r="G929" s="62" t="s">
        <v>536</v>
      </c>
      <c r="H929" s="62" t="s">
        <v>2426</v>
      </c>
      <c r="I929" s="64">
        <v>34823</v>
      </c>
      <c r="J929" s="62" t="s">
        <v>2472</v>
      </c>
      <c r="K929" s="62" t="s">
        <v>489</v>
      </c>
      <c r="L929" s="65"/>
      <c r="M929" s="62" t="s">
        <v>2443</v>
      </c>
      <c r="N929" s="62" t="s">
        <v>1164</v>
      </c>
      <c r="O929" s="62" t="s">
        <v>365</v>
      </c>
      <c r="P929" s="62" t="s">
        <v>2421</v>
      </c>
      <c r="Q929" s="66" t="s">
        <v>1969</v>
      </c>
    </row>
    <row r="930" spans="1:17" x14ac:dyDescent="0.3">
      <c r="A930" s="61" t="s">
        <v>2128</v>
      </c>
      <c r="B930" s="62" t="s">
        <v>1161</v>
      </c>
      <c r="C930" s="62" t="s">
        <v>1162</v>
      </c>
      <c r="D930" s="63">
        <v>45245</v>
      </c>
      <c r="E930" s="63">
        <v>46157</v>
      </c>
      <c r="F930" s="62" t="s">
        <v>1939</v>
      </c>
      <c r="G930" s="62" t="s">
        <v>537</v>
      </c>
      <c r="H930" s="62" t="s">
        <v>2426</v>
      </c>
      <c r="I930" s="64">
        <v>34823</v>
      </c>
      <c r="J930" s="62" t="s">
        <v>2472</v>
      </c>
      <c r="K930" s="62" t="s">
        <v>489</v>
      </c>
      <c r="L930" s="65"/>
      <c r="M930" s="62" t="s">
        <v>2443</v>
      </c>
      <c r="N930" s="62" t="s">
        <v>1164</v>
      </c>
      <c r="O930" s="62" t="s">
        <v>365</v>
      </c>
      <c r="P930" s="62" t="s">
        <v>2421</v>
      </c>
      <c r="Q930" s="66" t="s">
        <v>1969</v>
      </c>
    </row>
    <row r="931" spans="1:17" x14ac:dyDescent="0.3">
      <c r="A931" s="61" t="s">
        <v>2128</v>
      </c>
      <c r="B931" s="62" t="s">
        <v>1161</v>
      </c>
      <c r="C931" s="62" t="s">
        <v>1162</v>
      </c>
      <c r="D931" s="63">
        <v>45245</v>
      </c>
      <c r="E931" s="63">
        <v>46157</v>
      </c>
      <c r="F931" s="62" t="s">
        <v>1939</v>
      </c>
      <c r="G931" s="62" t="s">
        <v>1165</v>
      </c>
      <c r="H931" s="62" t="s">
        <v>2426</v>
      </c>
      <c r="I931" s="64">
        <v>34823</v>
      </c>
      <c r="J931" s="62" t="s">
        <v>2472</v>
      </c>
      <c r="K931" s="62" t="s">
        <v>489</v>
      </c>
      <c r="L931" s="65"/>
      <c r="M931" s="62" t="s">
        <v>2443</v>
      </c>
      <c r="N931" s="62" t="s">
        <v>1164</v>
      </c>
      <c r="O931" s="62" t="s">
        <v>365</v>
      </c>
      <c r="P931" s="62" t="s">
        <v>2421</v>
      </c>
      <c r="Q931" s="66" t="s">
        <v>1969</v>
      </c>
    </row>
    <row r="932" spans="1:17" x14ac:dyDescent="0.3">
      <c r="A932" s="61" t="s">
        <v>2128</v>
      </c>
      <c r="B932" s="62" t="s">
        <v>1161</v>
      </c>
      <c r="C932" s="62" t="s">
        <v>1162</v>
      </c>
      <c r="D932" s="63">
        <v>45245</v>
      </c>
      <c r="E932" s="63">
        <v>46157</v>
      </c>
      <c r="F932" s="62" t="s">
        <v>1939</v>
      </c>
      <c r="G932" s="62" t="s">
        <v>1166</v>
      </c>
      <c r="H932" s="62" t="s">
        <v>2426</v>
      </c>
      <c r="I932" s="64">
        <v>34823</v>
      </c>
      <c r="J932" s="62" t="s">
        <v>2472</v>
      </c>
      <c r="K932" s="62" t="s">
        <v>489</v>
      </c>
      <c r="L932" s="65"/>
      <c r="M932" s="62" t="s">
        <v>2443</v>
      </c>
      <c r="N932" s="62" t="s">
        <v>1164</v>
      </c>
      <c r="O932" s="62" t="s">
        <v>365</v>
      </c>
      <c r="P932" s="62" t="s">
        <v>2421</v>
      </c>
      <c r="Q932" s="66" t="s">
        <v>1969</v>
      </c>
    </row>
    <row r="933" spans="1:17" x14ac:dyDescent="0.3">
      <c r="A933" s="61" t="s">
        <v>2128</v>
      </c>
      <c r="B933" s="62" t="s">
        <v>1161</v>
      </c>
      <c r="C933" s="62" t="s">
        <v>1162</v>
      </c>
      <c r="D933" s="63">
        <v>45245</v>
      </c>
      <c r="E933" s="63">
        <v>46157</v>
      </c>
      <c r="F933" s="62" t="s">
        <v>1939</v>
      </c>
      <c r="G933" s="62" t="s">
        <v>737</v>
      </c>
      <c r="H933" s="62" t="s">
        <v>2426</v>
      </c>
      <c r="I933" s="64">
        <v>34823</v>
      </c>
      <c r="J933" s="62" t="s">
        <v>2472</v>
      </c>
      <c r="K933" s="62" t="s">
        <v>489</v>
      </c>
      <c r="L933" s="65"/>
      <c r="M933" s="62" t="s">
        <v>2443</v>
      </c>
      <c r="N933" s="62" t="s">
        <v>1164</v>
      </c>
      <c r="O933" s="62" t="s">
        <v>365</v>
      </c>
      <c r="P933" s="62" t="s">
        <v>2421</v>
      </c>
      <c r="Q933" s="66" t="s">
        <v>1969</v>
      </c>
    </row>
    <row r="934" spans="1:17" x14ac:dyDescent="0.3">
      <c r="A934" s="61" t="s">
        <v>2128</v>
      </c>
      <c r="B934" s="62" t="s">
        <v>1161</v>
      </c>
      <c r="C934" s="62" t="s">
        <v>1162</v>
      </c>
      <c r="D934" s="63">
        <v>45245</v>
      </c>
      <c r="E934" s="63">
        <v>46157</v>
      </c>
      <c r="F934" s="62" t="s">
        <v>1939</v>
      </c>
      <c r="G934" s="62" t="s">
        <v>1167</v>
      </c>
      <c r="H934" s="62" t="s">
        <v>2426</v>
      </c>
      <c r="I934" s="64">
        <v>34823</v>
      </c>
      <c r="J934" s="62" t="s">
        <v>2472</v>
      </c>
      <c r="K934" s="62" t="s">
        <v>489</v>
      </c>
      <c r="L934" s="65"/>
      <c r="M934" s="62" t="s">
        <v>2443</v>
      </c>
      <c r="N934" s="62" t="s">
        <v>1164</v>
      </c>
      <c r="O934" s="62" t="s">
        <v>365</v>
      </c>
      <c r="P934" s="62" t="s">
        <v>2421</v>
      </c>
      <c r="Q934" s="66" t="s">
        <v>1969</v>
      </c>
    </row>
    <row r="935" spans="1:17" x14ac:dyDescent="0.3">
      <c r="A935" s="61" t="s">
        <v>2129</v>
      </c>
      <c r="B935" s="62" t="s">
        <v>1168</v>
      </c>
      <c r="C935" s="62" t="s">
        <v>1169</v>
      </c>
      <c r="D935" s="63">
        <v>45108</v>
      </c>
      <c r="E935" s="63">
        <v>46568</v>
      </c>
      <c r="F935" s="62" t="s">
        <v>1943</v>
      </c>
      <c r="G935" s="62" t="s">
        <v>878</v>
      </c>
      <c r="H935" s="62" t="s">
        <v>2427</v>
      </c>
      <c r="I935" s="64">
        <v>52918.166666666701</v>
      </c>
      <c r="J935" s="62" t="s">
        <v>661</v>
      </c>
      <c r="K935" s="62" t="s">
        <v>489</v>
      </c>
      <c r="L935" s="65"/>
      <c r="M935" s="62" t="s">
        <v>825</v>
      </c>
      <c r="N935" s="62" t="s">
        <v>639</v>
      </c>
      <c r="O935" s="62" t="s">
        <v>371</v>
      </c>
      <c r="P935" s="62" t="s">
        <v>2421</v>
      </c>
      <c r="Q935" s="66" t="s">
        <v>1972</v>
      </c>
    </row>
    <row r="936" spans="1:17" x14ac:dyDescent="0.3">
      <c r="A936" s="61" t="s">
        <v>2129</v>
      </c>
      <c r="B936" s="62" t="s">
        <v>1168</v>
      </c>
      <c r="C936" s="62" t="s">
        <v>1169</v>
      </c>
      <c r="D936" s="63">
        <v>45108</v>
      </c>
      <c r="E936" s="63">
        <v>46568</v>
      </c>
      <c r="F936" s="62" t="s">
        <v>1943</v>
      </c>
      <c r="G936" s="62" t="s">
        <v>341</v>
      </c>
      <c r="H936" s="62" t="s">
        <v>2427</v>
      </c>
      <c r="I936" s="64">
        <v>52918.166666666701</v>
      </c>
      <c r="J936" s="62" t="s">
        <v>661</v>
      </c>
      <c r="K936" s="62" t="s">
        <v>489</v>
      </c>
      <c r="L936" s="65"/>
      <c r="M936" s="62" t="s">
        <v>825</v>
      </c>
      <c r="N936" s="62" t="s">
        <v>639</v>
      </c>
      <c r="O936" s="62" t="s">
        <v>371</v>
      </c>
      <c r="P936" s="62" t="s">
        <v>2421</v>
      </c>
      <c r="Q936" s="66" t="s">
        <v>1972</v>
      </c>
    </row>
    <row r="937" spans="1:17" x14ac:dyDescent="0.3">
      <c r="A937" s="61" t="s">
        <v>2129</v>
      </c>
      <c r="B937" s="62" t="s">
        <v>1168</v>
      </c>
      <c r="C937" s="62" t="s">
        <v>1169</v>
      </c>
      <c r="D937" s="63">
        <v>45108</v>
      </c>
      <c r="E937" s="63">
        <v>46568</v>
      </c>
      <c r="F937" s="62" t="s">
        <v>1943</v>
      </c>
      <c r="G937" s="62" t="s">
        <v>763</v>
      </c>
      <c r="H937" s="62" t="s">
        <v>2427</v>
      </c>
      <c r="I937" s="64">
        <v>52918.166666666701</v>
      </c>
      <c r="J937" s="62" t="s">
        <v>661</v>
      </c>
      <c r="K937" s="62" t="s">
        <v>489</v>
      </c>
      <c r="L937" s="65"/>
      <c r="M937" s="62" t="s">
        <v>825</v>
      </c>
      <c r="N937" s="62" t="s">
        <v>639</v>
      </c>
      <c r="O937" s="62" t="s">
        <v>371</v>
      </c>
      <c r="P937" s="62" t="s">
        <v>2421</v>
      </c>
      <c r="Q937" s="66" t="s">
        <v>1972</v>
      </c>
    </row>
    <row r="938" spans="1:17" x14ac:dyDescent="0.3">
      <c r="A938" s="61" t="s">
        <v>2129</v>
      </c>
      <c r="B938" s="62" t="s">
        <v>1168</v>
      </c>
      <c r="C938" s="62" t="s">
        <v>1169</v>
      </c>
      <c r="D938" s="63">
        <v>45108</v>
      </c>
      <c r="E938" s="63">
        <v>46568</v>
      </c>
      <c r="F938" s="62" t="s">
        <v>1930</v>
      </c>
      <c r="G938" s="62" t="s">
        <v>919</v>
      </c>
      <c r="H938" s="62" t="s">
        <v>2427</v>
      </c>
      <c r="I938" s="64">
        <v>79377.25</v>
      </c>
      <c r="J938" s="62" t="s">
        <v>661</v>
      </c>
      <c r="K938" s="62" t="s">
        <v>489</v>
      </c>
      <c r="L938" s="65"/>
      <c r="M938" s="62" t="s">
        <v>825</v>
      </c>
      <c r="N938" s="62" t="s">
        <v>639</v>
      </c>
      <c r="O938" s="62" t="s">
        <v>371</v>
      </c>
      <c r="P938" s="62" t="s">
        <v>2421</v>
      </c>
      <c r="Q938" s="66" t="s">
        <v>1972</v>
      </c>
    </row>
    <row r="939" spans="1:17" x14ac:dyDescent="0.3">
      <c r="A939" s="61" t="s">
        <v>2129</v>
      </c>
      <c r="B939" s="62" t="s">
        <v>1168</v>
      </c>
      <c r="C939" s="62" t="s">
        <v>1169</v>
      </c>
      <c r="D939" s="63">
        <v>45108</v>
      </c>
      <c r="E939" s="63">
        <v>46568</v>
      </c>
      <c r="F939" s="62" t="s">
        <v>1930</v>
      </c>
      <c r="G939" s="62" t="s">
        <v>1170</v>
      </c>
      <c r="H939" s="62" t="s">
        <v>2427</v>
      </c>
      <c r="I939" s="64">
        <v>79377.25</v>
      </c>
      <c r="J939" s="62" t="s">
        <v>661</v>
      </c>
      <c r="K939" s="62" t="s">
        <v>489</v>
      </c>
      <c r="L939" s="65"/>
      <c r="M939" s="62" t="s">
        <v>825</v>
      </c>
      <c r="N939" s="62" t="s">
        <v>639</v>
      </c>
      <c r="O939" s="62" t="s">
        <v>371</v>
      </c>
      <c r="P939" s="62" t="s">
        <v>2421</v>
      </c>
      <c r="Q939" s="66" t="s">
        <v>1972</v>
      </c>
    </row>
    <row r="940" spans="1:17" x14ac:dyDescent="0.3">
      <c r="A940" s="61" t="s">
        <v>2130</v>
      </c>
      <c r="B940" s="62" t="s">
        <v>1171</v>
      </c>
      <c r="C940" s="62" t="s">
        <v>1172</v>
      </c>
      <c r="D940" s="63">
        <v>45399</v>
      </c>
      <c r="E940" s="63">
        <v>46311</v>
      </c>
      <c r="F940" s="62" t="s">
        <v>1945</v>
      </c>
      <c r="G940" s="62" t="s">
        <v>400</v>
      </c>
      <c r="H940" s="62" t="s">
        <v>467</v>
      </c>
      <c r="I940" s="64">
        <v>39892.4375</v>
      </c>
      <c r="J940" s="62" t="s">
        <v>468</v>
      </c>
      <c r="K940" s="62" t="s">
        <v>467</v>
      </c>
      <c r="L940" s="65"/>
      <c r="M940" s="62" t="s">
        <v>1518</v>
      </c>
      <c r="N940" s="62" t="s">
        <v>684</v>
      </c>
      <c r="O940" s="62" t="s">
        <v>459</v>
      </c>
      <c r="P940" s="62" t="s">
        <v>2421</v>
      </c>
      <c r="Q940" s="66" t="s">
        <v>1971</v>
      </c>
    </row>
    <row r="941" spans="1:17" x14ac:dyDescent="0.3">
      <c r="A941" s="61" t="s">
        <v>2130</v>
      </c>
      <c r="B941" s="62" t="s">
        <v>1171</v>
      </c>
      <c r="C941" s="62" t="s">
        <v>1172</v>
      </c>
      <c r="D941" s="63">
        <v>45399</v>
      </c>
      <c r="E941" s="63">
        <v>46311</v>
      </c>
      <c r="F941" s="62" t="s">
        <v>1945</v>
      </c>
      <c r="G941" s="62" t="s">
        <v>796</v>
      </c>
      <c r="H941" s="62" t="s">
        <v>467</v>
      </c>
      <c r="I941" s="64">
        <v>39892.4375</v>
      </c>
      <c r="J941" s="62" t="s">
        <v>468</v>
      </c>
      <c r="K941" s="62" t="s">
        <v>467</v>
      </c>
      <c r="L941" s="65"/>
      <c r="M941" s="62" t="s">
        <v>1518</v>
      </c>
      <c r="N941" s="62" t="s">
        <v>684</v>
      </c>
      <c r="O941" s="62" t="s">
        <v>459</v>
      </c>
      <c r="P941" s="62" t="s">
        <v>2421</v>
      </c>
      <c r="Q941" s="66" t="s">
        <v>1971</v>
      </c>
    </row>
    <row r="942" spans="1:17" x14ac:dyDescent="0.3">
      <c r="A942" s="61" t="s">
        <v>2130</v>
      </c>
      <c r="B942" s="62" t="s">
        <v>1171</v>
      </c>
      <c r="C942" s="62" t="s">
        <v>1172</v>
      </c>
      <c r="D942" s="63">
        <v>45399</v>
      </c>
      <c r="E942" s="63">
        <v>46311</v>
      </c>
      <c r="F942" s="62" t="s">
        <v>1945</v>
      </c>
      <c r="G942" s="62" t="s">
        <v>1173</v>
      </c>
      <c r="H942" s="62" t="s">
        <v>467</v>
      </c>
      <c r="I942" s="64">
        <v>39892.4375</v>
      </c>
      <c r="J942" s="62" t="s">
        <v>468</v>
      </c>
      <c r="K942" s="62" t="s">
        <v>467</v>
      </c>
      <c r="L942" s="65"/>
      <c r="M942" s="62" t="s">
        <v>1518</v>
      </c>
      <c r="N942" s="62" t="s">
        <v>684</v>
      </c>
      <c r="O942" s="62" t="s">
        <v>459</v>
      </c>
      <c r="P942" s="62" t="s">
        <v>2421</v>
      </c>
      <c r="Q942" s="66" t="s">
        <v>1971</v>
      </c>
    </row>
    <row r="943" spans="1:17" x14ac:dyDescent="0.3">
      <c r="A943" s="61" t="s">
        <v>2130</v>
      </c>
      <c r="B943" s="62" t="s">
        <v>1171</v>
      </c>
      <c r="C943" s="62" t="s">
        <v>1172</v>
      </c>
      <c r="D943" s="63">
        <v>45399</v>
      </c>
      <c r="E943" s="63">
        <v>46311</v>
      </c>
      <c r="F943" s="62" t="s">
        <v>1945</v>
      </c>
      <c r="G943" s="62" t="s">
        <v>1174</v>
      </c>
      <c r="H943" s="62" t="s">
        <v>467</v>
      </c>
      <c r="I943" s="64">
        <v>39892.4375</v>
      </c>
      <c r="J943" s="62" t="s">
        <v>468</v>
      </c>
      <c r="K943" s="62" t="s">
        <v>467</v>
      </c>
      <c r="L943" s="65"/>
      <c r="M943" s="62" t="s">
        <v>1518</v>
      </c>
      <c r="N943" s="62" t="s">
        <v>684</v>
      </c>
      <c r="O943" s="62" t="s">
        <v>459</v>
      </c>
      <c r="P943" s="62" t="s">
        <v>2421</v>
      </c>
      <c r="Q943" s="66" t="s">
        <v>1971</v>
      </c>
    </row>
    <row r="944" spans="1:17" x14ac:dyDescent="0.3">
      <c r="A944" s="61" t="s">
        <v>2130</v>
      </c>
      <c r="B944" s="62" t="s">
        <v>1171</v>
      </c>
      <c r="C944" s="62" t="s">
        <v>1172</v>
      </c>
      <c r="D944" s="63">
        <v>45399</v>
      </c>
      <c r="E944" s="63">
        <v>46311</v>
      </c>
      <c r="F944" s="62" t="s">
        <v>287</v>
      </c>
      <c r="G944" s="62" t="s">
        <v>554</v>
      </c>
      <c r="H944" s="62" t="s">
        <v>467</v>
      </c>
      <c r="I944" s="64">
        <v>79784.875</v>
      </c>
      <c r="J944" s="62" t="s">
        <v>468</v>
      </c>
      <c r="K944" s="62" t="s">
        <v>467</v>
      </c>
      <c r="L944" s="65"/>
      <c r="M944" s="62" t="s">
        <v>1518</v>
      </c>
      <c r="N944" s="62" t="s">
        <v>684</v>
      </c>
      <c r="O944" s="62" t="s">
        <v>459</v>
      </c>
      <c r="P944" s="62" t="s">
        <v>2421</v>
      </c>
      <c r="Q944" s="66" t="s">
        <v>1971</v>
      </c>
    </row>
    <row r="945" spans="1:17" x14ac:dyDescent="0.3">
      <c r="A945" s="61" t="s">
        <v>2130</v>
      </c>
      <c r="B945" s="62" t="s">
        <v>1171</v>
      </c>
      <c r="C945" s="62" t="s">
        <v>1172</v>
      </c>
      <c r="D945" s="63">
        <v>45399</v>
      </c>
      <c r="E945" s="63">
        <v>46311</v>
      </c>
      <c r="F945" s="62" t="s">
        <v>287</v>
      </c>
      <c r="G945" s="62" t="s">
        <v>396</v>
      </c>
      <c r="H945" s="62" t="s">
        <v>467</v>
      </c>
      <c r="I945" s="64">
        <v>79784.875</v>
      </c>
      <c r="J945" s="62" t="s">
        <v>468</v>
      </c>
      <c r="K945" s="62" t="s">
        <v>467</v>
      </c>
      <c r="L945" s="65"/>
      <c r="M945" s="62" t="s">
        <v>1518</v>
      </c>
      <c r="N945" s="62" t="s">
        <v>684</v>
      </c>
      <c r="O945" s="62" t="s">
        <v>459</v>
      </c>
      <c r="P945" s="62" t="s">
        <v>2421</v>
      </c>
      <c r="Q945" s="66" t="s">
        <v>1971</v>
      </c>
    </row>
    <row r="946" spans="1:17" x14ac:dyDescent="0.3">
      <c r="A946" s="61" t="s">
        <v>2130</v>
      </c>
      <c r="B946" s="62" t="s">
        <v>1171</v>
      </c>
      <c r="C946" s="62" t="s">
        <v>1172</v>
      </c>
      <c r="D946" s="63">
        <v>45399</v>
      </c>
      <c r="E946" s="63">
        <v>46311</v>
      </c>
      <c r="F946" s="62" t="s">
        <v>1959</v>
      </c>
      <c r="G946" s="62" t="s">
        <v>585</v>
      </c>
      <c r="H946" s="62" t="s">
        <v>467</v>
      </c>
      <c r="I946" s="64">
        <v>159569.75</v>
      </c>
      <c r="J946" s="62" t="s">
        <v>468</v>
      </c>
      <c r="K946" s="62" t="s">
        <v>467</v>
      </c>
      <c r="L946" s="65"/>
      <c r="M946" s="62" t="s">
        <v>1518</v>
      </c>
      <c r="N946" s="62" t="s">
        <v>684</v>
      </c>
      <c r="O946" s="62" t="s">
        <v>459</v>
      </c>
      <c r="P946" s="62" t="s">
        <v>2421</v>
      </c>
      <c r="Q946" s="66" t="s">
        <v>1971</v>
      </c>
    </row>
    <row r="947" spans="1:17" x14ac:dyDescent="0.3">
      <c r="A947" s="61" t="s">
        <v>2130</v>
      </c>
      <c r="B947" s="62" t="s">
        <v>1171</v>
      </c>
      <c r="C947" s="62" t="s">
        <v>1172</v>
      </c>
      <c r="D947" s="63">
        <v>45399</v>
      </c>
      <c r="E947" s="63">
        <v>46311</v>
      </c>
      <c r="F947" s="62" t="s">
        <v>1936</v>
      </c>
      <c r="G947" s="62" t="s">
        <v>748</v>
      </c>
      <c r="H947" s="62" t="s">
        <v>467</v>
      </c>
      <c r="I947" s="64">
        <v>159569.75</v>
      </c>
      <c r="J947" s="62" t="s">
        <v>468</v>
      </c>
      <c r="K947" s="62" t="s">
        <v>467</v>
      </c>
      <c r="L947" s="65"/>
      <c r="M947" s="62" t="s">
        <v>1518</v>
      </c>
      <c r="N947" s="62" t="s">
        <v>684</v>
      </c>
      <c r="O947" s="62" t="s">
        <v>459</v>
      </c>
      <c r="P947" s="62" t="s">
        <v>2421</v>
      </c>
      <c r="Q947" s="66" t="s">
        <v>1971</v>
      </c>
    </row>
    <row r="948" spans="1:17" x14ac:dyDescent="0.3">
      <c r="A948" s="61" t="s">
        <v>2131</v>
      </c>
      <c r="B948" s="62" t="s">
        <v>1175</v>
      </c>
      <c r="C948" s="62" t="s">
        <v>1176</v>
      </c>
      <c r="D948" s="63">
        <v>45407</v>
      </c>
      <c r="E948" s="63">
        <v>46320</v>
      </c>
      <c r="F948" s="62" t="s">
        <v>1921</v>
      </c>
      <c r="G948" s="62" t="s">
        <v>304</v>
      </c>
      <c r="H948" s="62" t="s">
        <v>467</v>
      </c>
      <c r="I948" s="64">
        <v>44641.5</v>
      </c>
      <c r="J948" s="62" t="s">
        <v>468</v>
      </c>
      <c r="K948" s="62" t="s">
        <v>467</v>
      </c>
      <c r="L948" s="65"/>
      <c r="M948" s="62" t="s">
        <v>825</v>
      </c>
      <c r="N948" s="62" t="s">
        <v>370</v>
      </c>
      <c r="O948" s="62" t="s">
        <v>371</v>
      </c>
      <c r="P948" s="62" t="s">
        <v>2421</v>
      </c>
      <c r="Q948" s="66" t="s">
        <v>1972</v>
      </c>
    </row>
    <row r="949" spans="1:17" x14ac:dyDescent="0.3">
      <c r="A949" s="61" t="s">
        <v>2131</v>
      </c>
      <c r="B949" s="62" t="s">
        <v>1175</v>
      </c>
      <c r="C949" s="62" t="s">
        <v>1176</v>
      </c>
      <c r="D949" s="63">
        <v>45407</v>
      </c>
      <c r="E949" s="63">
        <v>46320</v>
      </c>
      <c r="F949" s="62" t="s">
        <v>1922</v>
      </c>
      <c r="G949" s="62" t="s">
        <v>304</v>
      </c>
      <c r="H949" s="62" t="s">
        <v>467</v>
      </c>
      <c r="I949" s="64">
        <v>44641.5</v>
      </c>
      <c r="J949" s="62" t="s">
        <v>468</v>
      </c>
      <c r="K949" s="62" t="s">
        <v>467</v>
      </c>
      <c r="L949" s="65"/>
      <c r="M949" s="62" t="s">
        <v>825</v>
      </c>
      <c r="N949" s="62" t="s">
        <v>370</v>
      </c>
      <c r="O949" s="62" t="s">
        <v>371</v>
      </c>
      <c r="P949" s="62" t="s">
        <v>2421</v>
      </c>
      <c r="Q949" s="66" t="s">
        <v>1972</v>
      </c>
    </row>
    <row r="950" spans="1:17" x14ac:dyDescent="0.3">
      <c r="A950" s="61" t="s">
        <v>2131</v>
      </c>
      <c r="B950" s="62" t="s">
        <v>1175</v>
      </c>
      <c r="C950" s="62" t="s">
        <v>1176</v>
      </c>
      <c r="D950" s="63">
        <v>45407</v>
      </c>
      <c r="E950" s="63">
        <v>46320</v>
      </c>
      <c r="F950" s="62" t="s">
        <v>1959</v>
      </c>
      <c r="G950" s="62" t="s">
        <v>304</v>
      </c>
      <c r="H950" s="62" t="s">
        <v>467</v>
      </c>
      <c r="I950" s="64">
        <v>44641.5</v>
      </c>
      <c r="J950" s="62" t="s">
        <v>468</v>
      </c>
      <c r="K950" s="62" t="s">
        <v>467</v>
      </c>
      <c r="L950" s="65"/>
      <c r="M950" s="62" t="s">
        <v>825</v>
      </c>
      <c r="N950" s="62" t="s">
        <v>370</v>
      </c>
      <c r="O950" s="62" t="s">
        <v>371</v>
      </c>
      <c r="P950" s="62" t="s">
        <v>2421</v>
      </c>
      <c r="Q950" s="66" t="s">
        <v>1972</v>
      </c>
    </row>
    <row r="951" spans="1:17" x14ac:dyDescent="0.3">
      <c r="A951" s="61" t="s">
        <v>2131</v>
      </c>
      <c r="B951" s="62" t="s">
        <v>1175</v>
      </c>
      <c r="C951" s="62" t="s">
        <v>1176</v>
      </c>
      <c r="D951" s="63">
        <v>45407</v>
      </c>
      <c r="E951" s="63">
        <v>46320</v>
      </c>
      <c r="F951" s="62" t="s">
        <v>1936</v>
      </c>
      <c r="G951" s="62" t="s">
        <v>304</v>
      </c>
      <c r="H951" s="62" t="s">
        <v>467</v>
      </c>
      <c r="I951" s="64">
        <v>44641.5</v>
      </c>
      <c r="J951" s="62" t="s">
        <v>468</v>
      </c>
      <c r="K951" s="62" t="s">
        <v>467</v>
      </c>
      <c r="L951" s="65"/>
      <c r="M951" s="62" t="s">
        <v>825</v>
      </c>
      <c r="N951" s="62" t="s">
        <v>370</v>
      </c>
      <c r="O951" s="62" t="s">
        <v>371</v>
      </c>
      <c r="P951" s="62" t="s">
        <v>2421</v>
      </c>
      <c r="Q951" s="66" t="s">
        <v>1972</v>
      </c>
    </row>
    <row r="952" spans="1:17" x14ac:dyDescent="0.3">
      <c r="A952" s="61" t="s">
        <v>2131</v>
      </c>
      <c r="B952" s="62" t="s">
        <v>1175</v>
      </c>
      <c r="C952" s="62" t="s">
        <v>1176</v>
      </c>
      <c r="D952" s="63">
        <v>45407</v>
      </c>
      <c r="E952" s="63">
        <v>46320</v>
      </c>
      <c r="F952" s="62" t="s">
        <v>287</v>
      </c>
      <c r="G952" s="62" t="s">
        <v>304</v>
      </c>
      <c r="H952" s="62" t="s">
        <v>467</v>
      </c>
      <c r="I952" s="64">
        <v>44641.5</v>
      </c>
      <c r="J952" s="62" t="s">
        <v>468</v>
      </c>
      <c r="K952" s="62" t="s">
        <v>467</v>
      </c>
      <c r="L952" s="65"/>
      <c r="M952" s="62" t="s">
        <v>825</v>
      </c>
      <c r="N952" s="62" t="s">
        <v>370</v>
      </c>
      <c r="O952" s="62" t="s">
        <v>371</v>
      </c>
      <c r="P952" s="62" t="s">
        <v>2421</v>
      </c>
      <c r="Q952" s="66" t="s">
        <v>1972</v>
      </c>
    </row>
    <row r="953" spans="1:17" x14ac:dyDescent="0.3">
      <c r="A953" s="61" t="s">
        <v>2131</v>
      </c>
      <c r="B953" s="62" t="s">
        <v>1175</v>
      </c>
      <c r="C953" s="62" t="s">
        <v>1176</v>
      </c>
      <c r="D953" s="63">
        <v>45407</v>
      </c>
      <c r="E953" s="63">
        <v>46320</v>
      </c>
      <c r="F953" s="62" t="s">
        <v>1945</v>
      </c>
      <c r="G953" s="62" t="s">
        <v>304</v>
      </c>
      <c r="H953" s="62" t="s">
        <v>467</v>
      </c>
      <c r="I953" s="64">
        <v>44641.5</v>
      </c>
      <c r="J953" s="62" t="s">
        <v>468</v>
      </c>
      <c r="K953" s="62" t="s">
        <v>467</v>
      </c>
      <c r="L953" s="65"/>
      <c r="M953" s="62" t="s">
        <v>825</v>
      </c>
      <c r="N953" s="62" t="s">
        <v>370</v>
      </c>
      <c r="O953" s="62" t="s">
        <v>371</v>
      </c>
      <c r="P953" s="62" t="s">
        <v>2421</v>
      </c>
      <c r="Q953" s="66" t="s">
        <v>1972</v>
      </c>
    </row>
    <row r="954" spans="1:17" x14ac:dyDescent="0.3">
      <c r="A954" s="61" t="s">
        <v>2131</v>
      </c>
      <c r="B954" s="62" t="s">
        <v>1175</v>
      </c>
      <c r="C954" s="62" t="s">
        <v>1176</v>
      </c>
      <c r="D954" s="63">
        <v>45407</v>
      </c>
      <c r="E954" s="63">
        <v>46320</v>
      </c>
      <c r="F954" s="62" t="s">
        <v>1921</v>
      </c>
      <c r="G954" s="62" t="s">
        <v>304</v>
      </c>
      <c r="H954" s="62" t="s">
        <v>2427</v>
      </c>
      <c r="I954" s="64">
        <v>8928.1666666666697</v>
      </c>
      <c r="J954" s="62" t="s">
        <v>2473</v>
      </c>
      <c r="K954" s="62" t="s">
        <v>467</v>
      </c>
      <c r="L954" s="65"/>
      <c r="M954" s="62" t="s">
        <v>825</v>
      </c>
      <c r="N954" s="62" t="s">
        <v>370</v>
      </c>
      <c r="O954" s="62" t="s">
        <v>371</v>
      </c>
      <c r="P954" s="62" t="s">
        <v>2421</v>
      </c>
      <c r="Q954" s="66" t="s">
        <v>1972</v>
      </c>
    </row>
    <row r="955" spans="1:17" x14ac:dyDescent="0.3">
      <c r="A955" s="61" t="s">
        <v>2131</v>
      </c>
      <c r="B955" s="62" t="s">
        <v>1175</v>
      </c>
      <c r="C955" s="62" t="s">
        <v>1176</v>
      </c>
      <c r="D955" s="63">
        <v>45407</v>
      </c>
      <c r="E955" s="63">
        <v>46320</v>
      </c>
      <c r="F955" s="62" t="s">
        <v>1922</v>
      </c>
      <c r="G955" s="62" t="s">
        <v>304</v>
      </c>
      <c r="H955" s="62" t="s">
        <v>2427</v>
      </c>
      <c r="I955" s="64">
        <v>8928.1666666666697</v>
      </c>
      <c r="J955" s="62" t="s">
        <v>2473</v>
      </c>
      <c r="K955" s="62" t="s">
        <v>467</v>
      </c>
      <c r="L955" s="65"/>
      <c r="M955" s="62" t="s">
        <v>825</v>
      </c>
      <c r="N955" s="62" t="s">
        <v>370</v>
      </c>
      <c r="O955" s="62" t="s">
        <v>371</v>
      </c>
      <c r="P955" s="62" t="s">
        <v>2421</v>
      </c>
      <c r="Q955" s="66" t="s">
        <v>1972</v>
      </c>
    </row>
    <row r="956" spans="1:17" x14ac:dyDescent="0.3">
      <c r="A956" s="61" t="s">
        <v>2131</v>
      </c>
      <c r="B956" s="62" t="s">
        <v>1175</v>
      </c>
      <c r="C956" s="62" t="s">
        <v>1176</v>
      </c>
      <c r="D956" s="63">
        <v>45407</v>
      </c>
      <c r="E956" s="63">
        <v>46320</v>
      </c>
      <c r="F956" s="62" t="s">
        <v>1959</v>
      </c>
      <c r="G956" s="62" t="s">
        <v>304</v>
      </c>
      <c r="H956" s="62" t="s">
        <v>2427</v>
      </c>
      <c r="I956" s="64">
        <v>8928.1666666666697</v>
      </c>
      <c r="J956" s="62" t="s">
        <v>2473</v>
      </c>
      <c r="K956" s="62" t="s">
        <v>467</v>
      </c>
      <c r="L956" s="65"/>
      <c r="M956" s="62" t="s">
        <v>825</v>
      </c>
      <c r="N956" s="62" t="s">
        <v>370</v>
      </c>
      <c r="O956" s="62" t="s">
        <v>371</v>
      </c>
      <c r="P956" s="62" t="s">
        <v>2421</v>
      </c>
      <c r="Q956" s="66" t="s">
        <v>1972</v>
      </c>
    </row>
    <row r="957" spans="1:17" x14ac:dyDescent="0.3">
      <c r="A957" s="61" t="s">
        <v>2131</v>
      </c>
      <c r="B957" s="62" t="s">
        <v>1175</v>
      </c>
      <c r="C957" s="62" t="s">
        <v>1176</v>
      </c>
      <c r="D957" s="63">
        <v>45407</v>
      </c>
      <c r="E957" s="63">
        <v>46320</v>
      </c>
      <c r="F957" s="62" t="s">
        <v>1936</v>
      </c>
      <c r="G957" s="62" t="s">
        <v>304</v>
      </c>
      <c r="H957" s="62" t="s">
        <v>2427</v>
      </c>
      <c r="I957" s="64">
        <v>8928.1666666666697</v>
      </c>
      <c r="J957" s="62" t="s">
        <v>2473</v>
      </c>
      <c r="K957" s="62" t="s">
        <v>467</v>
      </c>
      <c r="L957" s="65"/>
      <c r="M957" s="62" t="s">
        <v>825</v>
      </c>
      <c r="N957" s="62" t="s">
        <v>370</v>
      </c>
      <c r="O957" s="62" t="s">
        <v>371</v>
      </c>
      <c r="P957" s="62" t="s">
        <v>2421</v>
      </c>
      <c r="Q957" s="66" t="s">
        <v>1972</v>
      </c>
    </row>
    <row r="958" spans="1:17" x14ac:dyDescent="0.3">
      <c r="A958" s="61" t="s">
        <v>2131</v>
      </c>
      <c r="B958" s="62" t="s">
        <v>1175</v>
      </c>
      <c r="C958" s="62" t="s">
        <v>1176</v>
      </c>
      <c r="D958" s="63">
        <v>45407</v>
      </c>
      <c r="E958" s="63">
        <v>46320</v>
      </c>
      <c r="F958" s="62" t="s">
        <v>287</v>
      </c>
      <c r="G958" s="62" t="s">
        <v>304</v>
      </c>
      <c r="H958" s="62" t="s">
        <v>2427</v>
      </c>
      <c r="I958" s="64">
        <v>8928.1666666666697</v>
      </c>
      <c r="J958" s="62" t="s">
        <v>2473</v>
      </c>
      <c r="K958" s="62" t="s">
        <v>467</v>
      </c>
      <c r="L958" s="65"/>
      <c r="M958" s="62" t="s">
        <v>825</v>
      </c>
      <c r="N958" s="62" t="s">
        <v>370</v>
      </c>
      <c r="O958" s="62" t="s">
        <v>371</v>
      </c>
      <c r="P958" s="62" t="s">
        <v>2421</v>
      </c>
      <c r="Q958" s="66" t="s">
        <v>1972</v>
      </c>
    </row>
    <row r="959" spans="1:17" x14ac:dyDescent="0.3">
      <c r="A959" s="61" t="s">
        <v>2131</v>
      </c>
      <c r="B959" s="62" t="s">
        <v>1175</v>
      </c>
      <c r="C959" s="62" t="s">
        <v>1176</v>
      </c>
      <c r="D959" s="63">
        <v>45407</v>
      </c>
      <c r="E959" s="63">
        <v>46320</v>
      </c>
      <c r="F959" s="62" t="s">
        <v>1945</v>
      </c>
      <c r="G959" s="62" t="s">
        <v>304</v>
      </c>
      <c r="H959" s="62" t="s">
        <v>2427</v>
      </c>
      <c r="I959" s="64">
        <v>8928.1666666666697</v>
      </c>
      <c r="J959" s="62" t="s">
        <v>2473</v>
      </c>
      <c r="K959" s="62" t="s">
        <v>467</v>
      </c>
      <c r="L959" s="65"/>
      <c r="M959" s="62" t="s">
        <v>825</v>
      </c>
      <c r="N959" s="62" t="s">
        <v>370</v>
      </c>
      <c r="O959" s="62" t="s">
        <v>371</v>
      </c>
      <c r="P959" s="62" t="s">
        <v>2421</v>
      </c>
      <c r="Q959" s="66" t="s">
        <v>1972</v>
      </c>
    </row>
    <row r="960" spans="1:17" x14ac:dyDescent="0.3">
      <c r="A960" s="61" t="s">
        <v>2132</v>
      </c>
      <c r="B960" s="62" t="s">
        <v>1177</v>
      </c>
      <c r="C960" s="62" t="s">
        <v>1178</v>
      </c>
      <c r="D960" s="63">
        <v>45247</v>
      </c>
      <c r="E960" s="63">
        <v>46039</v>
      </c>
      <c r="F960" s="62" t="s">
        <v>287</v>
      </c>
      <c r="G960" s="62" t="s">
        <v>589</v>
      </c>
      <c r="H960" s="62" t="s">
        <v>467</v>
      </c>
      <c r="I960" s="64">
        <v>217779.75</v>
      </c>
      <c r="J960" s="62" t="s">
        <v>468</v>
      </c>
      <c r="K960" s="62" t="s">
        <v>467</v>
      </c>
      <c r="L960" s="65"/>
      <c r="M960" s="62" t="s">
        <v>825</v>
      </c>
      <c r="N960" s="62" t="s">
        <v>579</v>
      </c>
      <c r="O960" s="62" t="s">
        <v>428</v>
      </c>
      <c r="P960" s="62" t="s">
        <v>2421</v>
      </c>
      <c r="Q960" s="66" t="s">
        <v>2021</v>
      </c>
    </row>
    <row r="961" spans="1:17" x14ac:dyDescent="0.3">
      <c r="A961" s="61" t="s">
        <v>2132</v>
      </c>
      <c r="B961" s="62" t="s">
        <v>1177</v>
      </c>
      <c r="C961" s="62" t="s">
        <v>1178</v>
      </c>
      <c r="D961" s="63">
        <v>45247</v>
      </c>
      <c r="E961" s="63">
        <v>46039</v>
      </c>
      <c r="F961" s="62" t="s">
        <v>287</v>
      </c>
      <c r="G961" s="62" t="s">
        <v>396</v>
      </c>
      <c r="H961" s="62" t="s">
        <v>467</v>
      </c>
      <c r="I961" s="64">
        <v>217779.75</v>
      </c>
      <c r="J961" s="62" t="s">
        <v>468</v>
      </c>
      <c r="K961" s="62" t="s">
        <v>467</v>
      </c>
      <c r="L961" s="65"/>
      <c r="M961" s="62" t="s">
        <v>825</v>
      </c>
      <c r="N961" s="62" t="s">
        <v>579</v>
      </c>
      <c r="O961" s="62" t="s">
        <v>428</v>
      </c>
      <c r="P961" s="62" t="s">
        <v>2421</v>
      </c>
      <c r="Q961" s="66" t="s">
        <v>2021</v>
      </c>
    </row>
    <row r="962" spans="1:17" x14ac:dyDescent="0.3">
      <c r="A962" s="61" t="s">
        <v>2132</v>
      </c>
      <c r="B962" s="62" t="s">
        <v>1177</v>
      </c>
      <c r="C962" s="62" t="s">
        <v>1178</v>
      </c>
      <c r="D962" s="63">
        <v>45247</v>
      </c>
      <c r="E962" s="63">
        <v>46039</v>
      </c>
      <c r="F962" s="62" t="s">
        <v>1945</v>
      </c>
      <c r="G962" s="62" t="s">
        <v>400</v>
      </c>
      <c r="H962" s="62" t="s">
        <v>467</v>
      </c>
      <c r="I962" s="64">
        <v>435559.5</v>
      </c>
      <c r="J962" s="62" t="s">
        <v>468</v>
      </c>
      <c r="K962" s="62" t="s">
        <v>467</v>
      </c>
      <c r="L962" s="65"/>
      <c r="M962" s="62" t="s">
        <v>825</v>
      </c>
      <c r="N962" s="62" t="s">
        <v>579</v>
      </c>
      <c r="O962" s="62" t="s">
        <v>428</v>
      </c>
      <c r="P962" s="62" t="s">
        <v>2421</v>
      </c>
      <c r="Q962" s="66" t="s">
        <v>2021</v>
      </c>
    </row>
    <row r="963" spans="1:17" x14ac:dyDescent="0.3">
      <c r="A963" s="61" t="s">
        <v>2133</v>
      </c>
      <c r="B963" s="62" t="s">
        <v>1179</v>
      </c>
      <c r="C963" s="62" t="s">
        <v>1180</v>
      </c>
      <c r="D963" s="63">
        <v>45245</v>
      </c>
      <c r="E963" s="63">
        <v>46157</v>
      </c>
      <c r="F963" s="62" t="s">
        <v>1959</v>
      </c>
      <c r="G963" s="62" t="s">
        <v>511</v>
      </c>
      <c r="H963" s="62" t="s">
        <v>467</v>
      </c>
      <c r="I963" s="64">
        <v>53172.916666666701</v>
      </c>
      <c r="J963" s="62" t="s">
        <v>468</v>
      </c>
      <c r="K963" s="62" t="s">
        <v>467</v>
      </c>
      <c r="L963" s="65"/>
      <c r="M963" s="62" t="s">
        <v>2443</v>
      </c>
      <c r="N963" s="62" t="s">
        <v>639</v>
      </c>
      <c r="O963" s="62" t="s">
        <v>371</v>
      </c>
      <c r="P963" s="62" t="s">
        <v>2421</v>
      </c>
      <c r="Q963" s="66" t="s">
        <v>1972</v>
      </c>
    </row>
    <row r="964" spans="1:17" x14ac:dyDescent="0.3">
      <c r="A964" s="61" t="s">
        <v>2133</v>
      </c>
      <c r="B964" s="62" t="s">
        <v>1179</v>
      </c>
      <c r="C964" s="62" t="s">
        <v>1180</v>
      </c>
      <c r="D964" s="63">
        <v>45245</v>
      </c>
      <c r="E964" s="63">
        <v>46157</v>
      </c>
      <c r="F964" s="62" t="s">
        <v>1959</v>
      </c>
      <c r="G964" s="62" t="s">
        <v>582</v>
      </c>
      <c r="H964" s="62" t="s">
        <v>467</v>
      </c>
      <c r="I964" s="64">
        <v>53172.916666666701</v>
      </c>
      <c r="J964" s="62" t="s">
        <v>468</v>
      </c>
      <c r="K964" s="62" t="s">
        <v>467</v>
      </c>
      <c r="L964" s="65"/>
      <c r="M964" s="62" t="s">
        <v>2443</v>
      </c>
      <c r="N964" s="62" t="s">
        <v>639</v>
      </c>
      <c r="O964" s="62" t="s">
        <v>371</v>
      </c>
      <c r="P964" s="62" t="s">
        <v>2421</v>
      </c>
      <c r="Q964" s="66" t="s">
        <v>1972</v>
      </c>
    </row>
    <row r="965" spans="1:17" x14ac:dyDescent="0.3">
      <c r="A965" s="61" t="s">
        <v>2133</v>
      </c>
      <c r="B965" s="62" t="s">
        <v>1179</v>
      </c>
      <c r="C965" s="62" t="s">
        <v>1180</v>
      </c>
      <c r="D965" s="63">
        <v>45245</v>
      </c>
      <c r="E965" s="63">
        <v>46157</v>
      </c>
      <c r="F965" s="62" t="s">
        <v>1959</v>
      </c>
      <c r="G965" s="62" t="s">
        <v>587</v>
      </c>
      <c r="H965" s="62" t="s">
        <v>467</v>
      </c>
      <c r="I965" s="64">
        <v>53172.916666666701</v>
      </c>
      <c r="J965" s="62" t="s">
        <v>468</v>
      </c>
      <c r="K965" s="62" t="s">
        <v>467</v>
      </c>
      <c r="L965" s="65"/>
      <c r="M965" s="62" t="s">
        <v>2443</v>
      </c>
      <c r="N965" s="62" t="s">
        <v>639</v>
      </c>
      <c r="O965" s="62" t="s">
        <v>371</v>
      </c>
      <c r="P965" s="62" t="s">
        <v>2421</v>
      </c>
      <c r="Q965" s="66" t="s">
        <v>1972</v>
      </c>
    </row>
    <row r="966" spans="1:17" x14ac:dyDescent="0.3">
      <c r="A966" s="61" t="s">
        <v>2133</v>
      </c>
      <c r="B966" s="62" t="s">
        <v>1179</v>
      </c>
      <c r="C966" s="62" t="s">
        <v>1180</v>
      </c>
      <c r="D966" s="63">
        <v>45245</v>
      </c>
      <c r="E966" s="63">
        <v>46157</v>
      </c>
      <c r="F966" s="62" t="s">
        <v>1959</v>
      </c>
      <c r="G966" s="62" t="s">
        <v>475</v>
      </c>
      <c r="H966" s="62" t="s">
        <v>467</v>
      </c>
      <c r="I966" s="64">
        <v>53172.916666666701</v>
      </c>
      <c r="J966" s="62" t="s">
        <v>468</v>
      </c>
      <c r="K966" s="62" t="s">
        <v>467</v>
      </c>
      <c r="L966" s="65"/>
      <c r="M966" s="62" t="s">
        <v>2443</v>
      </c>
      <c r="N966" s="62" t="s">
        <v>639</v>
      </c>
      <c r="O966" s="62" t="s">
        <v>371</v>
      </c>
      <c r="P966" s="62" t="s">
        <v>2421</v>
      </c>
      <c r="Q966" s="66" t="s">
        <v>1972</v>
      </c>
    </row>
    <row r="967" spans="1:17" x14ac:dyDescent="0.3">
      <c r="A967" s="61" t="s">
        <v>2133</v>
      </c>
      <c r="B967" s="62" t="s">
        <v>1179</v>
      </c>
      <c r="C967" s="62" t="s">
        <v>1180</v>
      </c>
      <c r="D967" s="63">
        <v>45245</v>
      </c>
      <c r="E967" s="63">
        <v>46157</v>
      </c>
      <c r="F967" s="62" t="s">
        <v>1945</v>
      </c>
      <c r="G967" s="62" t="s">
        <v>282</v>
      </c>
      <c r="H967" s="62" t="s">
        <v>467</v>
      </c>
      <c r="I967" s="64">
        <v>70897.222222222204</v>
      </c>
      <c r="J967" s="62" t="s">
        <v>468</v>
      </c>
      <c r="K967" s="62" t="s">
        <v>467</v>
      </c>
      <c r="L967" s="65"/>
      <c r="M967" s="62" t="s">
        <v>2443</v>
      </c>
      <c r="N967" s="62" t="s">
        <v>639</v>
      </c>
      <c r="O967" s="62" t="s">
        <v>371</v>
      </c>
      <c r="P967" s="62" t="s">
        <v>2421</v>
      </c>
      <c r="Q967" s="66" t="s">
        <v>1972</v>
      </c>
    </row>
    <row r="968" spans="1:17" x14ac:dyDescent="0.3">
      <c r="A968" s="61" t="s">
        <v>2133</v>
      </c>
      <c r="B968" s="62" t="s">
        <v>1179</v>
      </c>
      <c r="C968" s="62" t="s">
        <v>1180</v>
      </c>
      <c r="D968" s="63">
        <v>45245</v>
      </c>
      <c r="E968" s="63">
        <v>46157</v>
      </c>
      <c r="F968" s="62" t="s">
        <v>1945</v>
      </c>
      <c r="G968" s="62" t="s">
        <v>401</v>
      </c>
      <c r="H968" s="62" t="s">
        <v>467</v>
      </c>
      <c r="I968" s="64">
        <v>70897.222222222204</v>
      </c>
      <c r="J968" s="62" t="s">
        <v>468</v>
      </c>
      <c r="K968" s="62" t="s">
        <v>467</v>
      </c>
      <c r="L968" s="65"/>
      <c r="M968" s="62" t="s">
        <v>2443</v>
      </c>
      <c r="N968" s="62" t="s">
        <v>639</v>
      </c>
      <c r="O968" s="62" t="s">
        <v>371</v>
      </c>
      <c r="P968" s="62" t="s">
        <v>2421</v>
      </c>
      <c r="Q968" s="66" t="s">
        <v>1972</v>
      </c>
    </row>
    <row r="969" spans="1:17" x14ac:dyDescent="0.3">
      <c r="A969" s="61" t="s">
        <v>2133</v>
      </c>
      <c r="B969" s="62" t="s">
        <v>1179</v>
      </c>
      <c r="C969" s="62" t="s">
        <v>1180</v>
      </c>
      <c r="D969" s="63">
        <v>45245</v>
      </c>
      <c r="E969" s="63">
        <v>46157</v>
      </c>
      <c r="F969" s="62" t="s">
        <v>1945</v>
      </c>
      <c r="G969" s="62" t="s">
        <v>1181</v>
      </c>
      <c r="H969" s="62" t="s">
        <v>467</v>
      </c>
      <c r="I969" s="64">
        <v>70897.222222222204</v>
      </c>
      <c r="J969" s="62" t="s">
        <v>468</v>
      </c>
      <c r="K969" s="62" t="s">
        <v>467</v>
      </c>
      <c r="L969" s="65"/>
      <c r="M969" s="62" t="s">
        <v>2443</v>
      </c>
      <c r="N969" s="62" t="s">
        <v>639</v>
      </c>
      <c r="O969" s="62" t="s">
        <v>371</v>
      </c>
      <c r="P969" s="62" t="s">
        <v>2421</v>
      </c>
      <c r="Q969" s="66" t="s">
        <v>1972</v>
      </c>
    </row>
    <row r="970" spans="1:17" x14ac:dyDescent="0.3">
      <c r="A970" s="61" t="s">
        <v>2133</v>
      </c>
      <c r="B970" s="62" t="s">
        <v>1179</v>
      </c>
      <c r="C970" s="62" t="s">
        <v>1180</v>
      </c>
      <c r="D970" s="63">
        <v>45245</v>
      </c>
      <c r="E970" s="63">
        <v>46157</v>
      </c>
      <c r="F970" s="62" t="s">
        <v>287</v>
      </c>
      <c r="G970" s="62" t="s">
        <v>584</v>
      </c>
      <c r="H970" s="62" t="s">
        <v>467</v>
      </c>
      <c r="I970" s="64">
        <v>106345.83333333299</v>
      </c>
      <c r="J970" s="62" t="s">
        <v>468</v>
      </c>
      <c r="K970" s="62" t="s">
        <v>467</v>
      </c>
      <c r="L970" s="65"/>
      <c r="M970" s="62" t="s">
        <v>2443</v>
      </c>
      <c r="N970" s="62" t="s">
        <v>639</v>
      </c>
      <c r="O970" s="62" t="s">
        <v>371</v>
      </c>
      <c r="P970" s="62" t="s">
        <v>2421</v>
      </c>
      <c r="Q970" s="66" t="s">
        <v>1972</v>
      </c>
    </row>
    <row r="971" spans="1:17" x14ac:dyDescent="0.3">
      <c r="A971" s="61" t="s">
        <v>2133</v>
      </c>
      <c r="B971" s="62" t="s">
        <v>1179</v>
      </c>
      <c r="C971" s="62" t="s">
        <v>1180</v>
      </c>
      <c r="D971" s="63">
        <v>45245</v>
      </c>
      <c r="E971" s="63">
        <v>46157</v>
      </c>
      <c r="F971" s="62" t="s">
        <v>287</v>
      </c>
      <c r="G971" s="62" t="s">
        <v>396</v>
      </c>
      <c r="H971" s="62" t="s">
        <v>467</v>
      </c>
      <c r="I971" s="64">
        <v>106345.83333333299</v>
      </c>
      <c r="J971" s="62" t="s">
        <v>468</v>
      </c>
      <c r="K971" s="62" t="s">
        <v>467</v>
      </c>
      <c r="L971" s="65"/>
      <c r="M971" s="62" t="s">
        <v>2443</v>
      </c>
      <c r="N971" s="62" t="s">
        <v>639</v>
      </c>
      <c r="O971" s="62" t="s">
        <v>371</v>
      </c>
      <c r="P971" s="62" t="s">
        <v>2421</v>
      </c>
      <c r="Q971" s="66" t="s">
        <v>1972</v>
      </c>
    </row>
    <row r="972" spans="1:17" x14ac:dyDescent="0.3">
      <c r="A972" s="61" t="s">
        <v>2133</v>
      </c>
      <c r="B972" s="62" t="s">
        <v>1179</v>
      </c>
      <c r="C972" s="62" t="s">
        <v>1180</v>
      </c>
      <c r="D972" s="63">
        <v>45245</v>
      </c>
      <c r="E972" s="63">
        <v>46157</v>
      </c>
      <c r="F972" s="62" t="s">
        <v>1959</v>
      </c>
      <c r="G972" s="62" t="s">
        <v>511</v>
      </c>
      <c r="H972" s="62" t="s">
        <v>2427</v>
      </c>
      <c r="I972" s="64">
        <v>2436</v>
      </c>
      <c r="J972" s="62" t="s">
        <v>1182</v>
      </c>
      <c r="K972" s="62" t="s">
        <v>467</v>
      </c>
      <c r="L972" s="65"/>
      <c r="M972" s="62" t="s">
        <v>2443</v>
      </c>
      <c r="N972" s="62" t="s">
        <v>639</v>
      </c>
      <c r="O972" s="62" t="s">
        <v>371</v>
      </c>
      <c r="P972" s="62" t="s">
        <v>2421</v>
      </c>
      <c r="Q972" s="66" t="s">
        <v>1972</v>
      </c>
    </row>
    <row r="973" spans="1:17" x14ac:dyDescent="0.3">
      <c r="A973" s="61" t="s">
        <v>2133</v>
      </c>
      <c r="B973" s="62" t="s">
        <v>1179</v>
      </c>
      <c r="C973" s="62" t="s">
        <v>1180</v>
      </c>
      <c r="D973" s="63">
        <v>45245</v>
      </c>
      <c r="E973" s="63">
        <v>46157</v>
      </c>
      <c r="F973" s="62" t="s">
        <v>1959</v>
      </c>
      <c r="G973" s="62" t="s">
        <v>582</v>
      </c>
      <c r="H973" s="62" t="s">
        <v>2427</v>
      </c>
      <c r="I973" s="64">
        <v>2436</v>
      </c>
      <c r="J973" s="62" t="s">
        <v>1182</v>
      </c>
      <c r="K973" s="62" t="s">
        <v>467</v>
      </c>
      <c r="L973" s="65"/>
      <c r="M973" s="62" t="s">
        <v>2443</v>
      </c>
      <c r="N973" s="62" t="s">
        <v>639</v>
      </c>
      <c r="O973" s="62" t="s">
        <v>371</v>
      </c>
      <c r="P973" s="62" t="s">
        <v>2421</v>
      </c>
      <c r="Q973" s="66" t="s">
        <v>1972</v>
      </c>
    </row>
    <row r="974" spans="1:17" x14ac:dyDescent="0.3">
      <c r="A974" s="61" t="s">
        <v>2133</v>
      </c>
      <c r="B974" s="62" t="s">
        <v>1179</v>
      </c>
      <c r="C974" s="62" t="s">
        <v>1180</v>
      </c>
      <c r="D974" s="63">
        <v>45245</v>
      </c>
      <c r="E974" s="63">
        <v>46157</v>
      </c>
      <c r="F974" s="62" t="s">
        <v>1959</v>
      </c>
      <c r="G974" s="62" t="s">
        <v>587</v>
      </c>
      <c r="H974" s="62" t="s">
        <v>2427</v>
      </c>
      <c r="I974" s="64">
        <v>2436</v>
      </c>
      <c r="J974" s="62" t="s">
        <v>1182</v>
      </c>
      <c r="K974" s="62" t="s">
        <v>467</v>
      </c>
      <c r="L974" s="65"/>
      <c r="M974" s="62" t="s">
        <v>2443</v>
      </c>
      <c r="N974" s="62" t="s">
        <v>639</v>
      </c>
      <c r="O974" s="62" t="s">
        <v>371</v>
      </c>
      <c r="P974" s="62" t="s">
        <v>2421</v>
      </c>
      <c r="Q974" s="66" t="s">
        <v>1972</v>
      </c>
    </row>
    <row r="975" spans="1:17" x14ac:dyDescent="0.3">
      <c r="A975" s="61" t="s">
        <v>2133</v>
      </c>
      <c r="B975" s="62" t="s">
        <v>1179</v>
      </c>
      <c r="C975" s="62" t="s">
        <v>1180</v>
      </c>
      <c r="D975" s="63">
        <v>45245</v>
      </c>
      <c r="E975" s="63">
        <v>46157</v>
      </c>
      <c r="F975" s="62" t="s">
        <v>1959</v>
      </c>
      <c r="G975" s="62" t="s">
        <v>475</v>
      </c>
      <c r="H975" s="62" t="s">
        <v>2427</v>
      </c>
      <c r="I975" s="64">
        <v>2436</v>
      </c>
      <c r="J975" s="62" t="s">
        <v>1182</v>
      </c>
      <c r="K975" s="62" t="s">
        <v>467</v>
      </c>
      <c r="L975" s="65"/>
      <c r="M975" s="62" t="s">
        <v>2443</v>
      </c>
      <c r="N975" s="62" t="s">
        <v>639</v>
      </c>
      <c r="O975" s="62" t="s">
        <v>371</v>
      </c>
      <c r="P975" s="62" t="s">
        <v>2421</v>
      </c>
      <c r="Q975" s="66" t="s">
        <v>1972</v>
      </c>
    </row>
    <row r="976" spans="1:17" x14ac:dyDescent="0.3">
      <c r="A976" s="61" t="s">
        <v>2133</v>
      </c>
      <c r="B976" s="62" t="s">
        <v>1179</v>
      </c>
      <c r="C976" s="62" t="s">
        <v>1180</v>
      </c>
      <c r="D976" s="63">
        <v>45245</v>
      </c>
      <c r="E976" s="63">
        <v>46157</v>
      </c>
      <c r="F976" s="62" t="s">
        <v>1945</v>
      </c>
      <c r="G976" s="62" t="s">
        <v>282</v>
      </c>
      <c r="H976" s="62" t="s">
        <v>2427</v>
      </c>
      <c r="I976" s="64">
        <v>3248</v>
      </c>
      <c r="J976" s="62" t="s">
        <v>1182</v>
      </c>
      <c r="K976" s="62" t="s">
        <v>467</v>
      </c>
      <c r="L976" s="65"/>
      <c r="M976" s="62" t="s">
        <v>2443</v>
      </c>
      <c r="N976" s="62" t="s">
        <v>639</v>
      </c>
      <c r="O976" s="62" t="s">
        <v>371</v>
      </c>
      <c r="P976" s="62" t="s">
        <v>2421</v>
      </c>
      <c r="Q976" s="66" t="s">
        <v>1972</v>
      </c>
    </row>
    <row r="977" spans="1:17" x14ac:dyDescent="0.3">
      <c r="A977" s="61" t="s">
        <v>2133</v>
      </c>
      <c r="B977" s="62" t="s">
        <v>1179</v>
      </c>
      <c r="C977" s="62" t="s">
        <v>1180</v>
      </c>
      <c r="D977" s="63">
        <v>45245</v>
      </c>
      <c r="E977" s="63">
        <v>46157</v>
      </c>
      <c r="F977" s="62" t="s">
        <v>1945</v>
      </c>
      <c r="G977" s="62" t="s">
        <v>401</v>
      </c>
      <c r="H977" s="62" t="s">
        <v>2427</v>
      </c>
      <c r="I977" s="64">
        <v>3248</v>
      </c>
      <c r="J977" s="62" t="s">
        <v>1182</v>
      </c>
      <c r="K977" s="62" t="s">
        <v>467</v>
      </c>
      <c r="L977" s="65"/>
      <c r="M977" s="62" t="s">
        <v>2443</v>
      </c>
      <c r="N977" s="62" t="s">
        <v>639</v>
      </c>
      <c r="O977" s="62" t="s">
        <v>371</v>
      </c>
      <c r="P977" s="62" t="s">
        <v>2421</v>
      </c>
      <c r="Q977" s="66" t="s">
        <v>1972</v>
      </c>
    </row>
    <row r="978" spans="1:17" x14ac:dyDescent="0.3">
      <c r="A978" s="61" t="s">
        <v>2133</v>
      </c>
      <c r="B978" s="62" t="s">
        <v>1179</v>
      </c>
      <c r="C978" s="62" t="s">
        <v>1180</v>
      </c>
      <c r="D978" s="63">
        <v>45245</v>
      </c>
      <c r="E978" s="63">
        <v>46157</v>
      </c>
      <c r="F978" s="62" t="s">
        <v>1945</v>
      </c>
      <c r="G978" s="62" t="s">
        <v>1181</v>
      </c>
      <c r="H978" s="62" t="s">
        <v>2427</v>
      </c>
      <c r="I978" s="64">
        <v>3248</v>
      </c>
      <c r="J978" s="62" t="s">
        <v>1182</v>
      </c>
      <c r="K978" s="62" t="s">
        <v>467</v>
      </c>
      <c r="L978" s="65"/>
      <c r="M978" s="62" t="s">
        <v>2443</v>
      </c>
      <c r="N978" s="62" t="s">
        <v>639</v>
      </c>
      <c r="O978" s="62" t="s">
        <v>371</v>
      </c>
      <c r="P978" s="62" t="s">
        <v>2421</v>
      </c>
      <c r="Q978" s="66" t="s">
        <v>1972</v>
      </c>
    </row>
    <row r="979" spans="1:17" x14ac:dyDescent="0.3">
      <c r="A979" s="61" t="s">
        <v>2133</v>
      </c>
      <c r="B979" s="62" t="s">
        <v>1179</v>
      </c>
      <c r="C979" s="62" t="s">
        <v>1180</v>
      </c>
      <c r="D979" s="63">
        <v>45245</v>
      </c>
      <c r="E979" s="63">
        <v>46157</v>
      </c>
      <c r="F979" s="62" t="s">
        <v>287</v>
      </c>
      <c r="G979" s="62" t="s">
        <v>584</v>
      </c>
      <c r="H979" s="62" t="s">
        <v>2427</v>
      </c>
      <c r="I979" s="64">
        <v>4872</v>
      </c>
      <c r="J979" s="62" t="s">
        <v>1182</v>
      </c>
      <c r="K979" s="62" t="s">
        <v>467</v>
      </c>
      <c r="L979" s="65"/>
      <c r="M979" s="62" t="s">
        <v>2443</v>
      </c>
      <c r="N979" s="62" t="s">
        <v>639</v>
      </c>
      <c r="O979" s="62" t="s">
        <v>371</v>
      </c>
      <c r="P979" s="62" t="s">
        <v>2421</v>
      </c>
      <c r="Q979" s="66" t="s">
        <v>1972</v>
      </c>
    </row>
    <row r="980" spans="1:17" x14ac:dyDescent="0.3">
      <c r="A980" s="61" t="s">
        <v>2133</v>
      </c>
      <c r="B980" s="62" t="s">
        <v>1179</v>
      </c>
      <c r="C980" s="62" t="s">
        <v>1180</v>
      </c>
      <c r="D980" s="63">
        <v>45245</v>
      </c>
      <c r="E980" s="63">
        <v>46157</v>
      </c>
      <c r="F980" s="62" t="s">
        <v>287</v>
      </c>
      <c r="G980" s="62" t="s">
        <v>396</v>
      </c>
      <c r="H980" s="62" t="s">
        <v>2427</v>
      </c>
      <c r="I980" s="64">
        <v>4872</v>
      </c>
      <c r="J980" s="62" t="s">
        <v>1182</v>
      </c>
      <c r="K980" s="62" t="s">
        <v>467</v>
      </c>
      <c r="L980" s="65"/>
      <c r="M980" s="62" t="s">
        <v>2443</v>
      </c>
      <c r="N980" s="62" t="s">
        <v>639</v>
      </c>
      <c r="O980" s="62" t="s">
        <v>371</v>
      </c>
      <c r="P980" s="62" t="s">
        <v>2421</v>
      </c>
      <c r="Q980" s="66" t="s">
        <v>1972</v>
      </c>
    </row>
    <row r="981" spans="1:17" x14ac:dyDescent="0.3">
      <c r="A981" s="61" t="s">
        <v>2133</v>
      </c>
      <c r="B981" s="62" t="s">
        <v>1179</v>
      </c>
      <c r="C981" s="62" t="s">
        <v>1180</v>
      </c>
      <c r="D981" s="63">
        <v>45245</v>
      </c>
      <c r="E981" s="63">
        <v>46157</v>
      </c>
      <c r="F981" s="62" t="s">
        <v>1959</v>
      </c>
      <c r="G981" s="62" t="s">
        <v>511</v>
      </c>
      <c r="H981" s="62" t="s">
        <v>2427</v>
      </c>
      <c r="I981" s="64">
        <v>12694.75</v>
      </c>
      <c r="J981" s="62" t="s">
        <v>2474</v>
      </c>
      <c r="K981" s="62" t="s">
        <v>467</v>
      </c>
      <c r="L981" s="65"/>
      <c r="M981" s="62" t="s">
        <v>2443</v>
      </c>
      <c r="N981" s="62" t="s">
        <v>639</v>
      </c>
      <c r="O981" s="62" t="s">
        <v>371</v>
      </c>
      <c r="P981" s="62" t="s">
        <v>2421</v>
      </c>
      <c r="Q981" s="66" t="s">
        <v>1972</v>
      </c>
    </row>
    <row r="982" spans="1:17" x14ac:dyDescent="0.3">
      <c r="A982" s="61" t="s">
        <v>2133</v>
      </c>
      <c r="B982" s="62" t="s">
        <v>1179</v>
      </c>
      <c r="C982" s="62" t="s">
        <v>1180</v>
      </c>
      <c r="D982" s="63">
        <v>45245</v>
      </c>
      <c r="E982" s="63">
        <v>46157</v>
      </c>
      <c r="F982" s="62" t="s">
        <v>1959</v>
      </c>
      <c r="G982" s="62" t="s">
        <v>582</v>
      </c>
      <c r="H982" s="62" t="s">
        <v>2427</v>
      </c>
      <c r="I982" s="64">
        <v>12694.75</v>
      </c>
      <c r="J982" s="62" t="s">
        <v>2474</v>
      </c>
      <c r="K982" s="62" t="s">
        <v>467</v>
      </c>
      <c r="L982" s="65"/>
      <c r="M982" s="62" t="s">
        <v>2443</v>
      </c>
      <c r="N982" s="62" t="s">
        <v>639</v>
      </c>
      <c r="O982" s="62" t="s">
        <v>371</v>
      </c>
      <c r="P982" s="62" t="s">
        <v>2421</v>
      </c>
      <c r="Q982" s="66" t="s">
        <v>1972</v>
      </c>
    </row>
    <row r="983" spans="1:17" x14ac:dyDescent="0.3">
      <c r="A983" s="61" t="s">
        <v>2133</v>
      </c>
      <c r="B983" s="62" t="s">
        <v>1179</v>
      </c>
      <c r="C983" s="62" t="s">
        <v>1180</v>
      </c>
      <c r="D983" s="63">
        <v>45245</v>
      </c>
      <c r="E983" s="63">
        <v>46157</v>
      </c>
      <c r="F983" s="62" t="s">
        <v>1959</v>
      </c>
      <c r="G983" s="62" t="s">
        <v>587</v>
      </c>
      <c r="H983" s="62" t="s">
        <v>2427</v>
      </c>
      <c r="I983" s="64">
        <v>12694.75</v>
      </c>
      <c r="J983" s="62" t="s">
        <v>2474</v>
      </c>
      <c r="K983" s="62" t="s">
        <v>467</v>
      </c>
      <c r="L983" s="65"/>
      <c r="M983" s="62" t="s">
        <v>2443</v>
      </c>
      <c r="N983" s="62" t="s">
        <v>639</v>
      </c>
      <c r="O983" s="62" t="s">
        <v>371</v>
      </c>
      <c r="P983" s="62" t="s">
        <v>2421</v>
      </c>
      <c r="Q983" s="66" t="s">
        <v>1972</v>
      </c>
    </row>
    <row r="984" spans="1:17" x14ac:dyDescent="0.3">
      <c r="A984" s="61" t="s">
        <v>2133</v>
      </c>
      <c r="B984" s="62" t="s">
        <v>1179</v>
      </c>
      <c r="C984" s="62" t="s">
        <v>1180</v>
      </c>
      <c r="D984" s="63">
        <v>45245</v>
      </c>
      <c r="E984" s="63">
        <v>46157</v>
      </c>
      <c r="F984" s="62" t="s">
        <v>1959</v>
      </c>
      <c r="G984" s="62" t="s">
        <v>475</v>
      </c>
      <c r="H984" s="62" t="s">
        <v>2427</v>
      </c>
      <c r="I984" s="64">
        <v>12694.75</v>
      </c>
      <c r="J984" s="62" t="s">
        <v>2474</v>
      </c>
      <c r="K984" s="62" t="s">
        <v>467</v>
      </c>
      <c r="L984" s="65"/>
      <c r="M984" s="62" t="s">
        <v>2443</v>
      </c>
      <c r="N984" s="62" t="s">
        <v>639</v>
      </c>
      <c r="O984" s="62" t="s">
        <v>371</v>
      </c>
      <c r="P984" s="62" t="s">
        <v>2421</v>
      </c>
      <c r="Q984" s="66" t="s">
        <v>1972</v>
      </c>
    </row>
    <row r="985" spans="1:17" x14ac:dyDescent="0.3">
      <c r="A985" s="61" t="s">
        <v>2133</v>
      </c>
      <c r="B985" s="62" t="s">
        <v>1179</v>
      </c>
      <c r="C985" s="62" t="s">
        <v>1180</v>
      </c>
      <c r="D985" s="63">
        <v>45245</v>
      </c>
      <c r="E985" s="63">
        <v>46157</v>
      </c>
      <c r="F985" s="62" t="s">
        <v>1945</v>
      </c>
      <c r="G985" s="62" t="s">
        <v>282</v>
      </c>
      <c r="H985" s="62" t="s">
        <v>2427</v>
      </c>
      <c r="I985" s="64">
        <v>16926.333333333299</v>
      </c>
      <c r="J985" s="62" t="s">
        <v>2474</v>
      </c>
      <c r="K985" s="62" t="s">
        <v>467</v>
      </c>
      <c r="L985" s="65"/>
      <c r="M985" s="62" t="s">
        <v>2443</v>
      </c>
      <c r="N985" s="62" t="s">
        <v>639</v>
      </c>
      <c r="O985" s="62" t="s">
        <v>371</v>
      </c>
      <c r="P985" s="62" t="s">
        <v>2421</v>
      </c>
      <c r="Q985" s="66" t="s">
        <v>1972</v>
      </c>
    </row>
    <row r="986" spans="1:17" x14ac:dyDescent="0.3">
      <c r="A986" s="61" t="s">
        <v>2133</v>
      </c>
      <c r="B986" s="62" t="s">
        <v>1179</v>
      </c>
      <c r="C986" s="62" t="s">
        <v>1180</v>
      </c>
      <c r="D986" s="63">
        <v>45245</v>
      </c>
      <c r="E986" s="63">
        <v>46157</v>
      </c>
      <c r="F986" s="62" t="s">
        <v>1945</v>
      </c>
      <c r="G986" s="62" t="s">
        <v>401</v>
      </c>
      <c r="H986" s="62" t="s">
        <v>2427</v>
      </c>
      <c r="I986" s="64">
        <v>16926.333333333299</v>
      </c>
      <c r="J986" s="62" t="s">
        <v>2474</v>
      </c>
      <c r="K986" s="62" t="s">
        <v>467</v>
      </c>
      <c r="L986" s="65"/>
      <c r="M986" s="62" t="s">
        <v>2443</v>
      </c>
      <c r="N986" s="62" t="s">
        <v>639</v>
      </c>
      <c r="O986" s="62" t="s">
        <v>371</v>
      </c>
      <c r="P986" s="62" t="s">
        <v>2421</v>
      </c>
      <c r="Q986" s="66" t="s">
        <v>1972</v>
      </c>
    </row>
    <row r="987" spans="1:17" x14ac:dyDescent="0.3">
      <c r="A987" s="61" t="s">
        <v>2133</v>
      </c>
      <c r="B987" s="62" t="s">
        <v>1179</v>
      </c>
      <c r="C987" s="62" t="s">
        <v>1180</v>
      </c>
      <c r="D987" s="63">
        <v>45245</v>
      </c>
      <c r="E987" s="63">
        <v>46157</v>
      </c>
      <c r="F987" s="62" t="s">
        <v>1945</v>
      </c>
      <c r="G987" s="62" t="s">
        <v>1181</v>
      </c>
      <c r="H987" s="62" t="s">
        <v>2427</v>
      </c>
      <c r="I987" s="64">
        <v>16926.333333333299</v>
      </c>
      <c r="J987" s="62" t="s">
        <v>2474</v>
      </c>
      <c r="K987" s="62" t="s">
        <v>467</v>
      </c>
      <c r="L987" s="65"/>
      <c r="M987" s="62" t="s">
        <v>2443</v>
      </c>
      <c r="N987" s="62" t="s">
        <v>639</v>
      </c>
      <c r="O987" s="62" t="s">
        <v>371</v>
      </c>
      <c r="P987" s="62" t="s">
        <v>2421</v>
      </c>
      <c r="Q987" s="66" t="s">
        <v>1972</v>
      </c>
    </row>
    <row r="988" spans="1:17" x14ac:dyDescent="0.3">
      <c r="A988" s="61" t="s">
        <v>2133</v>
      </c>
      <c r="B988" s="62" t="s">
        <v>1179</v>
      </c>
      <c r="C988" s="62" t="s">
        <v>1180</v>
      </c>
      <c r="D988" s="63">
        <v>45245</v>
      </c>
      <c r="E988" s="63">
        <v>46157</v>
      </c>
      <c r="F988" s="62" t="s">
        <v>287</v>
      </c>
      <c r="G988" s="62" t="s">
        <v>584</v>
      </c>
      <c r="H988" s="62" t="s">
        <v>2427</v>
      </c>
      <c r="I988" s="64">
        <v>25389.5</v>
      </c>
      <c r="J988" s="62" t="s">
        <v>2474</v>
      </c>
      <c r="K988" s="62" t="s">
        <v>467</v>
      </c>
      <c r="L988" s="65"/>
      <c r="M988" s="62" t="s">
        <v>2443</v>
      </c>
      <c r="N988" s="62" t="s">
        <v>639</v>
      </c>
      <c r="O988" s="62" t="s">
        <v>371</v>
      </c>
      <c r="P988" s="62" t="s">
        <v>2421</v>
      </c>
      <c r="Q988" s="66" t="s">
        <v>1972</v>
      </c>
    </row>
    <row r="989" spans="1:17" x14ac:dyDescent="0.3">
      <c r="A989" s="61" t="s">
        <v>2133</v>
      </c>
      <c r="B989" s="62" t="s">
        <v>1179</v>
      </c>
      <c r="C989" s="62" t="s">
        <v>1180</v>
      </c>
      <c r="D989" s="63">
        <v>45245</v>
      </c>
      <c r="E989" s="63">
        <v>46157</v>
      </c>
      <c r="F989" s="62" t="s">
        <v>287</v>
      </c>
      <c r="G989" s="62" t="s">
        <v>396</v>
      </c>
      <c r="H989" s="62" t="s">
        <v>2427</v>
      </c>
      <c r="I989" s="64">
        <v>25389.5</v>
      </c>
      <c r="J989" s="62" t="s">
        <v>2474</v>
      </c>
      <c r="K989" s="62" t="s">
        <v>467</v>
      </c>
      <c r="L989" s="65"/>
      <c r="M989" s="62" t="s">
        <v>2443</v>
      </c>
      <c r="N989" s="62" t="s">
        <v>639</v>
      </c>
      <c r="O989" s="62" t="s">
        <v>371</v>
      </c>
      <c r="P989" s="62" t="s">
        <v>2421</v>
      </c>
      <c r="Q989" s="66" t="s">
        <v>1972</v>
      </c>
    </row>
    <row r="990" spans="1:17" x14ac:dyDescent="0.3">
      <c r="A990" s="61" t="s">
        <v>2133</v>
      </c>
      <c r="B990" s="62" t="s">
        <v>1179</v>
      </c>
      <c r="C990" s="62" t="s">
        <v>1180</v>
      </c>
      <c r="D990" s="63">
        <v>45245</v>
      </c>
      <c r="E990" s="63">
        <v>46157</v>
      </c>
      <c r="F990" s="62" t="s">
        <v>1959</v>
      </c>
      <c r="G990" s="62" t="s">
        <v>511</v>
      </c>
      <c r="H990" s="62" t="s">
        <v>2427</v>
      </c>
      <c r="I990" s="64">
        <v>1956.75</v>
      </c>
      <c r="J990" s="62" t="s">
        <v>1183</v>
      </c>
      <c r="K990" s="62" t="s">
        <v>467</v>
      </c>
      <c r="L990" s="65"/>
      <c r="M990" s="62" t="s">
        <v>2443</v>
      </c>
      <c r="N990" s="62" t="s">
        <v>639</v>
      </c>
      <c r="O990" s="62" t="s">
        <v>371</v>
      </c>
      <c r="P990" s="62" t="s">
        <v>2421</v>
      </c>
      <c r="Q990" s="66" t="s">
        <v>1972</v>
      </c>
    </row>
    <row r="991" spans="1:17" x14ac:dyDescent="0.3">
      <c r="A991" s="61" t="s">
        <v>2133</v>
      </c>
      <c r="B991" s="62" t="s">
        <v>1179</v>
      </c>
      <c r="C991" s="62" t="s">
        <v>1180</v>
      </c>
      <c r="D991" s="63">
        <v>45245</v>
      </c>
      <c r="E991" s="63">
        <v>46157</v>
      </c>
      <c r="F991" s="62" t="s">
        <v>1959</v>
      </c>
      <c r="G991" s="62" t="s">
        <v>582</v>
      </c>
      <c r="H991" s="62" t="s">
        <v>2427</v>
      </c>
      <c r="I991" s="64">
        <v>1956.75</v>
      </c>
      <c r="J991" s="62" t="s">
        <v>1183</v>
      </c>
      <c r="K991" s="62" t="s">
        <v>467</v>
      </c>
      <c r="L991" s="65"/>
      <c r="M991" s="62" t="s">
        <v>2443</v>
      </c>
      <c r="N991" s="62" t="s">
        <v>639</v>
      </c>
      <c r="O991" s="62" t="s">
        <v>371</v>
      </c>
      <c r="P991" s="62" t="s">
        <v>2421</v>
      </c>
      <c r="Q991" s="66" t="s">
        <v>1972</v>
      </c>
    </row>
    <row r="992" spans="1:17" x14ac:dyDescent="0.3">
      <c r="A992" s="61" t="s">
        <v>2133</v>
      </c>
      <c r="B992" s="62" t="s">
        <v>1179</v>
      </c>
      <c r="C992" s="62" t="s">
        <v>1180</v>
      </c>
      <c r="D992" s="63">
        <v>45245</v>
      </c>
      <c r="E992" s="63">
        <v>46157</v>
      </c>
      <c r="F992" s="62" t="s">
        <v>1959</v>
      </c>
      <c r="G992" s="62" t="s">
        <v>587</v>
      </c>
      <c r="H992" s="62" t="s">
        <v>2427</v>
      </c>
      <c r="I992" s="64">
        <v>1956.75</v>
      </c>
      <c r="J992" s="62" t="s">
        <v>1183</v>
      </c>
      <c r="K992" s="62" t="s">
        <v>467</v>
      </c>
      <c r="L992" s="65"/>
      <c r="M992" s="62" t="s">
        <v>2443</v>
      </c>
      <c r="N992" s="62" t="s">
        <v>639</v>
      </c>
      <c r="O992" s="62" t="s">
        <v>371</v>
      </c>
      <c r="P992" s="62" t="s">
        <v>2421</v>
      </c>
      <c r="Q992" s="66" t="s">
        <v>1972</v>
      </c>
    </row>
    <row r="993" spans="1:17" x14ac:dyDescent="0.3">
      <c r="A993" s="61" t="s">
        <v>2133</v>
      </c>
      <c r="B993" s="62" t="s">
        <v>1179</v>
      </c>
      <c r="C993" s="62" t="s">
        <v>1180</v>
      </c>
      <c r="D993" s="63">
        <v>45245</v>
      </c>
      <c r="E993" s="63">
        <v>46157</v>
      </c>
      <c r="F993" s="62" t="s">
        <v>1959</v>
      </c>
      <c r="G993" s="62" t="s">
        <v>475</v>
      </c>
      <c r="H993" s="62" t="s">
        <v>2427</v>
      </c>
      <c r="I993" s="64">
        <v>1956.75</v>
      </c>
      <c r="J993" s="62" t="s">
        <v>1183</v>
      </c>
      <c r="K993" s="62" t="s">
        <v>467</v>
      </c>
      <c r="L993" s="65"/>
      <c r="M993" s="62" t="s">
        <v>2443</v>
      </c>
      <c r="N993" s="62" t="s">
        <v>639</v>
      </c>
      <c r="O993" s="62" t="s">
        <v>371</v>
      </c>
      <c r="P993" s="62" t="s">
        <v>2421</v>
      </c>
      <c r="Q993" s="66" t="s">
        <v>1972</v>
      </c>
    </row>
    <row r="994" spans="1:17" x14ac:dyDescent="0.3">
      <c r="A994" s="61" t="s">
        <v>2133</v>
      </c>
      <c r="B994" s="62" t="s">
        <v>1179</v>
      </c>
      <c r="C994" s="62" t="s">
        <v>1180</v>
      </c>
      <c r="D994" s="63">
        <v>45245</v>
      </c>
      <c r="E994" s="63">
        <v>46157</v>
      </c>
      <c r="F994" s="62" t="s">
        <v>1945</v>
      </c>
      <c r="G994" s="62" t="s">
        <v>282</v>
      </c>
      <c r="H994" s="62" t="s">
        <v>2427</v>
      </c>
      <c r="I994" s="64">
        <v>2609</v>
      </c>
      <c r="J994" s="62" t="s">
        <v>1183</v>
      </c>
      <c r="K994" s="62" t="s">
        <v>467</v>
      </c>
      <c r="L994" s="65"/>
      <c r="M994" s="62" t="s">
        <v>2443</v>
      </c>
      <c r="N994" s="62" t="s">
        <v>639</v>
      </c>
      <c r="O994" s="62" t="s">
        <v>371</v>
      </c>
      <c r="P994" s="62" t="s">
        <v>2421</v>
      </c>
      <c r="Q994" s="66" t="s">
        <v>1972</v>
      </c>
    </row>
    <row r="995" spans="1:17" x14ac:dyDescent="0.3">
      <c r="A995" s="61" t="s">
        <v>2133</v>
      </c>
      <c r="B995" s="62" t="s">
        <v>1179</v>
      </c>
      <c r="C995" s="62" t="s">
        <v>1180</v>
      </c>
      <c r="D995" s="63">
        <v>45245</v>
      </c>
      <c r="E995" s="63">
        <v>46157</v>
      </c>
      <c r="F995" s="62" t="s">
        <v>1945</v>
      </c>
      <c r="G995" s="62" t="s">
        <v>401</v>
      </c>
      <c r="H995" s="62" t="s">
        <v>2427</v>
      </c>
      <c r="I995" s="64">
        <v>2609</v>
      </c>
      <c r="J995" s="62" t="s">
        <v>1183</v>
      </c>
      <c r="K995" s="62" t="s">
        <v>467</v>
      </c>
      <c r="L995" s="65"/>
      <c r="M995" s="62" t="s">
        <v>2443</v>
      </c>
      <c r="N995" s="62" t="s">
        <v>639</v>
      </c>
      <c r="O995" s="62" t="s">
        <v>371</v>
      </c>
      <c r="P995" s="62" t="s">
        <v>2421</v>
      </c>
      <c r="Q995" s="66" t="s">
        <v>1972</v>
      </c>
    </row>
    <row r="996" spans="1:17" x14ac:dyDescent="0.3">
      <c r="A996" s="61" t="s">
        <v>2133</v>
      </c>
      <c r="B996" s="62" t="s">
        <v>1179</v>
      </c>
      <c r="C996" s="62" t="s">
        <v>1180</v>
      </c>
      <c r="D996" s="63">
        <v>45245</v>
      </c>
      <c r="E996" s="63">
        <v>46157</v>
      </c>
      <c r="F996" s="62" t="s">
        <v>1945</v>
      </c>
      <c r="G996" s="62" t="s">
        <v>1181</v>
      </c>
      <c r="H996" s="62" t="s">
        <v>2427</v>
      </c>
      <c r="I996" s="64">
        <v>2609</v>
      </c>
      <c r="J996" s="62" t="s">
        <v>1183</v>
      </c>
      <c r="K996" s="62" t="s">
        <v>467</v>
      </c>
      <c r="L996" s="65"/>
      <c r="M996" s="62" t="s">
        <v>2443</v>
      </c>
      <c r="N996" s="62" t="s">
        <v>639</v>
      </c>
      <c r="O996" s="62" t="s">
        <v>371</v>
      </c>
      <c r="P996" s="62" t="s">
        <v>2421</v>
      </c>
      <c r="Q996" s="66" t="s">
        <v>1972</v>
      </c>
    </row>
    <row r="997" spans="1:17" x14ac:dyDescent="0.3">
      <c r="A997" s="61" t="s">
        <v>2133</v>
      </c>
      <c r="B997" s="62" t="s">
        <v>1179</v>
      </c>
      <c r="C997" s="62" t="s">
        <v>1180</v>
      </c>
      <c r="D997" s="63">
        <v>45245</v>
      </c>
      <c r="E997" s="63">
        <v>46157</v>
      </c>
      <c r="F997" s="62" t="s">
        <v>287</v>
      </c>
      <c r="G997" s="62" t="s">
        <v>584</v>
      </c>
      <c r="H997" s="62" t="s">
        <v>2427</v>
      </c>
      <c r="I997" s="64">
        <v>3913.5</v>
      </c>
      <c r="J997" s="62" t="s">
        <v>1183</v>
      </c>
      <c r="K997" s="62" t="s">
        <v>467</v>
      </c>
      <c r="L997" s="65"/>
      <c r="M997" s="62" t="s">
        <v>2443</v>
      </c>
      <c r="N997" s="62" t="s">
        <v>639</v>
      </c>
      <c r="O997" s="62" t="s">
        <v>371</v>
      </c>
      <c r="P997" s="62" t="s">
        <v>2421</v>
      </c>
      <c r="Q997" s="66" t="s">
        <v>1972</v>
      </c>
    </row>
    <row r="998" spans="1:17" x14ac:dyDescent="0.3">
      <c r="A998" s="61" t="s">
        <v>2133</v>
      </c>
      <c r="B998" s="62" t="s">
        <v>1179</v>
      </c>
      <c r="C998" s="62" t="s">
        <v>1180</v>
      </c>
      <c r="D998" s="63">
        <v>45245</v>
      </c>
      <c r="E998" s="63">
        <v>46157</v>
      </c>
      <c r="F998" s="62" t="s">
        <v>287</v>
      </c>
      <c r="G998" s="62" t="s">
        <v>396</v>
      </c>
      <c r="H998" s="62" t="s">
        <v>2427</v>
      </c>
      <c r="I998" s="64">
        <v>3913.5</v>
      </c>
      <c r="J998" s="62" t="s">
        <v>1183</v>
      </c>
      <c r="K998" s="62" t="s">
        <v>467</v>
      </c>
      <c r="L998" s="65"/>
      <c r="M998" s="62" t="s">
        <v>2443</v>
      </c>
      <c r="N998" s="62" t="s">
        <v>639</v>
      </c>
      <c r="O998" s="62" t="s">
        <v>371</v>
      </c>
      <c r="P998" s="62" t="s">
        <v>2421</v>
      </c>
      <c r="Q998" s="66" t="s">
        <v>1972</v>
      </c>
    </row>
    <row r="999" spans="1:17" x14ac:dyDescent="0.3">
      <c r="A999" s="61" t="s">
        <v>2134</v>
      </c>
      <c r="B999" s="62" t="s">
        <v>1184</v>
      </c>
      <c r="C999" s="62" t="s">
        <v>1185</v>
      </c>
      <c r="D999" s="63">
        <v>45419</v>
      </c>
      <c r="E999" s="63">
        <v>46149</v>
      </c>
      <c r="F999" s="62" t="s">
        <v>287</v>
      </c>
      <c r="G999" s="62" t="s">
        <v>304</v>
      </c>
      <c r="H999" s="62" t="s">
        <v>2420</v>
      </c>
      <c r="I999" s="64">
        <v>270000</v>
      </c>
      <c r="J999" s="62" t="s">
        <v>2425</v>
      </c>
      <c r="K999" s="62" t="s">
        <v>377</v>
      </c>
      <c r="L999" s="65"/>
      <c r="M999" s="62" t="s">
        <v>2443</v>
      </c>
      <c r="N999" s="62" t="s">
        <v>427</v>
      </c>
      <c r="O999" s="62" t="s">
        <v>428</v>
      </c>
      <c r="P999" s="62" t="s">
        <v>2421</v>
      </c>
      <c r="Q999" s="66" t="s">
        <v>2021</v>
      </c>
    </row>
    <row r="1000" spans="1:17" x14ac:dyDescent="0.3">
      <c r="A1000" s="61" t="s">
        <v>2135</v>
      </c>
      <c r="B1000" s="62" t="s">
        <v>1186</v>
      </c>
      <c r="C1000" s="62" t="s">
        <v>1187</v>
      </c>
      <c r="D1000" s="63">
        <v>44795</v>
      </c>
      <c r="E1000" s="63">
        <v>46440</v>
      </c>
      <c r="F1000" s="62" t="s">
        <v>1933</v>
      </c>
      <c r="G1000" s="62" t="s">
        <v>304</v>
      </c>
      <c r="H1000" s="62" t="s">
        <v>2426</v>
      </c>
      <c r="I1000" s="64">
        <v>333333.33333333302</v>
      </c>
      <c r="J1000" s="62" t="s">
        <v>601</v>
      </c>
      <c r="K1000" s="62" t="s">
        <v>377</v>
      </c>
      <c r="L1000" s="65"/>
      <c r="M1000" s="62" t="s">
        <v>457</v>
      </c>
      <c r="N1000" s="62" t="s">
        <v>724</v>
      </c>
      <c r="O1000" s="62" t="s">
        <v>637</v>
      </c>
      <c r="P1000" s="62" t="s">
        <v>2421</v>
      </c>
      <c r="Q1000" s="66" t="s">
        <v>1971</v>
      </c>
    </row>
    <row r="1001" spans="1:17" x14ac:dyDescent="0.3">
      <c r="A1001" s="61" t="s">
        <v>2135</v>
      </c>
      <c r="B1001" s="62" t="s">
        <v>1186</v>
      </c>
      <c r="C1001" s="62" t="s">
        <v>1187</v>
      </c>
      <c r="D1001" s="63">
        <v>44795</v>
      </c>
      <c r="E1001" s="63">
        <v>46440</v>
      </c>
      <c r="F1001" s="62" t="s">
        <v>1937</v>
      </c>
      <c r="G1001" s="62" t="s">
        <v>304</v>
      </c>
      <c r="H1001" s="62" t="s">
        <v>2426</v>
      </c>
      <c r="I1001" s="64">
        <v>333333.33333333302</v>
      </c>
      <c r="J1001" s="62" t="s">
        <v>601</v>
      </c>
      <c r="K1001" s="62" t="s">
        <v>377</v>
      </c>
      <c r="L1001" s="65"/>
      <c r="M1001" s="62" t="s">
        <v>457</v>
      </c>
      <c r="N1001" s="62" t="s">
        <v>724</v>
      </c>
      <c r="O1001" s="62" t="s">
        <v>637</v>
      </c>
      <c r="P1001" s="62" t="s">
        <v>2421</v>
      </c>
      <c r="Q1001" s="66" t="s">
        <v>1971</v>
      </c>
    </row>
    <row r="1002" spans="1:17" x14ac:dyDescent="0.3">
      <c r="A1002" s="61" t="s">
        <v>2135</v>
      </c>
      <c r="B1002" s="62" t="s">
        <v>1186</v>
      </c>
      <c r="C1002" s="62" t="s">
        <v>1187</v>
      </c>
      <c r="D1002" s="63">
        <v>44795</v>
      </c>
      <c r="E1002" s="63">
        <v>46440</v>
      </c>
      <c r="F1002" s="62" t="s">
        <v>1943</v>
      </c>
      <c r="G1002" s="62" t="s">
        <v>304</v>
      </c>
      <c r="H1002" s="62" t="s">
        <v>2426</v>
      </c>
      <c r="I1002" s="64">
        <v>333333.33333333302</v>
      </c>
      <c r="J1002" s="62" t="s">
        <v>601</v>
      </c>
      <c r="K1002" s="62" t="s">
        <v>377</v>
      </c>
      <c r="L1002" s="65"/>
      <c r="M1002" s="62" t="s">
        <v>457</v>
      </c>
      <c r="N1002" s="62" t="s">
        <v>724</v>
      </c>
      <c r="O1002" s="62" t="s">
        <v>637</v>
      </c>
      <c r="P1002" s="62" t="s">
        <v>2421</v>
      </c>
      <c r="Q1002" s="66" t="s">
        <v>1971</v>
      </c>
    </row>
    <row r="1003" spans="1:17" x14ac:dyDescent="0.3">
      <c r="A1003" s="61" t="s">
        <v>2135</v>
      </c>
      <c r="B1003" s="62" t="s">
        <v>1186</v>
      </c>
      <c r="C1003" s="62" t="s">
        <v>1187</v>
      </c>
      <c r="D1003" s="63">
        <v>44795</v>
      </c>
      <c r="E1003" s="63">
        <v>46440</v>
      </c>
      <c r="F1003" s="62" t="s">
        <v>1930</v>
      </c>
      <c r="G1003" s="62" t="s">
        <v>304</v>
      </c>
      <c r="H1003" s="62" t="s">
        <v>2426</v>
      </c>
      <c r="I1003" s="64">
        <v>333333.33333333302</v>
      </c>
      <c r="J1003" s="62" t="s">
        <v>601</v>
      </c>
      <c r="K1003" s="62" t="s">
        <v>377</v>
      </c>
      <c r="L1003" s="65"/>
      <c r="M1003" s="62" t="s">
        <v>457</v>
      </c>
      <c r="N1003" s="62" t="s">
        <v>724</v>
      </c>
      <c r="O1003" s="62" t="s">
        <v>637</v>
      </c>
      <c r="P1003" s="62" t="s">
        <v>2421</v>
      </c>
      <c r="Q1003" s="66" t="s">
        <v>1971</v>
      </c>
    </row>
    <row r="1004" spans="1:17" x14ac:dyDescent="0.3">
      <c r="A1004" s="61" t="s">
        <v>2135</v>
      </c>
      <c r="B1004" s="62" t="s">
        <v>1186</v>
      </c>
      <c r="C1004" s="62" t="s">
        <v>1187</v>
      </c>
      <c r="D1004" s="63">
        <v>44795</v>
      </c>
      <c r="E1004" s="63">
        <v>46440</v>
      </c>
      <c r="F1004" s="62" t="s">
        <v>1959</v>
      </c>
      <c r="G1004" s="62" t="s">
        <v>304</v>
      </c>
      <c r="H1004" s="62" t="s">
        <v>2426</v>
      </c>
      <c r="I1004" s="64">
        <v>333333.33333333302</v>
      </c>
      <c r="J1004" s="62" t="s">
        <v>601</v>
      </c>
      <c r="K1004" s="62" t="s">
        <v>377</v>
      </c>
      <c r="L1004" s="65"/>
      <c r="M1004" s="62" t="s">
        <v>457</v>
      </c>
      <c r="N1004" s="62" t="s">
        <v>724</v>
      </c>
      <c r="O1004" s="62" t="s">
        <v>637</v>
      </c>
      <c r="P1004" s="62" t="s">
        <v>2421</v>
      </c>
      <c r="Q1004" s="66" t="s">
        <v>1971</v>
      </c>
    </row>
    <row r="1005" spans="1:17" x14ac:dyDescent="0.3">
      <c r="A1005" s="61" t="s">
        <v>2135</v>
      </c>
      <c r="B1005" s="62" t="s">
        <v>1186</v>
      </c>
      <c r="C1005" s="62" t="s">
        <v>1187</v>
      </c>
      <c r="D1005" s="63">
        <v>44795</v>
      </c>
      <c r="E1005" s="63">
        <v>46440</v>
      </c>
      <c r="F1005" s="62" t="s">
        <v>287</v>
      </c>
      <c r="G1005" s="62" t="s">
        <v>304</v>
      </c>
      <c r="H1005" s="62" t="s">
        <v>2426</v>
      </c>
      <c r="I1005" s="64">
        <v>333333.33333333302</v>
      </c>
      <c r="J1005" s="62" t="s">
        <v>601</v>
      </c>
      <c r="K1005" s="62" t="s">
        <v>377</v>
      </c>
      <c r="L1005" s="65"/>
      <c r="M1005" s="62" t="s">
        <v>457</v>
      </c>
      <c r="N1005" s="62" t="s">
        <v>724</v>
      </c>
      <c r="O1005" s="62" t="s">
        <v>637</v>
      </c>
      <c r="P1005" s="62" t="s">
        <v>2421</v>
      </c>
      <c r="Q1005" s="66" t="s">
        <v>1971</v>
      </c>
    </row>
    <row r="1006" spans="1:17" x14ac:dyDescent="0.3">
      <c r="A1006" s="61" t="s">
        <v>2136</v>
      </c>
      <c r="B1006" s="62" t="s">
        <v>1190</v>
      </c>
      <c r="C1006" s="62" t="s">
        <v>1191</v>
      </c>
      <c r="D1006" s="63">
        <v>45436</v>
      </c>
      <c r="E1006" s="63">
        <v>46531</v>
      </c>
      <c r="F1006" s="62" t="s">
        <v>350</v>
      </c>
      <c r="G1006" s="62" t="s">
        <v>350</v>
      </c>
      <c r="H1006" s="62" t="s">
        <v>2420</v>
      </c>
      <c r="I1006" s="64">
        <v>370000</v>
      </c>
      <c r="J1006" s="62" t="s">
        <v>2425</v>
      </c>
      <c r="K1006" s="62" t="s">
        <v>377</v>
      </c>
      <c r="L1006" s="65"/>
      <c r="M1006" s="62" t="s">
        <v>424</v>
      </c>
      <c r="N1006" s="62" t="s">
        <v>1192</v>
      </c>
      <c r="O1006" s="62" t="s">
        <v>596</v>
      </c>
      <c r="P1006" s="62" t="s">
        <v>2421</v>
      </c>
      <c r="Q1006" s="66" t="s">
        <v>1980</v>
      </c>
    </row>
    <row r="1007" spans="1:17" x14ac:dyDescent="0.3">
      <c r="A1007" s="61" t="s">
        <v>2136</v>
      </c>
      <c r="B1007" s="62" t="s">
        <v>1190</v>
      </c>
      <c r="C1007" s="62" t="s">
        <v>1191</v>
      </c>
      <c r="D1007" s="63">
        <v>45436</v>
      </c>
      <c r="E1007" s="63">
        <v>46531</v>
      </c>
      <c r="F1007" s="62" t="s">
        <v>350</v>
      </c>
      <c r="G1007" s="62" t="s">
        <v>350</v>
      </c>
      <c r="H1007" s="62" t="s">
        <v>360</v>
      </c>
      <c r="I1007" s="64">
        <v>1708442</v>
      </c>
      <c r="J1007" s="62" t="s">
        <v>361</v>
      </c>
      <c r="K1007" s="62" t="s">
        <v>377</v>
      </c>
      <c r="L1007" s="65"/>
      <c r="M1007" s="62" t="s">
        <v>424</v>
      </c>
      <c r="N1007" s="62" t="s">
        <v>1192</v>
      </c>
      <c r="O1007" s="62" t="s">
        <v>596</v>
      </c>
      <c r="P1007" s="62" t="s">
        <v>2421</v>
      </c>
      <c r="Q1007" s="66" t="s">
        <v>1980</v>
      </c>
    </row>
    <row r="1008" spans="1:17" x14ac:dyDescent="0.3">
      <c r="A1008" s="61" t="s">
        <v>2137</v>
      </c>
      <c r="B1008" s="62" t="s">
        <v>1193</v>
      </c>
      <c r="C1008" s="62" t="s">
        <v>1194</v>
      </c>
      <c r="D1008" s="63">
        <v>45292</v>
      </c>
      <c r="E1008" s="63">
        <v>46387</v>
      </c>
      <c r="F1008" s="62" t="s">
        <v>286</v>
      </c>
      <c r="G1008" s="62" t="s">
        <v>304</v>
      </c>
      <c r="H1008" s="62" t="s">
        <v>489</v>
      </c>
      <c r="I1008" s="64">
        <v>60015</v>
      </c>
      <c r="J1008" s="62" t="s">
        <v>490</v>
      </c>
      <c r="K1008" s="62" t="s">
        <v>489</v>
      </c>
      <c r="L1008" s="65"/>
      <c r="M1008" s="62" t="s">
        <v>2443</v>
      </c>
      <c r="N1008" s="62" t="s">
        <v>558</v>
      </c>
      <c r="O1008" s="62" t="s">
        <v>426</v>
      </c>
      <c r="P1008" s="62" t="s">
        <v>2421</v>
      </c>
      <c r="Q1008" s="66" t="s">
        <v>1972</v>
      </c>
    </row>
    <row r="1009" spans="1:17" x14ac:dyDescent="0.3">
      <c r="A1009" s="61" t="s">
        <v>2137</v>
      </c>
      <c r="B1009" s="62" t="s">
        <v>1193</v>
      </c>
      <c r="C1009" s="62" t="s">
        <v>1194</v>
      </c>
      <c r="D1009" s="63">
        <v>45292</v>
      </c>
      <c r="E1009" s="63">
        <v>46387</v>
      </c>
      <c r="F1009" s="62" t="s">
        <v>289</v>
      </c>
      <c r="G1009" s="62" t="s">
        <v>304</v>
      </c>
      <c r="H1009" s="62" t="s">
        <v>489</v>
      </c>
      <c r="I1009" s="64">
        <v>60015</v>
      </c>
      <c r="J1009" s="62" t="s">
        <v>490</v>
      </c>
      <c r="K1009" s="62" t="s">
        <v>489</v>
      </c>
      <c r="L1009" s="65"/>
      <c r="M1009" s="62" t="s">
        <v>2443</v>
      </c>
      <c r="N1009" s="62" t="s">
        <v>558</v>
      </c>
      <c r="O1009" s="62" t="s">
        <v>426</v>
      </c>
      <c r="P1009" s="62" t="s">
        <v>2421</v>
      </c>
      <c r="Q1009" s="66" t="s">
        <v>1972</v>
      </c>
    </row>
    <row r="1010" spans="1:17" x14ac:dyDescent="0.3">
      <c r="A1010" s="61" t="s">
        <v>2137</v>
      </c>
      <c r="B1010" s="62" t="s">
        <v>1193</v>
      </c>
      <c r="C1010" s="62" t="s">
        <v>1194</v>
      </c>
      <c r="D1010" s="63">
        <v>45292</v>
      </c>
      <c r="E1010" s="63">
        <v>46387</v>
      </c>
      <c r="F1010" s="62" t="s">
        <v>288</v>
      </c>
      <c r="G1010" s="62" t="s">
        <v>304</v>
      </c>
      <c r="H1010" s="62" t="s">
        <v>489</v>
      </c>
      <c r="I1010" s="64">
        <v>60015</v>
      </c>
      <c r="J1010" s="62" t="s">
        <v>490</v>
      </c>
      <c r="K1010" s="62" t="s">
        <v>489</v>
      </c>
      <c r="L1010" s="65"/>
      <c r="M1010" s="62" t="s">
        <v>2443</v>
      </c>
      <c r="N1010" s="62" t="s">
        <v>558</v>
      </c>
      <c r="O1010" s="62" t="s">
        <v>426</v>
      </c>
      <c r="P1010" s="62" t="s">
        <v>2421</v>
      </c>
      <c r="Q1010" s="66" t="s">
        <v>1972</v>
      </c>
    </row>
    <row r="1011" spans="1:17" x14ac:dyDescent="0.3">
      <c r="A1011" s="61" t="s">
        <v>2137</v>
      </c>
      <c r="B1011" s="62" t="s">
        <v>1193</v>
      </c>
      <c r="C1011" s="62" t="s">
        <v>1194</v>
      </c>
      <c r="D1011" s="63">
        <v>45292</v>
      </c>
      <c r="E1011" s="63">
        <v>46387</v>
      </c>
      <c r="F1011" s="62" t="s">
        <v>1961</v>
      </c>
      <c r="G1011" s="62" t="s">
        <v>304</v>
      </c>
      <c r="H1011" s="62" t="s">
        <v>489</v>
      </c>
      <c r="I1011" s="64">
        <v>60015</v>
      </c>
      <c r="J1011" s="62" t="s">
        <v>490</v>
      </c>
      <c r="K1011" s="62" t="s">
        <v>489</v>
      </c>
      <c r="L1011" s="65"/>
      <c r="M1011" s="62" t="s">
        <v>2443</v>
      </c>
      <c r="N1011" s="62" t="s">
        <v>558</v>
      </c>
      <c r="O1011" s="62" t="s">
        <v>426</v>
      </c>
      <c r="P1011" s="62" t="s">
        <v>2421</v>
      </c>
      <c r="Q1011" s="66" t="s">
        <v>1972</v>
      </c>
    </row>
    <row r="1012" spans="1:17" x14ac:dyDescent="0.3">
      <c r="A1012" s="61" t="s">
        <v>2137</v>
      </c>
      <c r="B1012" s="62" t="s">
        <v>1193</v>
      </c>
      <c r="C1012" s="62" t="s">
        <v>1194</v>
      </c>
      <c r="D1012" s="63">
        <v>45292</v>
      </c>
      <c r="E1012" s="63">
        <v>46387</v>
      </c>
      <c r="F1012" s="62" t="s">
        <v>1948</v>
      </c>
      <c r="G1012" s="62" t="s">
        <v>304</v>
      </c>
      <c r="H1012" s="62" t="s">
        <v>489</v>
      </c>
      <c r="I1012" s="64">
        <v>60015</v>
      </c>
      <c r="J1012" s="62" t="s">
        <v>490</v>
      </c>
      <c r="K1012" s="62" t="s">
        <v>489</v>
      </c>
      <c r="L1012" s="65"/>
      <c r="M1012" s="62" t="s">
        <v>2443</v>
      </c>
      <c r="N1012" s="62" t="s">
        <v>558</v>
      </c>
      <c r="O1012" s="62" t="s">
        <v>426</v>
      </c>
      <c r="P1012" s="62" t="s">
        <v>2421</v>
      </c>
      <c r="Q1012" s="66" t="s">
        <v>1972</v>
      </c>
    </row>
    <row r="1013" spans="1:17" x14ac:dyDescent="0.3">
      <c r="A1013" s="61" t="s">
        <v>2138</v>
      </c>
      <c r="B1013" s="62" t="s">
        <v>1197</v>
      </c>
      <c r="C1013" s="62" t="s">
        <v>1198</v>
      </c>
      <c r="D1013" s="63">
        <v>44893</v>
      </c>
      <c r="E1013" s="63">
        <v>46188</v>
      </c>
      <c r="F1013" s="62" t="s">
        <v>287</v>
      </c>
      <c r="G1013" s="62" t="s">
        <v>286</v>
      </c>
      <c r="H1013" s="62" t="s">
        <v>467</v>
      </c>
      <c r="I1013" s="64">
        <v>69252.399999999994</v>
      </c>
      <c r="J1013" s="62" t="s">
        <v>468</v>
      </c>
      <c r="K1013" s="62" t="s">
        <v>467</v>
      </c>
      <c r="L1013" s="65"/>
      <c r="M1013" s="62" t="s">
        <v>313</v>
      </c>
      <c r="N1013" s="62" t="s">
        <v>551</v>
      </c>
      <c r="O1013" s="62" t="s">
        <v>428</v>
      </c>
      <c r="P1013" s="62" t="s">
        <v>2421</v>
      </c>
      <c r="Q1013" s="66" t="s">
        <v>2021</v>
      </c>
    </row>
    <row r="1014" spans="1:17" x14ac:dyDescent="0.3">
      <c r="A1014" s="61" t="s">
        <v>2138</v>
      </c>
      <c r="B1014" s="62" t="s">
        <v>1197</v>
      </c>
      <c r="C1014" s="62" t="s">
        <v>1198</v>
      </c>
      <c r="D1014" s="63">
        <v>44893</v>
      </c>
      <c r="E1014" s="63">
        <v>46188</v>
      </c>
      <c r="F1014" s="62" t="s">
        <v>287</v>
      </c>
      <c r="G1014" s="62" t="s">
        <v>768</v>
      </c>
      <c r="H1014" s="62" t="s">
        <v>467</v>
      </c>
      <c r="I1014" s="64">
        <v>69252.399999999994</v>
      </c>
      <c r="J1014" s="62" t="s">
        <v>468</v>
      </c>
      <c r="K1014" s="62" t="s">
        <v>467</v>
      </c>
      <c r="L1014" s="65"/>
      <c r="M1014" s="62" t="s">
        <v>313</v>
      </c>
      <c r="N1014" s="62" t="s">
        <v>551</v>
      </c>
      <c r="O1014" s="62" t="s">
        <v>428</v>
      </c>
      <c r="P1014" s="62" t="s">
        <v>2421</v>
      </c>
      <c r="Q1014" s="66" t="s">
        <v>2021</v>
      </c>
    </row>
    <row r="1015" spans="1:17" x14ac:dyDescent="0.3">
      <c r="A1015" s="61" t="s">
        <v>2138</v>
      </c>
      <c r="B1015" s="62" t="s">
        <v>1197</v>
      </c>
      <c r="C1015" s="62" t="s">
        <v>1198</v>
      </c>
      <c r="D1015" s="63">
        <v>44893</v>
      </c>
      <c r="E1015" s="63">
        <v>46188</v>
      </c>
      <c r="F1015" s="62" t="s">
        <v>287</v>
      </c>
      <c r="G1015" s="62" t="s">
        <v>769</v>
      </c>
      <c r="H1015" s="62" t="s">
        <v>467</v>
      </c>
      <c r="I1015" s="64">
        <v>69252.399999999994</v>
      </c>
      <c r="J1015" s="62" t="s">
        <v>468</v>
      </c>
      <c r="K1015" s="62" t="s">
        <v>467</v>
      </c>
      <c r="L1015" s="65"/>
      <c r="M1015" s="62" t="s">
        <v>313</v>
      </c>
      <c r="N1015" s="62" t="s">
        <v>551</v>
      </c>
      <c r="O1015" s="62" t="s">
        <v>428</v>
      </c>
      <c r="P1015" s="62" t="s">
        <v>2421</v>
      </c>
      <c r="Q1015" s="66" t="s">
        <v>2021</v>
      </c>
    </row>
    <row r="1016" spans="1:17" x14ac:dyDescent="0.3">
      <c r="A1016" s="61" t="s">
        <v>2138</v>
      </c>
      <c r="B1016" s="62" t="s">
        <v>1197</v>
      </c>
      <c r="C1016" s="62" t="s">
        <v>1198</v>
      </c>
      <c r="D1016" s="63">
        <v>44893</v>
      </c>
      <c r="E1016" s="63">
        <v>46188</v>
      </c>
      <c r="F1016" s="62" t="s">
        <v>287</v>
      </c>
      <c r="G1016" s="62" t="s">
        <v>390</v>
      </c>
      <c r="H1016" s="62" t="s">
        <v>467</v>
      </c>
      <c r="I1016" s="64">
        <v>69252.399999999994</v>
      </c>
      <c r="J1016" s="62" t="s">
        <v>468</v>
      </c>
      <c r="K1016" s="62" t="s">
        <v>467</v>
      </c>
      <c r="L1016" s="65"/>
      <c r="M1016" s="62" t="s">
        <v>313</v>
      </c>
      <c r="N1016" s="62" t="s">
        <v>551</v>
      </c>
      <c r="O1016" s="62" t="s">
        <v>428</v>
      </c>
      <c r="P1016" s="62" t="s">
        <v>2421</v>
      </c>
      <c r="Q1016" s="66" t="s">
        <v>2021</v>
      </c>
    </row>
    <row r="1017" spans="1:17" x14ac:dyDescent="0.3">
      <c r="A1017" s="61" t="s">
        <v>2138</v>
      </c>
      <c r="B1017" s="62" t="s">
        <v>1197</v>
      </c>
      <c r="C1017" s="62" t="s">
        <v>1198</v>
      </c>
      <c r="D1017" s="63">
        <v>44893</v>
      </c>
      <c r="E1017" s="63">
        <v>46188</v>
      </c>
      <c r="F1017" s="62" t="s">
        <v>287</v>
      </c>
      <c r="G1017" s="62" t="s">
        <v>1199</v>
      </c>
      <c r="H1017" s="62" t="s">
        <v>467</v>
      </c>
      <c r="I1017" s="64">
        <v>69252.399999999994</v>
      </c>
      <c r="J1017" s="62" t="s">
        <v>468</v>
      </c>
      <c r="K1017" s="62" t="s">
        <v>467</v>
      </c>
      <c r="L1017" s="65"/>
      <c r="M1017" s="62" t="s">
        <v>313</v>
      </c>
      <c r="N1017" s="62" t="s">
        <v>551</v>
      </c>
      <c r="O1017" s="62" t="s">
        <v>428</v>
      </c>
      <c r="P1017" s="62" t="s">
        <v>2421</v>
      </c>
      <c r="Q1017" s="66" t="s">
        <v>2021</v>
      </c>
    </row>
    <row r="1018" spans="1:17" x14ac:dyDescent="0.3">
      <c r="A1018" s="61" t="s">
        <v>2139</v>
      </c>
      <c r="B1018" s="62" t="s">
        <v>1200</v>
      </c>
      <c r="C1018" s="62" t="s">
        <v>1201</v>
      </c>
      <c r="D1018" s="63">
        <v>45434</v>
      </c>
      <c r="E1018" s="63">
        <v>46348</v>
      </c>
      <c r="F1018" s="62" t="s">
        <v>282</v>
      </c>
      <c r="G1018" s="62" t="s">
        <v>286</v>
      </c>
      <c r="H1018" s="62" t="s">
        <v>467</v>
      </c>
      <c r="I1018" s="64">
        <v>10834.9666666667</v>
      </c>
      <c r="J1018" s="62" t="s">
        <v>468</v>
      </c>
      <c r="K1018" s="62" t="s">
        <v>467</v>
      </c>
      <c r="L1018" s="65"/>
      <c r="M1018" s="62" t="s">
        <v>825</v>
      </c>
      <c r="N1018" s="62" t="s">
        <v>370</v>
      </c>
      <c r="O1018" s="62" t="s">
        <v>371</v>
      </c>
      <c r="P1018" s="62" t="s">
        <v>2421</v>
      </c>
      <c r="Q1018" s="66" t="s">
        <v>1976</v>
      </c>
    </row>
    <row r="1019" spans="1:17" x14ac:dyDescent="0.3">
      <c r="A1019" s="61" t="s">
        <v>2139</v>
      </c>
      <c r="B1019" s="62" t="s">
        <v>1200</v>
      </c>
      <c r="C1019" s="62" t="s">
        <v>1201</v>
      </c>
      <c r="D1019" s="63">
        <v>45434</v>
      </c>
      <c r="E1019" s="63">
        <v>46348</v>
      </c>
      <c r="F1019" s="62" t="s">
        <v>282</v>
      </c>
      <c r="G1019" s="62" t="s">
        <v>470</v>
      </c>
      <c r="H1019" s="62" t="s">
        <v>467</v>
      </c>
      <c r="I1019" s="64">
        <v>10834.9666666667</v>
      </c>
      <c r="J1019" s="62" t="s">
        <v>468</v>
      </c>
      <c r="K1019" s="62" t="s">
        <v>467</v>
      </c>
      <c r="L1019" s="65"/>
      <c r="M1019" s="62" t="s">
        <v>825</v>
      </c>
      <c r="N1019" s="62" t="s">
        <v>370</v>
      </c>
      <c r="O1019" s="62" t="s">
        <v>371</v>
      </c>
      <c r="P1019" s="62" t="s">
        <v>2421</v>
      </c>
      <c r="Q1019" s="66" t="s">
        <v>1976</v>
      </c>
    </row>
    <row r="1020" spans="1:17" x14ac:dyDescent="0.3">
      <c r="A1020" s="61" t="s">
        <v>2139</v>
      </c>
      <c r="B1020" s="62" t="s">
        <v>1200</v>
      </c>
      <c r="C1020" s="62" t="s">
        <v>1201</v>
      </c>
      <c r="D1020" s="63">
        <v>45434</v>
      </c>
      <c r="E1020" s="63">
        <v>46348</v>
      </c>
      <c r="F1020" s="62" t="s">
        <v>282</v>
      </c>
      <c r="G1020" s="62" t="s">
        <v>472</v>
      </c>
      <c r="H1020" s="62" t="s">
        <v>467</v>
      </c>
      <c r="I1020" s="64">
        <v>10834.9666666667</v>
      </c>
      <c r="J1020" s="62" t="s">
        <v>468</v>
      </c>
      <c r="K1020" s="62" t="s">
        <v>467</v>
      </c>
      <c r="L1020" s="65"/>
      <c r="M1020" s="62" t="s">
        <v>825</v>
      </c>
      <c r="N1020" s="62" t="s">
        <v>370</v>
      </c>
      <c r="O1020" s="62" t="s">
        <v>371</v>
      </c>
      <c r="P1020" s="62" t="s">
        <v>2421</v>
      </c>
      <c r="Q1020" s="66" t="s">
        <v>1976</v>
      </c>
    </row>
    <row r="1021" spans="1:17" x14ac:dyDescent="0.3">
      <c r="A1021" s="61" t="s">
        <v>2139</v>
      </c>
      <c r="B1021" s="62" t="s">
        <v>1200</v>
      </c>
      <c r="C1021" s="62" t="s">
        <v>1201</v>
      </c>
      <c r="D1021" s="63">
        <v>45434</v>
      </c>
      <c r="E1021" s="63">
        <v>46348</v>
      </c>
      <c r="F1021" s="62" t="s">
        <v>282</v>
      </c>
      <c r="G1021" s="62" t="s">
        <v>473</v>
      </c>
      <c r="H1021" s="62" t="s">
        <v>467</v>
      </c>
      <c r="I1021" s="64">
        <v>10834.9666666667</v>
      </c>
      <c r="J1021" s="62" t="s">
        <v>468</v>
      </c>
      <c r="K1021" s="62" t="s">
        <v>467</v>
      </c>
      <c r="L1021" s="65"/>
      <c r="M1021" s="62" t="s">
        <v>825</v>
      </c>
      <c r="N1021" s="62" t="s">
        <v>370</v>
      </c>
      <c r="O1021" s="62" t="s">
        <v>371</v>
      </c>
      <c r="P1021" s="62" t="s">
        <v>2421</v>
      </c>
      <c r="Q1021" s="66" t="s">
        <v>1976</v>
      </c>
    </row>
    <row r="1022" spans="1:17" x14ac:dyDescent="0.3">
      <c r="A1022" s="61" t="s">
        <v>2139</v>
      </c>
      <c r="B1022" s="62" t="s">
        <v>1200</v>
      </c>
      <c r="C1022" s="62" t="s">
        <v>1201</v>
      </c>
      <c r="D1022" s="63">
        <v>45434</v>
      </c>
      <c r="E1022" s="63">
        <v>46348</v>
      </c>
      <c r="F1022" s="62" t="s">
        <v>282</v>
      </c>
      <c r="G1022" s="62" t="s">
        <v>577</v>
      </c>
      <c r="H1022" s="62" t="s">
        <v>467</v>
      </c>
      <c r="I1022" s="64">
        <v>10834.9666666667</v>
      </c>
      <c r="J1022" s="62" t="s">
        <v>468</v>
      </c>
      <c r="K1022" s="62" t="s">
        <v>467</v>
      </c>
      <c r="L1022" s="65"/>
      <c r="M1022" s="62" t="s">
        <v>825</v>
      </c>
      <c r="N1022" s="62" t="s">
        <v>370</v>
      </c>
      <c r="O1022" s="62" t="s">
        <v>371</v>
      </c>
      <c r="P1022" s="62" t="s">
        <v>2421</v>
      </c>
      <c r="Q1022" s="66" t="s">
        <v>1976</v>
      </c>
    </row>
    <row r="1023" spans="1:17" x14ac:dyDescent="0.3">
      <c r="A1023" s="61" t="s">
        <v>2139</v>
      </c>
      <c r="B1023" s="62" t="s">
        <v>1200</v>
      </c>
      <c r="C1023" s="62" t="s">
        <v>1201</v>
      </c>
      <c r="D1023" s="63">
        <v>45434</v>
      </c>
      <c r="E1023" s="63">
        <v>46348</v>
      </c>
      <c r="F1023" s="62" t="s">
        <v>282</v>
      </c>
      <c r="G1023" s="62" t="s">
        <v>834</v>
      </c>
      <c r="H1023" s="62" t="s">
        <v>467</v>
      </c>
      <c r="I1023" s="64">
        <v>10834.9666666667</v>
      </c>
      <c r="J1023" s="62" t="s">
        <v>468</v>
      </c>
      <c r="K1023" s="62" t="s">
        <v>467</v>
      </c>
      <c r="L1023" s="65"/>
      <c r="M1023" s="62" t="s">
        <v>825</v>
      </c>
      <c r="N1023" s="62" t="s">
        <v>370</v>
      </c>
      <c r="O1023" s="62" t="s">
        <v>371</v>
      </c>
      <c r="P1023" s="62" t="s">
        <v>2421</v>
      </c>
      <c r="Q1023" s="66" t="s">
        <v>1976</v>
      </c>
    </row>
    <row r="1024" spans="1:17" x14ac:dyDescent="0.3">
      <c r="A1024" s="61" t="s">
        <v>2139</v>
      </c>
      <c r="B1024" s="62" t="s">
        <v>1200</v>
      </c>
      <c r="C1024" s="62" t="s">
        <v>1201</v>
      </c>
      <c r="D1024" s="63">
        <v>45434</v>
      </c>
      <c r="E1024" s="63">
        <v>46348</v>
      </c>
      <c r="F1024" s="62" t="s">
        <v>289</v>
      </c>
      <c r="G1024" s="62" t="s">
        <v>574</v>
      </c>
      <c r="H1024" s="62" t="s">
        <v>467</v>
      </c>
      <c r="I1024" s="64">
        <v>10834.9666666667</v>
      </c>
      <c r="J1024" s="62" t="s">
        <v>468</v>
      </c>
      <c r="K1024" s="62" t="s">
        <v>467</v>
      </c>
      <c r="L1024" s="65"/>
      <c r="M1024" s="62" t="s">
        <v>825</v>
      </c>
      <c r="N1024" s="62" t="s">
        <v>370</v>
      </c>
      <c r="O1024" s="62" t="s">
        <v>371</v>
      </c>
      <c r="P1024" s="62" t="s">
        <v>2421</v>
      </c>
      <c r="Q1024" s="66" t="s">
        <v>1976</v>
      </c>
    </row>
    <row r="1025" spans="1:17" x14ac:dyDescent="0.3">
      <c r="A1025" s="61" t="s">
        <v>2139</v>
      </c>
      <c r="B1025" s="62" t="s">
        <v>1200</v>
      </c>
      <c r="C1025" s="62" t="s">
        <v>1201</v>
      </c>
      <c r="D1025" s="63">
        <v>45434</v>
      </c>
      <c r="E1025" s="63">
        <v>46348</v>
      </c>
      <c r="F1025" s="62" t="s">
        <v>289</v>
      </c>
      <c r="G1025" s="62" t="s">
        <v>575</v>
      </c>
      <c r="H1025" s="62" t="s">
        <v>467</v>
      </c>
      <c r="I1025" s="64">
        <v>10834.9666666667</v>
      </c>
      <c r="J1025" s="62" t="s">
        <v>468</v>
      </c>
      <c r="K1025" s="62" t="s">
        <v>467</v>
      </c>
      <c r="L1025" s="65"/>
      <c r="M1025" s="62" t="s">
        <v>825</v>
      </c>
      <c r="N1025" s="62" t="s">
        <v>370</v>
      </c>
      <c r="O1025" s="62" t="s">
        <v>371</v>
      </c>
      <c r="P1025" s="62" t="s">
        <v>2421</v>
      </c>
      <c r="Q1025" s="66" t="s">
        <v>1976</v>
      </c>
    </row>
    <row r="1026" spans="1:17" x14ac:dyDescent="0.3">
      <c r="A1026" s="61" t="s">
        <v>2139</v>
      </c>
      <c r="B1026" s="62" t="s">
        <v>1200</v>
      </c>
      <c r="C1026" s="62" t="s">
        <v>1201</v>
      </c>
      <c r="D1026" s="63">
        <v>45434</v>
      </c>
      <c r="E1026" s="63">
        <v>46348</v>
      </c>
      <c r="F1026" s="62" t="s">
        <v>289</v>
      </c>
      <c r="G1026" s="62" t="s">
        <v>953</v>
      </c>
      <c r="H1026" s="62" t="s">
        <v>467</v>
      </c>
      <c r="I1026" s="64">
        <v>10834.9666666667</v>
      </c>
      <c r="J1026" s="62" t="s">
        <v>468</v>
      </c>
      <c r="K1026" s="62" t="s">
        <v>467</v>
      </c>
      <c r="L1026" s="65"/>
      <c r="M1026" s="62" t="s">
        <v>825</v>
      </c>
      <c r="N1026" s="62" t="s">
        <v>370</v>
      </c>
      <c r="O1026" s="62" t="s">
        <v>371</v>
      </c>
      <c r="P1026" s="62" t="s">
        <v>2421</v>
      </c>
      <c r="Q1026" s="66" t="s">
        <v>1976</v>
      </c>
    </row>
    <row r="1027" spans="1:17" x14ac:dyDescent="0.3">
      <c r="A1027" s="61" t="s">
        <v>2139</v>
      </c>
      <c r="B1027" s="62" t="s">
        <v>1200</v>
      </c>
      <c r="C1027" s="62" t="s">
        <v>1201</v>
      </c>
      <c r="D1027" s="63">
        <v>45434</v>
      </c>
      <c r="E1027" s="63">
        <v>46348</v>
      </c>
      <c r="F1027" s="62" t="s">
        <v>289</v>
      </c>
      <c r="G1027" s="62" t="s">
        <v>831</v>
      </c>
      <c r="H1027" s="62" t="s">
        <v>467</v>
      </c>
      <c r="I1027" s="64">
        <v>10834.9666666667</v>
      </c>
      <c r="J1027" s="62" t="s">
        <v>468</v>
      </c>
      <c r="K1027" s="62" t="s">
        <v>467</v>
      </c>
      <c r="L1027" s="65"/>
      <c r="M1027" s="62" t="s">
        <v>825</v>
      </c>
      <c r="N1027" s="62" t="s">
        <v>370</v>
      </c>
      <c r="O1027" s="62" t="s">
        <v>371</v>
      </c>
      <c r="P1027" s="62" t="s">
        <v>2421</v>
      </c>
      <c r="Q1027" s="66" t="s">
        <v>1976</v>
      </c>
    </row>
    <row r="1028" spans="1:17" x14ac:dyDescent="0.3">
      <c r="A1028" s="61" t="s">
        <v>2139</v>
      </c>
      <c r="B1028" s="62" t="s">
        <v>1200</v>
      </c>
      <c r="C1028" s="62" t="s">
        <v>1201</v>
      </c>
      <c r="D1028" s="63">
        <v>45434</v>
      </c>
      <c r="E1028" s="63">
        <v>46348</v>
      </c>
      <c r="F1028" s="62" t="s">
        <v>289</v>
      </c>
      <c r="G1028" s="62" t="s">
        <v>594</v>
      </c>
      <c r="H1028" s="62" t="s">
        <v>467</v>
      </c>
      <c r="I1028" s="64">
        <v>10834.9666666667</v>
      </c>
      <c r="J1028" s="62" t="s">
        <v>468</v>
      </c>
      <c r="K1028" s="62" t="s">
        <v>467</v>
      </c>
      <c r="L1028" s="65"/>
      <c r="M1028" s="62" t="s">
        <v>825</v>
      </c>
      <c r="N1028" s="62" t="s">
        <v>370</v>
      </c>
      <c r="O1028" s="62" t="s">
        <v>371</v>
      </c>
      <c r="P1028" s="62" t="s">
        <v>2421</v>
      </c>
      <c r="Q1028" s="66" t="s">
        <v>1976</v>
      </c>
    </row>
    <row r="1029" spans="1:17" x14ac:dyDescent="0.3">
      <c r="A1029" s="61" t="s">
        <v>2139</v>
      </c>
      <c r="B1029" s="62" t="s">
        <v>1200</v>
      </c>
      <c r="C1029" s="62" t="s">
        <v>1201</v>
      </c>
      <c r="D1029" s="63">
        <v>45434</v>
      </c>
      <c r="E1029" s="63">
        <v>46348</v>
      </c>
      <c r="F1029" s="62" t="s">
        <v>289</v>
      </c>
      <c r="G1029" s="62" t="s">
        <v>576</v>
      </c>
      <c r="H1029" s="62" t="s">
        <v>467</v>
      </c>
      <c r="I1029" s="64">
        <v>10834.9666666667</v>
      </c>
      <c r="J1029" s="62" t="s">
        <v>468</v>
      </c>
      <c r="K1029" s="62" t="s">
        <v>467</v>
      </c>
      <c r="L1029" s="65"/>
      <c r="M1029" s="62" t="s">
        <v>825</v>
      </c>
      <c r="N1029" s="62" t="s">
        <v>370</v>
      </c>
      <c r="O1029" s="62" t="s">
        <v>371</v>
      </c>
      <c r="P1029" s="62" t="s">
        <v>2421</v>
      </c>
      <c r="Q1029" s="66" t="s">
        <v>1976</v>
      </c>
    </row>
    <row r="1030" spans="1:17" x14ac:dyDescent="0.3">
      <c r="A1030" s="61" t="s">
        <v>2139</v>
      </c>
      <c r="B1030" s="62" t="s">
        <v>1200</v>
      </c>
      <c r="C1030" s="62" t="s">
        <v>1201</v>
      </c>
      <c r="D1030" s="63">
        <v>45434</v>
      </c>
      <c r="E1030" s="63">
        <v>46348</v>
      </c>
      <c r="F1030" s="62" t="s">
        <v>287</v>
      </c>
      <c r="G1030" s="62" t="s">
        <v>589</v>
      </c>
      <c r="H1030" s="62" t="s">
        <v>467</v>
      </c>
      <c r="I1030" s="64">
        <v>10834.9666666667</v>
      </c>
      <c r="J1030" s="62" t="s">
        <v>468</v>
      </c>
      <c r="K1030" s="62" t="s">
        <v>467</v>
      </c>
      <c r="L1030" s="65"/>
      <c r="M1030" s="62" t="s">
        <v>825</v>
      </c>
      <c r="N1030" s="62" t="s">
        <v>370</v>
      </c>
      <c r="O1030" s="62" t="s">
        <v>371</v>
      </c>
      <c r="P1030" s="62" t="s">
        <v>2421</v>
      </c>
      <c r="Q1030" s="66" t="s">
        <v>1976</v>
      </c>
    </row>
    <row r="1031" spans="1:17" x14ac:dyDescent="0.3">
      <c r="A1031" s="61" t="s">
        <v>2139</v>
      </c>
      <c r="B1031" s="62" t="s">
        <v>1200</v>
      </c>
      <c r="C1031" s="62" t="s">
        <v>1201</v>
      </c>
      <c r="D1031" s="63">
        <v>45434</v>
      </c>
      <c r="E1031" s="63">
        <v>46348</v>
      </c>
      <c r="F1031" s="62" t="s">
        <v>287</v>
      </c>
      <c r="G1031" s="62" t="s">
        <v>768</v>
      </c>
      <c r="H1031" s="62" t="s">
        <v>467</v>
      </c>
      <c r="I1031" s="64">
        <v>10834.9666666667</v>
      </c>
      <c r="J1031" s="62" t="s">
        <v>468</v>
      </c>
      <c r="K1031" s="62" t="s">
        <v>467</v>
      </c>
      <c r="L1031" s="65"/>
      <c r="M1031" s="62" t="s">
        <v>825</v>
      </c>
      <c r="N1031" s="62" t="s">
        <v>370</v>
      </c>
      <c r="O1031" s="62" t="s">
        <v>371</v>
      </c>
      <c r="P1031" s="62" t="s">
        <v>2421</v>
      </c>
      <c r="Q1031" s="66" t="s">
        <v>1976</v>
      </c>
    </row>
    <row r="1032" spans="1:17" x14ac:dyDescent="0.3">
      <c r="A1032" s="61" t="s">
        <v>2139</v>
      </c>
      <c r="B1032" s="62" t="s">
        <v>1200</v>
      </c>
      <c r="C1032" s="62" t="s">
        <v>1201</v>
      </c>
      <c r="D1032" s="63">
        <v>45434</v>
      </c>
      <c r="E1032" s="63">
        <v>46348</v>
      </c>
      <c r="F1032" s="62" t="s">
        <v>287</v>
      </c>
      <c r="G1032" s="62" t="s">
        <v>1083</v>
      </c>
      <c r="H1032" s="62" t="s">
        <v>467</v>
      </c>
      <c r="I1032" s="64">
        <v>10834.9666666667</v>
      </c>
      <c r="J1032" s="62" t="s">
        <v>468</v>
      </c>
      <c r="K1032" s="62" t="s">
        <v>467</v>
      </c>
      <c r="L1032" s="65"/>
      <c r="M1032" s="62" t="s">
        <v>825</v>
      </c>
      <c r="N1032" s="62" t="s">
        <v>370</v>
      </c>
      <c r="O1032" s="62" t="s">
        <v>371</v>
      </c>
      <c r="P1032" s="62" t="s">
        <v>2421</v>
      </c>
      <c r="Q1032" s="66" t="s">
        <v>1976</v>
      </c>
    </row>
    <row r="1033" spans="1:17" x14ac:dyDescent="0.3">
      <c r="A1033" s="61" t="s">
        <v>2139</v>
      </c>
      <c r="B1033" s="62" t="s">
        <v>1200</v>
      </c>
      <c r="C1033" s="62" t="s">
        <v>1201</v>
      </c>
      <c r="D1033" s="63">
        <v>45434</v>
      </c>
      <c r="E1033" s="63">
        <v>46348</v>
      </c>
      <c r="F1033" s="62" t="s">
        <v>287</v>
      </c>
      <c r="G1033" s="62" t="s">
        <v>394</v>
      </c>
      <c r="H1033" s="62" t="s">
        <v>467</v>
      </c>
      <c r="I1033" s="64">
        <v>10834.9666666667</v>
      </c>
      <c r="J1033" s="62" t="s">
        <v>468</v>
      </c>
      <c r="K1033" s="62" t="s">
        <v>467</v>
      </c>
      <c r="L1033" s="65"/>
      <c r="M1033" s="62" t="s">
        <v>825</v>
      </c>
      <c r="N1033" s="62" t="s">
        <v>370</v>
      </c>
      <c r="O1033" s="62" t="s">
        <v>371</v>
      </c>
      <c r="P1033" s="62" t="s">
        <v>2421</v>
      </c>
      <c r="Q1033" s="66" t="s">
        <v>1976</v>
      </c>
    </row>
    <row r="1034" spans="1:17" x14ac:dyDescent="0.3">
      <c r="A1034" s="61" t="s">
        <v>2139</v>
      </c>
      <c r="B1034" s="62" t="s">
        <v>1200</v>
      </c>
      <c r="C1034" s="62" t="s">
        <v>1201</v>
      </c>
      <c r="D1034" s="63">
        <v>45434</v>
      </c>
      <c r="E1034" s="63">
        <v>46348</v>
      </c>
      <c r="F1034" s="62" t="s">
        <v>287</v>
      </c>
      <c r="G1034" s="62" t="s">
        <v>593</v>
      </c>
      <c r="H1034" s="62" t="s">
        <v>467</v>
      </c>
      <c r="I1034" s="64">
        <v>10834.9666666667</v>
      </c>
      <c r="J1034" s="62" t="s">
        <v>468</v>
      </c>
      <c r="K1034" s="62" t="s">
        <v>467</v>
      </c>
      <c r="L1034" s="65"/>
      <c r="M1034" s="62" t="s">
        <v>825</v>
      </c>
      <c r="N1034" s="62" t="s">
        <v>370</v>
      </c>
      <c r="O1034" s="62" t="s">
        <v>371</v>
      </c>
      <c r="P1034" s="62" t="s">
        <v>2421</v>
      </c>
      <c r="Q1034" s="66" t="s">
        <v>1976</v>
      </c>
    </row>
    <row r="1035" spans="1:17" x14ac:dyDescent="0.3">
      <c r="A1035" s="61" t="s">
        <v>2139</v>
      </c>
      <c r="B1035" s="62" t="s">
        <v>1200</v>
      </c>
      <c r="C1035" s="62" t="s">
        <v>1201</v>
      </c>
      <c r="D1035" s="63">
        <v>45434</v>
      </c>
      <c r="E1035" s="63">
        <v>46348</v>
      </c>
      <c r="F1035" s="62" t="s">
        <v>287</v>
      </c>
      <c r="G1035" s="62" t="s">
        <v>396</v>
      </c>
      <c r="H1035" s="62" t="s">
        <v>467</v>
      </c>
      <c r="I1035" s="64">
        <v>10834.9666666667</v>
      </c>
      <c r="J1035" s="62" t="s">
        <v>468</v>
      </c>
      <c r="K1035" s="62" t="s">
        <v>467</v>
      </c>
      <c r="L1035" s="65"/>
      <c r="M1035" s="62" t="s">
        <v>825</v>
      </c>
      <c r="N1035" s="62" t="s">
        <v>370</v>
      </c>
      <c r="O1035" s="62" t="s">
        <v>371</v>
      </c>
      <c r="P1035" s="62" t="s">
        <v>2421</v>
      </c>
      <c r="Q1035" s="66" t="s">
        <v>1976</v>
      </c>
    </row>
    <row r="1036" spans="1:17" x14ac:dyDescent="0.3">
      <c r="A1036" s="61" t="s">
        <v>2139</v>
      </c>
      <c r="B1036" s="62" t="s">
        <v>1200</v>
      </c>
      <c r="C1036" s="62" t="s">
        <v>1201</v>
      </c>
      <c r="D1036" s="63">
        <v>45434</v>
      </c>
      <c r="E1036" s="63">
        <v>46348</v>
      </c>
      <c r="F1036" s="62" t="s">
        <v>1940</v>
      </c>
      <c r="G1036" s="62" t="s">
        <v>451</v>
      </c>
      <c r="H1036" s="62" t="s">
        <v>467</v>
      </c>
      <c r="I1036" s="64">
        <v>65009.8</v>
      </c>
      <c r="J1036" s="62" t="s">
        <v>468</v>
      </c>
      <c r="K1036" s="62" t="s">
        <v>467</v>
      </c>
      <c r="L1036" s="65"/>
      <c r="M1036" s="62" t="s">
        <v>825</v>
      </c>
      <c r="N1036" s="62" t="s">
        <v>370</v>
      </c>
      <c r="O1036" s="62" t="s">
        <v>371</v>
      </c>
      <c r="P1036" s="62" t="s">
        <v>2421</v>
      </c>
      <c r="Q1036" s="66" t="s">
        <v>1976</v>
      </c>
    </row>
    <row r="1037" spans="1:17" x14ac:dyDescent="0.3">
      <c r="A1037" s="61" t="s">
        <v>2139</v>
      </c>
      <c r="B1037" s="62" t="s">
        <v>1200</v>
      </c>
      <c r="C1037" s="62" t="s">
        <v>1201</v>
      </c>
      <c r="D1037" s="63">
        <v>45434</v>
      </c>
      <c r="E1037" s="63">
        <v>46348</v>
      </c>
      <c r="F1037" s="62" t="s">
        <v>348</v>
      </c>
      <c r="G1037" s="62" t="s">
        <v>348</v>
      </c>
      <c r="H1037" s="62" t="s">
        <v>467</v>
      </c>
      <c r="I1037" s="64">
        <v>65009.8</v>
      </c>
      <c r="J1037" s="62" t="s">
        <v>468</v>
      </c>
      <c r="K1037" s="62" t="s">
        <v>467</v>
      </c>
      <c r="L1037" s="65"/>
      <c r="M1037" s="62" t="s">
        <v>825</v>
      </c>
      <c r="N1037" s="62" t="s">
        <v>370</v>
      </c>
      <c r="O1037" s="62" t="s">
        <v>371</v>
      </c>
      <c r="P1037" s="62" t="s">
        <v>2421</v>
      </c>
      <c r="Q1037" s="66" t="s">
        <v>1976</v>
      </c>
    </row>
    <row r="1038" spans="1:17" x14ac:dyDescent="0.3">
      <c r="A1038" s="61" t="s">
        <v>2140</v>
      </c>
      <c r="B1038" s="62" t="s">
        <v>1203</v>
      </c>
      <c r="C1038" s="62" t="s">
        <v>1204</v>
      </c>
      <c r="D1038" s="63">
        <v>45471</v>
      </c>
      <c r="E1038" s="63">
        <v>46081</v>
      </c>
      <c r="F1038" s="62" t="s">
        <v>1922</v>
      </c>
      <c r="G1038" s="62" t="s">
        <v>304</v>
      </c>
      <c r="H1038" s="62" t="s">
        <v>373</v>
      </c>
      <c r="I1038" s="64">
        <v>714597</v>
      </c>
      <c r="J1038" s="62" t="s">
        <v>373</v>
      </c>
      <c r="K1038" s="62" t="s">
        <v>1693</v>
      </c>
      <c r="L1038" s="65"/>
      <c r="M1038" s="62" t="s">
        <v>825</v>
      </c>
      <c r="N1038" s="62" t="s">
        <v>370</v>
      </c>
      <c r="O1038" s="62" t="s">
        <v>371</v>
      </c>
      <c r="P1038" s="62" t="s">
        <v>2421</v>
      </c>
      <c r="Q1038" s="66" t="s">
        <v>1976</v>
      </c>
    </row>
    <row r="1039" spans="1:17" x14ac:dyDescent="0.3">
      <c r="A1039" s="61" t="s">
        <v>2140</v>
      </c>
      <c r="B1039" s="62" t="s">
        <v>1203</v>
      </c>
      <c r="C1039" s="62" t="s">
        <v>1204</v>
      </c>
      <c r="D1039" s="63">
        <v>45471</v>
      </c>
      <c r="E1039" s="63">
        <v>46081</v>
      </c>
      <c r="F1039" s="62" t="s">
        <v>1934</v>
      </c>
      <c r="G1039" s="62" t="s">
        <v>304</v>
      </c>
      <c r="H1039" s="62" t="s">
        <v>373</v>
      </c>
      <c r="I1039" s="64">
        <v>714597</v>
      </c>
      <c r="J1039" s="62" t="s">
        <v>373</v>
      </c>
      <c r="K1039" s="62" t="s">
        <v>1693</v>
      </c>
      <c r="L1039" s="65"/>
      <c r="M1039" s="62" t="s">
        <v>825</v>
      </c>
      <c r="N1039" s="62" t="s">
        <v>370</v>
      </c>
      <c r="O1039" s="62" t="s">
        <v>371</v>
      </c>
      <c r="P1039" s="62" t="s">
        <v>2421</v>
      </c>
      <c r="Q1039" s="66" t="s">
        <v>1976</v>
      </c>
    </row>
    <row r="1040" spans="1:17" x14ac:dyDescent="0.3">
      <c r="A1040" s="61" t="s">
        <v>2140</v>
      </c>
      <c r="B1040" s="62" t="s">
        <v>1203</v>
      </c>
      <c r="C1040" s="62" t="s">
        <v>1204</v>
      </c>
      <c r="D1040" s="63">
        <v>45471</v>
      </c>
      <c r="E1040" s="63">
        <v>46081</v>
      </c>
      <c r="F1040" s="62" t="s">
        <v>1941</v>
      </c>
      <c r="G1040" s="62" t="s">
        <v>304</v>
      </c>
      <c r="H1040" s="62" t="s">
        <v>373</v>
      </c>
      <c r="I1040" s="64">
        <v>714597</v>
      </c>
      <c r="J1040" s="62" t="s">
        <v>373</v>
      </c>
      <c r="K1040" s="62" t="s">
        <v>1693</v>
      </c>
      <c r="L1040" s="65"/>
      <c r="M1040" s="62" t="s">
        <v>825</v>
      </c>
      <c r="N1040" s="62" t="s">
        <v>370</v>
      </c>
      <c r="O1040" s="62" t="s">
        <v>371</v>
      </c>
      <c r="P1040" s="62" t="s">
        <v>2421</v>
      </c>
      <c r="Q1040" s="66" t="s">
        <v>1976</v>
      </c>
    </row>
    <row r="1041" spans="1:17" x14ac:dyDescent="0.3">
      <c r="A1041" s="61" t="s">
        <v>2141</v>
      </c>
      <c r="B1041" s="62" t="s">
        <v>1205</v>
      </c>
      <c r="C1041" s="62" t="s">
        <v>1206</v>
      </c>
      <c r="D1041" s="63">
        <v>45432</v>
      </c>
      <c r="E1041" s="63">
        <v>46346</v>
      </c>
      <c r="F1041" s="62" t="s">
        <v>350</v>
      </c>
      <c r="G1041" s="62" t="s">
        <v>350</v>
      </c>
      <c r="H1041" s="62" t="s">
        <v>467</v>
      </c>
      <c r="I1041" s="64">
        <v>543299</v>
      </c>
      <c r="J1041" s="62" t="s">
        <v>468</v>
      </c>
      <c r="K1041" s="62" t="s">
        <v>467</v>
      </c>
      <c r="L1041" s="65"/>
      <c r="M1041" s="62" t="s">
        <v>825</v>
      </c>
      <c r="N1041" s="62" t="s">
        <v>374</v>
      </c>
      <c r="O1041" s="62" t="s">
        <v>375</v>
      </c>
      <c r="P1041" s="62" t="s">
        <v>2421</v>
      </c>
      <c r="Q1041" s="66" t="s">
        <v>1972</v>
      </c>
    </row>
    <row r="1042" spans="1:17" x14ac:dyDescent="0.3">
      <c r="A1042" s="61" t="s">
        <v>2141</v>
      </c>
      <c r="B1042" s="62" t="s">
        <v>1205</v>
      </c>
      <c r="C1042" s="62" t="s">
        <v>1206</v>
      </c>
      <c r="D1042" s="63">
        <v>45432</v>
      </c>
      <c r="E1042" s="63">
        <v>46346</v>
      </c>
      <c r="F1042" s="62" t="s">
        <v>350</v>
      </c>
      <c r="G1042" s="62" t="s">
        <v>350</v>
      </c>
      <c r="H1042" s="62" t="s">
        <v>2427</v>
      </c>
      <c r="I1042" s="64">
        <v>32205</v>
      </c>
      <c r="J1042" s="62" t="s">
        <v>2475</v>
      </c>
      <c r="K1042" s="62" t="s">
        <v>467</v>
      </c>
      <c r="L1042" s="65"/>
      <c r="M1042" s="62" t="s">
        <v>825</v>
      </c>
      <c r="N1042" s="62" t="s">
        <v>374</v>
      </c>
      <c r="O1042" s="62" t="s">
        <v>375</v>
      </c>
      <c r="P1042" s="62" t="s">
        <v>2421</v>
      </c>
      <c r="Q1042" s="66" t="s">
        <v>1972</v>
      </c>
    </row>
    <row r="1043" spans="1:17" x14ac:dyDescent="0.3">
      <c r="A1043" s="61" t="s">
        <v>2142</v>
      </c>
      <c r="B1043" s="62" t="s">
        <v>1209</v>
      </c>
      <c r="C1043" s="62" t="s">
        <v>1210</v>
      </c>
      <c r="D1043" s="63">
        <v>45292</v>
      </c>
      <c r="E1043" s="63">
        <v>46142</v>
      </c>
      <c r="F1043" s="62" t="s">
        <v>350</v>
      </c>
      <c r="G1043" s="62" t="s">
        <v>350</v>
      </c>
      <c r="H1043" s="62" t="s">
        <v>373</v>
      </c>
      <c r="I1043" s="64">
        <v>1546723</v>
      </c>
      <c r="J1043" s="62" t="s">
        <v>373</v>
      </c>
      <c r="K1043" s="62" t="s">
        <v>1693</v>
      </c>
      <c r="L1043" s="65"/>
      <c r="M1043" s="62" t="s">
        <v>825</v>
      </c>
      <c r="N1043" s="62" t="s">
        <v>355</v>
      </c>
      <c r="O1043" s="62" t="s">
        <v>309</v>
      </c>
      <c r="P1043" s="62" t="s">
        <v>2421</v>
      </c>
      <c r="Q1043" s="66" t="s">
        <v>1972</v>
      </c>
    </row>
    <row r="1044" spans="1:17" x14ac:dyDescent="0.3">
      <c r="A1044" s="61" t="s">
        <v>2143</v>
      </c>
      <c r="B1044" s="62" t="s">
        <v>1211</v>
      </c>
      <c r="C1044" s="62" t="s">
        <v>1212</v>
      </c>
      <c r="D1044" s="63">
        <v>45432</v>
      </c>
      <c r="E1044" s="63">
        <v>46387</v>
      </c>
      <c r="F1044" s="62" t="s">
        <v>348</v>
      </c>
      <c r="G1044" s="62" t="s">
        <v>348</v>
      </c>
      <c r="H1044" s="62" t="s">
        <v>351</v>
      </c>
      <c r="I1044" s="64">
        <v>3143274.75</v>
      </c>
      <c r="J1044" s="62" t="s">
        <v>1213</v>
      </c>
      <c r="K1044" s="62" t="s">
        <v>351</v>
      </c>
      <c r="L1044" s="65"/>
      <c r="M1044" s="62" t="s">
        <v>1518</v>
      </c>
      <c r="N1044" s="62" t="s">
        <v>458</v>
      </c>
      <c r="O1044" s="62" t="s">
        <v>459</v>
      </c>
      <c r="P1044" s="62" t="s">
        <v>2421</v>
      </c>
      <c r="Q1044" s="66" t="s">
        <v>1971</v>
      </c>
    </row>
    <row r="1045" spans="1:17" x14ac:dyDescent="0.3">
      <c r="A1045" s="61" t="s">
        <v>2143</v>
      </c>
      <c r="B1045" s="62" t="s">
        <v>1211</v>
      </c>
      <c r="C1045" s="62" t="s">
        <v>1212</v>
      </c>
      <c r="D1045" s="63">
        <v>45432</v>
      </c>
      <c r="E1045" s="63">
        <v>46387</v>
      </c>
      <c r="F1045" s="62" t="s">
        <v>1934</v>
      </c>
      <c r="G1045" s="62" t="s">
        <v>497</v>
      </c>
      <c r="H1045" s="62" t="s">
        <v>351</v>
      </c>
      <c r="I1045" s="64">
        <v>3143274.75</v>
      </c>
      <c r="J1045" s="62" t="s">
        <v>1213</v>
      </c>
      <c r="K1045" s="62" t="s">
        <v>351</v>
      </c>
      <c r="L1045" s="65"/>
      <c r="M1045" s="62" t="s">
        <v>1518</v>
      </c>
      <c r="N1045" s="62" t="s">
        <v>458</v>
      </c>
      <c r="O1045" s="62" t="s">
        <v>459</v>
      </c>
      <c r="P1045" s="62" t="s">
        <v>2421</v>
      </c>
      <c r="Q1045" s="66" t="s">
        <v>1971</v>
      </c>
    </row>
    <row r="1046" spans="1:17" x14ac:dyDescent="0.3">
      <c r="A1046" s="61" t="s">
        <v>2143</v>
      </c>
      <c r="B1046" s="62" t="s">
        <v>1211</v>
      </c>
      <c r="C1046" s="62" t="s">
        <v>1212</v>
      </c>
      <c r="D1046" s="63">
        <v>45432</v>
      </c>
      <c r="E1046" s="63">
        <v>46387</v>
      </c>
      <c r="F1046" s="62" t="s">
        <v>1938</v>
      </c>
      <c r="G1046" s="62" t="s">
        <v>304</v>
      </c>
      <c r="H1046" s="62" t="s">
        <v>351</v>
      </c>
      <c r="I1046" s="64">
        <v>3143274.75</v>
      </c>
      <c r="J1046" s="62" t="s">
        <v>1213</v>
      </c>
      <c r="K1046" s="62" t="s">
        <v>351</v>
      </c>
      <c r="L1046" s="65"/>
      <c r="M1046" s="62" t="s">
        <v>1518</v>
      </c>
      <c r="N1046" s="62" t="s">
        <v>458</v>
      </c>
      <c r="O1046" s="62" t="s">
        <v>459</v>
      </c>
      <c r="P1046" s="62" t="s">
        <v>2421</v>
      </c>
      <c r="Q1046" s="66" t="s">
        <v>1971</v>
      </c>
    </row>
    <row r="1047" spans="1:17" x14ac:dyDescent="0.3">
      <c r="A1047" s="61" t="s">
        <v>2143</v>
      </c>
      <c r="B1047" s="62" t="s">
        <v>1211</v>
      </c>
      <c r="C1047" s="62" t="s">
        <v>1212</v>
      </c>
      <c r="D1047" s="63">
        <v>45432</v>
      </c>
      <c r="E1047" s="63">
        <v>46387</v>
      </c>
      <c r="F1047" s="62" t="s">
        <v>1941</v>
      </c>
      <c r="G1047" s="62" t="s">
        <v>304</v>
      </c>
      <c r="H1047" s="62" t="s">
        <v>351</v>
      </c>
      <c r="I1047" s="64">
        <v>3143274.75</v>
      </c>
      <c r="J1047" s="62" t="s">
        <v>1213</v>
      </c>
      <c r="K1047" s="62" t="s">
        <v>351</v>
      </c>
      <c r="L1047" s="65"/>
      <c r="M1047" s="62" t="s">
        <v>1518</v>
      </c>
      <c r="N1047" s="62" t="s">
        <v>458</v>
      </c>
      <c r="O1047" s="62" t="s">
        <v>459</v>
      </c>
      <c r="P1047" s="62" t="s">
        <v>2421</v>
      </c>
      <c r="Q1047" s="66" t="s">
        <v>1971</v>
      </c>
    </row>
    <row r="1048" spans="1:17" x14ac:dyDescent="0.3">
      <c r="A1048" s="61" t="s">
        <v>2144</v>
      </c>
      <c r="B1048" s="62" t="s">
        <v>1214</v>
      </c>
      <c r="C1048" s="62" t="s">
        <v>1215</v>
      </c>
      <c r="D1048" s="63">
        <v>45251</v>
      </c>
      <c r="E1048" s="63">
        <v>46163</v>
      </c>
      <c r="F1048" s="62" t="s">
        <v>1921</v>
      </c>
      <c r="G1048" s="62" t="s">
        <v>620</v>
      </c>
      <c r="H1048" s="62" t="s">
        <v>467</v>
      </c>
      <c r="I1048" s="64">
        <v>40647.333333333299</v>
      </c>
      <c r="J1048" s="62" t="s">
        <v>999</v>
      </c>
      <c r="K1048" s="62" t="s">
        <v>467</v>
      </c>
      <c r="L1048" s="65"/>
      <c r="M1048" s="62" t="s">
        <v>825</v>
      </c>
      <c r="N1048" s="62" t="s">
        <v>639</v>
      </c>
      <c r="O1048" s="62" t="s">
        <v>371</v>
      </c>
      <c r="P1048" s="62" t="s">
        <v>2421</v>
      </c>
      <c r="Q1048" s="66" t="s">
        <v>2021</v>
      </c>
    </row>
    <row r="1049" spans="1:17" x14ac:dyDescent="0.3">
      <c r="A1049" s="61" t="s">
        <v>2144</v>
      </c>
      <c r="B1049" s="62" t="s">
        <v>1214</v>
      </c>
      <c r="C1049" s="62" t="s">
        <v>1215</v>
      </c>
      <c r="D1049" s="63">
        <v>45251</v>
      </c>
      <c r="E1049" s="63">
        <v>46163</v>
      </c>
      <c r="F1049" s="62" t="s">
        <v>1921</v>
      </c>
      <c r="G1049" s="62" t="s">
        <v>484</v>
      </c>
      <c r="H1049" s="62" t="s">
        <v>467</v>
      </c>
      <c r="I1049" s="64">
        <v>40647.333333333299</v>
      </c>
      <c r="J1049" s="62" t="s">
        <v>999</v>
      </c>
      <c r="K1049" s="62" t="s">
        <v>467</v>
      </c>
      <c r="L1049" s="65"/>
      <c r="M1049" s="62" t="s">
        <v>825</v>
      </c>
      <c r="N1049" s="62" t="s">
        <v>639</v>
      </c>
      <c r="O1049" s="62" t="s">
        <v>371</v>
      </c>
      <c r="P1049" s="62" t="s">
        <v>2421</v>
      </c>
      <c r="Q1049" s="66" t="s">
        <v>2021</v>
      </c>
    </row>
    <row r="1050" spans="1:17" x14ac:dyDescent="0.3">
      <c r="A1050" s="61" t="s">
        <v>2144</v>
      </c>
      <c r="B1050" s="62" t="s">
        <v>1214</v>
      </c>
      <c r="C1050" s="62" t="s">
        <v>1215</v>
      </c>
      <c r="D1050" s="63">
        <v>45251</v>
      </c>
      <c r="E1050" s="63">
        <v>46163</v>
      </c>
      <c r="F1050" s="62" t="s">
        <v>1921</v>
      </c>
      <c r="G1050" s="62" t="s">
        <v>487</v>
      </c>
      <c r="H1050" s="62" t="s">
        <v>467</v>
      </c>
      <c r="I1050" s="64">
        <v>40647.333333333299</v>
      </c>
      <c r="J1050" s="62" t="s">
        <v>999</v>
      </c>
      <c r="K1050" s="62" t="s">
        <v>467</v>
      </c>
      <c r="L1050" s="65"/>
      <c r="M1050" s="62" t="s">
        <v>825</v>
      </c>
      <c r="N1050" s="62" t="s">
        <v>639</v>
      </c>
      <c r="O1050" s="62" t="s">
        <v>371</v>
      </c>
      <c r="P1050" s="62" t="s">
        <v>2421</v>
      </c>
      <c r="Q1050" s="66" t="s">
        <v>2021</v>
      </c>
    </row>
    <row r="1051" spans="1:17" x14ac:dyDescent="0.3">
      <c r="A1051" s="61" t="s">
        <v>2144</v>
      </c>
      <c r="B1051" s="62" t="s">
        <v>1214</v>
      </c>
      <c r="C1051" s="62" t="s">
        <v>1215</v>
      </c>
      <c r="D1051" s="63">
        <v>45251</v>
      </c>
      <c r="E1051" s="63">
        <v>46163</v>
      </c>
      <c r="F1051" s="62" t="s">
        <v>1940</v>
      </c>
      <c r="G1051" s="62" t="s">
        <v>561</v>
      </c>
      <c r="H1051" s="62" t="s">
        <v>467</v>
      </c>
      <c r="I1051" s="64">
        <v>60971</v>
      </c>
      <c r="J1051" s="62" t="s">
        <v>999</v>
      </c>
      <c r="K1051" s="62" t="s">
        <v>467</v>
      </c>
      <c r="L1051" s="65"/>
      <c r="M1051" s="62" t="s">
        <v>825</v>
      </c>
      <c r="N1051" s="62" t="s">
        <v>639</v>
      </c>
      <c r="O1051" s="62" t="s">
        <v>371</v>
      </c>
      <c r="P1051" s="62" t="s">
        <v>2421</v>
      </c>
      <c r="Q1051" s="66" t="s">
        <v>2021</v>
      </c>
    </row>
    <row r="1052" spans="1:17" x14ac:dyDescent="0.3">
      <c r="A1052" s="61" t="s">
        <v>2144</v>
      </c>
      <c r="B1052" s="62" t="s">
        <v>1214</v>
      </c>
      <c r="C1052" s="62" t="s">
        <v>1215</v>
      </c>
      <c r="D1052" s="63">
        <v>45251</v>
      </c>
      <c r="E1052" s="63">
        <v>46163</v>
      </c>
      <c r="F1052" s="62" t="s">
        <v>1940</v>
      </c>
      <c r="G1052" s="62" t="s">
        <v>451</v>
      </c>
      <c r="H1052" s="62" t="s">
        <v>467</v>
      </c>
      <c r="I1052" s="64">
        <v>60971</v>
      </c>
      <c r="J1052" s="62" t="s">
        <v>999</v>
      </c>
      <c r="K1052" s="62" t="s">
        <v>467</v>
      </c>
      <c r="L1052" s="65"/>
      <c r="M1052" s="62" t="s">
        <v>825</v>
      </c>
      <c r="N1052" s="62" t="s">
        <v>639</v>
      </c>
      <c r="O1052" s="62" t="s">
        <v>371</v>
      </c>
      <c r="P1052" s="62" t="s">
        <v>2421</v>
      </c>
      <c r="Q1052" s="66" t="s">
        <v>2021</v>
      </c>
    </row>
    <row r="1053" spans="1:17" x14ac:dyDescent="0.3">
      <c r="A1053" s="61" t="s">
        <v>2145</v>
      </c>
      <c r="B1053" s="62" t="s">
        <v>1216</v>
      </c>
      <c r="C1053" s="62" t="s">
        <v>1217</v>
      </c>
      <c r="D1053" s="63">
        <v>44883</v>
      </c>
      <c r="E1053" s="63">
        <v>46341</v>
      </c>
      <c r="F1053" s="62" t="s">
        <v>1934</v>
      </c>
      <c r="G1053" s="62" t="s">
        <v>618</v>
      </c>
      <c r="H1053" s="62" t="s">
        <v>345</v>
      </c>
      <c r="I1053" s="64">
        <v>121699.66666666701</v>
      </c>
      <c r="J1053" s="62" t="s">
        <v>441</v>
      </c>
      <c r="K1053" s="62" t="s">
        <v>345</v>
      </c>
      <c r="L1053" s="65"/>
      <c r="M1053" s="62" t="s">
        <v>356</v>
      </c>
      <c r="N1053" s="62" t="s">
        <v>1218</v>
      </c>
      <c r="O1053" s="62" t="s">
        <v>596</v>
      </c>
      <c r="P1053" s="62" t="s">
        <v>2421</v>
      </c>
      <c r="Q1053" s="66" t="s">
        <v>2021</v>
      </c>
    </row>
    <row r="1054" spans="1:17" x14ac:dyDescent="0.3">
      <c r="A1054" s="61" t="s">
        <v>2145</v>
      </c>
      <c r="B1054" s="62" t="s">
        <v>1216</v>
      </c>
      <c r="C1054" s="62" t="s">
        <v>1217</v>
      </c>
      <c r="D1054" s="63">
        <v>44883</v>
      </c>
      <c r="E1054" s="63">
        <v>46341</v>
      </c>
      <c r="F1054" s="62" t="s">
        <v>1934</v>
      </c>
      <c r="G1054" s="62" t="s">
        <v>727</v>
      </c>
      <c r="H1054" s="62" t="s">
        <v>345</v>
      </c>
      <c r="I1054" s="64">
        <v>121699.66666666701</v>
      </c>
      <c r="J1054" s="62" t="s">
        <v>441</v>
      </c>
      <c r="K1054" s="62" t="s">
        <v>345</v>
      </c>
      <c r="L1054" s="65"/>
      <c r="M1054" s="62" t="s">
        <v>356</v>
      </c>
      <c r="N1054" s="62" t="s">
        <v>1218</v>
      </c>
      <c r="O1054" s="62" t="s">
        <v>596</v>
      </c>
      <c r="P1054" s="62" t="s">
        <v>2421</v>
      </c>
      <c r="Q1054" s="66" t="s">
        <v>2021</v>
      </c>
    </row>
    <row r="1055" spans="1:17" x14ac:dyDescent="0.3">
      <c r="A1055" s="61" t="s">
        <v>2145</v>
      </c>
      <c r="B1055" s="62" t="s">
        <v>1216</v>
      </c>
      <c r="C1055" s="62" t="s">
        <v>1217</v>
      </c>
      <c r="D1055" s="63">
        <v>44883</v>
      </c>
      <c r="E1055" s="63">
        <v>46341</v>
      </c>
      <c r="F1055" s="62" t="s">
        <v>1934</v>
      </c>
      <c r="G1055" s="62" t="s">
        <v>497</v>
      </c>
      <c r="H1055" s="62" t="s">
        <v>345</v>
      </c>
      <c r="I1055" s="64">
        <v>121699.66666666701</v>
      </c>
      <c r="J1055" s="62" t="s">
        <v>441</v>
      </c>
      <c r="K1055" s="62" t="s">
        <v>345</v>
      </c>
      <c r="L1055" s="65"/>
      <c r="M1055" s="62" t="s">
        <v>356</v>
      </c>
      <c r="N1055" s="62" t="s">
        <v>1218</v>
      </c>
      <c r="O1055" s="62" t="s">
        <v>596</v>
      </c>
      <c r="P1055" s="62" t="s">
        <v>2421</v>
      </c>
      <c r="Q1055" s="66" t="s">
        <v>2021</v>
      </c>
    </row>
    <row r="1056" spans="1:17" x14ac:dyDescent="0.3">
      <c r="A1056" s="61" t="s">
        <v>2145</v>
      </c>
      <c r="B1056" s="62" t="s">
        <v>1216</v>
      </c>
      <c r="C1056" s="62" t="s">
        <v>1217</v>
      </c>
      <c r="D1056" s="63">
        <v>44883</v>
      </c>
      <c r="E1056" s="63">
        <v>46341</v>
      </c>
      <c r="F1056" s="62" t="s">
        <v>1934</v>
      </c>
      <c r="G1056" s="62" t="s">
        <v>523</v>
      </c>
      <c r="H1056" s="62" t="s">
        <v>345</v>
      </c>
      <c r="I1056" s="64">
        <v>121699.66666666701</v>
      </c>
      <c r="J1056" s="62" t="s">
        <v>441</v>
      </c>
      <c r="K1056" s="62" t="s">
        <v>345</v>
      </c>
      <c r="L1056" s="65"/>
      <c r="M1056" s="62" t="s">
        <v>356</v>
      </c>
      <c r="N1056" s="62" t="s">
        <v>1218</v>
      </c>
      <c r="O1056" s="62" t="s">
        <v>596</v>
      </c>
      <c r="P1056" s="62" t="s">
        <v>2421</v>
      </c>
      <c r="Q1056" s="66" t="s">
        <v>2021</v>
      </c>
    </row>
    <row r="1057" spans="1:17" x14ac:dyDescent="0.3">
      <c r="A1057" s="61" t="s">
        <v>2145</v>
      </c>
      <c r="B1057" s="62" t="s">
        <v>1216</v>
      </c>
      <c r="C1057" s="62" t="s">
        <v>1217</v>
      </c>
      <c r="D1057" s="63">
        <v>44883</v>
      </c>
      <c r="E1057" s="63">
        <v>46341</v>
      </c>
      <c r="F1057" s="62" t="s">
        <v>1934</v>
      </c>
      <c r="G1057" s="62" t="s">
        <v>524</v>
      </c>
      <c r="H1057" s="62" t="s">
        <v>345</v>
      </c>
      <c r="I1057" s="64">
        <v>121699.66666666701</v>
      </c>
      <c r="J1057" s="62" t="s">
        <v>441</v>
      </c>
      <c r="K1057" s="62" t="s">
        <v>345</v>
      </c>
      <c r="L1057" s="65"/>
      <c r="M1057" s="62" t="s">
        <v>356</v>
      </c>
      <c r="N1057" s="62" t="s">
        <v>1218</v>
      </c>
      <c r="O1057" s="62" t="s">
        <v>596</v>
      </c>
      <c r="P1057" s="62" t="s">
        <v>2421</v>
      </c>
      <c r="Q1057" s="66" t="s">
        <v>2021</v>
      </c>
    </row>
    <row r="1058" spans="1:17" x14ac:dyDescent="0.3">
      <c r="A1058" s="61" t="s">
        <v>2145</v>
      </c>
      <c r="B1058" s="62" t="s">
        <v>1216</v>
      </c>
      <c r="C1058" s="62" t="s">
        <v>1217</v>
      </c>
      <c r="D1058" s="63">
        <v>44883</v>
      </c>
      <c r="E1058" s="63">
        <v>46341</v>
      </c>
      <c r="F1058" s="62" t="s">
        <v>1934</v>
      </c>
      <c r="G1058" s="62" t="s">
        <v>525</v>
      </c>
      <c r="H1058" s="62" t="s">
        <v>345</v>
      </c>
      <c r="I1058" s="64">
        <v>121699.66666666701</v>
      </c>
      <c r="J1058" s="62" t="s">
        <v>441</v>
      </c>
      <c r="K1058" s="62" t="s">
        <v>345</v>
      </c>
      <c r="L1058" s="65"/>
      <c r="M1058" s="62" t="s">
        <v>356</v>
      </c>
      <c r="N1058" s="62" t="s">
        <v>1218</v>
      </c>
      <c r="O1058" s="62" t="s">
        <v>596</v>
      </c>
      <c r="P1058" s="62" t="s">
        <v>2421</v>
      </c>
      <c r="Q1058" s="66" t="s">
        <v>2021</v>
      </c>
    </row>
    <row r="1059" spans="1:17" x14ac:dyDescent="0.3">
      <c r="A1059" s="61" t="s">
        <v>2145</v>
      </c>
      <c r="B1059" s="62" t="s">
        <v>1216</v>
      </c>
      <c r="C1059" s="62" t="s">
        <v>1217</v>
      </c>
      <c r="D1059" s="63">
        <v>44883</v>
      </c>
      <c r="E1059" s="63">
        <v>46341</v>
      </c>
      <c r="F1059" s="62" t="s">
        <v>1934</v>
      </c>
      <c r="G1059" s="62" t="s">
        <v>477</v>
      </c>
      <c r="H1059" s="62" t="s">
        <v>345</v>
      </c>
      <c r="I1059" s="64">
        <v>121699.66666666701</v>
      </c>
      <c r="J1059" s="62" t="s">
        <v>441</v>
      </c>
      <c r="K1059" s="62" t="s">
        <v>345</v>
      </c>
      <c r="L1059" s="65"/>
      <c r="M1059" s="62" t="s">
        <v>356</v>
      </c>
      <c r="N1059" s="62" t="s">
        <v>1218</v>
      </c>
      <c r="O1059" s="62" t="s">
        <v>596</v>
      </c>
      <c r="P1059" s="62" t="s">
        <v>2421</v>
      </c>
      <c r="Q1059" s="66" t="s">
        <v>2021</v>
      </c>
    </row>
    <row r="1060" spans="1:17" x14ac:dyDescent="0.3">
      <c r="A1060" s="61" t="s">
        <v>2145</v>
      </c>
      <c r="B1060" s="62" t="s">
        <v>1216</v>
      </c>
      <c r="C1060" s="62" t="s">
        <v>1217</v>
      </c>
      <c r="D1060" s="63">
        <v>44883</v>
      </c>
      <c r="E1060" s="63">
        <v>46341</v>
      </c>
      <c r="F1060" s="62" t="s">
        <v>1934</v>
      </c>
      <c r="G1060" s="62" t="s">
        <v>526</v>
      </c>
      <c r="H1060" s="62" t="s">
        <v>345</v>
      </c>
      <c r="I1060" s="64">
        <v>121699.66666666701</v>
      </c>
      <c r="J1060" s="62" t="s">
        <v>441</v>
      </c>
      <c r="K1060" s="62" t="s">
        <v>345</v>
      </c>
      <c r="L1060" s="65"/>
      <c r="M1060" s="62" t="s">
        <v>356</v>
      </c>
      <c r="N1060" s="62" t="s">
        <v>1218</v>
      </c>
      <c r="O1060" s="62" t="s">
        <v>596</v>
      </c>
      <c r="P1060" s="62" t="s">
        <v>2421</v>
      </c>
      <c r="Q1060" s="66" t="s">
        <v>2021</v>
      </c>
    </row>
    <row r="1061" spans="1:17" x14ac:dyDescent="0.3">
      <c r="A1061" s="61" t="s">
        <v>2145</v>
      </c>
      <c r="B1061" s="62" t="s">
        <v>1216</v>
      </c>
      <c r="C1061" s="62" t="s">
        <v>1217</v>
      </c>
      <c r="D1061" s="63">
        <v>44883</v>
      </c>
      <c r="E1061" s="63">
        <v>46341</v>
      </c>
      <c r="F1061" s="62" t="s">
        <v>1934</v>
      </c>
      <c r="G1061" s="62" t="s">
        <v>527</v>
      </c>
      <c r="H1061" s="62" t="s">
        <v>345</v>
      </c>
      <c r="I1061" s="64">
        <v>121699.66666666701</v>
      </c>
      <c r="J1061" s="62" t="s">
        <v>441</v>
      </c>
      <c r="K1061" s="62" t="s">
        <v>345</v>
      </c>
      <c r="L1061" s="65"/>
      <c r="M1061" s="62" t="s">
        <v>356</v>
      </c>
      <c r="N1061" s="62" t="s">
        <v>1218</v>
      </c>
      <c r="O1061" s="62" t="s">
        <v>596</v>
      </c>
      <c r="P1061" s="62" t="s">
        <v>2421</v>
      </c>
      <c r="Q1061" s="66" t="s">
        <v>2021</v>
      </c>
    </row>
    <row r="1062" spans="1:17" x14ac:dyDescent="0.3">
      <c r="A1062" s="61" t="s">
        <v>2145</v>
      </c>
      <c r="B1062" s="62" t="s">
        <v>1216</v>
      </c>
      <c r="C1062" s="62" t="s">
        <v>1217</v>
      </c>
      <c r="D1062" s="63">
        <v>44883</v>
      </c>
      <c r="E1062" s="63">
        <v>46341</v>
      </c>
      <c r="F1062" s="62" t="s">
        <v>1934</v>
      </c>
      <c r="G1062" s="62" t="s">
        <v>528</v>
      </c>
      <c r="H1062" s="62" t="s">
        <v>345</v>
      </c>
      <c r="I1062" s="64">
        <v>121699.66666666701</v>
      </c>
      <c r="J1062" s="62" t="s">
        <v>441</v>
      </c>
      <c r="K1062" s="62" t="s">
        <v>345</v>
      </c>
      <c r="L1062" s="65"/>
      <c r="M1062" s="62" t="s">
        <v>356</v>
      </c>
      <c r="N1062" s="62" t="s">
        <v>1218</v>
      </c>
      <c r="O1062" s="62" t="s">
        <v>596</v>
      </c>
      <c r="P1062" s="62" t="s">
        <v>2421</v>
      </c>
      <c r="Q1062" s="66" t="s">
        <v>2021</v>
      </c>
    </row>
    <row r="1063" spans="1:17" x14ac:dyDescent="0.3">
      <c r="A1063" s="61" t="s">
        <v>2145</v>
      </c>
      <c r="B1063" s="62" t="s">
        <v>1216</v>
      </c>
      <c r="C1063" s="62" t="s">
        <v>1217</v>
      </c>
      <c r="D1063" s="63">
        <v>44883</v>
      </c>
      <c r="E1063" s="63">
        <v>46341</v>
      </c>
      <c r="F1063" s="62" t="s">
        <v>1934</v>
      </c>
      <c r="G1063" s="62" t="s">
        <v>498</v>
      </c>
      <c r="H1063" s="62" t="s">
        <v>345</v>
      </c>
      <c r="I1063" s="64">
        <v>121699.66666666701</v>
      </c>
      <c r="J1063" s="62" t="s">
        <v>441</v>
      </c>
      <c r="K1063" s="62" t="s">
        <v>345</v>
      </c>
      <c r="L1063" s="65"/>
      <c r="M1063" s="62" t="s">
        <v>356</v>
      </c>
      <c r="N1063" s="62" t="s">
        <v>1218</v>
      </c>
      <c r="O1063" s="62" t="s">
        <v>596</v>
      </c>
      <c r="P1063" s="62" t="s">
        <v>2421</v>
      </c>
      <c r="Q1063" s="66" t="s">
        <v>2021</v>
      </c>
    </row>
    <row r="1064" spans="1:17" x14ac:dyDescent="0.3">
      <c r="A1064" s="61" t="s">
        <v>2145</v>
      </c>
      <c r="B1064" s="62" t="s">
        <v>1216</v>
      </c>
      <c r="C1064" s="62" t="s">
        <v>1217</v>
      </c>
      <c r="D1064" s="63">
        <v>44883</v>
      </c>
      <c r="E1064" s="63">
        <v>46341</v>
      </c>
      <c r="F1064" s="62" t="s">
        <v>1934</v>
      </c>
      <c r="G1064" s="62" t="s">
        <v>631</v>
      </c>
      <c r="H1064" s="62" t="s">
        <v>345</v>
      </c>
      <c r="I1064" s="64">
        <v>121699.66666666701</v>
      </c>
      <c r="J1064" s="62" t="s">
        <v>441</v>
      </c>
      <c r="K1064" s="62" t="s">
        <v>345</v>
      </c>
      <c r="L1064" s="65"/>
      <c r="M1064" s="62" t="s">
        <v>356</v>
      </c>
      <c r="N1064" s="62" t="s">
        <v>1218</v>
      </c>
      <c r="O1064" s="62" t="s">
        <v>596</v>
      </c>
      <c r="P1064" s="62" t="s">
        <v>2421</v>
      </c>
      <c r="Q1064" s="66" t="s">
        <v>2021</v>
      </c>
    </row>
    <row r="1065" spans="1:17" x14ac:dyDescent="0.3">
      <c r="A1065" s="61" t="s">
        <v>2145</v>
      </c>
      <c r="B1065" s="62" t="s">
        <v>1216</v>
      </c>
      <c r="C1065" s="62" t="s">
        <v>1217</v>
      </c>
      <c r="D1065" s="63">
        <v>44883</v>
      </c>
      <c r="E1065" s="63">
        <v>46341</v>
      </c>
      <c r="F1065" s="62" t="s">
        <v>1934</v>
      </c>
      <c r="G1065" s="62" t="s">
        <v>499</v>
      </c>
      <c r="H1065" s="62" t="s">
        <v>345</v>
      </c>
      <c r="I1065" s="64">
        <v>121699.66666666701</v>
      </c>
      <c r="J1065" s="62" t="s">
        <v>441</v>
      </c>
      <c r="K1065" s="62" t="s">
        <v>345</v>
      </c>
      <c r="L1065" s="65"/>
      <c r="M1065" s="62" t="s">
        <v>356</v>
      </c>
      <c r="N1065" s="62" t="s">
        <v>1218</v>
      </c>
      <c r="O1065" s="62" t="s">
        <v>596</v>
      </c>
      <c r="P1065" s="62" t="s">
        <v>2421</v>
      </c>
      <c r="Q1065" s="66" t="s">
        <v>2021</v>
      </c>
    </row>
    <row r="1066" spans="1:17" x14ac:dyDescent="0.3">
      <c r="A1066" s="61" t="s">
        <v>2145</v>
      </c>
      <c r="B1066" s="62" t="s">
        <v>1216</v>
      </c>
      <c r="C1066" s="62" t="s">
        <v>1217</v>
      </c>
      <c r="D1066" s="63">
        <v>44883</v>
      </c>
      <c r="E1066" s="63">
        <v>46341</v>
      </c>
      <c r="F1066" s="62" t="s">
        <v>1934</v>
      </c>
      <c r="G1066" s="62" t="s">
        <v>500</v>
      </c>
      <c r="H1066" s="62" t="s">
        <v>345</v>
      </c>
      <c r="I1066" s="64">
        <v>121699.66666666701</v>
      </c>
      <c r="J1066" s="62" t="s">
        <v>441</v>
      </c>
      <c r="K1066" s="62" t="s">
        <v>345</v>
      </c>
      <c r="L1066" s="65"/>
      <c r="M1066" s="62" t="s">
        <v>356</v>
      </c>
      <c r="N1066" s="62" t="s">
        <v>1218</v>
      </c>
      <c r="O1066" s="62" t="s">
        <v>596</v>
      </c>
      <c r="P1066" s="62" t="s">
        <v>2421</v>
      </c>
      <c r="Q1066" s="66" t="s">
        <v>2021</v>
      </c>
    </row>
    <row r="1067" spans="1:17" x14ac:dyDescent="0.3">
      <c r="A1067" s="61" t="s">
        <v>2145</v>
      </c>
      <c r="B1067" s="62" t="s">
        <v>1216</v>
      </c>
      <c r="C1067" s="62" t="s">
        <v>1217</v>
      </c>
      <c r="D1067" s="63">
        <v>44883</v>
      </c>
      <c r="E1067" s="63">
        <v>46341</v>
      </c>
      <c r="F1067" s="62" t="s">
        <v>1934</v>
      </c>
      <c r="G1067" s="62" t="s">
        <v>529</v>
      </c>
      <c r="H1067" s="62" t="s">
        <v>345</v>
      </c>
      <c r="I1067" s="64">
        <v>121699.66666666701</v>
      </c>
      <c r="J1067" s="62" t="s">
        <v>441</v>
      </c>
      <c r="K1067" s="62" t="s">
        <v>345</v>
      </c>
      <c r="L1067" s="65"/>
      <c r="M1067" s="62" t="s">
        <v>356</v>
      </c>
      <c r="N1067" s="62" t="s">
        <v>1218</v>
      </c>
      <c r="O1067" s="62" t="s">
        <v>596</v>
      </c>
      <c r="P1067" s="62" t="s">
        <v>2421</v>
      </c>
      <c r="Q1067" s="66" t="s">
        <v>2021</v>
      </c>
    </row>
    <row r="1068" spans="1:17" x14ac:dyDescent="0.3">
      <c r="A1068" s="61" t="s">
        <v>2145</v>
      </c>
      <c r="B1068" s="62" t="s">
        <v>1216</v>
      </c>
      <c r="C1068" s="62" t="s">
        <v>1217</v>
      </c>
      <c r="D1068" s="63">
        <v>44883</v>
      </c>
      <c r="E1068" s="63">
        <v>46341</v>
      </c>
      <c r="F1068" s="62" t="s">
        <v>1934</v>
      </c>
      <c r="G1068" s="62" t="s">
        <v>530</v>
      </c>
      <c r="H1068" s="62" t="s">
        <v>345</v>
      </c>
      <c r="I1068" s="64">
        <v>121699.66666666701</v>
      </c>
      <c r="J1068" s="62" t="s">
        <v>441</v>
      </c>
      <c r="K1068" s="62" t="s">
        <v>345</v>
      </c>
      <c r="L1068" s="65"/>
      <c r="M1068" s="62" t="s">
        <v>356</v>
      </c>
      <c r="N1068" s="62" t="s">
        <v>1218</v>
      </c>
      <c r="O1068" s="62" t="s">
        <v>596</v>
      </c>
      <c r="P1068" s="62" t="s">
        <v>2421</v>
      </c>
      <c r="Q1068" s="66" t="s">
        <v>2021</v>
      </c>
    </row>
    <row r="1069" spans="1:17" x14ac:dyDescent="0.3">
      <c r="A1069" s="61" t="s">
        <v>2145</v>
      </c>
      <c r="B1069" s="62" t="s">
        <v>1216</v>
      </c>
      <c r="C1069" s="62" t="s">
        <v>1217</v>
      </c>
      <c r="D1069" s="63">
        <v>44883</v>
      </c>
      <c r="E1069" s="63">
        <v>46341</v>
      </c>
      <c r="F1069" s="62" t="s">
        <v>1944</v>
      </c>
      <c r="G1069" s="62" t="s">
        <v>675</v>
      </c>
      <c r="H1069" s="62" t="s">
        <v>345</v>
      </c>
      <c r="I1069" s="64">
        <v>486798.66666666698</v>
      </c>
      <c r="J1069" s="62" t="s">
        <v>441</v>
      </c>
      <c r="K1069" s="62" t="s">
        <v>345</v>
      </c>
      <c r="L1069" s="65"/>
      <c r="M1069" s="62" t="s">
        <v>356</v>
      </c>
      <c r="N1069" s="62" t="s">
        <v>1218</v>
      </c>
      <c r="O1069" s="62" t="s">
        <v>596</v>
      </c>
      <c r="P1069" s="62" t="s">
        <v>2421</v>
      </c>
      <c r="Q1069" s="66" t="s">
        <v>2021</v>
      </c>
    </row>
    <row r="1070" spans="1:17" x14ac:dyDescent="0.3">
      <c r="A1070" s="61" t="s">
        <v>2145</v>
      </c>
      <c r="B1070" s="62" t="s">
        <v>1216</v>
      </c>
      <c r="C1070" s="62" t="s">
        <v>1217</v>
      </c>
      <c r="D1070" s="63">
        <v>44883</v>
      </c>
      <c r="E1070" s="63">
        <v>46341</v>
      </c>
      <c r="F1070" s="62" t="s">
        <v>1944</v>
      </c>
      <c r="G1070" s="62" t="s">
        <v>676</v>
      </c>
      <c r="H1070" s="62" t="s">
        <v>345</v>
      </c>
      <c r="I1070" s="64">
        <v>486798.66666666698</v>
      </c>
      <c r="J1070" s="62" t="s">
        <v>441</v>
      </c>
      <c r="K1070" s="62" t="s">
        <v>345</v>
      </c>
      <c r="L1070" s="65"/>
      <c r="M1070" s="62" t="s">
        <v>356</v>
      </c>
      <c r="N1070" s="62" t="s">
        <v>1218</v>
      </c>
      <c r="O1070" s="62" t="s">
        <v>596</v>
      </c>
      <c r="P1070" s="62" t="s">
        <v>2421</v>
      </c>
      <c r="Q1070" s="66" t="s">
        <v>2021</v>
      </c>
    </row>
    <row r="1071" spans="1:17" x14ac:dyDescent="0.3">
      <c r="A1071" s="61" t="s">
        <v>2145</v>
      </c>
      <c r="B1071" s="62" t="s">
        <v>1216</v>
      </c>
      <c r="C1071" s="62" t="s">
        <v>1217</v>
      </c>
      <c r="D1071" s="63">
        <v>44883</v>
      </c>
      <c r="E1071" s="63">
        <v>46341</v>
      </c>
      <c r="F1071" s="62" t="s">
        <v>1944</v>
      </c>
      <c r="G1071" s="62" t="s">
        <v>677</v>
      </c>
      <c r="H1071" s="62" t="s">
        <v>345</v>
      </c>
      <c r="I1071" s="64">
        <v>486798.66666666698</v>
      </c>
      <c r="J1071" s="62" t="s">
        <v>441</v>
      </c>
      <c r="K1071" s="62" t="s">
        <v>345</v>
      </c>
      <c r="L1071" s="65"/>
      <c r="M1071" s="62" t="s">
        <v>356</v>
      </c>
      <c r="N1071" s="62" t="s">
        <v>1218</v>
      </c>
      <c r="O1071" s="62" t="s">
        <v>596</v>
      </c>
      <c r="P1071" s="62" t="s">
        <v>2421</v>
      </c>
      <c r="Q1071" s="66" t="s">
        <v>2021</v>
      </c>
    </row>
    <row r="1072" spans="1:17" x14ac:dyDescent="0.3">
      <c r="A1072" s="61" t="s">
        <v>2145</v>
      </c>
      <c r="B1072" s="62" t="s">
        <v>1216</v>
      </c>
      <c r="C1072" s="62" t="s">
        <v>1217</v>
      </c>
      <c r="D1072" s="63">
        <v>44883</v>
      </c>
      <c r="E1072" s="63">
        <v>46341</v>
      </c>
      <c r="F1072" s="62" t="s">
        <v>1944</v>
      </c>
      <c r="G1072" s="62" t="s">
        <v>678</v>
      </c>
      <c r="H1072" s="62" t="s">
        <v>345</v>
      </c>
      <c r="I1072" s="64">
        <v>486798.66666666698</v>
      </c>
      <c r="J1072" s="62" t="s">
        <v>441</v>
      </c>
      <c r="K1072" s="62" t="s">
        <v>345</v>
      </c>
      <c r="L1072" s="65"/>
      <c r="M1072" s="62" t="s">
        <v>356</v>
      </c>
      <c r="N1072" s="62" t="s">
        <v>1218</v>
      </c>
      <c r="O1072" s="62" t="s">
        <v>596</v>
      </c>
      <c r="P1072" s="62" t="s">
        <v>2421</v>
      </c>
      <c r="Q1072" s="66" t="s">
        <v>2021</v>
      </c>
    </row>
    <row r="1073" spans="1:17" x14ac:dyDescent="0.3">
      <c r="A1073" s="61" t="s">
        <v>2145</v>
      </c>
      <c r="B1073" s="62" t="s">
        <v>1216</v>
      </c>
      <c r="C1073" s="62" t="s">
        <v>1217</v>
      </c>
      <c r="D1073" s="63">
        <v>44883</v>
      </c>
      <c r="E1073" s="63">
        <v>46341</v>
      </c>
      <c r="F1073" s="62" t="s">
        <v>1939</v>
      </c>
      <c r="G1073" s="62" t="s">
        <v>1128</v>
      </c>
      <c r="H1073" s="62" t="s">
        <v>345</v>
      </c>
      <c r="I1073" s="64">
        <v>1947194.66666667</v>
      </c>
      <c r="J1073" s="62" t="s">
        <v>441</v>
      </c>
      <c r="K1073" s="62" t="s">
        <v>345</v>
      </c>
      <c r="L1073" s="65"/>
      <c r="M1073" s="62" t="s">
        <v>356</v>
      </c>
      <c r="N1073" s="62" t="s">
        <v>1218</v>
      </c>
      <c r="O1073" s="62" t="s">
        <v>596</v>
      </c>
      <c r="P1073" s="62" t="s">
        <v>2421</v>
      </c>
      <c r="Q1073" s="66" t="s">
        <v>2021</v>
      </c>
    </row>
    <row r="1074" spans="1:17" x14ac:dyDescent="0.3">
      <c r="A1074" s="61" t="s">
        <v>2146</v>
      </c>
      <c r="B1074" s="62" t="s">
        <v>1219</v>
      </c>
      <c r="C1074" s="62" t="s">
        <v>1220</v>
      </c>
      <c r="D1074" s="63">
        <v>42604</v>
      </c>
      <c r="E1074" s="63">
        <v>48213</v>
      </c>
      <c r="F1074" s="62" t="s">
        <v>1959</v>
      </c>
      <c r="G1074" s="62" t="s">
        <v>466</v>
      </c>
      <c r="H1074" s="62" t="s">
        <v>443</v>
      </c>
      <c r="I1074" s="64">
        <v>8819.2083333333303</v>
      </c>
      <c r="J1074" s="62" t="s">
        <v>939</v>
      </c>
      <c r="K1074" s="62" t="s">
        <v>377</v>
      </c>
      <c r="L1074" s="65"/>
      <c r="M1074" s="62" t="s">
        <v>307</v>
      </c>
      <c r="N1074" s="62" t="s">
        <v>370</v>
      </c>
      <c r="O1074" s="62" t="s">
        <v>371</v>
      </c>
      <c r="P1074" s="62" t="s">
        <v>2421</v>
      </c>
      <c r="Q1074" s="66" t="s">
        <v>1984</v>
      </c>
    </row>
    <row r="1075" spans="1:17" x14ac:dyDescent="0.3">
      <c r="A1075" s="61" t="s">
        <v>2146</v>
      </c>
      <c r="B1075" s="62" t="s">
        <v>1219</v>
      </c>
      <c r="C1075" s="62" t="s">
        <v>1220</v>
      </c>
      <c r="D1075" s="63">
        <v>42604</v>
      </c>
      <c r="E1075" s="63">
        <v>48213</v>
      </c>
      <c r="F1075" s="62" t="s">
        <v>1959</v>
      </c>
      <c r="G1075" s="62" t="s">
        <v>582</v>
      </c>
      <c r="H1075" s="62" t="s">
        <v>443</v>
      </c>
      <c r="I1075" s="64">
        <v>8819.2083333333303</v>
      </c>
      <c r="J1075" s="62" t="s">
        <v>939</v>
      </c>
      <c r="K1075" s="62" t="s">
        <v>377</v>
      </c>
      <c r="L1075" s="65"/>
      <c r="M1075" s="62" t="s">
        <v>307</v>
      </c>
      <c r="N1075" s="62" t="s">
        <v>370</v>
      </c>
      <c r="O1075" s="62" t="s">
        <v>371</v>
      </c>
      <c r="P1075" s="62" t="s">
        <v>2421</v>
      </c>
      <c r="Q1075" s="66" t="s">
        <v>1984</v>
      </c>
    </row>
    <row r="1076" spans="1:17" x14ac:dyDescent="0.3">
      <c r="A1076" s="61" t="s">
        <v>2146</v>
      </c>
      <c r="B1076" s="62" t="s">
        <v>1219</v>
      </c>
      <c r="C1076" s="62" t="s">
        <v>1220</v>
      </c>
      <c r="D1076" s="63">
        <v>42604</v>
      </c>
      <c r="E1076" s="63">
        <v>48213</v>
      </c>
      <c r="F1076" s="62" t="s">
        <v>1959</v>
      </c>
      <c r="G1076" s="62" t="s">
        <v>679</v>
      </c>
      <c r="H1076" s="62" t="s">
        <v>443</v>
      </c>
      <c r="I1076" s="64">
        <v>8819.2083333333303</v>
      </c>
      <c r="J1076" s="62" t="s">
        <v>939</v>
      </c>
      <c r="K1076" s="62" t="s">
        <v>377</v>
      </c>
      <c r="L1076" s="65"/>
      <c r="M1076" s="62" t="s">
        <v>307</v>
      </c>
      <c r="N1076" s="62" t="s">
        <v>370</v>
      </c>
      <c r="O1076" s="62" t="s">
        <v>371</v>
      </c>
      <c r="P1076" s="62" t="s">
        <v>2421</v>
      </c>
      <c r="Q1076" s="66" t="s">
        <v>1984</v>
      </c>
    </row>
    <row r="1077" spans="1:17" x14ac:dyDescent="0.3">
      <c r="A1077" s="61" t="s">
        <v>2146</v>
      </c>
      <c r="B1077" s="62" t="s">
        <v>1219</v>
      </c>
      <c r="C1077" s="62" t="s">
        <v>1220</v>
      </c>
      <c r="D1077" s="63">
        <v>42604</v>
      </c>
      <c r="E1077" s="63">
        <v>48213</v>
      </c>
      <c r="F1077" s="62" t="s">
        <v>1959</v>
      </c>
      <c r="G1077" s="62" t="s">
        <v>667</v>
      </c>
      <c r="H1077" s="62" t="s">
        <v>443</v>
      </c>
      <c r="I1077" s="64">
        <v>8819.2083333333303</v>
      </c>
      <c r="J1077" s="62" t="s">
        <v>939</v>
      </c>
      <c r="K1077" s="62" t="s">
        <v>377</v>
      </c>
      <c r="L1077" s="65"/>
      <c r="M1077" s="62" t="s">
        <v>307</v>
      </c>
      <c r="N1077" s="62" t="s">
        <v>370</v>
      </c>
      <c r="O1077" s="62" t="s">
        <v>371</v>
      </c>
      <c r="P1077" s="62" t="s">
        <v>2421</v>
      </c>
      <c r="Q1077" s="66" t="s">
        <v>1984</v>
      </c>
    </row>
    <row r="1078" spans="1:17" x14ac:dyDescent="0.3">
      <c r="A1078" s="61" t="s">
        <v>2146</v>
      </c>
      <c r="B1078" s="62" t="s">
        <v>1219</v>
      </c>
      <c r="C1078" s="62" t="s">
        <v>1220</v>
      </c>
      <c r="D1078" s="63">
        <v>42604</v>
      </c>
      <c r="E1078" s="63">
        <v>48213</v>
      </c>
      <c r="F1078" s="62" t="s">
        <v>1959</v>
      </c>
      <c r="G1078" s="62" t="s">
        <v>586</v>
      </c>
      <c r="H1078" s="62" t="s">
        <v>443</v>
      </c>
      <c r="I1078" s="64">
        <v>8819.2083333333303</v>
      </c>
      <c r="J1078" s="62" t="s">
        <v>939</v>
      </c>
      <c r="K1078" s="62" t="s">
        <v>377</v>
      </c>
      <c r="L1078" s="65"/>
      <c r="M1078" s="62" t="s">
        <v>307</v>
      </c>
      <c r="N1078" s="62" t="s">
        <v>370</v>
      </c>
      <c r="O1078" s="62" t="s">
        <v>371</v>
      </c>
      <c r="P1078" s="62" t="s">
        <v>2421</v>
      </c>
      <c r="Q1078" s="66" t="s">
        <v>1984</v>
      </c>
    </row>
    <row r="1079" spans="1:17" x14ac:dyDescent="0.3">
      <c r="A1079" s="61" t="s">
        <v>2146</v>
      </c>
      <c r="B1079" s="62" t="s">
        <v>1219</v>
      </c>
      <c r="C1079" s="62" t="s">
        <v>1220</v>
      </c>
      <c r="D1079" s="63">
        <v>42604</v>
      </c>
      <c r="E1079" s="63">
        <v>48213</v>
      </c>
      <c r="F1079" s="62" t="s">
        <v>1959</v>
      </c>
      <c r="G1079" s="62" t="s">
        <v>587</v>
      </c>
      <c r="H1079" s="62" t="s">
        <v>443</v>
      </c>
      <c r="I1079" s="64">
        <v>8819.2083333333303</v>
      </c>
      <c r="J1079" s="62" t="s">
        <v>939</v>
      </c>
      <c r="K1079" s="62" t="s">
        <v>377</v>
      </c>
      <c r="L1079" s="65"/>
      <c r="M1079" s="62" t="s">
        <v>307</v>
      </c>
      <c r="N1079" s="62" t="s">
        <v>370</v>
      </c>
      <c r="O1079" s="62" t="s">
        <v>371</v>
      </c>
      <c r="P1079" s="62" t="s">
        <v>2421</v>
      </c>
      <c r="Q1079" s="66" t="s">
        <v>1984</v>
      </c>
    </row>
    <row r="1080" spans="1:17" x14ac:dyDescent="0.3">
      <c r="A1080" s="61" t="s">
        <v>2146</v>
      </c>
      <c r="B1080" s="62" t="s">
        <v>1219</v>
      </c>
      <c r="C1080" s="62" t="s">
        <v>1220</v>
      </c>
      <c r="D1080" s="63">
        <v>42604</v>
      </c>
      <c r="E1080" s="63">
        <v>48213</v>
      </c>
      <c r="F1080" s="62" t="s">
        <v>1959</v>
      </c>
      <c r="G1080" s="62" t="s">
        <v>668</v>
      </c>
      <c r="H1080" s="62" t="s">
        <v>443</v>
      </c>
      <c r="I1080" s="64">
        <v>8819.2083333333303</v>
      </c>
      <c r="J1080" s="62" t="s">
        <v>939</v>
      </c>
      <c r="K1080" s="62" t="s">
        <v>377</v>
      </c>
      <c r="L1080" s="65"/>
      <c r="M1080" s="62" t="s">
        <v>307</v>
      </c>
      <c r="N1080" s="62" t="s">
        <v>370</v>
      </c>
      <c r="O1080" s="62" t="s">
        <v>371</v>
      </c>
      <c r="P1080" s="62" t="s">
        <v>2421</v>
      </c>
      <c r="Q1080" s="66" t="s">
        <v>1984</v>
      </c>
    </row>
    <row r="1081" spans="1:17" x14ac:dyDescent="0.3">
      <c r="A1081" s="61" t="s">
        <v>2146</v>
      </c>
      <c r="B1081" s="62" t="s">
        <v>1219</v>
      </c>
      <c r="C1081" s="62" t="s">
        <v>1220</v>
      </c>
      <c r="D1081" s="63">
        <v>42604</v>
      </c>
      <c r="E1081" s="63">
        <v>48213</v>
      </c>
      <c r="F1081" s="62" t="s">
        <v>1959</v>
      </c>
      <c r="G1081" s="62" t="s">
        <v>805</v>
      </c>
      <c r="H1081" s="62" t="s">
        <v>443</v>
      </c>
      <c r="I1081" s="64">
        <v>8819.2083333333303</v>
      </c>
      <c r="J1081" s="62" t="s">
        <v>939</v>
      </c>
      <c r="K1081" s="62" t="s">
        <v>377</v>
      </c>
      <c r="L1081" s="65"/>
      <c r="M1081" s="62" t="s">
        <v>307</v>
      </c>
      <c r="N1081" s="62" t="s">
        <v>370</v>
      </c>
      <c r="O1081" s="62" t="s">
        <v>371</v>
      </c>
      <c r="P1081" s="62" t="s">
        <v>2421</v>
      </c>
      <c r="Q1081" s="66" t="s">
        <v>1984</v>
      </c>
    </row>
    <row r="1082" spans="1:17" x14ac:dyDescent="0.3">
      <c r="A1082" s="61" t="s">
        <v>2146</v>
      </c>
      <c r="B1082" s="62" t="s">
        <v>1219</v>
      </c>
      <c r="C1082" s="62" t="s">
        <v>1220</v>
      </c>
      <c r="D1082" s="63">
        <v>42604</v>
      </c>
      <c r="E1082" s="63">
        <v>48213</v>
      </c>
      <c r="F1082" s="62" t="s">
        <v>1959</v>
      </c>
      <c r="G1082" s="62" t="s">
        <v>795</v>
      </c>
      <c r="H1082" s="62" t="s">
        <v>443</v>
      </c>
      <c r="I1082" s="64">
        <v>8819.2083333333303</v>
      </c>
      <c r="J1082" s="62" t="s">
        <v>939</v>
      </c>
      <c r="K1082" s="62" t="s">
        <v>377</v>
      </c>
      <c r="L1082" s="65"/>
      <c r="M1082" s="62" t="s">
        <v>307</v>
      </c>
      <c r="N1082" s="62" t="s">
        <v>370</v>
      </c>
      <c r="O1082" s="62" t="s">
        <v>371</v>
      </c>
      <c r="P1082" s="62" t="s">
        <v>2421</v>
      </c>
      <c r="Q1082" s="66" t="s">
        <v>1984</v>
      </c>
    </row>
    <row r="1083" spans="1:17" x14ac:dyDescent="0.3">
      <c r="A1083" s="61" t="s">
        <v>2146</v>
      </c>
      <c r="B1083" s="62" t="s">
        <v>1219</v>
      </c>
      <c r="C1083" s="62" t="s">
        <v>1220</v>
      </c>
      <c r="D1083" s="63">
        <v>42604</v>
      </c>
      <c r="E1083" s="63">
        <v>48213</v>
      </c>
      <c r="F1083" s="62" t="s">
        <v>1959</v>
      </c>
      <c r="G1083" s="62" t="s">
        <v>475</v>
      </c>
      <c r="H1083" s="62" t="s">
        <v>443</v>
      </c>
      <c r="I1083" s="64">
        <v>8819.2083333333303</v>
      </c>
      <c r="J1083" s="62" t="s">
        <v>939</v>
      </c>
      <c r="K1083" s="62" t="s">
        <v>377</v>
      </c>
      <c r="L1083" s="65"/>
      <c r="M1083" s="62" t="s">
        <v>307</v>
      </c>
      <c r="N1083" s="62" t="s">
        <v>370</v>
      </c>
      <c r="O1083" s="62" t="s">
        <v>371</v>
      </c>
      <c r="P1083" s="62" t="s">
        <v>2421</v>
      </c>
      <c r="Q1083" s="66" t="s">
        <v>1984</v>
      </c>
    </row>
    <row r="1084" spans="1:17" x14ac:dyDescent="0.3">
      <c r="A1084" s="61" t="s">
        <v>2146</v>
      </c>
      <c r="B1084" s="62" t="s">
        <v>1219</v>
      </c>
      <c r="C1084" s="62" t="s">
        <v>1220</v>
      </c>
      <c r="D1084" s="63">
        <v>42604</v>
      </c>
      <c r="E1084" s="63">
        <v>48213</v>
      </c>
      <c r="F1084" s="62" t="s">
        <v>1959</v>
      </c>
      <c r="G1084" s="62" t="s">
        <v>808</v>
      </c>
      <c r="H1084" s="62" t="s">
        <v>443</v>
      </c>
      <c r="I1084" s="64">
        <v>8819.2083333333303</v>
      </c>
      <c r="J1084" s="62" t="s">
        <v>939</v>
      </c>
      <c r="K1084" s="62" t="s">
        <v>377</v>
      </c>
      <c r="L1084" s="65"/>
      <c r="M1084" s="62" t="s">
        <v>307</v>
      </c>
      <c r="N1084" s="62" t="s">
        <v>370</v>
      </c>
      <c r="O1084" s="62" t="s">
        <v>371</v>
      </c>
      <c r="P1084" s="62" t="s">
        <v>2421</v>
      </c>
      <c r="Q1084" s="66" t="s">
        <v>1984</v>
      </c>
    </row>
    <row r="1085" spans="1:17" x14ac:dyDescent="0.3">
      <c r="A1085" s="61" t="s">
        <v>2146</v>
      </c>
      <c r="B1085" s="62" t="s">
        <v>1219</v>
      </c>
      <c r="C1085" s="62" t="s">
        <v>1220</v>
      </c>
      <c r="D1085" s="63">
        <v>42604</v>
      </c>
      <c r="E1085" s="63">
        <v>48213</v>
      </c>
      <c r="F1085" s="62" t="s">
        <v>1959</v>
      </c>
      <c r="G1085" s="62" t="s">
        <v>578</v>
      </c>
      <c r="H1085" s="62" t="s">
        <v>443</v>
      </c>
      <c r="I1085" s="64">
        <v>8819.2083333333303</v>
      </c>
      <c r="J1085" s="62" t="s">
        <v>939</v>
      </c>
      <c r="K1085" s="62" t="s">
        <v>377</v>
      </c>
      <c r="L1085" s="65"/>
      <c r="M1085" s="62" t="s">
        <v>307</v>
      </c>
      <c r="N1085" s="62" t="s">
        <v>370</v>
      </c>
      <c r="O1085" s="62" t="s">
        <v>371</v>
      </c>
      <c r="P1085" s="62" t="s">
        <v>2421</v>
      </c>
      <c r="Q1085" s="66" t="s">
        <v>1984</v>
      </c>
    </row>
    <row r="1086" spans="1:17" x14ac:dyDescent="0.3">
      <c r="A1086" s="61" t="s">
        <v>2146</v>
      </c>
      <c r="B1086" s="62" t="s">
        <v>1219</v>
      </c>
      <c r="C1086" s="62" t="s">
        <v>1220</v>
      </c>
      <c r="D1086" s="63">
        <v>42604</v>
      </c>
      <c r="E1086" s="63">
        <v>48213</v>
      </c>
      <c r="F1086" s="62" t="s">
        <v>1930</v>
      </c>
      <c r="G1086" s="62" t="s">
        <v>721</v>
      </c>
      <c r="H1086" s="62" t="s">
        <v>443</v>
      </c>
      <c r="I1086" s="64">
        <v>10583.05</v>
      </c>
      <c r="J1086" s="62" t="s">
        <v>939</v>
      </c>
      <c r="K1086" s="62" t="s">
        <v>377</v>
      </c>
      <c r="L1086" s="65"/>
      <c r="M1086" s="62" t="s">
        <v>307</v>
      </c>
      <c r="N1086" s="62" t="s">
        <v>370</v>
      </c>
      <c r="O1086" s="62" t="s">
        <v>371</v>
      </c>
      <c r="P1086" s="62" t="s">
        <v>2421</v>
      </c>
      <c r="Q1086" s="66" t="s">
        <v>1984</v>
      </c>
    </row>
    <row r="1087" spans="1:17" x14ac:dyDescent="0.3">
      <c r="A1087" s="61" t="s">
        <v>2146</v>
      </c>
      <c r="B1087" s="62" t="s">
        <v>1219</v>
      </c>
      <c r="C1087" s="62" t="s">
        <v>1220</v>
      </c>
      <c r="D1087" s="63">
        <v>42604</v>
      </c>
      <c r="E1087" s="63">
        <v>48213</v>
      </c>
      <c r="F1087" s="62" t="s">
        <v>1930</v>
      </c>
      <c r="G1087" s="62" t="s">
        <v>722</v>
      </c>
      <c r="H1087" s="62" t="s">
        <v>443</v>
      </c>
      <c r="I1087" s="64">
        <v>10583.05</v>
      </c>
      <c r="J1087" s="62" t="s">
        <v>939</v>
      </c>
      <c r="K1087" s="62" t="s">
        <v>377</v>
      </c>
      <c r="L1087" s="65"/>
      <c r="M1087" s="62" t="s">
        <v>307</v>
      </c>
      <c r="N1087" s="62" t="s">
        <v>370</v>
      </c>
      <c r="O1087" s="62" t="s">
        <v>371</v>
      </c>
      <c r="P1087" s="62" t="s">
        <v>2421</v>
      </c>
      <c r="Q1087" s="66" t="s">
        <v>1984</v>
      </c>
    </row>
    <row r="1088" spans="1:17" x14ac:dyDescent="0.3">
      <c r="A1088" s="61" t="s">
        <v>2146</v>
      </c>
      <c r="B1088" s="62" t="s">
        <v>1219</v>
      </c>
      <c r="C1088" s="62" t="s">
        <v>1220</v>
      </c>
      <c r="D1088" s="63">
        <v>42604</v>
      </c>
      <c r="E1088" s="63">
        <v>48213</v>
      </c>
      <c r="F1088" s="62" t="s">
        <v>1930</v>
      </c>
      <c r="G1088" s="62" t="s">
        <v>541</v>
      </c>
      <c r="H1088" s="62" t="s">
        <v>443</v>
      </c>
      <c r="I1088" s="64">
        <v>10583.05</v>
      </c>
      <c r="J1088" s="62" t="s">
        <v>939</v>
      </c>
      <c r="K1088" s="62" t="s">
        <v>377</v>
      </c>
      <c r="L1088" s="65"/>
      <c r="M1088" s="62" t="s">
        <v>307</v>
      </c>
      <c r="N1088" s="62" t="s">
        <v>370</v>
      </c>
      <c r="O1088" s="62" t="s">
        <v>371</v>
      </c>
      <c r="P1088" s="62" t="s">
        <v>2421</v>
      </c>
      <c r="Q1088" s="66" t="s">
        <v>1984</v>
      </c>
    </row>
    <row r="1089" spans="1:17" x14ac:dyDescent="0.3">
      <c r="A1089" s="61" t="s">
        <v>2146</v>
      </c>
      <c r="B1089" s="62" t="s">
        <v>1219</v>
      </c>
      <c r="C1089" s="62" t="s">
        <v>1220</v>
      </c>
      <c r="D1089" s="63">
        <v>42604</v>
      </c>
      <c r="E1089" s="63">
        <v>48213</v>
      </c>
      <c r="F1089" s="62" t="s">
        <v>1930</v>
      </c>
      <c r="G1089" s="62" t="s">
        <v>543</v>
      </c>
      <c r="H1089" s="62" t="s">
        <v>443</v>
      </c>
      <c r="I1089" s="64">
        <v>10583.05</v>
      </c>
      <c r="J1089" s="62" t="s">
        <v>939</v>
      </c>
      <c r="K1089" s="62" t="s">
        <v>377</v>
      </c>
      <c r="L1089" s="65"/>
      <c r="M1089" s="62" t="s">
        <v>307</v>
      </c>
      <c r="N1089" s="62" t="s">
        <v>370</v>
      </c>
      <c r="O1089" s="62" t="s">
        <v>371</v>
      </c>
      <c r="P1089" s="62" t="s">
        <v>2421</v>
      </c>
      <c r="Q1089" s="66" t="s">
        <v>1984</v>
      </c>
    </row>
    <row r="1090" spans="1:17" x14ac:dyDescent="0.3">
      <c r="A1090" s="61" t="s">
        <v>2146</v>
      </c>
      <c r="B1090" s="62" t="s">
        <v>1219</v>
      </c>
      <c r="C1090" s="62" t="s">
        <v>1220</v>
      </c>
      <c r="D1090" s="63">
        <v>42604</v>
      </c>
      <c r="E1090" s="63">
        <v>48213</v>
      </c>
      <c r="F1090" s="62" t="s">
        <v>1930</v>
      </c>
      <c r="G1090" s="62" t="s">
        <v>419</v>
      </c>
      <c r="H1090" s="62" t="s">
        <v>443</v>
      </c>
      <c r="I1090" s="64">
        <v>10583.05</v>
      </c>
      <c r="J1090" s="62" t="s">
        <v>939</v>
      </c>
      <c r="K1090" s="62" t="s">
        <v>377</v>
      </c>
      <c r="L1090" s="65"/>
      <c r="M1090" s="62" t="s">
        <v>307</v>
      </c>
      <c r="N1090" s="62" t="s">
        <v>370</v>
      </c>
      <c r="O1090" s="62" t="s">
        <v>371</v>
      </c>
      <c r="P1090" s="62" t="s">
        <v>2421</v>
      </c>
      <c r="Q1090" s="66" t="s">
        <v>1984</v>
      </c>
    </row>
    <row r="1091" spans="1:17" x14ac:dyDescent="0.3">
      <c r="A1091" s="61" t="s">
        <v>2146</v>
      </c>
      <c r="B1091" s="62" t="s">
        <v>1219</v>
      </c>
      <c r="C1091" s="62" t="s">
        <v>1220</v>
      </c>
      <c r="D1091" s="63">
        <v>42604</v>
      </c>
      <c r="E1091" s="63">
        <v>48213</v>
      </c>
      <c r="F1091" s="62" t="s">
        <v>1930</v>
      </c>
      <c r="G1091" s="62" t="s">
        <v>319</v>
      </c>
      <c r="H1091" s="62" t="s">
        <v>443</v>
      </c>
      <c r="I1091" s="64">
        <v>10583.05</v>
      </c>
      <c r="J1091" s="62" t="s">
        <v>939</v>
      </c>
      <c r="K1091" s="62" t="s">
        <v>377</v>
      </c>
      <c r="L1091" s="65"/>
      <c r="M1091" s="62" t="s">
        <v>307</v>
      </c>
      <c r="N1091" s="62" t="s">
        <v>370</v>
      </c>
      <c r="O1091" s="62" t="s">
        <v>371</v>
      </c>
      <c r="P1091" s="62" t="s">
        <v>2421</v>
      </c>
      <c r="Q1091" s="66" t="s">
        <v>1984</v>
      </c>
    </row>
    <row r="1092" spans="1:17" x14ac:dyDescent="0.3">
      <c r="A1092" s="61" t="s">
        <v>2146</v>
      </c>
      <c r="B1092" s="62" t="s">
        <v>1219</v>
      </c>
      <c r="C1092" s="62" t="s">
        <v>1220</v>
      </c>
      <c r="D1092" s="63">
        <v>42604</v>
      </c>
      <c r="E1092" s="63">
        <v>48213</v>
      </c>
      <c r="F1092" s="62" t="s">
        <v>1930</v>
      </c>
      <c r="G1092" s="62" t="s">
        <v>545</v>
      </c>
      <c r="H1092" s="62" t="s">
        <v>443</v>
      </c>
      <c r="I1092" s="64">
        <v>10583.05</v>
      </c>
      <c r="J1092" s="62" t="s">
        <v>939</v>
      </c>
      <c r="K1092" s="62" t="s">
        <v>377</v>
      </c>
      <c r="L1092" s="65"/>
      <c r="M1092" s="62" t="s">
        <v>307</v>
      </c>
      <c r="N1092" s="62" t="s">
        <v>370</v>
      </c>
      <c r="O1092" s="62" t="s">
        <v>371</v>
      </c>
      <c r="P1092" s="62" t="s">
        <v>2421</v>
      </c>
      <c r="Q1092" s="66" t="s">
        <v>1984</v>
      </c>
    </row>
    <row r="1093" spans="1:17" x14ac:dyDescent="0.3">
      <c r="A1093" s="61" t="s">
        <v>2146</v>
      </c>
      <c r="B1093" s="62" t="s">
        <v>1219</v>
      </c>
      <c r="C1093" s="62" t="s">
        <v>1220</v>
      </c>
      <c r="D1093" s="63">
        <v>42604</v>
      </c>
      <c r="E1093" s="63">
        <v>48213</v>
      </c>
      <c r="F1093" s="62" t="s">
        <v>1930</v>
      </c>
      <c r="G1093" s="62" t="s">
        <v>516</v>
      </c>
      <c r="H1093" s="62" t="s">
        <v>443</v>
      </c>
      <c r="I1093" s="64">
        <v>10583.05</v>
      </c>
      <c r="J1093" s="62" t="s">
        <v>939</v>
      </c>
      <c r="K1093" s="62" t="s">
        <v>377</v>
      </c>
      <c r="L1093" s="65"/>
      <c r="M1093" s="62" t="s">
        <v>307</v>
      </c>
      <c r="N1093" s="62" t="s">
        <v>370</v>
      </c>
      <c r="O1093" s="62" t="s">
        <v>371</v>
      </c>
      <c r="P1093" s="62" t="s">
        <v>2421</v>
      </c>
      <c r="Q1093" s="66" t="s">
        <v>1984</v>
      </c>
    </row>
    <row r="1094" spans="1:17" x14ac:dyDescent="0.3">
      <c r="A1094" s="61" t="s">
        <v>2146</v>
      </c>
      <c r="B1094" s="62" t="s">
        <v>1219</v>
      </c>
      <c r="C1094" s="62" t="s">
        <v>1220</v>
      </c>
      <c r="D1094" s="63">
        <v>42604</v>
      </c>
      <c r="E1094" s="63">
        <v>48213</v>
      </c>
      <c r="F1094" s="62" t="s">
        <v>1930</v>
      </c>
      <c r="G1094" s="62" t="s">
        <v>546</v>
      </c>
      <c r="H1094" s="62" t="s">
        <v>443</v>
      </c>
      <c r="I1094" s="64">
        <v>10583.05</v>
      </c>
      <c r="J1094" s="62" t="s">
        <v>939</v>
      </c>
      <c r="K1094" s="62" t="s">
        <v>377</v>
      </c>
      <c r="L1094" s="65"/>
      <c r="M1094" s="62" t="s">
        <v>307</v>
      </c>
      <c r="N1094" s="62" t="s">
        <v>370</v>
      </c>
      <c r="O1094" s="62" t="s">
        <v>371</v>
      </c>
      <c r="P1094" s="62" t="s">
        <v>2421</v>
      </c>
      <c r="Q1094" s="66" t="s">
        <v>1984</v>
      </c>
    </row>
    <row r="1095" spans="1:17" x14ac:dyDescent="0.3">
      <c r="A1095" s="61" t="s">
        <v>2146</v>
      </c>
      <c r="B1095" s="62" t="s">
        <v>1219</v>
      </c>
      <c r="C1095" s="62" t="s">
        <v>1220</v>
      </c>
      <c r="D1095" s="63">
        <v>42604</v>
      </c>
      <c r="E1095" s="63">
        <v>48213</v>
      </c>
      <c r="F1095" s="62" t="s">
        <v>1930</v>
      </c>
      <c r="G1095" s="62" t="s">
        <v>1221</v>
      </c>
      <c r="H1095" s="62" t="s">
        <v>443</v>
      </c>
      <c r="I1095" s="64">
        <v>10583.05</v>
      </c>
      <c r="J1095" s="62" t="s">
        <v>939</v>
      </c>
      <c r="K1095" s="62" t="s">
        <v>377</v>
      </c>
      <c r="L1095" s="65"/>
      <c r="M1095" s="62" t="s">
        <v>307</v>
      </c>
      <c r="N1095" s="62" t="s">
        <v>370</v>
      </c>
      <c r="O1095" s="62" t="s">
        <v>371</v>
      </c>
      <c r="P1095" s="62" t="s">
        <v>2421</v>
      </c>
      <c r="Q1095" s="66" t="s">
        <v>1984</v>
      </c>
    </row>
    <row r="1096" spans="1:17" x14ac:dyDescent="0.3">
      <c r="A1096" s="61" t="s">
        <v>2146</v>
      </c>
      <c r="B1096" s="62" t="s">
        <v>1219</v>
      </c>
      <c r="C1096" s="62" t="s">
        <v>1220</v>
      </c>
      <c r="D1096" s="63">
        <v>42604</v>
      </c>
      <c r="E1096" s="63">
        <v>48213</v>
      </c>
      <c r="F1096" s="62" t="s">
        <v>1945</v>
      </c>
      <c r="G1096" s="62" t="s">
        <v>1139</v>
      </c>
      <c r="H1096" s="62" t="s">
        <v>443</v>
      </c>
      <c r="I1096" s="64">
        <v>21166.1</v>
      </c>
      <c r="J1096" s="62" t="s">
        <v>939</v>
      </c>
      <c r="K1096" s="62" t="s">
        <v>377</v>
      </c>
      <c r="L1096" s="65"/>
      <c r="M1096" s="62" t="s">
        <v>307</v>
      </c>
      <c r="N1096" s="62" t="s">
        <v>370</v>
      </c>
      <c r="O1096" s="62" t="s">
        <v>371</v>
      </c>
      <c r="P1096" s="62" t="s">
        <v>2421</v>
      </c>
      <c r="Q1096" s="66" t="s">
        <v>1984</v>
      </c>
    </row>
    <row r="1097" spans="1:17" x14ac:dyDescent="0.3">
      <c r="A1097" s="61" t="s">
        <v>2146</v>
      </c>
      <c r="B1097" s="62" t="s">
        <v>1219</v>
      </c>
      <c r="C1097" s="62" t="s">
        <v>1220</v>
      </c>
      <c r="D1097" s="63">
        <v>42604</v>
      </c>
      <c r="E1097" s="63">
        <v>48213</v>
      </c>
      <c r="F1097" s="62" t="s">
        <v>1945</v>
      </c>
      <c r="G1097" s="62" t="s">
        <v>402</v>
      </c>
      <c r="H1097" s="62" t="s">
        <v>443</v>
      </c>
      <c r="I1097" s="64">
        <v>21166.1</v>
      </c>
      <c r="J1097" s="62" t="s">
        <v>939</v>
      </c>
      <c r="K1097" s="62" t="s">
        <v>377</v>
      </c>
      <c r="L1097" s="65"/>
      <c r="M1097" s="62" t="s">
        <v>307</v>
      </c>
      <c r="N1097" s="62" t="s">
        <v>370</v>
      </c>
      <c r="O1097" s="62" t="s">
        <v>371</v>
      </c>
      <c r="P1097" s="62" t="s">
        <v>2421</v>
      </c>
      <c r="Q1097" s="66" t="s">
        <v>1984</v>
      </c>
    </row>
    <row r="1098" spans="1:17" x14ac:dyDescent="0.3">
      <c r="A1098" s="61" t="s">
        <v>2146</v>
      </c>
      <c r="B1098" s="62" t="s">
        <v>1219</v>
      </c>
      <c r="C1098" s="62" t="s">
        <v>1220</v>
      </c>
      <c r="D1098" s="63">
        <v>42604</v>
      </c>
      <c r="E1098" s="63">
        <v>48213</v>
      </c>
      <c r="F1098" s="62" t="s">
        <v>1945</v>
      </c>
      <c r="G1098" s="62" t="s">
        <v>403</v>
      </c>
      <c r="H1098" s="62" t="s">
        <v>443</v>
      </c>
      <c r="I1098" s="64">
        <v>21166.1</v>
      </c>
      <c r="J1098" s="62" t="s">
        <v>939</v>
      </c>
      <c r="K1098" s="62" t="s">
        <v>377</v>
      </c>
      <c r="L1098" s="65"/>
      <c r="M1098" s="62" t="s">
        <v>307</v>
      </c>
      <c r="N1098" s="62" t="s">
        <v>370</v>
      </c>
      <c r="O1098" s="62" t="s">
        <v>371</v>
      </c>
      <c r="P1098" s="62" t="s">
        <v>2421</v>
      </c>
      <c r="Q1098" s="66" t="s">
        <v>1984</v>
      </c>
    </row>
    <row r="1099" spans="1:17" x14ac:dyDescent="0.3">
      <c r="A1099" s="61" t="s">
        <v>2146</v>
      </c>
      <c r="B1099" s="62" t="s">
        <v>1219</v>
      </c>
      <c r="C1099" s="62" t="s">
        <v>1220</v>
      </c>
      <c r="D1099" s="63">
        <v>42604</v>
      </c>
      <c r="E1099" s="63">
        <v>48213</v>
      </c>
      <c r="F1099" s="62" t="s">
        <v>1945</v>
      </c>
      <c r="G1099" s="62" t="s">
        <v>450</v>
      </c>
      <c r="H1099" s="62" t="s">
        <v>443</v>
      </c>
      <c r="I1099" s="64">
        <v>21166.1</v>
      </c>
      <c r="J1099" s="62" t="s">
        <v>939</v>
      </c>
      <c r="K1099" s="62" t="s">
        <v>377</v>
      </c>
      <c r="L1099" s="65"/>
      <c r="M1099" s="62" t="s">
        <v>307</v>
      </c>
      <c r="N1099" s="62" t="s">
        <v>370</v>
      </c>
      <c r="O1099" s="62" t="s">
        <v>371</v>
      </c>
      <c r="P1099" s="62" t="s">
        <v>2421</v>
      </c>
      <c r="Q1099" s="66" t="s">
        <v>1984</v>
      </c>
    </row>
    <row r="1100" spans="1:17" x14ac:dyDescent="0.3">
      <c r="A1100" s="61" t="s">
        <v>2146</v>
      </c>
      <c r="B1100" s="62" t="s">
        <v>1219</v>
      </c>
      <c r="C1100" s="62" t="s">
        <v>1220</v>
      </c>
      <c r="D1100" s="63">
        <v>42604</v>
      </c>
      <c r="E1100" s="63">
        <v>48213</v>
      </c>
      <c r="F1100" s="62" t="s">
        <v>1945</v>
      </c>
      <c r="G1100" s="62" t="s">
        <v>404</v>
      </c>
      <c r="H1100" s="62" t="s">
        <v>443</v>
      </c>
      <c r="I1100" s="64">
        <v>21166.1</v>
      </c>
      <c r="J1100" s="62" t="s">
        <v>939</v>
      </c>
      <c r="K1100" s="62" t="s">
        <v>377</v>
      </c>
      <c r="L1100" s="65"/>
      <c r="M1100" s="62" t="s">
        <v>307</v>
      </c>
      <c r="N1100" s="62" t="s">
        <v>370</v>
      </c>
      <c r="O1100" s="62" t="s">
        <v>371</v>
      </c>
      <c r="P1100" s="62" t="s">
        <v>2421</v>
      </c>
      <c r="Q1100" s="66" t="s">
        <v>1984</v>
      </c>
    </row>
    <row r="1101" spans="1:17" x14ac:dyDescent="0.3">
      <c r="A1101" s="61" t="s">
        <v>2146</v>
      </c>
      <c r="B1101" s="62" t="s">
        <v>1219</v>
      </c>
      <c r="C1101" s="62" t="s">
        <v>1220</v>
      </c>
      <c r="D1101" s="63">
        <v>42604</v>
      </c>
      <c r="E1101" s="63">
        <v>48213</v>
      </c>
      <c r="F1101" s="62" t="s">
        <v>289</v>
      </c>
      <c r="G1101" s="62" t="s">
        <v>575</v>
      </c>
      <c r="H1101" s="62" t="s">
        <v>443</v>
      </c>
      <c r="I1101" s="64">
        <v>52915.25</v>
      </c>
      <c r="J1101" s="62" t="s">
        <v>939</v>
      </c>
      <c r="K1101" s="62" t="s">
        <v>377</v>
      </c>
      <c r="L1101" s="65"/>
      <c r="M1101" s="62" t="s">
        <v>307</v>
      </c>
      <c r="N1101" s="62" t="s">
        <v>370</v>
      </c>
      <c r="O1101" s="62" t="s">
        <v>371</v>
      </c>
      <c r="P1101" s="62" t="s">
        <v>2421</v>
      </c>
      <c r="Q1101" s="66" t="s">
        <v>1984</v>
      </c>
    </row>
    <row r="1102" spans="1:17" x14ac:dyDescent="0.3">
      <c r="A1102" s="61" t="s">
        <v>2146</v>
      </c>
      <c r="B1102" s="62" t="s">
        <v>1219</v>
      </c>
      <c r="C1102" s="62" t="s">
        <v>1220</v>
      </c>
      <c r="D1102" s="63">
        <v>42604</v>
      </c>
      <c r="E1102" s="63">
        <v>48213</v>
      </c>
      <c r="F1102" s="62" t="s">
        <v>289</v>
      </c>
      <c r="G1102" s="62" t="s">
        <v>594</v>
      </c>
      <c r="H1102" s="62" t="s">
        <v>443</v>
      </c>
      <c r="I1102" s="64">
        <v>52915.25</v>
      </c>
      <c r="J1102" s="62" t="s">
        <v>939</v>
      </c>
      <c r="K1102" s="62" t="s">
        <v>377</v>
      </c>
      <c r="L1102" s="65"/>
      <c r="M1102" s="62" t="s">
        <v>307</v>
      </c>
      <c r="N1102" s="62" t="s">
        <v>370</v>
      </c>
      <c r="O1102" s="62" t="s">
        <v>371</v>
      </c>
      <c r="P1102" s="62" t="s">
        <v>2421</v>
      </c>
      <c r="Q1102" s="66" t="s">
        <v>1984</v>
      </c>
    </row>
    <row r="1103" spans="1:17" x14ac:dyDescent="0.3">
      <c r="A1103" s="61" t="s">
        <v>2146</v>
      </c>
      <c r="B1103" s="62" t="s">
        <v>1219</v>
      </c>
      <c r="C1103" s="62" t="s">
        <v>1220</v>
      </c>
      <c r="D1103" s="63">
        <v>42604</v>
      </c>
      <c r="E1103" s="63">
        <v>48213</v>
      </c>
      <c r="F1103" s="62" t="s">
        <v>1958</v>
      </c>
      <c r="G1103" s="62" t="s">
        <v>517</v>
      </c>
      <c r="H1103" s="62" t="s">
        <v>443</v>
      </c>
      <c r="I1103" s="64">
        <v>52915.25</v>
      </c>
      <c r="J1103" s="62" t="s">
        <v>939</v>
      </c>
      <c r="K1103" s="62" t="s">
        <v>377</v>
      </c>
      <c r="L1103" s="65"/>
      <c r="M1103" s="62" t="s">
        <v>307</v>
      </c>
      <c r="N1103" s="62" t="s">
        <v>370</v>
      </c>
      <c r="O1103" s="62" t="s">
        <v>371</v>
      </c>
      <c r="P1103" s="62" t="s">
        <v>2421</v>
      </c>
      <c r="Q1103" s="66" t="s">
        <v>1984</v>
      </c>
    </row>
    <row r="1104" spans="1:17" x14ac:dyDescent="0.3">
      <c r="A1104" s="61" t="s">
        <v>2146</v>
      </c>
      <c r="B1104" s="62" t="s">
        <v>1219</v>
      </c>
      <c r="C1104" s="62" t="s">
        <v>1220</v>
      </c>
      <c r="D1104" s="63">
        <v>42604</v>
      </c>
      <c r="E1104" s="63">
        <v>48213</v>
      </c>
      <c r="F1104" s="62" t="s">
        <v>1958</v>
      </c>
      <c r="G1104" s="62" t="s">
        <v>334</v>
      </c>
      <c r="H1104" s="62" t="s">
        <v>443</v>
      </c>
      <c r="I1104" s="64">
        <v>52915.25</v>
      </c>
      <c r="J1104" s="62" t="s">
        <v>939</v>
      </c>
      <c r="K1104" s="62" t="s">
        <v>377</v>
      </c>
      <c r="L1104" s="65"/>
      <c r="M1104" s="62" t="s">
        <v>307</v>
      </c>
      <c r="N1104" s="62" t="s">
        <v>370</v>
      </c>
      <c r="O1104" s="62" t="s">
        <v>371</v>
      </c>
      <c r="P1104" s="62" t="s">
        <v>2421</v>
      </c>
      <c r="Q1104" s="66" t="s">
        <v>1984</v>
      </c>
    </row>
    <row r="1105" spans="1:17" x14ac:dyDescent="0.3">
      <c r="A1105" s="61" t="s">
        <v>2146</v>
      </c>
      <c r="B1105" s="62" t="s">
        <v>1219</v>
      </c>
      <c r="C1105" s="62" t="s">
        <v>1220</v>
      </c>
      <c r="D1105" s="63">
        <v>42604</v>
      </c>
      <c r="E1105" s="63">
        <v>48213</v>
      </c>
      <c r="F1105" s="62" t="s">
        <v>1936</v>
      </c>
      <c r="G1105" s="62" t="s">
        <v>730</v>
      </c>
      <c r="H1105" s="62" t="s">
        <v>443</v>
      </c>
      <c r="I1105" s="64">
        <v>52915.25</v>
      </c>
      <c r="J1105" s="62" t="s">
        <v>939</v>
      </c>
      <c r="K1105" s="62" t="s">
        <v>377</v>
      </c>
      <c r="L1105" s="65"/>
      <c r="M1105" s="62" t="s">
        <v>307</v>
      </c>
      <c r="N1105" s="62" t="s">
        <v>370</v>
      </c>
      <c r="O1105" s="62" t="s">
        <v>371</v>
      </c>
      <c r="P1105" s="62" t="s">
        <v>2421</v>
      </c>
      <c r="Q1105" s="66" t="s">
        <v>1984</v>
      </c>
    </row>
    <row r="1106" spans="1:17" x14ac:dyDescent="0.3">
      <c r="A1106" s="61" t="s">
        <v>2146</v>
      </c>
      <c r="B1106" s="62" t="s">
        <v>1219</v>
      </c>
      <c r="C1106" s="62" t="s">
        <v>1220</v>
      </c>
      <c r="D1106" s="63">
        <v>42604</v>
      </c>
      <c r="E1106" s="63">
        <v>48213</v>
      </c>
      <c r="F1106" s="62" t="s">
        <v>1936</v>
      </c>
      <c r="G1106" s="62" t="s">
        <v>797</v>
      </c>
      <c r="H1106" s="62" t="s">
        <v>443</v>
      </c>
      <c r="I1106" s="64">
        <v>52915.25</v>
      </c>
      <c r="J1106" s="62" t="s">
        <v>939</v>
      </c>
      <c r="K1106" s="62" t="s">
        <v>377</v>
      </c>
      <c r="L1106" s="65"/>
      <c r="M1106" s="62" t="s">
        <v>307</v>
      </c>
      <c r="N1106" s="62" t="s">
        <v>370</v>
      </c>
      <c r="O1106" s="62" t="s">
        <v>371</v>
      </c>
      <c r="P1106" s="62" t="s">
        <v>2421</v>
      </c>
      <c r="Q1106" s="66" t="s">
        <v>1984</v>
      </c>
    </row>
    <row r="1107" spans="1:17" x14ac:dyDescent="0.3">
      <c r="A1107" s="61" t="s">
        <v>2146</v>
      </c>
      <c r="B1107" s="62" t="s">
        <v>1219</v>
      </c>
      <c r="C1107" s="62" t="s">
        <v>1220</v>
      </c>
      <c r="D1107" s="63">
        <v>42604</v>
      </c>
      <c r="E1107" s="63">
        <v>48213</v>
      </c>
      <c r="F1107" s="62" t="s">
        <v>1931</v>
      </c>
      <c r="G1107" s="62" t="s">
        <v>281</v>
      </c>
      <c r="H1107" s="62" t="s">
        <v>443</v>
      </c>
      <c r="I1107" s="64">
        <v>105830.5</v>
      </c>
      <c r="J1107" s="62" t="s">
        <v>939</v>
      </c>
      <c r="K1107" s="62" t="s">
        <v>377</v>
      </c>
      <c r="L1107" s="65"/>
      <c r="M1107" s="62" t="s">
        <v>307</v>
      </c>
      <c r="N1107" s="62" t="s">
        <v>370</v>
      </c>
      <c r="O1107" s="62" t="s">
        <v>371</v>
      </c>
      <c r="P1107" s="62" t="s">
        <v>2421</v>
      </c>
      <c r="Q1107" s="66" t="s">
        <v>1984</v>
      </c>
    </row>
    <row r="1108" spans="1:17" x14ac:dyDescent="0.3">
      <c r="A1108" s="61" t="s">
        <v>2146</v>
      </c>
      <c r="B1108" s="62" t="s">
        <v>1219</v>
      </c>
      <c r="C1108" s="62" t="s">
        <v>1220</v>
      </c>
      <c r="D1108" s="63">
        <v>42604</v>
      </c>
      <c r="E1108" s="63">
        <v>48213</v>
      </c>
      <c r="F1108" s="62" t="s">
        <v>1943</v>
      </c>
      <c r="G1108" s="62" t="s">
        <v>341</v>
      </c>
      <c r="H1108" s="62" t="s">
        <v>443</v>
      </c>
      <c r="I1108" s="64">
        <v>105830.5</v>
      </c>
      <c r="J1108" s="62" t="s">
        <v>939</v>
      </c>
      <c r="K1108" s="62" t="s">
        <v>377</v>
      </c>
      <c r="L1108" s="65"/>
      <c r="M1108" s="62" t="s">
        <v>307</v>
      </c>
      <c r="N1108" s="62" t="s">
        <v>370</v>
      </c>
      <c r="O1108" s="62" t="s">
        <v>371</v>
      </c>
      <c r="P1108" s="62" t="s">
        <v>2421</v>
      </c>
      <c r="Q1108" s="66" t="s">
        <v>1984</v>
      </c>
    </row>
    <row r="1109" spans="1:17" x14ac:dyDescent="0.3">
      <c r="A1109" s="61" t="s">
        <v>2146</v>
      </c>
      <c r="B1109" s="62" t="s">
        <v>1219</v>
      </c>
      <c r="C1109" s="62" t="s">
        <v>1220</v>
      </c>
      <c r="D1109" s="63">
        <v>42604</v>
      </c>
      <c r="E1109" s="63">
        <v>48213</v>
      </c>
      <c r="F1109" s="62" t="s">
        <v>1944</v>
      </c>
      <c r="G1109" s="62" t="s">
        <v>1127</v>
      </c>
      <c r="H1109" s="62" t="s">
        <v>443</v>
      </c>
      <c r="I1109" s="64">
        <v>105830.5</v>
      </c>
      <c r="J1109" s="62" t="s">
        <v>939</v>
      </c>
      <c r="K1109" s="62" t="s">
        <v>377</v>
      </c>
      <c r="L1109" s="65"/>
      <c r="M1109" s="62" t="s">
        <v>307</v>
      </c>
      <c r="N1109" s="62" t="s">
        <v>370</v>
      </c>
      <c r="O1109" s="62" t="s">
        <v>371</v>
      </c>
      <c r="P1109" s="62" t="s">
        <v>2421</v>
      </c>
      <c r="Q1109" s="66" t="s">
        <v>1984</v>
      </c>
    </row>
    <row r="1110" spans="1:17" x14ac:dyDescent="0.3">
      <c r="A1110" s="61" t="s">
        <v>2146</v>
      </c>
      <c r="B1110" s="62" t="s">
        <v>1219</v>
      </c>
      <c r="C1110" s="62" t="s">
        <v>1220</v>
      </c>
      <c r="D1110" s="63">
        <v>42604</v>
      </c>
      <c r="E1110" s="63">
        <v>48213</v>
      </c>
      <c r="F1110" s="62" t="s">
        <v>284</v>
      </c>
      <c r="G1110" s="62" t="s">
        <v>412</v>
      </c>
      <c r="H1110" s="62" t="s">
        <v>443</v>
      </c>
      <c r="I1110" s="64">
        <v>105830.5</v>
      </c>
      <c r="J1110" s="62" t="s">
        <v>939</v>
      </c>
      <c r="K1110" s="62" t="s">
        <v>377</v>
      </c>
      <c r="L1110" s="65"/>
      <c r="M1110" s="62" t="s">
        <v>307</v>
      </c>
      <c r="N1110" s="62" t="s">
        <v>370</v>
      </c>
      <c r="O1110" s="62" t="s">
        <v>371</v>
      </c>
      <c r="P1110" s="62" t="s">
        <v>2421</v>
      </c>
      <c r="Q1110" s="66" t="s">
        <v>1984</v>
      </c>
    </row>
    <row r="1111" spans="1:17" x14ac:dyDescent="0.3">
      <c r="A1111" s="61" t="s">
        <v>2147</v>
      </c>
      <c r="B1111" s="62" t="s">
        <v>1224</v>
      </c>
      <c r="C1111" s="62" t="s">
        <v>1225</v>
      </c>
      <c r="D1111" s="63">
        <v>44896</v>
      </c>
      <c r="E1111" s="63">
        <v>46752</v>
      </c>
      <c r="F1111" s="62" t="s">
        <v>282</v>
      </c>
      <c r="G1111" s="62" t="s">
        <v>304</v>
      </c>
      <c r="H1111" s="62" t="s">
        <v>345</v>
      </c>
      <c r="I1111" s="64">
        <v>425942</v>
      </c>
      <c r="J1111" s="62" t="s">
        <v>441</v>
      </c>
      <c r="K1111" s="62" t="s">
        <v>345</v>
      </c>
      <c r="L1111" s="65"/>
      <c r="M1111" s="62" t="s">
        <v>424</v>
      </c>
      <c r="N1111" s="62" t="s">
        <v>447</v>
      </c>
      <c r="O1111" s="62" t="s">
        <v>426</v>
      </c>
      <c r="P1111" s="62" t="s">
        <v>2421</v>
      </c>
      <c r="Q1111" s="66" t="s">
        <v>1972</v>
      </c>
    </row>
    <row r="1112" spans="1:17" x14ac:dyDescent="0.3">
      <c r="A1112" s="61" t="s">
        <v>2148</v>
      </c>
      <c r="B1112" s="62" t="s">
        <v>1228</v>
      </c>
      <c r="C1112" s="62" t="s">
        <v>1229</v>
      </c>
      <c r="D1112" s="63">
        <v>45292</v>
      </c>
      <c r="E1112" s="63">
        <v>47118</v>
      </c>
      <c r="F1112" s="62" t="s">
        <v>280</v>
      </c>
      <c r="G1112" s="62" t="s">
        <v>304</v>
      </c>
      <c r="H1112" s="62" t="s">
        <v>489</v>
      </c>
      <c r="I1112" s="64">
        <v>553879</v>
      </c>
      <c r="J1112" s="62" t="s">
        <v>549</v>
      </c>
      <c r="K1112" s="62" t="s">
        <v>489</v>
      </c>
      <c r="L1112" s="65"/>
      <c r="M1112" s="62" t="s">
        <v>1518</v>
      </c>
      <c r="N1112" s="62" t="s">
        <v>1230</v>
      </c>
      <c r="O1112" s="62" t="s">
        <v>459</v>
      </c>
      <c r="P1112" s="62" t="s">
        <v>2421</v>
      </c>
      <c r="Q1112" s="66" t="s">
        <v>1971</v>
      </c>
    </row>
    <row r="1113" spans="1:17" x14ac:dyDescent="0.3">
      <c r="A1113" s="61" t="s">
        <v>2148</v>
      </c>
      <c r="B1113" s="62" t="s">
        <v>1228</v>
      </c>
      <c r="C1113" s="62" t="s">
        <v>1229</v>
      </c>
      <c r="D1113" s="63">
        <v>45292</v>
      </c>
      <c r="E1113" s="63">
        <v>47118</v>
      </c>
      <c r="F1113" s="62" t="s">
        <v>1960</v>
      </c>
      <c r="G1113" s="62" t="s">
        <v>304</v>
      </c>
      <c r="H1113" s="62" t="s">
        <v>489</v>
      </c>
      <c r="I1113" s="64">
        <v>553879</v>
      </c>
      <c r="J1113" s="62" t="s">
        <v>549</v>
      </c>
      <c r="K1113" s="62" t="s">
        <v>489</v>
      </c>
      <c r="L1113" s="65"/>
      <c r="M1113" s="62" t="s">
        <v>1518</v>
      </c>
      <c r="N1113" s="62" t="s">
        <v>1230</v>
      </c>
      <c r="O1113" s="62" t="s">
        <v>459</v>
      </c>
      <c r="P1113" s="62" t="s">
        <v>2421</v>
      </c>
      <c r="Q1113" s="66" t="s">
        <v>1971</v>
      </c>
    </row>
    <row r="1114" spans="1:17" x14ac:dyDescent="0.3">
      <c r="A1114" s="61" t="s">
        <v>2148</v>
      </c>
      <c r="B1114" s="62" t="s">
        <v>1228</v>
      </c>
      <c r="C1114" s="62" t="s">
        <v>1229</v>
      </c>
      <c r="D1114" s="63">
        <v>45292</v>
      </c>
      <c r="E1114" s="63">
        <v>47118</v>
      </c>
      <c r="F1114" s="62" t="s">
        <v>1941</v>
      </c>
      <c r="G1114" s="62" t="s">
        <v>304</v>
      </c>
      <c r="H1114" s="62" t="s">
        <v>489</v>
      </c>
      <c r="I1114" s="64">
        <v>553879</v>
      </c>
      <c r="J1114" s="62" t="s">
        <v>549</v>
      </c>
      <c r="K1114" s="62" t="s">
        <v>489</v>
      </c>
      <c r="L1114" s="65"/>
      <c r="M1114" s="62" t="s">
        <v>1518</v>
      </c>
      <c r="N1114" s="62" t="s">
        <v>1230</v>
      </c>
      <c r="O1114" s="62" t="s">
        <v>459</v>
      </c>
      <c r="P1114" s="62" t="s">
        <v>2421</v>
      </c>
      <c r="Q1114" s="66" t="s">
        <v>1971</v>
      </c>
    </row>
    <row r="1115" spans="1:17" x14ac:dyDescent="0.3">
      <c r="A1115" s="61" t="s">
        <v>2148</v>
      </c>
      <c r="B1115" s="62" t="s">
        <v>1228</v>
      </c>
      <c r="C1115" s="62" t="s">
        <v>1229</v>
      </c>
      <c r="D1115" s="63">
        <v>45292</v>
      </c>
      <c r="E1115" s="63">
        <v>47118</v>
      </c>
      <c r="F1115" s="62" t="s">
        <v>1948</v>
      </c>
      <c r="G1115" s="62" t="s">
        <v>304</v>
      </c>
      <c r="H1115" s="62" t="s">
        <v>489</v>
      </c>
      <c r="I1115" s="64">
        <v>553879</v>
      </c>
      <c r="J1115" s="62" t="s">
        <v>549</v>
      </c>
      <c r="K1115" s="62" t="s">
        <v>489</v>
      </c>
      <c r="L1115" s="65"/>
      <c r="M1115" s="62" t="s">
        <v>1518</v>
      </c>
      <c r="N1115" s="62" t="s">
        <v>1230</v>
      </c>
      <c r="O1115" s="62" t="s">
        <v>459</v>
      </c>
      <c r="P1115" s="62" t="s">
        <v>2421</v>
      </c>
      <c r="Q1115" s="66" t="s">
        <v>1971</v>
      </c>
    </row>
    <row r="1116" spans="1:17" x14ac:dyDescent="0.3">
      <c r="A1116" s="61" t="s">
        <v>2149</v>
      </c>
      <c r="B1116" s="62" t="s">
        <v>1231</v>
      </c>
      <c r="C1116" s="62" t="s">
        <v>1225</v>
      </c>
      <c r="D1116" s="63">
        <v>44896</v>
      </c>
      <c r="E1116" s="63">
        <v>46752</v>
      </c>
      <c r="F1116" s="62" t="s">
        <v>286</v>
      </c>
      <c r="G1116" s="62" t="s">
        <v>476</v>
      </c>
      <c r="H1116" s="62" t="s">
        <v>345</v>
      </c>
      <c r="I1116" s="64">
        <v>3942707.11</v>
      </c>
      <c r="J1116" s="62" t="s">
        <v>441</v>
      </c>
      <c r="K1116" s="62" t="s">
        <v>345</v>
      </c>
      <c r="L1116" s="65"/>
      <c r="M1116" s="62" t="s">
        <v>509</v>
      </c>
      <c r="N1116" s="62" t="s">
        <v>611</v>
      </c>
      <c r="O1116" s="62" t="s">
        <v>375</v>
      </c>
      <c r="P1116" s="62" t="s">
        <v>2421</v>
      </c>
      <c r="Q1116" s="66" t="s">
        <v>2021</v>
      </c>
    </row>
    <row r="1117" spans="1:17" x14ac:dyDescent="0.3">
      <c r="A1117" s="61" t="s">
        <v>2150</v>
      </c>
      <c r="B1117" s="62" t="s">
        <v>1232</v>
      </c>
      <c r="C1117" s="62" t="s">
        <v>1233</v>
      </c>
      <c r="D1117" s="63">
        <v>45315</v>
      </c>
      <c r="E1117" s="63">
        <v>46045</v>
      </c>
      <c r="F1117" s="62" t="s">
        <v>1930</v>
      </c>
      <c r="G1117" s="62" t="s">
        <v>723</v>
      </c>
      <c r="H1117" s="62" t="s">
        <v>2427</v>
      </c>
      <c r="I1117" s="64">
        <v>28554</v>
      </c>
      <c r="J1117" s="62" t="s">
        <v>2476</v>
      </c>
      <c r="K1117" s="62" t="s">
        <v>2477</v>
      </c>
      <c r="L1117" s="65"/>
      <c r="M1117" s="62" t="s">
        <v>825</v>
      </c>
      <c r="N1117" s="62" t="s">
        <v>374</v>
      </c>
      <c r="O1117" s="62" t="s">
        <v>375</v>
      </c>
      <c r="P1117" s="62" t="s">
        <v>2421</v>
      </c>
      <c r="Q1117" s="66" t="s">
        <v>1967</v>
      </c>
    </row>
    <row r="1118" spans="1:17" x14ac:dyDescent="0.3">
      <c r="A1118" s="61" t="s">
        <v>2150</v>
      </c>
      <c r="B1118" s="62" t="s">
        <v>1232</v>
      </c>
      <c r="C1118" s="62" t="s">
        <v>1233</v>
      </c>
      <c r="D1118" s="63">
        <v>45315</v>
      </c>
      <c r="E1118" s="63">
        <v>46045</v>
      </c>
      <c r="F1118" s="62" t="s">
        <v>1930</v>
      </c>
      <c r="G1118" s="62" t="s">
        <v>723</v>
      </c>
      <c r="H1118" s="62" t="s">
        <v>2427</v>
      </c>
      <c r="I1118" s="64">
        <v>136287</v>
      </c>
      <c r="J1118" s="62" t="s">
        <v>1094</v>
      </c>
      <c r="K1118" s="62" t="s">
        <v>2477</v>
      </c>
      <c r="L1118" s="65"/>
      <c r="M1118" s="62" t="s">
        <v>825</v>
      </c>
      <c r="N1118" s="62" t="s">
        <v>374</v>
      </c>
      <c r="O1118" s="62" t="s">
        <v>375</v>
      </c>
      <c r="P1118" s="62" t="s">
        <v>2421</v>
      </c>
      <c r="Q1118" s="66" t="s">
        <v>1967</v>
      </c>
    </row>
    <row r="1119" spans="1:17" x14ac:dyDescent="0.3">
      <c r="A1119" s="61" t="s">
        <v>2150</v>
      </c>
      <c r="B1119" s="62" t="s">
        <v>1232</v>
      </c>
      <c r="C1119" s="62" t="s">
        <v>1233</v>
      </c>
      <c r="D1119" s="63">
        <v>45315</v>
      </c>
      <c r="E1119" s="63">
        <v>46045</v>
      </c>
      <c r="F1119" s="62" t="s">
        <v>1930</v>
      </c>
      <c r="G1119" s="62" t="s">
        <v>723</v>
      </c>
      <c r="H1119" s="62" t="s">
        <v>2427</v>
      </c>
      <c r="I1119" s="64">
        <v>98126</v>
      </c>
      <c r="J1119" s="62" t="s">
        <v>2468</v>
      </c>
      <c r="K1119" s="62" t="s">
        <v>2477</v>
      </c>
      <c r="L1119" s="65"/>
      <c r="M1119" s="62" t="s">
        <v>825</v>
      </c>
      <c r="N1119" s="62" t="s">
        <v>374</v>
      </c>
      <c r="O1119" s="62" t="s">
        <v>375</v>
      </c>
      <c r="P1119" s="62" t="s">
        <v>2421</v>
      </c>
      <c r="Q1119" s="66" t="s">
        <v>1967</v>
      </c>
    </row>
    <row r="1120" spans="1:17" x14ac:dyDescent="0.3">
      <c r="A1120" s="61" t="s">
        <v>2150</v>
      </c>
      <c r="B1120" s="62" t="s">
        <v>1232</v>
      </c>
      <c r="C1120" s="62" t="s">
        <v>1233</v>
      </c>
      <c r="D1120" s="63">
        <v>45315</v>
      </c>
      <c r="E1120" s="63">
        <v>46045</v>
      </c>
      <c r="F1120" s="62" t="s">
        <v>1930</v>
      </c>
      <c r="G1120" s="62" t="s">
        <v>723</v>
      </c>
      <c r="H1120" s="62" t="s">
        <v>2427</v>
      </c>
      <c r="I1120" s="64">
        <v>20767</v>
      </c>
      <c r="J1120" s="62" t="s">
        <v>2478</v>
      </c>
      <c r="K1120" s="62" t="s">
        <v>2477</v>
      </c>
      <c r="L1120" s="65"/>
      <c r="M1120" s="62" t="s">
        <v>825</v>
      </c>
      <c r="N1120" s="62" t="s">
        <v>374</v>
      </c>
      <c r="O1120" s="62" t="s">
        <v>375</v>
      </c>
      <c r="P1120" s="62" t="s">
        <v>2421</v>
      </c>
      <c r="Q1120" s="66" t="s">
        <v>1967</v>
      </c>
    </row>
    <row r="1121" spans="1:17" x14ac:dyDescent="0.3">
      <c r="A1121" s="61" t="s">
        <v>2150</v>
      </c>
      <c r="B1121" s="62" t="s">
        <v>1232</v>
      </c>
      <c r="C1121" s="62" t="s">
        <v>1233</v>
      </c>
      <c r="D1121" s="63">
        <v>45315</v>
      </c>
      <c r="E1121" s="63">
        <v>46045</v>
      </c>
      <c r="F1121" s="62" t="s">
        <v>1930</v>
      </c>
      <c r="G1121" s="62" t="s">
        <v>723</v>
      </c>
      <c r="H1121" s="62" t="s">
        <v>2426</v>
      </c>
      <c r="I1121" s="64">
        <v>20767</v>
      </c>
      <c r="J1121" s="62" t="s">
        <v>2479</v>
      </c>
      <c r="K1121" s="62" t="s">
        <v>2477</v>
      </c>
      <c r="L1121" s="65"/>
      <c r="M1121" s="62" t="s">
        <v>825</v>
      </c>
      <c r="N1121" s="62" t="s">
        <v>374</v>
      </c>
      <c r="O1121" s="62" t="s">
        <v>375</v>
      </c>
      <c r="P1121" s="62" t="s">
        <v>2421</v>
      </c>
      <c r="Q1121" s="66" t="s">
        <v>1967</v>
      </c>
    </row>
    <row r="1122" spans="1:17" x14ac:dyDescent="0.3">
      <c r="A1122" s="61" t="s">
        <v>2151</v>
      </c>
      <c r="B1122" s="62" t="s">
        <v>1234</v>
      </c>
      <c r="C1122" s="62" t="s">
        <v>1235</v>
      </c>
      <c r="D1122" s="63">
        <v>43839</v>
      </c>
      <c r="E1122" s="63">
        <v>46387</v>
      </c>
      <c r="F1122" s="62" t="s">
        <v>1940</v>
      </c>
      <c r="G1122" s="62" t="s">
        <v>304</v>
      </c>
      <c r="H1122" s="62" t="s">
        <v>351</v>
      </c>
      <c r="I1122" s="64">
        <v>2397500</v>
      </c>
      <c r="J1122" s="62" t="s">
        <v>1236</v>
      </c>
      <c r="K1122" s="62" t="s">
        <v>1957</v>
      </c>
      <c r="L1122" s="65"/>
      <c r="M1122" s="62" t="s">
        <v>457</v>
      </c>
      <c r="N1122" s="62" t="s">
        <v>458</v>
      </c>
      <c r="O1122" s="62" t="s">
        <v>459</v>
      </c>
      <c r="P1122" s="62" t="s">
        <v>2421</v>
      </c>
      <c r="Q1122" s="66" t="s">
        <v>1971</v>
      </c>
    </row>
    <row r="1123" spans="1:17" x14ac:dyDescent="0.3">
      <c r="A1123" s="61" t="s">
        <v>2151</v>
      </c>
      <c r="B1123" s="62" t="s">
        <v>1234</v>
      </c>
      <c r="C1123" s="62" t="s">
        <v>1235</v>
      </c>
      <c r="D1123" s="63">
        <v>43839</v>
      </c>
      <c r="E1123" s="63">
        <v>46387</v>
      </c>
      <c r="F1123" s="62" t="s">
        <v>1922</v>
      </c>
      <c r="G1123" s="62" t="s">
        <v>304</v>
      </c>
      <c r="H1123" s="62" t="s">
        <v>351</v>
      </c>
      <c r="I1123" s="64">
        <v>2397500</v>
      </c>
      <c r="J1123" s="62" t="s">
        <v>1236</v>
      </c>
      <c r="K1123" s="62" t="s">
        <v>1957</v>
      </c>
      <c r="L1123" s="65"/>
      <c r="M1123" s="62" t="s">
        <v>457</v>
      </c>
      <c r="N1123" s="62" t="s">
        <v>458</v>
      </c>
      <c r="O1123" s="62" t="s">
        <v>459</v>
      </c>
      <c r="P1123" s="62" t="s">
        <v>2421</v>
      </c>
      <c r="Q1123" s="66" t="s">
        <v>1971</v>
      </c>
    </row>
    <row r="1124" spans="1:17" x14ac:dyDescent="0.3">
      <c r="A1124" s="61" t="s">
        <v>2151</v>
      </c>
      <c r="B1124" s="62" t="s">
        <v>1234</v>
      </c>
      <c r="C1124" s="62" t="s">
        <v>1235</v>
      </c>
      <c r="D1124" s="63">
        <v>43839</v>
      </c>
      <c r="E1124" s="63">
        <v>46387</v>
      </c>
      <c r="F1124" s="62" t="s">
        <v>1934</v>
      </c>
      <c r="G1124" s="62" t="s">
        <v>304</v>
      </c>
      <c r="H1124" s="62" t="s">
        <v>351</v>
      </c>
      <c r="I1124" s="64">
        <v>2397500</v>
      </c>
      <c r="J1124" s="62" t="s">
        <v>1236</v>
      </c>
      <c r="K1124" s="62" t="s">
        <v>1957</v>
      </c>
      <c r="L1124" s="65"/>
      <c r="M1124" s="62" t="s">
        <v>457</v>
      </c>
      <c r="N1124" s="62" t="s">
        <v>458</v>
      </c>
      <c r="O1124" s="62" t="s">
        <v>459</v>
      </c>
      <c r="P1124" s="62" t="s">
        <v>2421</v>
      </c>
      <c r="Q1124" s="66" t="s">
        <v>1971</v>
      </c>
    </row>
    <row r="1125" spans="1:17" x14ac:dyDescent="0.3">
      <c r="A1125" s="61" t="s">
        <v>2151</v>
      </c>
      <c r="B1125" s="62" t="s">
        <v>1234</v>
      </c>
      <c r="C1125" s="62" t="s">
        <v>1235</v>
      </c>
      <c r="D1125" s="63">
        <v>43839</v>
      </c>
      <c r="E1125" s="63">
        <v>46387</v>
      </c>
      <c r="F1125" s="62" t="s">
        <v>1930</v>
      </c>
      <c r="G1125" s="62" t="s">
        <v>304</v>
      </c>
      <c r="H1125" s="62" t="s">
        <v>351</v>
      </c>
      <c r="I1125" s="64">
        <v>2397500</v>
      </c>
      <c r="J1125" s="62" t="s">
        <v>1236</v>
      </c>
      <c r="K1125" s="62" t="s">
        <v>1957</v>
      </c>
      <c r="L1125" s="65"/>
      <c r="M1125" s="62" t="s">
        <v>457</v>
      </c>
      <c r="N1125" s="62" t="s">
        <v>458</v>
      </c>
      <c r="O1125" s="62" t="s">
        <v>459</v>
      </c>
      <c r="P1125" s="62" t="s">
        <v>2421</v>
      </c>
      <c r="Q1125" s="66" t="s">
        <v>1971</v>
      </c>
    </row>
    <row r="1126" spans="1:17" x14ac:dyDescent="0.3">
      <c r="A1126" s="61" t="s">
        <v>2151</v>
      </c>
      <c r="B1126" s="62" t="s">
        <v>1234</v>
      </c>
      <c r="C1126" s="62" t="s">
        <v>1235</v>
      </c>
      <c r="D1126" s="63">
        <v>43839</v>
      </c>
      <c r="E1126" s="63">
        <v>46387</v>
      </c>
      <c r="F1126" s="62" t="s">
        <v>1938</v>
      </c>
      <c r="G1126" s="62" t="s">
        <v>304</v>
      </c>
      <c r="H1126" s="62" t="s">
        <v>351</v>
      </c>
      <c r="I1126" s="64">
        <v>2397500</v>
      </c>
      <c r="J1126" s="62" t="s">
        <v>1236</v>
      </c>
      <c r="K1126" s="62" t="s">
        <v>1957</v>
      </c>
      <c r="L1126" s="65"/>
      <c r="M1126" s="62" t="s">
        <v>457</v>
      </c>
      <c r="N1126" s="62" t="s">
        <v>458</v>
      </c>
      <c r="O1126" s="62" t="s">
        <v>459</v>
      </c>
      <c r="P1126" s="62" t="s">
        <v>2421</v>
      </c>
      <c r="Q1126" s="66" t="s">
        <v>1971</v>
      </c>
    </row>
    <row r="1127" spans="1:17" x14ac:dyDescent="0.3">
      <c r="A1127" s="61" t="s">
        <v>2151</v>
      </c>
      <c r="B1127" s="62" t="s">
        <v>1234</v>
      </c>
      <c r="C1127" s="62" t="s">
        <v>1235</v>
      </c>
      <c r="D1127" s="63">
        <v>43839</v>
      </c>
      <c r="E1127" s="63">
        <v>46387</v>
      </c>
      <c r="F1127" s="62" t="s">
        <v>1941</v>
      </c>
      <c r="G1127" s="62" t="s">
        <v>304</v>
      </c>
      <c r="H1127" s="62" t="s">
        <v>351</v>
      </c>
      <c r="I1127" s="64">
        <v>2397500</v>
      </c>
      <c r="J1127" s="62" t="s">
        <v>1236</v>
      </c>
      <c r="K1127" s="62" t="s">
        <v>1957</v>
      </c>
      <c r="L1127" s="65"/>
      <c r="M1127" s="62" t="s">
        <v>457</v>
      </c>
      <c r="N1127" s="62" t="s">
        <v>458</v>
      </c>
      <c r="O1127" s="62" t="s">
        <v>459</v>
      </c>
      <c r="P1127" s="62" t="s">
        <v>2421</v>
      </c>
      <c r="Q1127" s="66" t="s">
        <v>1971</v>
      </c>
    </row>
    <row r="1128" spans="1:17" x14ac:dyDescent="0.3">
      <c r="A1128" s="61" t="s">
        <v>2151</v>
      </c>
      <c r="B1128" s="62" t="s">
        <v>1234</v>
      </c>
      <c r="C1128" s="62" t="s">
        <v>1235</v>
      </c>
      <c r="D1128" s="63">
        <v>43839</v>
      </c>
      <c r="E1128" s="63">
        <v>46387</v>
      </c>
      <c r="F1128" s="62" t="s">
        <v>1940</v>
      </c>
      <c r="G1128" s="62" t="s">
        <v>304</v>
      </c>
      <c r="H1128" s="62" t="s">
        <v>533</v>
      </c>
      <c r="I1128" s="64">
        <v>1985833.33333333</v>
      </c>
      <c r="J1128" s="62" t="s">
        <v>827</v>
      </c>
      <c r="K1128" s="62" t="s">
        <v>1957</v>
      </c>
      <c r="L1128" s="65"/>
      <c r="M1128" s="62" t="s">
        <v>457</v>
      </c>
      <c r="N1128" s="62" t="s">
        <v>458</v>
      </c>
      <c r="O1128" s="62" t="s">
        <v>459</v>
      </c>
      <c r="P1128" s="62" t="s">
        <v>2421</v>
      </c>
      <c r="Q1128" s="66" t="s">
        <v>1971</v>
      </c>
    </row>
    <row r="1129" spans="1:17" x14ac:dyDescent="0.3">
      <c r="A1129" s="61" t="s">
        <v>2151</v>
      </c>
      <c r="B1129" s="62" t="s">
        <v>1234</v>
      </c>
      <c r="C1129" s="62" t="s">
        <v>1235</v>
      </c>
      <c r="D1129" s="63">
        <v>43839</v>
      </c>
      <c r="E1129" s="63">
        <v>46387</v>
      </c>
      <c r="F1129" s="62" t="s">
        <v>1922</v>
      </c>
      <c r="G1129" s="62" t="s">
        <v>304</v>
      </c>
      <c r="H1129" s="62" t="s">
        <v>533</v>
      </c>
      <c r="I1129" s="64">
        <v>1985833.33333333</v>
      </c>
      <c r="J1129" s="62" t="s">
        <v>827</v>
      </c>
      <c r="K1129" s="62" t="s">
        <v>1957</v>
      </c>
      <c r="L1129" s="65"/>
      <c r="M1129" s="62" t="s">
        <v>457</v>
      </c>
      <c r="N1129" s="62" t="s">
        <v>458</v>
      </c>
      <c r="O1129" s="62" t="s">
        <v>459</v>
      </c>
      <c r="P1129" s="62" t="s">
        <v>2421</v>
      </c>
      <c r="Q1129" s="66" t="s">
        <v>1971</v>
      </c>
    </row>
    <row r="1130" spans="1:17" x14ac:dyDescent="0.3">
      <c r="A1130" s="61" t="s">
        <v>2151</v>
      </c>
      <c r="B1130" s="62" t="s">
        <v>1234</v>
      </c>
      <c r="C1130" s="62" t="s">
        <v>1235</v>
      </c>
      <c r="D1130" s="63">
        <v>43839</v>
      </c>
      <c r="E1130" s="63">
        <v>46387</v>
      </c>
      <c r="F1130" s="62" t="s">
        <v>1934</v>
      </c>
      <c r="G1130" s="62" t="s">
        <v>304</v>
      </c>
      <c r="H1130" s="62" t="s">
        <v>533</v>
      </c>
      <c r="I1130" s="64">
        <v>1985833.33333333</v>
      </c>
      <c r="J1130" s="62" t="s">
        <v>827</v>
      </c>
      <c r="K1130" s="62" t="s">
        <v>1957</v>
      </c>
      <c r="L1130" s="65"/>
      <c r="M1130" s="62" t="s">
        <v>457</v>
      </c>
      <c r="N1130" s="62" t="s">
        <v>458</v>
      </c>
      <c r="O1130" s="62" t="s">
        <v>459</v>
      </c>
      <c r="P1130" s="62" t="s">
        <v>2421</v>
      </c>
      <c r="Q1130" s="66" t="s">
        <v>1971</v>
      </c>
    </row>
    <row r="1131" spans="1:17" x14ac:dyDescent="0.3">
      <c r="A1131" s="61" t="s">
        <v>2151</v>
      </c>
      <c r="B1131" s="62" t="s">
        <v>1234</v>
      </c>
      <c r="C1131" s="62" t="s">
        <v>1235</v>
      </c>
      <c r="D1131" s="63">
        <v>43839</v>
      </c>
      <c r="E1131" s="63">
        <v>46387</v>
      </c>
      <c r="F1131" s="62" t="s">
        <v>1930</v>
      </c>
      <c r="G1131" s="62" t="s">
        <v>304</v>
      </c>
      <c r="H1131" s="62" t="s">
        <v>533</v>
      </c>
      <c r="I1131" s="64">
        <v>1985833.33333333</v>
      </c>
      <c r="J1131" s="62" t="s">
        <v>827</v>
      </c>
      <c r="K1131" s="62" t="s">
        <v>1957</v>
      </c>
      <c r="L1131" s="65"/>
      <c r="M1131" s="62" t="s">
        <v>457</v>
      </c>
      <c r="N1131" s="62" t="s">
        <v>458</v>
      </c>
      <c r="O1131" s="62" t="s">
        <v>459</v>
      </c>
      <c r="P1131" s="62" t="s">
        <v>2421</v>
      </c>
      <c r="Q1131" s="66" t="s">
        <v>1971</v>
      </c>
    </row>
    <row r="1132" spans="1:17" x14ac:dyDescent="0.3">
      <c r="A1132" s="61" t="s">
        <v>2151</v>
      </c>
      <c r="B1132" s="62" t="s">
        <v>1234</v>
      </c>
      <c r="C1132" s="62" t="s">
        <v>1235</v>
      </c>
      <c r="D1132" s="63">
        <v>43839</v>
      </c>
      <c r="E1132" s="63">
        <v>46387</v>
      </c>
      <c r="F1132" s="62" t="s">
        <v>1938</v>
      </c>
      <c r="G1132" s="62" t="s">
        <v>304</v>
      </c>
      <c r="H1132" s="62" t="s">
        <v>533</v>
      </c>
      <c r="I1132" s="64">
        <v>1985833.33333333</v>
      </c>
      <c r="J1132" s="62" t="s">
        <v>827</v>
      </c>
      <c r="K1132" s="62" t="s">
        <v>1957</v>
      </c>
      <c r="L1132" s="65"/>
      <c r="M1132" s="62" t="s">
        <v>457</v>
      </c>
      <c r="N1132" s="62" t="s">
        <v>458</v>
      </c>
      <c r="O1132" s="62" t="s">
        <v>459</v>
      </c>
      <c r="P1132" s="62" t="s">
        <v>2421</v>
      </c>
      <c r="Q1132" s="66" t="s">
        <v>1971</v>
      </c>
    </row>
    <row r="1133" spans="1:17" x14ac:dyDescent="0.3">
      <c r="A1133" s="61" t="s">
        <v>2151</v>
      </c>
      <c r="B1133" s="62" t="s">
        <v>1234</v>
      </c>
      <c r="C1133" s="62" t="s">
        <v>1235</v>
      </c>
      <c r="D1133" s="63">
        <v>43839</v>
      </c>
      <c r="E1133" s="63">
        <v>46387</v>
      </c>
      <c r="F1133" s="62" t="s">
        <v>1941</v>
      </c>
      <c r="G1133" s="62" t="s">
        <v>304</v>
      </c>
      <c r="H1133" s="62" t="s">
        <v>533</v>
      </c>
      <c r="I1133" s="64">
        <v>1985833.33333333</v>
      </c>
      <c r="J1133" s="62" t="s">
        <v>827</v>
      </c>
      <c r="K1133" s="62" t="s">
        <v>1957</v>
      </c>
      <c r="L1133" s="65"/>
      <c r="M1133" s="62" t="s">
        <v>457</v>
      </c>
      <c r="N1133" s="62" t="s">
        <v>458</v>
      </c>
      <c r="O1133" s="62" t="s">
        <v>459</v>
      </c>
      <c r="P1133" s="62" t="s">
        <v>2421</v>
      </c>
      <c r="Q1133" s="66" t="s">
        <v>1971</v>
      </c>
    </row>
    <row r="1134" spans="1:17" x14ac:dyDescent="0.3">
      <c r="A1134" s="61" t="s">
        <v>2152</v>
      </c>
      <c r="B1134" s="62" t="s">
        <v>1237</v>
      </c>
      <c r="C1134" s="62" t="s">
        <v>1238</v>
      </c>
      <c r="D1134" s="63">
        <v>45245</v>
      </c>
      <c r="E1134" s="63">
        <v>46037</v>
      </c>
      <c r="F1134" s="62" t="s">
        <v>1921</v>
      </c>
      <c r="G1134" s="62" t="s">
        <v>304</v>
      </c>
      <c r="H1134" s="62" t="s">
        <v>467</v>
      </c>
      <c r="I1134" s="64">
        <v>99461.333333333299</v>
      </c>
      <c r="J1134" s="62" t="s">
        <v>468</v>
      </c>
      <c r="K1134" s="62" t="s">
        <v>467</v>
      </c>
      <c r="L1134" s="65"/>
      <c r="M1134" s="62" t="s">
        <v>2443</v>
      </c>
      <c r="N1134" s="62" t="s">
        <v>1021</v>
      </c>
      <c r="O1134" s="62" t="s">
        <v>571</v>
      </c>
      <c r="P1134" s="62" t="s">
        <v>2421</v>
      </c>
      <c r="Q1134" s="66" t="s">
        <v>2021</v>
      </c>
    </row>
    <row r="1135" spans="1:17" x14ac:dyDescent="0.3">
      <c r="A1135" s="61" t="s">
        <v>2152</v>
      </c>
      <c r="B1135" s="62" t="s">
        <v>1237</v>
      </c>
      <c r="C1135" s="62" t="s">
        <v>1238</v>
      </c>
      <c r="D1135" s="63">
        <v>45245</v>
      </c>
      <c r="E1135" s="63">
        <v>46037</v>
      </c>
      <c r="F1135" s="62" t="s">
        <v>1922</v>
      </c>
      <c r="G1135" s="62" t="s">
        <v>304</v>
      </c>
      <c r="H1135" s="62" t="s">
        <v>467</v>
      </c>
      <c r="I1135" s="64">
        <v>99461.333333333299</v>
      </c>
      <c r="J1135" s="62" t="s">
        <v>468</v>
      </c>
      <c r="K1135" s="62" t="s">
        <v>467</v>
      </c>
      <c r="L1135" s="65"/>
      <c r="M1135" s="62" t="s">
        <v>2443</v>
      </c>
      <c r="N1135" s="62" t="s">
        <v>1021</v>
      </c>
      <c r="O1135" s="62" t="s">
        <v>571</v>
      </c>
      <c r="P1135" s="62" t="s">
        <v>2421</v>
      </c>
      <c r="Q1135" s="66" t="s">
        <v>2021</v>
      </c>
    </row>
    <row r="1136" spans="1:17" x14ac:dyDescent="0.3">
      <c r="A1136" s="61" t="s">
        <v>2152</v>
      </c>
      <c r="B1136" s="62" t="s">
        <v>1237</v>
      </c>
      <c r="C1136" s="62" t="s">
        <v>1238</v>
      </c>
      <c r="D1136" s="63">
        <v>45245</v>
      </c>
      <c r="E1136" s="63">
        <v>46037</v>
      </c>
      <c r="F1136" s="62" t="s">
        <v>1959</v>
      </c>
      <c r="G1136" s="62" t="s">
        <v>304</v>
      </c>
      <c r="H1136" s="62" t="s">
        <v>467</v>
      </c>
      <c r="I1136" s="64">
        <v>99461.333333333299</v>
      </c>
      <c r="J1136" s="62" t="s">
        <v>468</v>
      </c>
      <c r="K1136" s="62" t="s">
        <v>467</v>
      </c>
      <c r="L1136" s="65"/>
      <c r="M1136" s="62" t="s">
        <v>2443</v>
      </c>
      <c r="N1136" s="62" t="s">
        <v>1021</v>
      </c>
      <c r="O1136" s="62" t="s">
        <v>571</v>
      </c>
      <c r="P1136" s="62" t="s">
        <v>2421</v>
      </c>
      <c r="Q1136" s="66" t="s">
        <v>2021</v>
      </c>
    </row>
    <row r="1137" spans="1:17" x14ac:dyDescent="0.3">
      <c r="A1137" s="61" t="s">
        <v>2152</v>
      </c>
      <c r="B1137" s="62" t="s">
        <v>1237</v>
      </c>
      <c r="C1137" s="62" t="s">
        <v>1238</v>
      </c>
      <c r="D1137" s="63">
        <v>45245</v>
      </c>
      <c r="E1137" s="63">
        <v>46037</v>
      </c>
      <c r="F1137" s="62" t="s">
        <v>1936</v>
      </c>
      <c r="G1137" s="62" t="s">
        <v>304</v>
      </c>
      <c r="H1137" s="62" t="s">
        <v>467</v>
      </c>
      <c r="I1137" s="64">
        <v>99461.333333333299</v>
      </c>
      <c r="J1137" s="62" t="s">
        <v>468</v>
      </c>
      <c r="K1137" s="62" t="s">
        <v>467</v>
      </c>
      <c r="L1137" s="65"/>
      <c r="M1137" s="62" t="s">
        <v>2443</v>
      </c>
      <c r="N1137" s="62" t="s">
        <v>1021</v>
      </c>
      <c r="O1137" s="62" t="s">
        <v>571</v>
      </c>
      <c r="P1137" s="62" t="s">
        <v>2421</v>
      </c>
      <c r="Q1137" s="66" t="s">
        <v>2021</v>
      </c>
    </row>
    <row r="1138" spans="1:17" x14ac:dyDescent="0.3">
      <c r="A1138" s="61" t="s">
        <v>2152</v>
      </c>
      <c r="B1138" s="62" t="s">
        <v>1237</v>
      </c>
      <c r="C1138" s="62" t="s">
        <v>1238</v>
      </c>
      <c r="D1138" s="63">
        <v>45245</v>
      </c>
      <c r="E1138" s="63">
        <v>46037</v>
      </c>
      <c r="F1138" s="62" t="s">
        <v>287</v>
      </c>
      <c r="G1138" s="62" t="s">
        <v>304</v>
      </c>
      <c r="H1138" s="62" t="s">
        <v>467</v>
      </c>
      <c r="I1138" s="64">
        <v>99461.333333333299</v>
      </c>
      <c r="J1138" s="62" t="s">
        <v>468</v>
      </c>
      <c r="K1138" s="62" t="s">
        <v>467</v>
      </c>
      <c r="L1138" s="65"/>
      <c r="M1138" s="62" t="s">
        <v>2443</v>
      </c>
      <c r="N1138" s="62" t="s">
        <v>1021</v>
      </c>
      <c r="O1138" s="62" t="s">
        <v>571</v>
      </c>
      <c r="P1138" s="62" t="s">
        <v>2421</v>
      </c>
      <c r="Q1138" s="66" t="s">
        <v>2021</v>
      </c>
    </row>
    <row r="1139" spans="1:17" x14ac:dyDescent="0.3">
      <c r="A1139" s="61" t="s">
        <v>2152</v>
      </c>
      <c r="B1139" s="62" t="s">
        <v>1237</v>
      </c>
      <c r="C1139" s="62" t="s">
        <v>1238</v>
      </c>
      <c r="D1139" s="63">
        <v>45245</v>
      </c>
      <c r="E1139" s="63">
        <v>46037</v>
      </c>
      <c r="F1139" s="62" t="s">
        <v>1945</v>
      </c>
      <c r="G1139" s="62" t="s">
        <v>304</v>
      </c>
      <c r="H1139" s="62" t="s">
        <v>467</v>
      </c>
      <c r="I1139" s="64">
        <v>99461.333333333299</v>
      </c>
      <c r="J1139" s="62" t="s">
        <v>468</v>
      </c>
      <c r="K1139" s="62" t="s">
        <v>467</v>
      </c>
      <c r="L1139" s="65"/>
      <c r="M1139" s="62" t="s">
        <v>2443</v>
      </c>
      <c r="N1139" s="62" t="s">
        <v>1021</v>
      </c>
      <c r="O1139" s="62" t="s">
        <v>571</v>
      </c>
      <c r="P1139" s="62" t="s">
        <v>2421</v>
      </c>
      <c r="Q1139" s="66" t="s">
        <v>2021</v>
      </c>
    </row>
    <row r="1140" spans="1:17" x14ac:dyDescent="0.3">
      <c r="A1140" s="61" t="s">
        <v>2152</v>
      </c>
      <c r="B1140" s="62" t="s">
        <v>1237</v>
      </c>
      <c r="C1140" s="62" t="s">
        <v>1238</v>
      </c>
      <c r="D1140" s="63">
        <v>45245</v>
      </c>
      <c r="E1140" s="63">
        <v>46037</v>
      </c>
      <c r="F1140" s="62" t="s">
        <v>1921</v>
      </c>
      <c r="G1140" s="62" t="s">
        <v>304</v>
      </c>
      <c r="H1140" s="62" t="s">
        <v>2427</v>
      </c>
      <c r="I1140" s="64">
        <v>1665.3333333333301</v>
      </c>
      <c r="J1140" s="62" t="s">
        <v>2480</v>
      </c>
      <c r="K1140" s="62" t="s">
        <v>467</v>
      </c>
      <c r="L1140" s="65"/>
      <c r="M1140" s="62" t="s">
        <v>2443</v>
      </c>
      <c r="N1140" s="62" t="s">
        <v>1021</v>
      </c>
      <c r="O1140" s="62" t="s">
        <v>571</v>
      </c>
      <c r="P1140" s="62" t="s">
        <v>2421</v>
      </c>
      <c r="Q1140" s="66" t="s">
        <v>2021</v>
      </c>
    </row>
    <row r="1141" spans="1:17" x14ac:dyDescent="0.3">
      <c r="A1141" s="61" t="s">
        <v>2152</v>
      </c>
      <c r="B1141" s="62" t="s">
        <v>1237</v>
      </c>
      <c r="C1141" s="62" t="s">
        <v>1238</v>
      </c>
      <c r="D1141" s="63">
        <v>45245</v>
      </c>
      <c r="E1141" s="63">
        <v>46037</v>
      </c>
      <c r="F1141" s="62" t="s">
        <v>1922</v>
      </c>
      <c r="G1141" s="62" t="s">
        <v>304</v>
      </c>
      <c r="H1141" s="62" t="s">
        <v>2427</v>
      </c>
      <c r="I1141" s="64">
        <v>1665.3333333333301</v>
      </c>
      <c r="J1141" s="62" t="s">
        <v>2480</v>
      </c>
      <c r="K1141" s="62" t="s">
        <v>467</v>
      </c>
      <c r="L1141" s="65"/>
      <c r="M1141" s="62" t="s">
        <v>2443</v>
      </c>
      <c r="N1141" s="62" t="s">
        <v>1021</v>
      </c>
      <c r="O1141" s="62" t="s">
        <v>571</v>
      </c>
      <c r="P1141" s="62" t="s">
        <v>2421</v>
      </c>
      <c r="Q1141" s="66" t="s">
        <v>2021</v>
      </c>
    </row>
    <row r="1142" spans="1:17" x14ac:dyDescent="0.3">
      <c r="A1142" s="61" t="s">
        <v>2152</v>
      </c>
      <c r="B1142" s="62" t="s">
        <v>1237</v>
      </c>
      <c r="C1142" s="62" t="s">
        <v>1238</v>
      </c>
      <c r="D1142" s="63">
        <v>45245</v>
      </c>
      <c r="E1142" s="63">
        <v>46037</v>
      </c>
      <c r="F1142" s="62" t="s">
        <v>1959</v>
      </c>
      <c r="G1142" s="62" t="s">
        <v>304</v>
      </c>
      <c r="H1142" s="62" t="s">
        <v>2427</v>
      </c>
      <c r="I1142" s="64">
        <v>1665.3333333333301</v>
      </c>
      <c r="J1142" s="62" t="s">
        <v>2480</v>
      </c>
      <c r="K1142" s="62" t="s">
        <v>467</v>
      </c>
      <c r="L1142" s="65"/>
      <c r="M1142" s="62" t="s">
        <v>2443</v>
      </c>
      <c r="N1142" s="62" t="s">
        <v>1021</v>
      </c>
      <c r="O1142" s="62" t="s">
        <v>571</v>
      </c>
      <c r="P1142" s="62" t="s">
        <v>2421</v>
      </c>
      <c r="Q1142" s="66" t="s">
        <v>2021</v>
      </c>
    </row>
    <row r="1143" spans="1:17" x14ac:dyDescent="0.3">
      <c r="A1143" s="61" t="s">
        <v>2152</v>
      </c>
      <c r="B1143" s="62" t="s">
        <v>1237</v>
      </c>
      <c r="C1143" s="62" t="s">
        <v>1238</v>
      </c>
      <c r="D1143" s="63">
        <v>45245</v>
      </c>
      <c r="E1143" s="63">
        <v>46037</v>
      </c>
      <c r="F1143" s="62" t="s">
        <v>1936</v>
      </c>
      <c r="G1143" s="62" t="s">
        <v>304</v>
      </c>
      <c r="H1143" s="62" t="s">
        <v>2427</v>
      </c>
      <c r="I1143" s="64">
        <v>1665.3333333333301</v>
      </c>
      <c r="J1143" s="62" t="s">
        <v>2480</v>
      </c>
      <c r="K1143" s="62" t="s">
        <v>467</v>
      </c>
      <c r="L1143" s="65"/>
      <c r="M1143" s="62" t="s">
        <v>2443</v>
      </c>
      <c r="N1143" s="62" t="s">
        <v>1021</v>
      </c>
      <c r="O1143" s="62" t="s">
        <v>571</v>
      </c>
      <c r="P1143" s="62" t="s">
        <v>2421</v>
      </c>
      <c r="Q1143" s="66" t="s">
        <v>2021</v>
      </c>
    </row>
    <row r="1144" spans="1:17" x14ac:dyDescent="0.3">
      <c r="A1144" s="61" t="s">
        <v>2152</v>
      </c>
      <c r="B1144" s="62" t="s">
        <v>1237</v>
      </c>
      <c r="C1144" s="62" t="s">
        <v>1238</v>
      </c>
      <c r="D1144" s="63">
        <v>45245</v>
      </c>
      <c r="E1144" s="63">
        <v>46037</v>
      </c>
      <c r="F1144" s="62" t="s">
        <v>287</v>
      </c>
      <c r="G1144" s="62" t="s">
        <v>304</v>
      </c>
      <c r="H1144" s="62" t="s">
        <v>2427</v>
      </c>
      <c r="I1144" s="64">
        <v>1665.3333333333301</v>
      </c>
      <c r="J1144" s="62" t="s">
        <v>2480</v>
      </c>
      <c r="K1144" s="62" t="s">
        <v>467</v>
      </c>
      <c r="L1144" s="65"/>
      <c r="M1144" s="62" t="s">
        <v>2443</v>
      </c>
      <c r="N1144" s="62" t="s">
        <v>1021</v>
      </c>
      <c r="O1144" s="62" t="s">
        <v>571</v>
      </c>
      <c r="P1144" s="62" t="s">
        <v>2421</v>
      </c>
      <c r="Q1144" s="66" t="s">
        <v>2021</v>
      </c>
    </row>
    <row r="1145" spans="1:17" x14ac:dyDescent="0.3">
      <c r="A1145" s="61" t="s">
        <v>2152</v>
      </c>
      <c r="B1145" s="62" t="s">
        <v>1237</v>
      </c>
      <c r="C1145" s="62" t="s">
        <v>1238</v>
      </c>
      <c r="D1145" s="63">
        <v>45245</v>
      </c>
      <c r="E1145" s="63">
        <v>46037</v>
      </c>
      <c r="F1145" s="62" t="s">
        <v>1945</v>
      </c>
      <c r="G1145" s="62" t="s">
        <v>304</v>
      </c>
      <c r="H1145" s="62" t="s">
        <v>2427</v>
      </c>
      <c r="I1145" s="64">
        <v>1665.3333333333301</v>
      </c>
      <c r="J1145" s="62" t="s">
        <v>2480</v>
      </c>
      <c r="K1145" s="62" t="s">
        <v>467</v>
      </c>
      <c r="L1145" s="65"/>
      <c r="M1145" s="62" t="s">
        <v>2443</v>
      </c>
      <c r="N1145" s="62" t="s">
        <v>1021</v>
      </c>
      <c r="O1145" s="62" t="s">
        <v>571</v>
      </c>
      <c r="P1145" s="62" t="s">
        <v>2421</v>
      </c>
      <c r="Q1145" s="66" t="s">
        <v>2021</v>
      </c>
    </row>
    <row r="1146" spans="1:17" x14ac:dyDescent="0.3">
      <c r="A1146" s="61" t="s">
        <v>2152</v>
      </c>
      <c r="B1146" s="62" t="s">
        <v>1237</v>
      </c>
      <c r="C1146" s="62" t="s">
        <v>1238</v>
      </c>
      <c r="D1146" s="63">
        <v>45245</v>
      </c>
      <c r="E1146" s="63">
        <v>46037</v>
      </c>
      <c r="F1146" s="62" t="s">
        <v>1921</v>
      </c>
      <c r="G1146" s="62" t="s">
        <v>304</v>
      </c>
      <c r="H1146" s="62" t="s">
        <v>2427</v>
      </c>
      <c r="I1146" s="64">
        <v>24172.166666666701</v>
      </c>
      <c r="J1146" s="62" t="s">
        <v>1239</v>
      </c>
      <c r="K1146" s="62" t="s">
        <v>467</v>
      </c>
      <c r="L1146" s="65"/>
      <c r="M1146" s="62" t="s">
        <v>2443</v>
      </c>
      <c r="N1146" s="62" t="s">
        <v>1021</v>
      </c>
      <c r="O1146" s="62" t="s">
        <v>571</v>
      </c>
      <c r="P1146" s="62" t="s">
        <v>2421</v>
      </c>
      <c r="Q1146" s="66" t="s">
        <v>2021</v>
      </c>
    </row>
    <row r="1147" spans="1:17" x14ac:dyDescent="0.3">
      <c r="A1147" s="61" t="s">
        <v>2152</v>
      </c>
      <c r="B1147" s="62" t="s">
        <v>1237</v>
      </c>
      <c r="C1147" s="62" t="s">
        <v>1238</v>
      </c>
      <c r="D1147" s="63">
        <v>45245</v>
      </c>
      <c r="E1147" s="63">
        <v>46037</v>
      </c>
      <c r="F1147" s="62" t="s">
        <v>1922</v>
      </c>
      <c r="G1147" s="62" t="s">
        <v>304</v>
      </c>
      <c r="H1147" s="62" t="s">
        <v>2427</v>
      </c>
      <c r="I1147" s="64">
        <v>24172.166666666701</v>
      </c>
      <c r="J1147" s="62" t="s">
        <v>1239</v>
      </c>
      <c r="K1147" s="62" t="s">
        <v>467</v>
      </c>
      <c r="L1147" s="65"/>
      <c r="M1147" s="62" t="s">
        <v>2443</v>
      </c>
      <c r="N1147" s="62" t="s">
        <v>1021</v>
      </c>
      <c r="O1147" s="62" t="s">
        <v>571</v>
      </c>
      <c r="P1147" s="62" t="s">
        <v>2421</v>
      </c>
      <c r="Q1147" s="66" t="s">
        <v>2021</v>
      </c>
    </row>
    <row r="1148" spans="1:17" x14ac:dyDescent="0.3">
      <c r="A1148" s="61" t="s">
        <v>2152</v>
      </c>
      <c r="B1148" s="62" t="s">
        <v>1237</v>
      </c>
      <c r="C1148" s="62" t="s">
        <v>1238</v>
      </c>
      <c r="D1148" s="63">
        <v>45245</v>
      </c>
      <c r="E1148" s="63">
        <v>46037</v>
      </c>
      <c r="F1148" s="62" t="s">
        <v>1959</v>
      </c>
      <c r="G1148" s="62" t="s">
        <v>304</v>
      </c>
      <c r="H1148" s="62" t="s">
        <v>2427</v>
      </c>
      <c r="I1148" s="64">
        <v>24172.166666666701</v>
      </c>
      <c r="J1148" s="62" t="s">
        <v>1239</v>
      </c>
      <c r="K1148" s="62" t="s">
        <v>467</v>
      </c>
      <c r="L1148" s="65"/>
      <c r="M1148" s="62" t="s">
        <v>2443</v>
      </c>
      <c r="N1148" s="62" t="s">
        <v>1021</v>
      </c>
      <c r="O1148" s="62" t="s">
        <v>571</v>
      </c>
      <c r="P1148" s="62" t="s">
        <v>2421</v>
      </c>
      <c r="Q1148" s="66" t="s">
        <v>2021</v>
      </c>
    </row>
    <row r="1149" spans="1:17" x14ac:dyDescent="0.3">
      <c r="A1149" s="61" t="s">
        <v>2152</v>
      </c>
      <c r="B1149" s="62" t="s">
        <v>1237</v>
      </c>
      <c r="C1149" s="62" t="s">
        <v>1238</v>
      </c>
      <c r="D1149" s="63">
        <v>45245</v>
      </c>
      <c r="E1149" s="63">
        <v>46037</v>
      </c>
      <c r="F1149" s="62" t="s">
        <v>1936</v>
      </c>
      <c r="G1149" s="62" t="s">
        <v>304</v>
      </c>
      <c r="H1149" s="62" t="s">
        <v>2427</v>
      </c>
      <c r="I1149" s="64">
        <v>24172.166666666701</v>
      </c>
      <c r="J1149" s="62" t="s">
        <v>1239</v>
      </c>
      <c r="K1149" s="62" t="s">
        <v>467</v>
      </c>
      <c r="L1149" s="65"/>
      <c r="M1149" s="62" t="s">
        <v>2443</v>
      </c>
      <c r="N1149" s="62" t="s">
        <v>1021</v>
      </c>
      <c r="O1149" s="62" t="s">
        <v>571</v>
      </c>
      <c r="P1149" s="62" t="s">
        <v>2421</v>
      </c>
      <c r="Q1149" s="66" t="s">
        <v>2021</v>
      </c>
    </row>
    <row r="1150" spans="1:17" x14ac:dyDescent="0.3">
      <c r="A1150" s="61" t="s">
        <v>2152</v>
      </c>
      <c r="B1150" s="62" t="s">
        <v>1237</v>
      </c>
      <c r="C1150" s="62" t="s">
        <v>1238</v>
      </c>
      <c r="D1150" s="63">
        <v>45245</v>
      </c>
      <c r="E1150" s="63">
        <v>46037</v>
      </c>
      <c r="F1150" s="62" t="s">
        <v>287</v>
      </c>
      <c r="G1150" s="62" t="s">
        <v>304</v>
      </c>
      <c r="H1150" s="62" t="s">
        <v>2427</v>
      </c>
      <c r="I1150" s="64">
        <v>24172.166666666701</v>
      </c>
      <c r="J1150" s="62" t="s">
        <v>1239</v>
      </c>
      <c r="K1150" s="62" t="s">
        <v>467</v>
      </c>
      <c r="L1150" s="65"/>
      <c r="M1150" s="62" t="s">
        <v>2443</v>
      </c>
      <c r="N1150" s="62" t="s">
        <v>1021</v>
      </c>
      <c r="O1150" s="62" t="s">
        <v>571</v>
      </c>
      <c r="P1150" s="62" t="s">
        <v>2421</v>
      </c>
      <c r="Q1150" s="66" t="s">
        <v>2021</v>
      </c>
    </row>
    <row r="1151" spans="1:17" x14ac:dyDescent="0.3">
      <c r="A1151" s="61" t="s">
        <v>2152</v>
      </c>
      <c r="B1151" s="62" t="s">
        <v>1237</v>
      </c>
      <c r="C1151" s="62" t="s">
        <v>1238</v>
      </c>
      <c r="D1151" s="63">
        <v>45245</v>
      </c>
      <c r="E1151" s="63">
        <v>46037</v>
      </c>
      <c r="F1151" s="62" t="s">
        <v>1945</v>
      </c>
      <c r="G1151" s="62" t="s">
        <v>304</v>
      </c>
      <c r="H1151" s="62" t="s">
        <v>2427</v>
      </c>
      <c r="I1151" s="64">
        <v>24172.166666666701</v>
      </c>
      <c r="J1151" s="62" t="s">
        <v>1239</v>
      </c>
      <c r="K1151" s="62" t="s">
        <v>467</v>
      </c>
      <c r="L1151" s="65"/>
      <c r="M1151" s="62" t="s">
        <v>2443</v>
      </c>
      <c r="N1151" s="62" t="s">
        <v>1021</v>
      </c>
      <c r="O1151" s="62" t="s">
        <v>571</v>
      </c>
      <c r="P1151" s="62" t="s">
        <v>2421</v>
      </c>
      <c r="Q1151" s="66" t="s">
        <v>2021</v>
      </c>
    </row>
    <row r="1152" spans="1:17" x14ac:dyDescent="0.3">
      <c r="A1152" s="61" t="s">
        <v>2153</v>
      </c>
      <c r="B1152" s="62" t="s">
        <v>1240</v>
      </c>
      <c r="C1152" s="62" t="s">
        <v>1241</v>
      </c>
      <c r="D1152" s="63">
        <v>45226</v>
      </c>
      <c r="E1152" s="63">
        <v>47053</v>
      </c>
      <c r="F1152" s="62" t="s">
        <v>1931</v>
      </c>
      <c r="G1152" s="62" t="s">
        <v>281</v>
      </c>
      <c r="H1152" s="62" t="s">
        <v>467</v>
      </c>
      <c r="I1152" s="64">
        <v>6125800</v>
      </c>
      <c r="J1152" s="62" t="s">
        <v>468</v>
      </c>
      <c r="K1152" s="62" t="s">
        <v>467</v>
      </c>
      <c r="L1152" s="65"/>
      <c r="M1152" s="62" t="s">
        <v>1518</v>
      </c>
      <c r="N1152" s="62" t="s">
        <v>357</v>
      </c>
      <c r="O1152" s="62" t="s">
        <v>358</v>
      </c>
      <c r="P1152" s="62" t="s">
        <v>2421</v>
      </c>
      <c r="Q1152" s="66" t="s">
        <v>1964</v>
      </c>
    </row>
    <row r="1153" spans="1:17" x14ac:dyDescent="0.3">
      <c r="A1153" s="61" t="s">
        <v>2154</v>
      </c>
      <c r="B1153" s="62" t="s">
        <v>1242</v>
      </c>
      <c r="C1153" s="62" t="s">
        <v>1243</v>
      </c>
      <c r="D1153" s="63">
        <v>44927</v>
      </c>
      <c r="E1153" s="63">
        <v>46752</v>
      </c>
      <c r="F1153" s="62" t="s">
        <v>1931</v>
      </c>
      <c r="G1153" s="62" t="s">
        <v>304</v>
      </c>
      <c r="H1153" s="62" t="s">
        <v>1244</v>
      </c>
      <c r="I1153" s="64">
        <v>334532.5</v>
      </c>
      <c r="J1153" s="62" t="s">
        <v>1245</v>
      </c>
      <c r="K1153" s="62" t="s">
        <v>1244</v>
      </c>
      <c r="L1153" s="65"/>
      <c r="M1153" s="62" t="s">
        <v>1518</v>
      </c>
      <c r="N1153" s="62" t="s">
        <v>486</v>
      </c>
      <c r="O1153" s="62" t="s">
        <v>465</v>
      </c>
      <c r="P1153" s="62" t="s">
        <v>2421</v>
      </c>
      <c r="Q1153" s="66" t="s">
        <v>1964</v>
      </c>
    </row>
    <row r="1154" spans="1:17" x14ac:dyDescent="0.3">
      <c r="A1154" s="61" t="s">
        <v>2154</v>
      </c>
      <c r="B1154" s="62" t="s">
        <v>1242</v>
      </c>
      <c r="C1154" s="62" t="s">
        <v>1243</v>
      </c>
      <c r="D1154" s="63">
        <v>44927</v>
      </c>
      <c r="E1154" s="63">
        <v>46752</v>
      </c>
      <c r="F1154" s="62" t="s">
        <v>1921</v>
      </c>
      <c r="G1154" s="62" t="s">
        <v>304</v>
      </c>
      <c r="H1154" s="62" t="s">
        <v>1244</v>
      </c>
      <c r="I1154" s="64">
        <v>334532.5</v>
      </c>
      <c r="J1154" s="62" t="s">
        <v>1245</v>
      </c>
      <c r="K1154" s="62" t="s">
        <v>1244</v>
      </c>
      <c r="L1154" s="65"/>
      <c r="M1154" s="62" t="s">
        <v>1518</v>
      </c>
      <c r="N1154" s="62" t="s">
        <v>486</v>
      </c>
      <c r="O1154" s="62" t="s">
        <v>465</v>
      </c>
      <c r="P1154" s="62" t="s">
        <v>2421</v>
      </c>
      <c r="Q1154" s="66" t="s">
        <v>1964</v>
      </c>
    </row>
    <row r="1155" spans="1:17" x14ac:dyDescent="0.3">
      <c r="A1155" s="61" t="s">
        <v>2155</v>
      </c>
      <c r="B1155" s="62" t="s">
        <v>1246</v>
      </c>
      <c r="C1155" s="62" t="s">
        <v>1247</v>
      </c>
      <c r="D1155" s="63">
        <v>45167</v>
      </c>
      <c r="E1155" s="63">
        <v>46385</v>
      </c>
      <c r="F1155" s="62" t="s">
        <v>350</v>
      </c>
      <c r="G1155" s="62" t="s">
        <v>304</v>
      </c>
      <c r="H1155" s="62" t="s">
        <v>2420</v>
      </c>
      <c r="I1155" s="64">
        <v>200000</v>
      </c>
      <c r="J1155" s="62" t="s">
        <v>2425</v>
      </c>
      <c r="K1155" s="62" t="s">
        <v>377</v>
      </c>
      <c r="L1155" s="65"/>
      <c r="M1155" s="62" t="s">
        <v>1518</v>
      </c>
      <c r="N1155" s="62" t="s">
        <v>1248</v>
      </c>
      <c r="O1155" s="62" t="s">
        <v>358</v>
      </c>
      <c r="P1155" s="62" t="s">
        <v>2421</v>
      </c>
      <c r="Q1155" s="66" t="s">
        <v>1964</v>
      </c>
    </row>
    <row r="1156" spans="1:17" x14ac:dyDescent="0.3">
      <c r="A1156" s="61" t="s">
        <v>2156</v>
      </c>
      <c r="B1156" s="62" t="s">
        <v>1249</v>
      </c>
      <c r="C1156" s="62" t="s">
        <v>1250</v>
      </c>
      <c r="D1156" s="63">
        <v>45444</v>
      </c>
      <c r="E1156" s="63">
        <v>46904</v>
      </c>
      <c r="F1156" s="62" t="s">
        <v>1987</v>
      </c>
      <c r="G1156" s="62" t="s">
        <v>304</v>
      </c>
      <c r="H1156" s="62" t="s">
        <v>638</v>
      </c>
      <c r="I1156" s="64">
        <v>676659.28571428603</v>
      </c>
      <c r="J1156" s="62" t="s">
        <v>645</v>
      </c>
      <c r="K1156" s="62" t="s">
        <v>638</v>
      </c>
      <c r="L1156" s="65"/>
      <c r="M1156" s="62" t="s">
        <v>1518</v>
      </c>
      <c r="N1156" s="62" t="s">
        <v>357</v>
      </c>
      <c r="O1156" s="62" t="s">
        <v>358</v>
      </c>
      <c r="P1156" s="62" t="s">
        <v>2421</v>
      </c>
      <c r="Q1156" s="66" t="s">
        <v>1971</v>
      </c>
    </row>
    <row r="1157" spans="1:17" x14ac:dyDescent="0.3">
      <c r="A1157" s="61" t="s">
        <v>2156</v>
      </c>
      <c r="B1157" s="62" t="s">
        <v>1249</v>
      </c>
      <c r="C1157" s="62" t="s">
        <v>1250</v>
      </c>
      <c r="D1157" s="63">
        <v>45444</v>
      </c>
      <c r="E1157" s="63">
        <v>46904</v>
      </c>
      <c r="F1157" s="62" t="s">
        <v>1921</v>
      </c>
      <c r="G1157" s="62" t="s">
        <v>304</v>
      </c>
      <c r="H1157" s="62" t="s">
        <v>638</v>
      </c>
      <c r="I1157" s="64">
        <v>676659.28571428603</v>
      </c>
      <c r="J1157" s="62" t="s">
        <v>645</v>
      </c>
      <c r="K1157" s="62" t="s">
        <v>638</v>
      </c>
      <c r="L1157" s="65"/>
      <c r="M1157" s="62" t="s">
        <v>1518</v>
      </c>
      <c r="N1157" s="62" t="s">
        <v>357</v>
      </c>
      <c r="O1157" s="62" t="s">
        <v>358</v>
      </c>
      <c r="P1157" s="62" t="s">
        <v>2421</v>
      </c>
      <c r="Q1157" s="66" t="s">
        <v>1971</v>
      </c>
    </row>
    <row r="1158" spans="1:17" x14ac:dyDescent="0.3">
      <c r="A1158" s="61" t="s">
        <v>2156</v>
      </c>
      <c r="B1158" s="62" t="s">
        <v>1249</v>
      </c>
      <c r="C1158" s="62" t="s">
        <v>1250</v>
      </c>
      <c r="D1158" s="63">
        <v>45444</v>
      </c>
      <c r="E1158" s="63">
        <v>46904</v>
      </c>
      <c r="F1158" s="62" t="s">
        <v>1940</v>
      </c>
      <c r="G1158" s="62" t="s">
        <v>451</v>
      </c>
      <c r="H1158" s="62" t="s">
        <v>638</v>
      </c>
      <c r="I1158" s="64">
        <v>676659.28571428603</v>
      </c>
      <c r="J1158" s="62" t="s">
        <v>645</v>
      </c>
      <c r="K1158" s="62" t="s">
        <v>638</v>
      </c>
      <c r="L1158" s="65"/>
      <c r="M1158" s="62" t="s">
        <v>1518</v>
      </c>
      <c r="N1158" s="62" t="s">
        <v>357</v>
      </c>
      <c r="O1158" s="62" t="s">
        <v>358</v>
      </c>
      <c r="P1158" s="62" t="s">
        <v>2421</v>
      </c>
      <c r="Q1158" s="66" t="s">
        <v>1971</v>
      </c>
    </row>
    <row r="1159" spans="1:17" x14ac:dyDescent="0.3">
      <c r="A1159" s="61" t="s">
        <v>2156</v>
      </c>
      <c r="B1159" s="62" t="s">
        <v>1249</v>
      </c>
      <c r="C1159" s="62" t="s">
        <v>1250</v>
      </c>
      <c r="D1159" s="63">
        <v>45444</v>
      </c>
      <c r="E1159" s="63">
        <v>46904</v>
      </c>
      <c r="F1159" s="62" t="s">
        <v>1916</v>
      </c>
      <c r="G1159" s="62" t="s">
        <v>304</v>
      </c>
      <c r="H1159" s="62" t="s">
        <v>638</v>
      </c>
      <c r="I1159" s="64">
        <v>676659.28571428603</v>
      </c>
      <c r="J1159" s="62" t="s">
        <v>645</v>
      </c>
      <c r="K1159" s="62" t="s">
        <v>638</v>
      </c>
      <c r="L1159" s="65"/>
      <c r="M1159" s="62" t="s">
        <v>1518</v>
      </c>
      <c r="N1159" s="62" t="s">
        <v>357</v>
      </c>
      <c r="O1159" s="62" t="s">
        <v>358</v>
      </c>
      <c r="P1159" s="62" t="s">
        <v>2421</v>
      </c>
      <c r="Q1159" s="66" t="s">
        <v>1971</v>
      </c>
    </row>
    <row r="1160" spans="1:17" x14ac:dyDescent="0.3">
      <c r="A1160" s="61" t="s">
        <v>2156</v>
      </c>
      <c r="B1160" s="62" t="s">
        <v>1249</v>
      </c>
      <c r="C1160" s="62" t="s">
        <v>1250</v>
      </c>
      <c r="D1160" s="63">
        <v>45444</v>
      </c>
      <c r="E1160" s="63">
        <v>46904</v>
      </c>
      <c r="F1160" s="62" t="s">
        <v>1958</v>
      </c>
      <c r="G1160" s="62" t="s">
        <v>330</v>
      </c>
      <c r="H1160" s="62" t="s">
        <v>638</v>
      </c>
      <c r="I1160" s="64">
        <v>676659.28571428603</v>
      </c>
      <c r="J1160" s="62" t="s">
        <v>645</v>
      </c>
      <c r="K1160" s="62" t="s">
        <v>638</v>
      </c>
      <c r="L1160" s="65"/>
      <c r="M1160" s="62" t="s">
        <v>1518</v>
      </c>
      <c r="N1160" s="62" t="s">
        <v>357</v>
      </c>
      <c r="O1160" s="62" t="s">
        <v>358</v>
      </c>
      <c r="P1160" s="62" t="s">
        <v>2421</v>
      </c>
      <c r="Q1160" s="66" t="s">
        <v>1971</v>
      </c>
    </row>
    <row r="1161" spans="1:17" x14ac:dyDescent="0.3">
      <c r="A1161" s="61" t="s">
        <v>2156</v>
      </c>
      <c r="B1161" s="62" t="s">
        <v>1249</v>
      </c>
      <c r="C1161" s="62" t="s">
        <v>1250</v>
      </c>
      <c r="D1161" s="63">
        <v>45444</v>
      </c>
      <c r="E1161" s="63">
        <v>46904</v>
      </c>
      <c r="F1161" s="62" t="s">
        <v>1938</v>
      </c>
      <c r="G1161" s="62" t="s">
        <v>506</v>
      </c>
      <c r="H1161" s="62" t="s">
        <v>638</v>
      </c>
      <c r="I1161" s="64">
        <v>676659.28571428603</v>
      </c>
      <c r="J1161" s="62" t="s">
        <v>645</v>
      </c>
      <c r="K1161" s="62" t="s">
        <v>638</v>
      </c>
      <c r="L1161" s="65"/>
      <c r="M1161" s="62" t="s">
        <v>1518</v>
      </c>
      <c r="N1161" s="62" t="s">
        <v>357</v>
      </c>
      <c r="O1161" s="62" t="s">
        <v>358</v>
      </c>
      <c r="P1161" s="62" t="s">
        <v>2421</v>
      </c>
      <c r="Q1161" s="66" t="s">
        <v>1971</v>
      </c>
    </row>
    <row r="1162" spans="1:17" x14ac:dyDescent="0.3">
      <c r="A1162" s="61" t="s">
        <v>2156</v>
      </c>
      <c r="B1162" s="62" t="s">
        <v>1249</v>
      </c>
      <c r="C1162" s="62" t="s">
        <v>1250</v>
      </c>
      <c r="D1162" s="63">
        <v>45444</v>
      </c>
      <c r="E1162" s="63">
        <v>46904</v>
      </c>
      <c r="F1162" s="62" t="s">
        <v>1936</v>
      </c>
      <c r="G1162" s="62" t="s">
        <v>748</v>
      </c>
      <c r="H1162" s="62" t="s">
        <v>638</v>
      </c>
      <c r="I1162" s="64">
        <v>676659.28571428603</v>
      </c>
      <c r="J1162" s="62" t="s">
        <v>645</v>
      </c>
      <c r="K1162" s="62" t="s">
        <v>638</v>
      </c>
      <c r="L1162" s="65"/>
      <c r="M1162" s="62" t="s">
        <v>1518</v>
      </c>
      <c r="N1162" s="62" t="s">
        <v>357</v>
      </c>
      <c r="O1162" s="62" t="s">
        <v>358</v>
      </c>
      <c r="P1162" s="62" t="s">
        <v>2421</v>
      </c>
      <c r="Q1162" s="66" t="s">
        <v>1971</v>
      </c>
    </row>
    <row r="1163" spans="1:17" x14ac:dyDescent="0.3">
      <c r="A1163" s="61" t="s">
        <v>2157</v>
      </c>
      <c r="B1163" s="62" t="s">
        <v>1251</v>
      </c>
      <c r="C1163" s="62" t="s">
        <v>1252</v>
      </c>
      <c r="D1163" s="63">
        <v>45453</v>
      </c>
      <c r="E1163" s="63">
        <v>46731</v>
      </c>
      <c r="F1163" s="62" t="s">
        <v>350</v>
      </c>
      <c r="G1163" s="62" t="s">
        <v>350</v>
      </c>
      <c r="H1163" s="62" t="s">
        <v>467</v>
      </c>
      <c r="I1163" s="64">
        <v>536798</v>
      </c>
      <c r="J1163" s="62" t="s">
        <v>468</v>
      </c>
      <c r="K1163" s="62" t="s">
        <v>467</v>
      </c>
      <c r="L1163" s="65"/>
      <c r="M1163" s="62" t="s">
        <v>825</v>
      </c>
      <c r="N1163" s="62" t="s">
        <v>370</v>
      </c>
      <c r="O1163" s="62" t="s">
        <v>371</v>
      </c>
      <c r="P1163" s="62" t="s">
        <v>2421</v>
      </c>
      <c r="Q1163" s="66" t="s">
        <v>1978</v>
      </c>
    </row>
    <row r="1164" spans="1:17" x14ac:dyDescent="0.3">
      <c r="A1164" s="61" t="s">
        <v>2158</v>
      </c>
      <c r="B1164" s="62" t="s">
        <v>1253</v>
      </c>
      <c r="C1164" s="62" t="s">
        <v>1254</v>
      </c>
      <c r="D1164" s="63">
        <v>45505</v>
      </c>
      <c r="E1164" s="63">
        <v>46419</v>
      </c>
      <c r="F1164" s="62" t="s">
        <v>350</v>
      </c>
      <c r="G1164" s="62" t="s">
        <v>350</v>
      </c>
      <c r="H1164" s="62" t="s">
        <v>467</v>
      </c>
      <c r="I1164" s="64">
        <v>178183</v>
      </c>
      <c r="J1164" s="62" t="s">
        <v>468</v>
      </c>
      <c r="K1164" s="62" t="s">
        <v>467</v>
      </c>
      <c r="L1164" s="65"/>
      <c r="M1164" s="62" t="s">
        <v>2443</v>
      </c>
      <c r="N1164" s="62" t="s">
        <v>416</v>
      </c>
      <c r="O1164" s="62" t="s">
        <v>417</v>
      </c>
      <c r="P1164" s="62" t="s">
        <v>2421</v>
      </c>
      <c r="Q1164" s="66" t="s">
        <v>2021</v>
      </c>
    </row>
    <row r="1165" spans="1:17" x14ac:dyDescent="0.3">
      <c r="A1165" s="61" t="s">
        <v>2159</v>
      </c>
      <c r="B1165" s="62" t="s">
        <v>1255</v>
      </c>
      <c r="C1165" s="62" t="s">
        <v>1256</v>
      </c>
      <c r="D1165" s="63">
        <v>45292</v>
      </c>
      <c r="E1165" s="63">
        <v>46387</v>
      </c>
      <c r="F1165" s="62" t="s">
        <v>282</v>
      </c>
      <c r="G1165" s="62" t="s">
        <v>283</v>
      </c>
      <c r="H1165" s="62" t="s">
        <v>2427</v>
      </c>
      <c r="I1165" s="64">
        <v>8333.3333333333303</v>
      </c>
      <c r="J1165" s="62" t="s">
        <v>1257</v>
      </c>
      <c r="K1165" s="62" t="s">
        <v>1957</v>
      </c>
      <c r="L1165" s="65"/>
      <c r="M1165" s="62" t="s">
        <v>424</v>
      </c>
      <c r="N1165" s="62" t="s">
        <v>673</v>
      </c>
      <c r="O1165" s="62" t="s">
        <v>371</v>
      </c>
      <c r="P1165" s="62" t="s">
        <v>2421</v>
      </c>
      <c r="Q1165" s="66" t="s">
        <v>1978</v>
      </c>
    </row>
    <row r="1166" spans="1:17" x14ac:dyDescent="0.3">
      <c r="A1166" s="61" t="s">
        <v>2159</v>
      </c>
      <c r="B1166" s="62" t="s">
        <v>1255</v>
      </c>
      <c r="C1166" s="62" t="s">
        <v>1256</v>
      </c>
      <c r="D1166" s="63">
        <v>45292</v>
      </c>
      <c r="E1166" s="63">
        <v>46387</v>
      </c>
      <c r="F1166" s="62" t="s">
        <v>282</v>
      </c>
      <c r="G1166" s="62" t="s">
        <v>1258</v>
      </c>
      <c r="H1166" s="62" t="s">
        <v>2427</v>
      </c>
      <c r="I1166" s="64">
        <v>8333.3333333333303</v>
      </c>
      <c r="J1166" s="62" t="s">
        <v>1257</v>
      </c>
      <c r="K1166" s="62" t="s">
        <v>1957</v>
      </c>
      <c r="L1166" s="65"/>
      <c r="M1166" s="62" t="s">
        <v>424</v>
      </c>
      <c r="N1166" s="62" t="s">
        <v>673</v>
      </c>
      <c r="O1166" s="62" t="s">
        <v>371</v>
      </c>
      <c r="P1166" s="62" t="s">
        <v>2421</v>
      </c>
      <c r="Q1166" s="66" t="s">
        <v>1978</v>
      </c>
    </row>
    <row r="1167" spans="1:17" x14ac:dyDescent="0.3">
      <c r="A1167" s="61" t="s">
        <v>2159</v>
      </c>
      <c r="B1167" s="62" t="s">
        <v>1255</v>
      </c>
      <c r="C1167" s="62" t="s">
        <v>1256</v>
      </c>
      <c r="D1167" s="63">
        <v>45292</v>
      </c>
      <c r="E1167" s="63">
        <v>46387</v>
      </c>
      <c r="F1167" s="62" t="s">
        <v>282</v>
      </c>
      <c r="G1167" s="62" t="s">
        <v>786</v>
      </c>
      <c r="H1167" s="62" t="s">
        <v>2427</v>
      </c>
      <c r="I1167" s="64">
        <v>8333.3333333333303</v>
      </c>
      <c r="J1167" s="62" t="s">
        <v>1257</v>
      </c>
      <c r="K1167" s="62" t="s">
        <v>1957</v>
      </c>
      <c r="L1167" s="65"/>
      <c r="M1167" s="62" t="s">
        <v>424</v>
      </c>
      <c r="N1167" s="62" t="s">
        <v>673</v>
      </c>
      <c r="O1167" s="62" t="s">
        <v>371</v>
      </c>
      <c r="P1167" s="62" t="s">
        <v>2421</v>
      </c>
      <c r="Q1167" s="66" t="s">
        <v>1978</v>
      </c>
    </row>
    <row r="1168" spans="1:17" x14ac:dyDescent="0.3">
      <c r="A1168" s="61" t="s">
        <v>2159</v>
      </c>
      <c r="B1168" s="62" t="s">
        <v>1255</v>
      </c>
      <c r="C1168" s="62" t="s">
        <v>1256</v>
      </c>
      <c r="D1168" s="63">
        <v>45292</v>
      </c>
      <c r="E1168" s="63">
        <v>46387</v>
      </c>
      <c r="F1168" s="62" t="s">
        <v>282</v>
      </c>
      <c r="G1168" s="62" t="s">
        <v>507</v>
      </c>
      <c r="H1168" s="62" t="s">
        <v>2427</v>
      </c>
      <c r="I1168" s="64">
        <v>8333.3333333333303</v>
      </c>
      <c r="J1168" s="62" t="s">
        <v>1257</v>
      </c>
      <c r="K1168" s="62" t="s">
        <v>1957</v>
      </c>
      <c r="L1168" s="65"/>
      <c r="M1168" s="62" t="s">
        <v>424</v>
      </c>
      <c r="N1168" s="62" t="s">
        <v>673</v>
      </c>
      <c r="O1168" s="62" t="s">
        <v>371</v>
      </c>
      <c r="P1168" s="62" t="s">
        <v>2421</v>
      </c>
      <c r="Q1168" s="66" t="s">
        <v>1978</v>
      </c>
    </row>
    <row r="1169" spans="1:17" x14ac:dyDescent="0.3">
      <c r="A1169" s="61" t="s">
        <v>2159</v>
      </c>
      <c r="B1169" s="62" t="s">
        <v>1255</v>
      </c>
      <c r="C1169" s="62" t="s">
        <v>1256</v>
      </c>
      <c r="D1169" s="63">
        <v>45292</v>
      </c>
      <c r="E1169" s="63">
        <v>46387</v>
      </c>
      <c r="F1169" s="62" t="s">
        <v>1922</v>
      </c>
      <c r="G1169" s="62" t="s">
        <v>349</v>
      </c>
      <c r="H1169" s="62" t="s">
        <v>2427</v>
      </c>
      <c r="I1169" s="64">
        <v>8333.3333333333303</v>
      </c>
      <c r="J1169" s="62" t="s">
        <v>1257</v>
      </c>
      <c r="K1169" s="62" t="s">
        <v>1957</v>
      </c>
      <c r="L1169" s="65"/>
      <c r="M1169" s="62" t="s">
        <v>424</v>
      </c>
      <c r="N1169" s="62" t="s">
        <v>673</v>
      </c>
      <c r="O1169" s="62" t="s">
        <v>371</v>
      </c>
      <c r="P1169" s="62" t="s">
        <v>2421</v>
      </c>
      <c r="Q1169" s="66" t="s">
        <v>1978</v>
      </c>
    </row>
    <row r="1170" spans="1:17" x14ac:dyDescent="0.3">
      <c r="A1170" s="61" t="s">
        <v>2159</v>
      </c>
      <c r="B1170" s="62" t="s">
        <v>1255</v>
      </c>
      <c r="C1170" s="62" t="s">
        <v>1256</v>
      </c>
      <c r="D1170" s="63">
        <v>45292</v>
      </c>
      <c r="E1170" s="63">
        <v>46387</v>
      </c>
      <c r="F1170" s="62" t="s">
        <v>1922</v>
      </c>
      <c r="G1170" s="62" t="s">
        <v>383</v>
      </c>
      <c r="H1170" s="62" t="s">
        <v>2427</v>
      </c>
      <c r="I1170" s="64">
        <v>8333.3333333333303</v>
      </c>
      <c r="J1170" s="62" t="s">
        <v>1257</v>
      </c>
      <c r="K1170" s="62" t="s">
        <v>1957</v>
      </c>
      <c r="L1170" s="65"/>
      <c r="M1170" s="62" t="s">
        <v>424</v>
      </c>
      <c r="N1170" s="62" t="s">
        <v>673</v>
      </c>
      <c r="O1170" s="62" t="s">
        <v>371</v>
      </c>
      <c r="P1170" s="62" t="s">
        <v>2421</v>
      </c>
      <c r="Q1170" s="66" t="s">
        <v>1978</v>
      </c>
    </row>
    <row r="1171" spans="1:17" x14ac:dyDescent="0.3">
      <c r="A1171" s="61" t="s">
        <v>2159</v>
      </c>
      <c r="B1171" s="62" t="s">
        <v>1255</v>
      </c>
      <c r="C1171" s="62" t="s">
        <v>1256</v>
      </c>
      <c r="D1171" s="63">
        <v>45292</v>
      </c>
      <c r="E1171" s="63">
        <v>46387</v>
      </c>
      <c r="F1171" s="62" t="s">
        <v>1922</v>
      </c>
      <c r="G1171" s="62" t="s">
        <v>385</v>
      </c>
      <c r="H1171" s="62" t="s">
        <v>2427</v>
      </c>
      <c r="I1171" s="64">
        <v>8333.3333333333303</v>
      </c>
      <c r="J1171" s="62" t="s">
        <v>1257</v>
      </c>
      <c r="K1171" s="62" t="s">
        <v>1957</v>
      </c>
      <c r="L1171" s="65"/>
      <c r="M1171" s="62" t="s">
        <v>424</v>
      </c>
      <c r="N1171" s="62" t="s">
        <v>673</v>
      </c>
      <c r="O1171" s="62" t="s">
        <v>371</v>
      </c>
      <c r="P1171" s="62" t="s">
        <v>2421</v>
      </c>
      <c r="Q1171" s="66" t="s">
        <v>1978</v>
      </c>
    </row>
    <row r="1172" spans="1:17" x14ac:dyDescent="0.3">
      <c r="A1172" s="61" t="s">
        <v>2159</v>
      </c>
      <c r="B1172" s="62" t="s">
        <v>1255</v>
      </c>
      <c r="C1172" s="62" t="s">
        <v>1256</v>
      </c>
      <c r="D1172" s="63">
        <v>45292</v>
      </c>
      <c r="E1172" s="63">
        <v>46387</v>
      </c>
      <c r="F1172" s="62" t="s">
        <v>1922</v>
      </c>
      <c r="G1172" s="62" t="s">
        <v>387</v>
      </c>
      <c r="H1172" s="62" t="s">
        <v>2427</v>
      </c>
      <c r="I1172" s="64">
        <v>8333.3333333333303</v>
      </c>
      <c r="J1172" s="62" t="s">
        <v>1257</v>
      </c>
      <c r="K1172" s="62" t="s">
        <v>1957</v>
      </c>
      <c r="L1172" s="65"/>
      <c r="M1172" s="62" t="s">
        <v>424</v>
      </c>
      <c r="N1172" s="62" t="s">
        <v>673</v>
      </c>
      <c r="O1172" s="62" t="s">
        <v>371</v>
      </c>
      <c r="P1172" s="62" t="s">
        <v>2421</v>
      </c>
      <c r="Q1172" s="66" t="s">
        <v>1978</v>
      </c>
    </row>
    <row r="1173" spans="1:17" x14ac:dyDescent="0.3">
      <c r="A1173" s="61" t="s">
        <v>2159</v>
      </c>
      <c r="B1173" s="62" t="s">
        <v>1255</v>
      </c>
      <c r="C1173" s="62" t="s">
        <v>1256</v>
      </c>
      <c r="D1173" s="63">
        <v>45292</v>
      </c>
      <c r="E1173" s="63">
        <v>46387</v>
      </c>
      <c r="F1173" s="62" t="s">
        <v>287</v>
      </c>
      <c r="G1173" s="62" t="s">
        <v>390</v>
      </c>
      <c r="H1173" s="62" t="s">
        <v>2427</v>
      </c>
      <c r="I1173" s="64">
        <v>8333.3333333333303</v>
      </c>
      <c r="J1173" s="62" t="s">
        <v>1257</v>
      </c>
      <c r="K1173" s="62" t="s">
        <v>1957</v>
      </c>
      <c r="L1173" s="65"/>
      <c r="M1173" s="62" t="s">
        <v>424</v>
      </c>
      <c r="N1173" s="62" t="s">
        <v>673</v>
      </c>
      <c r="O1173" s="62" t="s">
        <v>371</v>
      </c>
      <c r="P1173" s="62" t="s">
        <v>2421</v>
      </c>
      <c r="Q1173" s="66" t="s">
        <v>1978</v>
      </c>
    </row>
    <row r="1174" spans="1:17" x14ac:dyDescent="0.3">
      <c r="A1174" s="61" t="s">
        <v>2159</v>
      </c>
      <c r="B1174" s="62" t="s">
        <v>1255</v>
      </c>
      <c r="C1174" s="62" t="s">
        <v>1256</v>
      </c>
      <c r="D1174" s="63">
        <v>45292</v>
      </c>
      <c r="E1174" s="63">
        <v>46387</v>
      </c>
      <c r="F1174" s="62" t="s">
        <v>287</v>
      </c>
      <c r="G1174" s="62" t="s">
        <v>554</v>
      </c>
      <c r="H1174" s="62" t="s">
        <v>2427</v>
      </c>
      <c r="I1174" s="64">
        <v>8333.3333333333303</v>
      </c>
      <c r="J1174" s="62" t="s">
        <v>1257</v>
      </c>
      <c r="K1174" s="62" t="s">
        <v>1957</v>
      </c>
      <c r="L1174" s="65"/>
      <c r="M1174" s="62" t="s">
        <v>424</v>
      </c>
      <c r="N1174" s="62" t="s">
        <v>673</v>
      </c>
      <c r="O1174" s="62" t="s">
        <v>371</v>
      </c>
      <c r="P1174" s="62" t="s">
        <v>2421</v>
      </c>
      <c r="Q1174" s="66" t="s">
        <v>1978</v>
      </c>
    </row>
    <row r="1175" spans="1:17" x14ac:dyDescent="0.3">
      <c r="A1175" s="61" t="s">
        <v>2159</v>
      </c>
      <c r="B1175" s="62" t="s">
        <v>1255</v>
      </c>
      <c r="C1175" s="62" t="s">
        <v>1256</v>
      </c>
      <c r="D1175" s="63">
        <v>45292</v>
      </c>
      <c r="E1175" s="63">
        <v>46387</v>
      </c>
      <c r="F1175" s="62" t="s">
        <v>287</v>
      </c>
      <c r="G1175" s="62" t="s">
        <v>393</v>
      </c>
      <c r="H1175" s="62" t="s">
        <v>2427</v>
      </c>
      <c r="I1175" s="64">
        <v>8333.3333333333303</v>
      </c>
      <c r="J1175" s="62" t="s">
        <v>1257</v>
      </c>
      <c r="K1175" s="62" t="s">
        <v>1957</v>
      </c>
      <c r="L1175" s="65"/>
      <c r="M1175" s="62" t="s">
        <v>424</v>
      </c>
      <c r="N1175" s="62" t="s">
        <v>673</v>
      </c>
      <c r="O1175" s="62" t="s">
        <v>371</v>
      </c>
      <c r="P1175" s="62" t="s">
        <v>2421</v>
      </c>
      <c r="Q1175" s="66" t="s">
        <v>1978</v>
      </c>
    </row>
    <row r="1176" spans="1:17" x14ac:dyDescent="0.3">
      <c r="A1176" s="61" t="s">
        <v>2159</v>
      </c>
      <c r="B1176" s="62" t="s">
        <v>1255</v>
      </c>
      <c r="C1176" s="62" t="s">
        <v>1256</v>
      </c>
      <c r="D1176" s="63">
        <v>45292</v>
      </c>
      <c r="E1176" s="63">
        <v>46387</v>
      </c>
      <c r="F1176" s="62" t="s">
        <v>287</v>
      </c>
      <c r="G1176" s="62" t="s">
        <v>396</v>
      </c>
      <c r="H1176" s="62" t="s">
        <v>2427</v>
      </c>
      <c r="I1176" s="64">
        <v>8333.3333333333303</v>
      </c>
      <c r="J1176" s="62" t="s">
        <v>1257</v>
      </c>
      <c r="K1176" s="62" t="s">
        <v>1957</v>
      </c>
      <c r="L1176" s="65"/>
      <c r="M1176" s="62" t="s">
        <v>424</v>
      </c>
      <c r="N1176" s="62" t="s">
        <v>673</v>
      </c>
      <c r="O1176" s="62" t="s">
        <v>371</v>
      </c>
      <c r="P1176" s="62" t="s">
        <v>2421</v>
      </c>
      <c r="Q1176" s="66" t="s">
        <v>1978</v>
      </c>
    </row>
    <row r="1177" spans="1:17" x14ac:dyDescent="0.3">
      <c r="A1177" s="61" t="s">
        <v>2159</v>
      </c>
      <c r="B1177" s="62" t="s">
        <v>1255</v>
      </c>
      <c r="C1177" s="62" t="s">
        <v>1256</v>
      </c>
      <c r="D1177" s="63">
        <v>45292</v>
      </c>
      <c r="E1177" s="63">
        <v>46387</v>
      </c>
      <c r="F1177" s="62" t="s">
        <v>1945</v>
      </c>
      <c r="G1177" s="62" t="s">
        <v>400</v>
      </c>
      <c r="H1177" s="62" t="s">
        <v>2427</v>
      </c>
      <c r="I1177" s="64">
        <v>8333.3333333333303</v>
      </c>
      <c r="J1177" s="62" t="s">
        <v>1257</v>
      </c>
      <c r="K1177" s="62" t="s">
        <v>1957</v>
      </c>
      <c r="L1177" s="65"/>
      <c r="M1177" s="62" t="s">
        <v>424</v>
      </c>
      <c r="N1177" s="62" t="s">
        <v>673</v>
      </c>
      <c r="O1177" s="62" t="s">
        <v>371</v>
      </c>
      <c r="P1177" s="62" t="s">
        <v>2421</v>
      </c>
      <c r="Q1177" s="66" t="s">
        <v>1978</v>
      </c>
    </row>
    <row r="1178" spans="1:17" x14ac:dyDescent="0.3">
      <c r="A1178" s="61" t="s">
        <v>2159</v>
      </c>
      <c r="B1178" s="62" t="s">
        <v>1255</v>
      </c>
      <c r="C1178" s="62" t="s">
        <v>1256</v>
      </c>
      <c r="D1178" s="63">
        <v>45292</v>
      </c>
      <c r="E1178" s="63">
        <v>46387</v>
      </c>
      <c r="F1178" s="62" t="s">
        <v>1945</v>
      </c>
      <c r="G1178" s="62" t="s">
        <v>555</v>
      </c>
      <c r="H1178" s="62" t="s">
        <v>2427</v>
      </c>
      <c r="I1178" s="64">
        <v>8333.3333333333303</v>
      </c>
      <c r="J1178" s="62" t="s">
        <v>1257</v>
      </c>
      <c r="K1178" s="62" t="s">
        <v>1957</v>
      </c>
      <c r="L1178" s="65"/>
      <c r="M1178" s="62" t="s">
        <v>424</v>
      </c>
      <c r="N1178" s="62" t="s">
        <v>673</v>
      </c>
      <c r="O1178" s="62" t="s">
        <v>371</v>
      </c>
      <c r="P1178" s="62" t="s">
        <v>2421</v>
      </c>
      <c r="Q1178" s="66" t="s">
        <v>1978</v>
      </c>
    </row>
    <row r="1179" spans="1:17" x14ac:dyDescent="0.3">
      <c r="A1179" s="61" t="s">
        <v>2159</v>
      </c>
      <c r="B1179" s="62" t="s">
        <v>1255</v>
      </c>
      <c r="C1179" s="62" t="s">
        <v>1256</v>
      </c>
      <c r="D1179" s="63">
        <v>45292</v>
      </c>
      <c r="E1179" s="63">
        <v>46387</v>
      </c>
      <c r="F1179" s="62" t="s">
        <v>1945</v>
      </c>
      <c r="G1179" s="62" t="s">
        <v>1259</v>
      </c>
      <c r="H1179" s="62" t="s">
        <v>2427</v>
      </c>
      <c r="I1179" s="64">
        <v>8333.3333333333303</v>
      </c>
      <c r="J1179" s="62" t="s">
        <v>1257</v>
      </c>
      <c r="K1179" s="62" t="s">
        <v>1957</v>
      </c>
      <c r="L1179" s="65"/>
      <c r="M1179" s="62" t="s">
        <v>424</v>
      </c>
      <c r="N1179" s="62" t="s">
        <v>673</v>
      </c>
      <c r="O1179" s="62" t="s">
        <v>371</v>
      </c>
      <c r="P1179" s="62" t="s">
        <v>2421</v>
      </c>
      <c r="Q1179" s="66" t="s">
        <v>1978</v>
      </c>
    </row>
    <row r="1180" spans="1:17" x14ac:dyDescent="0.3">
      <c r="A1180" s="61" t="s">
        <v>2159</v>
      </c>
      <c r="B1180" s="62" t="s">
        <v>1255</v>
      </c>
      <c r="C1180" s="62" t="s">
        <v>1256</v>
      </c>
      <c r="D1180" s="63">
        <v>45292</v>
      </c>
      <c r="E1180" s="63">
        <v>46387</v>
      </c>
      <c r="F1180" s="62" t="s">
        <v>1945</v>
      </c>
      <c r="G1180" s="62" t="s">
        <v>403</v>
      </c>
      <c r="H1180" s="62" t="s">
        <v>2427</v>
      </c>
      <c r="I1180" s="64">
        <v>8333.3333333333303</v>
      </c>
      <c r="J1180" s="62" t="s">
        <v>1257</v>
      </c>
      <c r="K1180" s="62" t="s">
        <v>1957</v>
      </c>
      <c r="L1180" s="65"/>
      <c r="M1180" s="62" t="s">
        <v>424</v>
      </c>
      <c r="N1180" s="62" t="s">
        <v>673</v>
      </c>
      <c r="O1180" s="62" t="s">
        <v>371</v>
      </c>
      <c r="P1180" s="62" t="s">
        <v>2421</v>
      </c>
      <c r="Q1180" s="66" t="s">
        <v>1978</v>
      </c>
    </row>
    <row r="1181" spans="1:17" x14ac:dyDescent="0.3">
      <c r="A1181" s="61" t="s">
        <v>2159</v>
      </c>
      <c r="B1181" s="62" t="s">
        <v>1255</v>
      </c>
      <c r="C1181" s="62" t="s">
        <v>1256</v>
      </c>
      <c r="D1181" s="63">
        <v>45292</v>
      </c>
      <c r="E1181" s="63">
        <v>46387</v>
      </c>
      <c r="F1181" s="62" t="s">
        <v>1930</v>
      </c>
      <c r="G1181" s="62" t="s">
        <v>721</v>
      </c>
      <c r="H1181" s="62" t="s">
        <v>2427</v>
      </c>
      <c r="I1181" s="64">
        <v>11111.1111111111</v>
      </c>
      <c r="J1181" s="62" t="s">
        <v>1257</v>
      </c>
      <c r="K1181" s="62" t="s">
        <v>1957</v>
      </c>
      <c r="L1181" s="65"/>
      <c r="M1181" s="62" t="s">
        <v>424</v>
      </c>
      <c r="N1181" s="62" t="s">
        <v>673</v>
      </c>
      <c r="O1181" s="62" t="s">
        <v>371</v>
      </c>
      <c r="P1181" s="62" t="s">
        <v>2421</v>
      </c>
      <c r="Q1181" s="66" t="s">
        <v>1978</v>
      </c>
    </row>
    <row r="1182" spans="1:17" x14ac:dyDescent="0.3">
      <c r="A1182" s="61" t="s">
        <v>2159</v>
      </c>
      <c r="B1182" s="62" t="s">
        <v>1255</v>
      </c>
      <c r="C1182" s="62" t="s">
        <v>1256</v>
      </c>
      <c r="D1182" s="63">
        <v>45292</v>
      </c>
      <c r="E1182" s="63">
        <v>46387</v>
      </c>
      <c r="F1182" s="62" t="s">
        <v>1930</v>
      </c>
      <c r="G1182" s="62" t="s">
        <v>453</v>
      </c>
      <c r="H1182" s="62" t="s">
        <v>2427</v>
      </c>
      <c r="I1182" s="64">
        <v>11111.1111111111</v>
      </c>
      <c r="J1182" s="62" t="s">
        <v>1257</v>
      </c>
      <c r="K1182" s="62" t="s">
        <v>1957</v>
      </c>
      <c r="L1182" s="65"/>
      <c r="M1182" s="62" t="s">
        <v>424</v>
      </c>
      <c r="N1182" s="62" t="s">
        <v>673</v>
      </c>
      <c r="O1182" s="62" t="s">
        <v>371</v>
      </c>
      <c r="P1182" s="62" t="s">
        <v>2421</v>
      </c>
      <c r="Q1182" s="66" t="s">
        <v>1978</v>
      </c>
    </row>
    <row r="1183" spans="1:17" x14ac:dyDescent="0.3">
      <c r="A1183" s="61" t="s">
        <v>2159</v>
      </c>
      <c r="B1183" s="62" t="s">
        <v>1255</v>
      </c>
      <c r="C1183" s="62" t="s">
        <v>1256</v>
      </c>
      <c r="D1183" s="63">
        <v>45292</v>
      </c>
      <c r="E1183" s="63">
        <v>46387</v>
      </c>
      <c r="F1183" s="62" t="s">
        <v>1930</v>
      </c>
      <c r="G1183" s="62" t="s">
        <v>421</v>
      </c>
      <c r="H1183" s="62" t="s">
        <v>2427</v>
      </c>
      <c r="I1183" s="64">
        <v>11111.1111111111</v>
      </c>
      <c r="J1183" s="62" t="s">
        <v>1257</v>
      </c>
      <c r="K1183" s="62" t="s">
        <v>1957</v>
      </c>
      <c r="L1183" s="65"/>
      <c r="M1183" s="62" t="s">
        <v>424</v>
      </c>
      <c r="N1183" s="62" t="s">
        <v>673</v>
      </c>
      <c r="O1183" s="62" t="s">
        <v>371</v>
      </c>
      <c r="P1183" s="62" t="s">
        <v>2421</v>
      </c>
      <c r="Q1183" s="66" t="s">
        <v>1978</v>
      </c>
    </row>
    <row r="1184" spans="1:17" x14ac:dyDescent="0.3">
      <c r="A1184" s="61" t="s">
        <v>2159</v>
      </c>
      <c r="B1184" s="62" t="s">
        <v>1255</v>
      </c>
      <c r="C1184" s="62" t="s">
        <v>1256</v>
      </c>
      <c r="D1184" s="63">
        <v>45292</v>
      </c>
      <c r="E1184" s="63">
        <v>46387</v>
      </c>
      <c r="F1184" s="62" t="s">
        <v>348</v>
      </c>
      <c r="G1184" s="62" t="s">
        <v>348</v>
      </c>
      <c r="H1184" s="62" t="s">
        <v>2427</v>
      </c>
      <c r="I1184" s="64">
        <v>33333.333333333299</v>
      </c>
      <c r="J1184" s="62" t="s">
        <v>1257</v>
      </c>
      <c r="K1184" s="62" t="s">
        <v>1957</v>
      </c>
      <c r="L1184" s="65"/>
      <c r="M1184" s="62" t="s">
        <v>424</v>
      </c>
      <c r="N1184" s="62" t="s">
        <v>673</v>
      </c>
      <c r="O1184" s="62" t="s">
        <v>371</v>
      </c>
      <c r="P1184" s="62" t="s">
        <v>2421</v>
      </c>
      <c r="Q1184" s="66" t="s">
        <v>1978</v>
      </c>
    </row>
    <row r="1185" spans="1:17" x14ac:dyDescent="0.3">
      <c r="A1185" s="61" t="s">
        <v>2159</v>
      </c>
      <c r="B1185" s="62" t="s">
        <v>1255</v>
      </c>
      <c r="C1185" s="62" t="s">
        <v>1256</v>
      </c>
      <c r="D1185" s="63">
        <v>45292</v>
      </c>
      <c r="E1185" s="63">
        <v>46387</v>
      </c>
      <c r="F1185" s="62" t="s">
        <v>282</v>
      </c>
      <c r="G1185" s="62" t="s">
        <v>283</v>
      </c>
      <c r="H1185" s="62" t="s">
        <v>443</v>
      </c>
      <c r="I1185" s="64">
        <v>20851.666666666701</v>
      </c>
      <c r="J1185" s="62" t="s">
        <v>444</v>
      </c>
      <c r="K1185" s="62" t="s">
        <v>1957</v>
      </c>
      <c r="L1185" s="65"/>
      <c r="M1185" s="62" t="s">
        <v>424</v>
      </c>
      <c r="N1185" s="62" t="s">
        <v>673</v>
      </c>
      <c r="O1185" s="62" t="s">
        <v>371</v>
      </c>
      <c r="P1185" s="62" t="s">
        <v>2421</v>
      </c>
      <c r="Q1185" s="66" t="s">
        <v>1978</v>
      </c>
    </row>
    <row r="1186" spans="1:17" x14ac:dyDescent="0.3">
      <c r="A1186" s="61" t="s">
        <v>2159</v>
      </c>
      <c r="B1186" s="62" t="s">
        <v>1255</v>
      </c>
      <c r="C1186" s="62" t="s">
        <v>1256</v>
      </c>
      <c r="D1186" s="63">
        <v>45292</v>
      </c>
      <c r="E1186" s="63">
        <v>46387</v>
      </c>
      <c r="F1186" s="62" t="s">
        <v>282</v>
      </c>
      <c r="G1186" s="62" t="s">
        <v>1258</v>
      </c>
      <c r="H1186" s="62" t="s">
        <v>443</v>
      </c>
      <c r="I1186" s="64">
        <v>20851.666666666701</v>
      </c>
      <c r="J1186" s="62" t="s">
        <v>444</v>
      </c>
      <c r="K1186" s="62" t="s">
        <v>1957</v>
      </c>
      <c r="L1186" s="65"/>
      <c r="M1186" s="62" t="s">
        <v>424</v>
      </c>
      <c r="N1186" s="62" t="s">
        <v>673</v>
      </c>
      <c r="O1186" s="62" t="s">
        <v>371</v>
      </c>
      <c r="P1186" s="62" t="s">
        <v>2421</v>
      </c>
      <c r="Q1186" s="66" t="s">
        <v>1978</v>
      </c>
    </row>
    <row r="1187" spans="1:17" x14ac:dyDescent="0.3">
      <c r="A1187" s="61" t="s">
        <v>2159</v>
      </c>
      <c r="B1187" s="62" t="s">
        <v>1255</v>
      </c>
      <c r="C1187" s="62" t="s">
        <v>1256</v>
      </c>
      <c r="D1187" s="63">
        <v>45292</v>
      </c>
      <c r="E1187" s="63">
        <v>46387</v>
      </c>
      <c r="F1187" s="62" t="s">
        <v>282</v>
      </c>
      <c r="G1187" s="62" t="s">
        <v>786</v>
      </c>
      <c r="H1187" s="62" t="s">
        <v>443</v>
      </c>
      <c r="I1187" s="64">
        <v>20851.666666666701</v>
      </c>
      <c r="J1187" s="62" t="s">
        <v>444</v>
      </c>
      <c r="K1187" s="62" t="s">
        <v>1957</v>
      </c>
      <c r="L1187" s="65"/>
      <c r="M1187" s="62" t="s">
        <v>424</v>
      </c>
      <c r="N1187" s="62" t="s">
        <v>673</v>
      </c>
      <c r="O1187" s="62" t="s">
        <v>371</v>
      </c>
      <c r="P1187" s="62" t="s">
        <v>2421</v>
      </c>
      <c r="Q1187" s="66" t="s">
        <v>1978</v>
      </c>
    </row>
    <row r="1188" spans="1:17" x14ac:dyDescent="0.3">
      <c r="A1188" s="61" t="s">
        <v>2159</v>
      </c>
      <c r="B1188" s="62" t="s">
        <v>1255</v>
      </c>
      <c r="C1188" s="62" t="s">
        <v>1256</v>
      </c>
      <c r="D1188" s="63">
        <v>45292</v>
      </c>
      <c r="E1188" s="63">
        <v>46387</v>
      </c>
      <c r="F1188" s="62" t="s">
        <v>282</v>
      </c>
      <c r="G1188" s="62" t="s">
        <v>507</v>
      </c>
      <c r="H1188" s="62" t="s">
        <v>443</v>
      </c>
      <c r="I1188" s="64">
        <v>20851.666666666701</v>
      </c>
      <c r="J1188" s="62" t="s">
        <v>444</v>
      </c>
      <c r="K1188" s="62" t="s">
        <v>1957</v>
      </c>
      <c r="L1188" s="65"/>
      <c r="M1188" s="62" t="s">
        <v>424</v>
      </c>
      <c r="N1188" s="62" t="s">
        <v>673</v>
      </c>
      <c r="O1188" s="62" t="s">
        <v>371</v>
      </c>
      <c r="P1188" s="62" t="s">
        <v>2421</v>
      </c>
      <c r="Q1188" s="66" t="s">
        <v>1978</v>
      </c>
    </row>
    <row r="1189" spans="1:17" x14ac:dyDescent="0.3">
      <c r="A1189" s="61" t="s">
        <v>2159</v>
      </c>
      <c r="B1189" s="62" t="s">
        <v>1255</v>
      </c>
      <c r="C1189" s="62" t="s">
        <v>1256</v>
      </c>
      <c r="D1189" s="63">
        <v>45292</v>
      </c>
      <c r="E1189" s="63">
        <v>46387</v>
      </c>
      <c r="F1189" s="62" t="s">
        <v>1922</v>
      </c>
      <c r="G1189" s="62" t="s">
        <v>349</v>
      </c>
      <c r="H1189" s="62" t="s">
        <v>443</v>
      </c>
      <c r="I1189" s="64">
        <v>20851.666666666701</v>
      </c>
      <c r="J1189" s="62" t="s">
        <v>444</v>
      </c>
      <c r="K1189" s="62" t="s">
        <v>1957</v>
      </c>
      <c r="L1189" s="65"/>
      <c r="M1189" s="62" t="s">
        <v>424</v>
      </c>
      <c r="N1189" s="62" t="s">
        <v>673</v>
      </c>
      <c r="O1189" s="62" t="s">
        <v>371</v>
      </c>
      <c r="P1189" s="62" t="s">
        <v>2421</v>
      </c>
      <c r="Q1189" s="66" t="s">
        <v>1978</v>
      </c>
    </row>
    <row r="1190" spans="1:17" x14ac:dyDescent="0.3">
      <c r="A1190" s="61" t="s">
        <v>2159</v>
      </c>
      <c r="B1190" s="62" t="s">
        <v>1255</v>
      </c>
      <c r="C1190" s="62" t="s">
        <v>1256</v>
      </c>
      <c r="D1190" s="63">
        <v>45292</v>
      </c>
      <c r="E1190" s="63">
        <v>46387</v>
      </c>
      <c r="F1190" s="62" t="s">
        <v>1922</v>
      </c>
      <c r="G1190" s="62" t="s">
        <v>383</v>
      </c>
      <c r="H1190" s="62" t="s">
        <v>443</v>
      </c>
      <c r="I1190" s="64">
        <v>20851.666666666701</v>
      </c>
      <c r="J1190" s="62" t="s">
        <v>444</v>
      </c>
      <c r="K1190" s="62" t="s">
        <v>1957</v>
      </c>
      <c r="L1190" s="65"/>
      <c r="M1190" s="62" t="s">
        <v>424</v>
      </c>
      <c r="N1190" s="62" t="s">
        <v>673</v>
      </c>
      <c r="O1190" s="62" t="s">
        <v>371</v>
      </c>
      <c r="P1190" s="62" t="s">
        <v>2421</v>
      </c>
      <c r="Q1190" s="66" t="s">
        <v>1978</v>
      </c>
    </row>
    <row r="1191" spans="1:17" x14ac:dyDescent="0.3">
      <c r="A1191" s="61" t="s">
        <v>2159</v>
      </c>
      <c r="B1191" s="62" t="s">
        <v>1255</v>
      </c>
      <c r="C1191" s="62" t="s">
        <v>1256</v>
      </c>
      <c r="D1191" s="63">
        <v>45292</v>
      </c>
      <c r="E1191" s="63">
        <v>46387</v>
      </c>
      <c r="F1191" s="62" t="s">
        <v>1922</v>
      </c>
      <c r="G1191" s="62" t="s">
        <v>385</v>
      </c>
      <c r="H1191" s="62" t="s">
        <v>443</v>
      </c>
      <c r="I1191" s="64">
        <v>20851.666666666701</v>
      </c>
      <c r="J1191" s="62" t="s">
        <v>444</v>
      </c>
      <c r="K1191" s="62" t="s">
        <v>1957</v>
      </c>
      <c r="L1191" s="65"/>
      <c r="M1191" s="62" t="s">
        <v>424</v>
      </c>
      <c r="N1191" s="62" t="s">
        <v>673</v>
      </c>
      <c r="O1191" s="62" t="s">
        <v>371</v>
      </c>
      <c r="P1191" s="62" t="s">
        <v>2421</v>
      </c>
      <c r="Q1191" s="66" t="s">
        <v>1978</v>
      </c>
    </row>
    <row r="1192" spans="1:17" x14ac:dyDescent="0.3">
      <c r="A1192" s="61" t="s">
        <v>2159</v>
      </c>
      <c r="B1192" s="62" t="s">
        <v>1255</v>
      </c>
      <c r="C1192" s="62" t="s">
        <v>1256</v>
      </c>
      <c r="D1192" s="63">
        <v>45292</v>
      </c>
      <c r="E1192" s="63">
        <v>46387</v>
      </c>
      <c r="F1192" s="62" t="s">
        <v>1922</v>
      </c>
      <c r="G1192" s="62" t="s">
        <v>387</v>
      </c>
      <c r="H1192" s="62" t="s">
        <v>443</v>
      </c>
      <c r="I1192" s="64">
        <v>20851.666666666701</v>
      </c>
      <c r="J1192" s="62" t="s">
        <v>444</v>
      </c>
      <c r="K1192" s="62" t="s">
        <v>1957</v>
      </c>
      <c r="L1192" s="65"/>
      <c r="M1192" s="62" t="s">
        <v>424</v>
      </c>
      <c r="N1192" s="62" t="s">
        <v>673</v>
      </c>
      <c r="O1192" s="62" t="s">
        <v>371</v>
      </c>
      <c r="P1192" s="62" t="s">
        <v>2421</v>
      </c>
      <c r="Q1192" s="66" t="s">
        <v>1978</v>
      </c>
    </row>
    <row r="1193" spans="1:17" x14ac:dyDescent="0.3">
      <c r="A1193" s="61" t="s">
        <v>2159</v>
      </c>
      <c r="B1193" s="62" t="s">
        <v>1255</v>
      </c>
      <c r="C1193" s="62" t="s">
        <v>1256</v>
      </c>
      <c r="D1193" s="63">
        <v>45292</v>
      </c>
      <c r="E1193" s="63">
        <v>46387</v>
      </c>
      <c r="F1193" s="62" t="s">
        <v>287</v>
      </c>
      <c r="G1193" s="62" t="s">
        <v>390</v>
      </c>
      <c r="H1193" s="62" t="s">
        <v>443</v>
      </c>
      <c r="I1193" s="64">
        <v>20851.666666666701</v>
      </c>
      <c r="J1193" s="62" t="s">
        <v>444</v>
      </c>
      <c r="K1193" s="62" t="s">
        <v>1957</v>
      </c>
      <c r="L1193" s="65"/>
      <c r="M1193" s="62" t="s">
        <v>424</v>
      </c>
      <c r="N1193" s="62" t="s">
        <v>673</v>
      </c>
      <c r="O1193" s="62" t="s">
        <v>371</v>
      </c>
      <c r="P1193" s="62" t="s">
        <v>2421</v>
      </c>
      <c r="Q1193" s="66" t="s">
        <v>1978</v>
      </c>
    </row>
    <row r="1194" spans="1:17" x14ac:dyDescent="0.3">
      <c r="A1194" s="61" t="s">
        <v>2159</v>
      </c>
      <c r="B1194" s="62" t="s">
        <v>1255</v>
      </c>
      <c r="C1194" s="62" t="s">
        <v>1256</v>
      </c>
      <c r="D1194" s="63">
        <v>45292</v>
      </c>
      <c r="E1194" s="63">
        <v>46387</v>
      </c>
      <c r="F1194" s="62" t="s">
        <v>287</v>
      </c>
      <c r="G1194" s="62" t="s">
        <v>554</v>
      </c>
      <c r="H1194" s="62" t="s">
        <v>443</v>
      </c>
      <c r="I1194" s="64">
        <v>20851.666666666701</v>
      </c>
      <c r="J1194" s="62" t="s">
        <v>444</v>
      </c>
      <c r="K1194" s="62" t="s">
        <v>1957</v>
      </c>
      <c r="L1194" s="65"/>
      <c r="M1194" s="62" t="s">
        <v>424</v>
      </c>
      <c r="N1194" s="62" t="s">
        <v>673</v>
      </c>
      <c r="O1194" s="62" t="s">
        <v>371</v>
      </c>
      <c r="P1194" s="62" t="s">
        <v>2421</v>
      </c>
      <c r="Q1194" s="66" t="s">
        <v>1978</v>
      </c>
    </row>
    <row r="1195" spans="1:17" x14ac:dyDescent="0.3">
      <c r="A1195" s="61" t="s">
        <v>2159</v>
      </c>
      <c r="B1195" s="62" t="s">
        <v>1255</v>
      </c>
      <c r="C1195" s="62" t="s">
        <v>1256</v>
      </c>
      <c r="D1195" s="63">
        <v>45292</v>
      </c>
      <c r="E1195" s="63">
        <v>46387</v>
      </c>
      <c r="F1195" s="62" t="s">
        <v>287</v>
      </c>
      <c r="G1195" s="62" t="s">
        <v>393</v>
      </c>
      <c r="H1195" s="62" t="s">
        <v>443</v>
      </c>
      <c r="I1195" s="64">
        <v>20851.666666666701</v>
      </c>
      <c r="J1195" s="62" t="s">
        <v>444</v>
      </c>
      <c r="K1195" s="62" t="s">
        <v>1957</v>
      </c>
      <c r="L1195" s="65"/>
      <c r="M1195" s="62" t="s">
        <v>424</v>
      </c>
      <c r="N1195" s="62" t="s">
        <v>673</v>
      </c>
      <c r="O1195" s="62" t="s">
        <v>371</v>
      </c>
      <c r="P1195" s="62" t="s">
        <v>2421</v>
      </c>
      <c r="Q1195" s="66" t="s">
        <v>1978</v>
      </c>
    </row>
    <row r="1196" spans="1:17" x14ac:dyDescent="0.3">
      <c r="A1196" s="61" t="s">
        <v>2159</v>
      </c>
      <c r="B1196" s="62" t="s">
        <v>1255</v>
      </c>
      <c r="C1196" s="62" t="s">
        <v>1256</v>
      </c>
      <c r="D1196" s="63">
        <v>45292</v>
      </c>
      <c r="E1196" s="63">
        <v>46387</v>
      </c>
      <c r="F1196" s="62" t="s">
        <v>287</v>
      </c>
      <c r="G1196" s="62" t="s">
        <v>396</v>
      </c>
      <c r="H1196" s="62" t="s">
        <v>443</v>
      </c>
      <c r="I1196" s="64">
        <v>20851.666666666701</v>
      </c>
      <c r="J1196" s="62" t="s">
        <v>444</v>
      </c>
      <c r="K1196" s="62" t="s">
        <v>1957</v>
      </c>
      <c r="L1196" s="65"/>
      <c r="M1196" s="62" t="s">
        <v>424</v>
      </c>
      <c r="N1196" s="62" t="s">
        <v>673</v>
      </c>
      <c r="O1196" s="62" t="s">
        <v>371</v>
      </c>
      <c r="P1196" s="62" t="s">
        <v>2421</v>
      </c>
      <c r="Q1196" s="66" t="s">
        <v>1978</v>
      </c>
    </row>
    <row r="1197" spans="1:17" x14ac:dyDescent="0.3">
      <c r="A1197" s="61" t="s">
        <v>2159</v>
      </c>
      <c r="B1197" s="62" t="s">
        <v>1255</v>
      </c>
      <c r="C1197" s="62" t="s">
        <v>1256</v>
      </c>
      <c r="D1197" s="63">
        <v>45292</v>
      </c>
      <c r="E1197" s="63">
        <v>46387</v>
      </c>
      <c r="F1197" s="62" t="s">
        <v>1945</v>
      </c>
      <c r="G1197" s="62" t="s">
        <v>400</v>
      </c>
      <c r="H1197" s="62" t="s">
        <v>443</v>
      </c>
      <c r="I1197" s="64">
        <v>20851.666666666701</v>
      </c>
      <c r="J1197" s="62" t="s">
        <v>444</v>
      </c>
      <c r="K1197" s="62" t="s">
        <v>1957</v>
      </c>
      <c r="L1197" s="65"/>
      <c r="M1197" s="62" t="s">
        <v>424</v>
      </c>
      <c r="N1197" s="62" t="s">
        <v>673</v>
      </c>
      <c r="O1197" s="62" t="s">
        <v>371</v>
      </c>
      <c r="P1197" s="62" t="s">
        <v>2421</v>
      </c>
      <c r="Q1197" s="66" t="s">
        <v>1978</v>
      </c>
    </row>
    <row r="1198" spans="1:17" x14ac:dyDescent="0.3">
      <c r="A1198" s="61" t="s">
        <v>2159</v>
      </c>
      <c r="B1198" s="62" t="s">
        <v>1255</v>
      </c>
      <c r="C1198" s="62" t="s">
        <v>1256</v>
      </c>
      <c r="D1198" s="63">
        <v>45292</v>
      </c>
      <c r="E1198" s="63">
        <v>46387</v>
      </c>
      <c r="F1198" s="62" t="s">
        <v>1945</v>
      </c>
      <c r="G1198" s="62" t="s">
        <v>555</v>
      </c>
      <c r="H1198" s="62" t="s">
        <v>443</v>
      </c>
      <c r="I1198" s="64">
        <v>20851.666666666701</v>
      </c>
      <c r="J1198" s="62" t="s">
        <v>444</v>
      </c>
      <c r="K1198" s="62" t="s">
        <v>1957</v>
      </c>
      <c r="L1198" s="65"/>
      <c r="M1198" s="62" t="s">
        <v>424</v>
      </c>
      <c r="N1198" s="62" t="s">
        <v>673</v>
      </c>
      <c r="O1198" s="62" t="s">
        <v>371</v>
      </c>
      <c r="P1198" s="62" t="s">
        <v>2421</v>
      </c>
      <c r="Q1198" s="66" t="s">
        <v>1978</v>
      </c>
    </row>
    <row r="1199" spans="1:17" x14ac:dyDescent="0.3">
      <c r="A1199" s="61" t="s">
        <v>2159</v>
      </c>
      <c r="B1199" s="62" t="s">
        <v>1255</v>
      </c>
      <c r="C1199" s="62" t="s">
        <v>1256</v>
      </c>
      <c r="D1199" s="63">
        <v>45292</v>
      </c>
      <c r="E1199" s="63">
        <v>46387</v>
      </c>
      <c r="F1199" s="62" t="s">
        <v>1945</v>
      </c>
      <c r="G1199" s="62" t="s">
        <v>1259</v>
      </c>
      <c r="H1199" s="62" t="s">
        <v>443</v>
      </c>
      <c r="I1199" s="64">
        <v>20851.666666666701</v>
      </c>
      <c r="J1199" s="62" t="s">
        <v>444</v>
      </c>
      <c r="K1199" s="62" t="s">
        <v>1957</v>
      </c>
      <c r="L1199" s="65"/>
      <c r="M1199" s="62" t="s">
        <v>424</v>
      </c>
      <c r="N1199" s="62" t="s">
        <v>673</v>
      </c>
      <c r="O1199" s="62" t="s">
        <v>371</v>
      </c>
      <c r="P1199" s="62" t="s">
        <v>2421</v>
      </c>
      <c r="Q1199" s="66" t="s">
        <v>1978</v>
      </c>
    </row>
    <row r="1200" spans="1:17" x14ac:dyDescent="0.3">
      <c r="A1200" s="61" t="s">
        <v>2159</v>
      </c>
      <c r="B1200" s="62" t="s">
        <v>1255</v>
      </c>
      <c r="C1200" s="62" t="s">
        <v>1256</v>
      </c>
      <c r="D1200" s="63">
        <v>45292</v>
      </c>
      <c r="E1200" s="63">
        <v>46387</v>
      </c>
      <c r="F1200" s="62" t="s">
        <v>1945</v>
      </c>
      <c r="G1200" s="62" t="s">
        <v>403</v>
      </c>
      <c r="H1200" s="62" t="s">
        <v>443</v>
      </c>
      <c r="I1200" s="64">
        <v>20851.666666666701</v>
      </c>
      <c r="J1200" s="62" t="s">
        <v>444</v>
      </c>
      <c r="K1200" s="62" t="s">
        <v>1957</v>
      </c>
      <c r="L1200" s="65"/>
      <c r="M1200" s="62" t="s">
        <v>424</v>
      </c>
      <c r="N1200" s="62" t="s">
        <v>673</v>
      </c>
      <c r="O1200" s="62" t="s">
        <v>371</v>
      </c>
      <c r="P1200" s="62" t="s">
        <v>2421</v>
      </c>
      <c r="Q1200" s="66" t="s">
        <v>1978</v>
      </c>
    </row>
    <row r="1201" spans="1:17" x14ac:dyDescent="0.3">
      <c r="A1201" s="61" t="s">
        <v>2159</v>
      </c>
      <c r="B1201" s="62" t="s">
        <v>1255</v>
      </c>
      <c r="C1201" s="62" t="s">
        <v>1256</v>
      </c>
      <c r="D1201" s="63">
        <v>45292</v>
      </c>
      <c r="E1201" s="63">
        <v>46387</v>
      </c>
      <c r="F1201" s="62" t="s">
        <v>1930</v>
      </c>
      <c r="G1201" s="62" t="s">
        <v>721</v>
      </c>
      <c r="H1201" s="62" t="s">
        <v>443</v>
      </c>
      <c r="I1201" s="64">
        <v>27802.222222222201</v>
      </c>
      <c r="J1201" s="62" t="s">
        <v>444</v>
      </c>
      <c r="K1201" s="62" t="s">
        <v>1957</v>
      </c>
      <c r="L1201" s="65"/>
      <c r="M1201" s="62" t="s">
        <v>424</v>
      </c>
      <c r="N1201" s="62" t="s">
        <v>673</v>
      </c>
      <c r="O1201" s="62" t="s">
        <v>371</v>
      </c>
      <c r="P1201" s="62" t="s">
        <v>2421</v>
      </c>
      <c r="Q1201" s="66" t="s">
        <v>1978</v>
      </c>
    </row>
    <row r="1202" spans="1:17" x14ac:dyDescent="0.3">
      <c r="A1202" s="61" t="s">
        <v>2159</v>
      </c>
      <c r="B1202" s="62" t="s">
        <v>1255</v>
      </c>
      <c r="C1202" s="62" t="s">
        <v>1256</v>
      </c>
      <c r="D1202" s="63">
        <v>45292</v>
      </c>
      <c r="E1202" s="63">
        <v>46387</v>
      </c>
      <c r="F1202" s="62" t="s">
        <v>1930</v>
      </c>
      <c r="G1202" s="62" t="s">
        <v>453</v>
      </c>
      <c r="H1202" s="62" t="s">
        <v>443</v>
      </c>
      <c r="I1202" s="64">
        <v>27802.222222222201</v>
      </c>
      <c r="J1202" s="62" t="s">
        <v>444</v>
      </c>
      <c r="K1202" s="62" t="s">
        <v>1957</v>
      </c>
      <c r="L1202" s="65"/>
      <c r="M1202" s="62" t="s">
        <v>424</v>
      </c>
      <c r="N1202" s="62" t="s">
        <v>673</v>
      </c>
      <c r="O1202" s="62" t="s">
        <v>371</v>
      </c>
      <c r="P1202" s="62" t="s">
        <v>2421</v>
      </c>
      <c r="Q1202" s="66" t="s">
        <v>1978</v>
      </c>
    </row>
    <row r="1203" spans="1:17" x14ac:dyDescent="0.3">
      <c r="A1203" s="61" t="s">
        <v>2159</v>
      </c>
      <c r="B1203" s="62" t="s">
        <v>1255</v>
      </c>
      <c r="C1203" s="62" t="s">
        <v>1256</v>
      </c>
      <c r="D1203" s="63">
        <v>45292</v>
      </c>
      <c r="E1203" s="63">
        <v>46387</v>
      </c>
      <c r="F1203" s="62" t="s">
        <v>1930</v>
      </c>
      <c r="G1203" s="62" t="s">
        <v>421</v>
      </c>
      <c r="H1203" s="62" t="s">
        <v>443</v>
      </c>
      <c r="I1203" s="64">
        <v>27802.222222222201</v>
      </c>
      <c r="J1203" s="62" t="s">
        <v>444</v>
      </c>
      <c r="K1203" s="62" t="s">
        <v>1957</v>
      </c>
      <c r="L1203" s="65"/>
      <c r="M1203" s="62" t="s">
        <v>424</v>
      </c>
      <c r="N1203" s="62" t="s">
        <v>673</v>
      </c>
      <c r="O1203" s="62" t="s">
        <v>371</v>
      </c>
      <c r="P1203" s="62" t="s">
        <v>2421</v>
      </c>
      <c r="Q1203" s="66" t="s">
        <v>1978</v>
      </c>
    </row>
    <row r="1204" spans="1:17" x14ac:dyDescent="0.3">
      <c r="A1204" s="61" t="s">
        <v>2159</v>
      </c>
      <c r="B1204" s="62" t="s">
        <v>1255</v>
      </c>
      <c r="C1204" s="62" t="s">
        <v>1256</v>
      </c>
      <c r="D1204" s="63">
        <v>45292</v>
      </c>
      <c r="E1204" s="63">
        <v>46387</v>
      </c>
      <c r="F1204" s="62" t="s">
        <v>348</v>
      </c>
      <c r="G1204" s="62" t="s">
        <v>348</v>
      </c>
      <c r="H1204" s="62" t="s">
        <v>443</v>
      </c>
      <c r="I1204" s="64">
        <v>83406.666666666701</v>
      </c>
      <c r="J1204" s="62" t="s">
        <v>444</v>
      </c>
      <c r="K1204" s="62" t="s">
        <v>1957</v>
      </c>
      <c r="L1204" s="65"/>
      <c r="M1204" s="62" t="s">
        <v>424</v>
      </c>
      <c r="N1204" s="62" t="s">
        <v>673</v>
      </c>
      <c r="O1204" s="62" t="s">
        <v>371</v>
      </c>
      <c r="P1204" s="62" t="s">
        <v>2421</v>
      </c>
      <c r="Q1204" s="66" t="s">
        <v>1978</v>
      </c>
    </row>
    <row r="1205" spans="1:17" x14ac:dyDescent="0.3">
      <c r="A1205" s="61" t="s">
        <v>2159</v>
      </c>
      <c r="B1205" s="62" t="s">
        <v>1255</v>
      </c>
      <c r="C1205" s="62" t="s">
        <v>1256</v>
      </c>
      <c r="D1205" s="63">
        <v>45292</v>
      </c>
      <c r="E1205" s="63">
        <v>46387</v>
      </c>
      <c r="F1205" s="62" t="s">
        <v>282</v>
      </c>
      <c r="G1205" s="62" t="s">
        <v>283</v>
      </c>
      <c r="H1205" s="62" t="s">
        <v>351</v>
      </c>
      <c r="I1205" s="64">
        <v>4148.3333333333303</v>
      </c>
      <c r="J1205" s="62" t="s">
        <v>352</v>
      </c>
      <c r="K1205" s="62" t="s">
        <v>1957</v>
      </c>
      <c r="L1205" s="65"/>
      <c r="M1205" s="62" t="s">
        <v>424</v>
      </c>
      <c r="N1205" s="62" t="s">
        <v>673</v>
      </c>
      <c r="O1205" s="62" t="s">
        <v>371</v>
      </c>
      <c r="P1205" s="62" t="s">
        <v>2421</v>
      </c>
      <c r="Q1205" s="66" t="s">
        <v>1978</v>
      </c>
    </row>
    <row r="1206" spans="1:17" x14ac:dyDescent="0.3">
      <c r="A1206" s="61" t="s">
        <v>2159</v>
      </c>
      <c r="B1206" s="62" t="s">
        <v>1255</v>
      </c>
      <c r="C1206" s="62" t="s">
        <v>1256</v>
      </c>
      <c r="D1206" s="63">
        <v>45292</v>
      </c>
      <c r="E1206" s="63">
        <v>46387</v>
      </c>
      <c r="F1206" s="62" t="s">
        <v>282</v>
      </c>
      <c r="G1206" s="62" t="s">
        <v>1258</v>
      </c>
      <c r="H1206" s="62" t="s">
        <v>351</v>
      </c>
      <c r="I1206" s="64">
        <v>4148.3333333333303</v>
      </c>
      <c r="J1206" s="62" t="s">
        <v>352</v>
      </c>
      <c r="K1206" s="62" t="s">
        <v>1957</v>
      </c>
      <c r="L1206" s="65"/>
      <c r="M1206" s="62" t="s">
        <v>424</v>
      </c>
      <c r="N1206" s="62" t="s">
        <v>673</v>
      </c>
      <c r="O1206" s="62" t="s">
        <v>371</v>
      </c>
      <c r="P1206" s="62" t="s">
        <v>2421</v>
      </c>
      <c r="Q1206" s="66" t="s">
        <v>1978</v>
      </c>
    </row>
    <row r="1207" spans="1:17" x14ac:dyDescent="0.3">
      <c r="A1207" s="61" t="s">
        <v>2159</v>
      </c>
      <c r="B1207" s="62" t="s">
        <v>1255</v>
      </c>
      <c r="C1207" s="62" t="s">
        <v>1256</v>
      </c>
      <c r="D1207" s="63">
        <v>45292</v>
      </c>
      <c r="E1207" s="63">
        <v>46387</v>
      </c>
      <c r="F1207" s="62" t="s">
        <v>282</v>
      </c>
      <c r="G1207" s="62" t="s">
        <v>786</v>
      </c>
      <c r="H1207" s="62" t="s">
        <v>351</v>
      </c>
      <c r="I1207" s="64">
        <v>4148.3333333333303</v>
      </c>
      <c r="J1207" s="62" t="s">
        <v>352</v>
      </c>
      <c r="K1207" s="62" t="s">
        <v>1957</v>
      </c>
      <c r="L1207" s="65"/>
      <c r="M1207" s="62" t="s">
        <v>424</v>
      </c>
      <c r="N1207" s="62" t="s">
        <v>673</v>
      </c>
      <c r="O1207" s="62" t="s">
        <v>371</v>
      </c>
      <c r="P1207" s="62" t="s">
        <v>2421</v>
      </c>
      <c r="Q1207" s="66" t="s">
        <v>1978</v>
      </c>
    </row>
    <row r="1208" spans="1:17" x14ac:dyDescent="0.3">
      <c r="A1208" s="61" t="s">
        <v>2159</v>
      </c>
      <c r="B1208" s="62" t="s">
        <v>1255</v>
      </c>
      <c r="C1208" s="62" t="s">
        <v>1256</v>
      </c>
      <c r="D1208" s="63">
        <v>45292</v>
      </c>
      <c r="E1208" s="63">
        <v>46387</v>
      </c>
      <c r="F1208" s="62" t="s">
        <v>282</v>
      </c>
      <c r="G1208" s="62" t="s">
        <v>507</v>
      </c>
      <c r="H1208" s="62" t="s">
        <v>351</v>
      </c>
      <c r="I1208" s="64">
        <v>4148.3333333333303</v>
      </c>
      <c r="J1208" s="62" t="s">
        <v>352</v>
      </c>
      <c r="K1208" s="62" t="s">
        <v>1957</v>
      </c>
      <c r="L1208" s="65"/>
      <c r="M1208" s="62" t="s">
        <v>424</v>
      </c>
      <c r="N1208" s="62" t="s">
        <v>673</v>
      </c>
      <c r="O1208" s="62" t="s">
        <v>371</v>
      </c>
      <c r="P1208" s="62" t="s">
        <v>2421</v>
      </c>
      <c r="Q1208" s="66" t="s">
        <v>1978</v>
      </c>
    </row>
    <row r="1209" spans="1:17" x14ac:dyDescent="0.3">
      <c r="A1209" s="61" t="s">
        <v>2159</v>
      </c>
      <c r="B1209" s="62" t="s">
        <v>1255</v>
      </c>
      <c r="C1209" s="62" t="s">
        <v>1256</v>
      </c>
      <c r="D1209" s="63">
        <v>45292</v>
      </c>
      <c r="E1209" s="63">
        <v>46387</v>
      </c>
      <c r="F1209" s="62" t="s">
        <v>1922</v>
      </c>
      <c r="G1209" s="62" t="s">
        <v>349</v>
      </c>
      <c r="H1209" s="62" t="s">
        <v>351</v>
      </c>
      <c r="I1209" s="64">
        <v>4148.3333333333303</v>
      </c>
      <c r="J1209" s="62" t="s">
        <v>352</v>
      </c>
      <c r="K1209" s="62" t="s">
        <v>1957</v>
      </c>
      <c r="L1209" s="65"/>
      <c r="M1209" s="62" t="s">
        <v>424</v>
      </c>
      <c r="N1209" s="62" t="s">
        <v>673</v>
      </c>
      <c r="O1209" s="62" t="s">
        <v>371</v>
      </c>
      <c r="P1209" s="62" t="s">
        <v>2421</v>
      </c>
      <c r="Q1209" s="66" t="s">
        <v>1978</v>
      </c>
    </row>
    <row r="1210" spans="1:17" x14ac:dyDescent="0.3">
      <c r="A1210" s="61" t="s">
        <v>2159</v>
      </c>
      <c r="B1210" s="62" t="s">
        <v>1255</v>
      </c>
      <c r="C1210" s="62" t="s">
        <v>1256</v>
      </c>
      <c r="D1210" s="63">
        <v>45292</v>
      </c>
      <c r="E1210" s="63">
        <v>46387</v>
      </c>
      <c r="F1210" s="62" t="s">
        <v>1922</v>
      </c>
      <c r="G1210" s="62" t="s">
        <v>383</v>
      </c>
      <c r="H1210" s="62" t="s">
        <v>351</v>
      </c>
      <c r="I1210" s="64">
        <v>4148.3333333333303</v>
      </c>
      <c r="J1210" s="62" t="s">
        <v>352</v>
      </c>
      <c r="K1210" s="62" t="s">
        <v>1957</v>
      </c>
      <c r="L1210" s="65"/>
      <c r="M1210" s="62" t="s">
        <v>424</v>
      </c>
      <c r="N1210" s="62" t="s">
        <v>673</v>
      </c>
      <c r="O1210" s="62" t="s">
        <v>371</v>
      </c>
      <c r="P1210" s="62" t="s">
        <v>2421</v>
      </c>
      <c r="Q1210" s="66" t="s">
        <v>1978</v>
      </c>
    </row>
    <row r="1211" spans="1:17" x14ac:dyDescent="0.3">
      <c r="A1211" s="61" t="s">
        <v>2159</v>
      </c>
      <c r="B1211" s="62" t="s">
        <v>1255</v>
      </c>
      <c r="C1211" s="62" t="s">
        <v>1256</v>
      </c>
      <c r="D1211" s="63">
        <v>45292</v>
      </c>
      <c r="E1211" s="63">
        <v>46387</v>
      </c>
      <c r="F1211" s="62" t="s">
        <v>1922</v>
      </c>
      <c r="G1211" s="62" t="s">
        <v>385</v>
      </c>
      <c r="H1211" s="62" t="s">
        <v>351</v>
      </c>
      <c r="I1211" s="64">
        <v>4148.3333333333303</v>
      </c>
      <c r="J1211" s="62" t="s">
        <v>352</v>
      </c>
      <c r="K1211" s="62" t="s">
        <v>1957</v>
      </c>
      <c r="L1211" s="65"/>
      <c r="M1211" s="62" t="s">
        <v>424</v>
      </c>
      <c r="N1211" s="62" t="s">
        <v>673</v>
      </c>
      <c r="O1211" s="62" t="s">
        <v>371</v>
      </c>
      <c r="P1211" s="62" t="s">
        <v>2421</v>
      </c>
      <c r="Q1211" s="66" t="s">
        <v>1978</v>
      </c>
    </row>
    <row r="1212" spans="1:17" x14ac:dyDescent="0.3">
      <c r="A1212" s="61" t="s">
        <v>2159</v>
      </c>
      <c r="B1212" s="62" t="s">
        <v>1255</v>
      </c>
      <c r="C1212" s="62" t="s">
        <v>1256</v>
      </c>
      <c r="D1212" s="63">
        <v>45292</v>
      </c>
      <c r="E1212" s="63">
        <v>46387</v>
      </c>
      <c r="F1212" s="62" t="s">
        <v>1922</v>
      </c>
      <c r="G1212" s="62" t="s">
        <v>387</v>
      </c>
      <c r="H1212" s="62" t="s">
        <v>351</v>
      </c>
      <c r="I1212" s="64">
        <v>4148.3333333333303</v>
      </c>
      <c r="J1212" s="62" t="s">
        <v>352</v>
      </c>
      <c r="K1212" s="62" t="s">
        <v>1957</v>
      </c>
      <c r="L1212" s="65"/>
      <c r="M1212" s="62" t="s">
        <v>424</v>
      </c>
      <c r="N1212" s="62" t="s">
        <v>673</v>
      </c>
      <c r="O1212" s="62" t="s">
        <v>371</v>
      </c>
      <c r="P1212" s="62" t="s">
        <v>2421</v>
      </c>
      <c r="Q1212" s="66" t="s">
        <v>1978</v>
      </c>
    </row>
    <row r="1213" spans="1:17" x14ac:dyDescent="0.3">
      <c r="A1213" s="61" t="s">
        <v>2159</v>
      </c>
      <c r="B1213" s="62" t="s">
        <v>1255</v>
      </c>
      <c r="C1213" s="62" t="s">
        <v>1256</v>
      </c>
      <c r="D1213" s="63">
        <v>45292</v>
      </c>
      <c r="E1213" s="63">
        <v>46387</v>
      </c>
      <c r="F1213" s="62" t="s">
        <v>287</v>
      </c>
      <c r="G1213" s="62" t="s">
        <v>390</v>
      </c>
      <c r="H1213" s="62" t="s">
        <v>351</v>
      </c>
      <c r="I1213" s="64">
        <v>4148.3333333333303</v>
      </c>
      <c r="J1213" s="62" t="s">
        <v>352</v>
      </c>
      <c r="K1213" s="62" t="s">
        <v>1957</v>
      </c>
      <c r="L1213" s="65"/>
      <c r="M1213" s="62" t="s">
        <v>424</v>
      </c>
      <c r="N1213" s="62" t="s">
        <v>673</v>
      </c>
      <c r="O1213" s="62" t="s">
        <v>371</v>
      </c>
      <c r="P1213" s="62" t="s">
        <v>2421</v>
      </c>
      <c r="Q1213" s="66" t="s">
        <v>1978</v>
      </c>
    </row>
    <row r="1214" spans="1:17" x14ac:dyDescent="0.3">
      <c r="A1214" s="61" t="s">
        <v>2159</v>
      </c>
      <c r="B1214" s="62" t="s">
        <v>1255</v>
      </c>
      <c r="C1214" s="62" t="s">
        <v>1256</v>
      </c>
      <c r="D1214" s="63">
        <v>45292</v>
      </c>
      <c r="E1214" s="63">
        <v>46387</v>
      </c>
      <c r="F1214" s="62" t="s">
        <v>287</v>
      </c>
      <c r="G1214" s="62" t="s">
        <v>554</v>
      </c>
      <c r="H1214" s="62" t="s">
        <v>351</v>
      </c>
      <c r="I1214" s="64">
        <v>4148.3333333333303</v>
      </c>
      <c r="J1214" s="62" t="s">
        <v>352</v>
      </c>
      <c r="K1214" s="62" t="s">
        <v>1957</v>
      </c>
      <c r="L1214" s="65"/>
      <c r="M1214" s="62" t="s">
        <v>424</v>
      </c>
      <c r="N1214" s="62" t="s">
        <v>673</v>
      </c>
      <c r="O1214" s="62" t="s">
        <v>371</v>
      </c>
      <c r="P1214" s="62" t="s">
        <v>2421</v>
      </c>
      <c r="Q1214" s="66" t="s">
        <v>1978</v>
      </c>
    </row>
    <row r="1215" spans="1:17" x14ac:dyDescent="0.3">
      <c r="A1215" s="61" t="s">
        <v>2159</v>
      </c>
      <c r="B1215" s="62" t="s">
        <v>1255</v>
      </c>
      <c r="C1215" s="62" t="s">
        <v>1256</v>
      </c>
      <c r="D1215" s="63">
        <v>45292</v>
      </c>
      <c r="E1215" s="63">
        <v>46387</v>
      </c>
      <c r="F1215" s="62" t="s">
        <v>287</v>
      </c>
      <c r="G1215" s="62" t="s">
        <v>393</v>
      </c>
      <c r="H1215" s="62" t="s">
        <v>351</v>
      </c>
      <c r="I1215" s="64">
        <v>4148.3333333333303</v>
      </c>
      <c r="J1215" s="62" t="s">
        <v>352</v>
      </c>
      <c r="K1215" s="62" t="s">
        <v>1957</v>
      </c>
      <c r="L1215" s="65"/>
      <c r="M1215" s="62" t="s">
        <v>424</v>
      </c>
      <c r="N1215" s="62" t="s">
        <v>673</v>
      </c>
      <c r="O1215" s="62" t="s">
        <v>371</v>
      </c>
      <c r="P1215" s="62" t="s">
        <v>2421</v>
      </c>
      <c r="Q1215" s="66" t="s">
        <v>1978</v>
      </c>
    </row>
    <row r="1216" spans="1:17" x14ac:dyDescent="0.3">
      <c r="A1216" s="61" t="s">
        <v>2159</v>
      </c>
      <c r="B1216" s="62" t="s">
        <v>1255</v>
      </c>
      <c r="C1216" s="62" t="s">
        <v>1256</v>
      </c>
      <c r="D1216" s="63">
        <v>45292</v>
      </c>
      <c r="E1216" s="63">
        <v>46387</v>
      </c>
      <c r="F1216" s="62" t="s">
        <v>287</v>
      </c>
      <c r="G1216" s="62" t="s">
        <v>396</v>
      </c>
      <c r="H1216" s="62" t="s">
        <v>351</v>
      </c>
      <c r="I1216" s="64">
        <v>4148.3333333333303</v>
      </c>
      <c r="J1216" s="62" t="s">
        <v>352</v>
      </c>
      <c r="K1216" s="62" t="s">
        <v>1957</v>
      </c>
      <c r="L1216" s="65"/>
      <c r="M1216" s="62" t="s">
        <v>424</v>
      </c>
      <c r="N1216" s="62" t="s">
        <v>673</v>
      </c>
      <c r="O1216" s="62" t="s">
        <v>371</v>
      </c>
      <c r="P1216" s="62" t="s">
        <v>2421</v>
      </c>
      <c r="Q1216" s="66" t="s">
        <v>1978</v>
      </c>
    </row>
    <row r="1217" spans="1:17" x14ac:dyDescent="0.3">
      <c r="A1217" s="61" t="s">
        <v>2159</v>
      </c>
      <c r="B1217" s="62" t="s">
        <v>1255</v>
      </c>
      <c r="C1217" s="62" t="s">
        <v>1256</v>
      </c>
      <c r="D1217" s="63">
        <v>45292</v>
      </c>
      <c r="E1217" s="63">
        <v>46387</v>
      </c>
      <c r="F1217" s="62" t="s">
        <v>1945</v>
      </c>
      <c r="G1217" s="62" t="s">
        <v>400</v>
      </c>
      <c r="H1217" s="62" t="s">
        <v>351</v>
      </c>
      <c r="I1217" s="64">
        <v>4148.3333333333303</v>
      </c>
      <c r="J1217" s="62" t="s">
        <v>352</v>
      </c>
      <c r="K1217" s="62" t="s">
        <v>1957</v>
      </c>
      <c r="L1217" s="65"/>
      <c r="M1217" s="62" t="s">
        <v>424</v>
      </c>
      <c r="N1217" s="62" t="s">
        <v>673</v>
      </c>
      <c r="O1217" s="62" t="s">
        <v>371</v>
      </c>
      <c r="P1217" s="62" t="s">
        <v>2421</v>
      </c>
      <c r="Q1217" s="66" t="s">
        <v>1978</v>
      </c>
    </row>
    <row r="1218" spans="1:17" x14ac:dyDescent="0.3">
      <c r="A1218" s="61" t="s">
        <v>2159</v>
      </c>
      <c r="B1218" s="62" t="s">
        <v>1255</v>
      </c>
      <c r="C1218" s="62" t="s">
        <v>1256</v>
      </c>
      <c r="D1218" s="63">
        <v>45292</v>
      </c>
      <c r="E1218" s="63">
        <v>46387</v>
      </c>
      <c r="F1218" s="62" t="s">
        <v>1945</v>
      </c>
      <c r="G1218" s="62" t="s">
        <v>555</v>
      </c>
      <c r="H1218" s="62" t="s">
        <v>351</v>
      </c>
      <c r="I1218" s="64">
        <v>4148.3333333333303</v>
      </c>
      <c r="J1218" s="62" t="s">
        <v>352</v>
      </c>
      <c r="K1218" s="62" t="s">
        <v>1957</v>
      </c>
      <c r="L1218" s="65"/>
      <c r="M1218" s="62" t="s">
        <v>424</v>
      </c>
      <c r="N1218" s="62" t="s">
        <v>673</v>
      </c>
      <c r="O1218" s="62" t="s">
        <v>371</v>
      </c>
      <c r="P1218" s="62" t="s">
        <v>2421</v>
      </c>
      <c r="Q1218" s="66" t="s">
        <v>1978</v>
      </c>
    </row>
    <row r="1219" spans="1:17" x14ac:dyDescent="0.3">
      <c r="A1219" s="61" t="s">
        <v>2159</v>
      </c>
      <c r="B1219" s="62" t="s">
        <v>1255</v>
      </c>
      <c r="C1219" s="62" t="s">
        <v>1256</v>
      </c>
      <c r="D1219" s="63">
        <v>45292</v>
      </c>
      <c r="E1219" s="63">
        <v>46387</v>
      </c>
      <c r="F1219" s="62" t="s">
        <v>1945</v>
      </c>
      <c r="G1219" s="62" t="s">
        <v>1259</v>
      </c>
      <c r="H1219" s="62" t="s">
        <v>351</v>
      </c>
      <c r="I1219" s="64">
        <v>4148.3333333333303</v>
      </c>
      <c r="J1219" s="62" t="s">
        <v>352</v>
      </c>
      <c r="K1219" s="62" t="s">
        <v>1957</v>
      </c>
      <c r="L1219" s="65"/>
      <c r="M1219" s="62" t="s">
        <v>424</v>
      </c>
      <c r="N1219" s="62" t="s">
        <v>673</v>
      </c>
      <c r="O1219" s="62" t="s">
        <v>371</v>
      </c>
      <c r="P1219" s="62" t="s">
        <v>2421</v>
      </c>
      <c r="Q1219" s="66" t="s">
        <v>1978</v>
      </c>
    </row>
    <row r="1220" spans="1:17" x14ac:dyDescent="0.3">
      <c r="A1220" s="61" t="s">
        <v>2159</v>
      </c>
      <c r="B1220" s="62" t="s">
        <v>1255</v>
      </c>
      <c r="C1220" s="62" t="s">
        <v>1256</v>
      </c>
      <c r="D1220" s="63">
        <v>45292</v>
      </c>
      <c r="E1220" s="63">
        <v>46387</v>
      </c>
      <c r="F1220" s="62" t="s">
        <v>1945</v>
      </c>
      <c r="G1220" s="62" t="s">
        <v>403</v>
      </c>
      <c r="H1220" s="62" t="s">
        <v>351</v>
      </c>
      <c r="I1220" s="64">
        <v>4148.3333333333303</v>
      </c>
      <c r="J1220" s="62" t="s">
        <v>352</v>
      </c>
      <c r="K1220" s="62" t="s">
        <v>1957</v>
      </c>
      <c r="L1220" s="65"/>
      <c r="M1220" s="62" t="s">
        <v>424</v>
      </c>
      <c r="N1220" s="62" t="s">
        <v>673</v>
      </c>
      <c r="O1220" s="62" t="s">
        <v>371</v>
      </c>
      <c r="P1220" s="62" t="s">
        <v>2421</v>
      </c>
      <c r="Q1220" s="66" t="s">
        <v>1978</v>
      </c>
    </row>
    <row r="1221" spans="1:17" x14ac:dyDescent="0.3">
      <c r="A1221" s="61" t="s">
        <v>2159</v>
      </c>
      <c r="B1221" s="62" t="s">
        <v>1255</v>
      </c>
      <c r="C1221" s="62" t="s">
        <v>1256</v>
      </c>
      <c r="D1221" s="63">
        <v>45292</v>
      </c>
      <c r="E1221" s="63">
        <v>46387</v>
      </c>
      <c r="F1221" s="62" t="s">
        <v>1930</v>
      </c>
      <c r="G1221" s="62" t="s">
        <v>721</v>
      </c>
      <c r="H1221" s="62" t="s">
        <v>351</v>
      </c>
      <c r="I1221" s="64">
        <v>5531.1111111111104</v>
      </c>
      <c r="J1221" s="62" t="s">
        <v>352</v>
      </c>
      <c r="K1221" s="62" t="s">
        <v>1957</v>
      </c>
      <c r="L1221" s="65"/>
      <c r="M1221" s="62" t="s">
        <v>424</v>
      </c>
      <c r="N1221" s="62" t="s">
        <v>673</v>
      </c>
      <c r="O1221" s="62" t="s">
        <v>371</v>
      </c>
      <c r="P1221" s="62" t="s">
        <v>2421</v>
      </c>
      <c r="Q1221" s="66" t="s">
        <v>1978</v>
      </c>
    </row>
    <row r="1222" spans="1:17" x14ac:dyDescent="0.3">
      <c r="A1222" s="61" t="s">
        <v>2159</v>
      </c>
      <c r="B1222" s="62" t="s">
        <v>1255</v>
      </c>
      <c r="C1222" s="62" t="s">
        <v>1256</v>
      </c>
      <c r="D1222" s="63">
        <v>45292</v>
      </c>
      <c r="E1222" s="63">
        <v>46387</v>
      </c>
      <c r="F1222" s="62" t="s">
        <v>1930</v>
      </c>
      <c r="G1222" s="62" t="s">
        <v>453</v>
      </c>
      <c r="H1222" s="62" t="s">
        <v>351</v>
      </c>
      <c r="I1222" s="64">
        <v>5531.1111111111104</v>
      </c>
      <c r="J1222" s="62" t="s">
        <v>352</v>
      </c>
      <c r="K1222" s="62" t="s">
        <v>1957</v>
      </c>
      <c r="L1222" s="65"/>
      <c r="M1222" s="62" t="s">
        <v>424</v>
      </c>
      <c r="N1222" s="62" t="s">
        <v>673</v>
      </c>
      <c r="O1222" s="62" t="s">
        <v>371</v>
      </c>
      <c r="P1222" s="62" t="s">
        <v>2421</v>
      </c>
      <c r="Q1222" s="66" t="s">
        <v>1978</v>
      </c>
    </row>
    <row r="1223" spans="1:17" x14ac:dyDescent="0.3">
      <c r="A1223" s="61" t="s">
        <v>2159</v>
      </c>
      <c r="B1223" s="62" t="s">
        <v>1255</v>
      </c>
      <c r="C1223" s="62" t="s">
        <v>1256</v>
      </c>
      <c r="D1223" s="63">
        <v>45292</v>
      </c>
      <c r="E1223" s="63">
        <v>46387</v>
      </c>
      <c r="F1223" s="62" t="s">
        <v>1930</v>
      </c>
      <c r="G1223" s="62" t="s">
        <v>421</v>
      </c>
      <c r="H1223" s="62" t="s">
        <v>351</v>
      </c>
      <c r="I1223" s="64">
        <v>5531.1111111111104</v>
      </c>
      <c r="J1223" s="62" t="s">
        <v>352</v>
      </c>
      <c r="K1223" s="62" t="s">
        <v>1957</v>
      </c>
      <c r="L1223" s="65"/>
      <c r="M1223" s="62" t="s">
        <v>424</v>
      </c>
      <c r="N1223" s="62" t="s">
        <v>673</v>
      </c>
      <c r="O1223" s="62" t="s">
        <v>371</v>
      </c>
      <c r="P1223" s="62" t="s">
        <v>2421</v>
      </c>
      <c r="Q1223" s="66" t="s">
        <v>1978</v>
      </c>
    </row>
    <row r="1224" spans="1:17" x14ac:dyDescent="0.3">
      <c r="A1224" s="61" t="s">
        <v>2159</v>
      </c>
      <c r="B1224" s="62" t="s">
        <v>1255</v>
      </c>
      <c r="C1224" s="62" t="s">
        <v>1256</v>
      </c>
      <c r="D1224" s="63">
        <v>45292</v>
      </c>
      <c r="E1224" s="63">
        <v>46387</v>
      </c>
      <c r="F1224" s="62" t="s">
        <v>348</v>
      </c>
      <c r="G1224" s="62" t="s">
        <v>348</v>
      </c>
      <c r="H1224" s="62" t="s">
        <v>351</v>
      </c>
      <c r="I1224" s="64">
        <v>16593.333333333299</v>
      </c>
      <c r="J1224" s="62" t="s">
        <v>352</v>
      </c>
      <c r="K1224" s="62" t="s">
        <v>1957</v>
      </c>
      <c r="L1224" s="65"/>
      <c r="M1224" s="62" t="s">
        <v>424</v>
      </c>
      <c r="N1224" s="62" t="s">
        <v>673</v>
      </c>
      <c r="O1224" s="62" t="s">
        <v>371</v>
      </c>
      <c r="P1224" s="62" t="s">
        <v>2421</v>
      </c>
      <c r="Q1224" s="66" t="s">
        <v>1978</v>
      </c>
    </row>
    <row r="1225" spans="1:17" x14ac:dyDescent="0.3">
      <c r="A1225" s="61" t="s">
        <v>2160</v>
      </c>
      <c r="B1225" s="62" t="s">
        <v>1264</v>
      </c>
      <c r="C1225" s="62" t="s">
        <v>1265</v>
      </c>
      <c r="D1225" s="63">
        <v>44985</v>
      </c>
      <c r="E1225" s="63">
        <v>46080</v>
      </c>
      <c r="F1225" s="62" t="s">
        <v>350</v>
      </c>
      <c r="G1225" s="62" t="s">
        <v>304</v>
      </c>
      <c r="H1225" s="62" t="s">
        <v>2420</v>
      </c>
      <c r="I1225" s="64">
        <v>35000</v>
      </c>
      <c r="J1225" s="62" t="s">
        <v>2425</v>
      </c>
      <c r="K1225" s="62" t="s">
        <v>377</v>
      </c>
      <c r="L1225" s="65"/>
      <c r="M1225" s="62" t="s">
        <v>2443</v>
      </c>
      <c r="N1225" s="62" t="s">
        <v>640</v>
      </c>
      <c r="O1225" s="62" t="s">
        <v>417</v>
      </c>
      <c r="P1225" s="62" t="s">
        <v>2421</v>
      </c>
      <c r="Q1225" s="66" t="s">
        <v>1970</v>
      </c>
    </row>
    <row r="1226" spans="1:17" x14ac:dyDescent="0.3">
      <c r="A1226" s="61" t="s">
        <v>2160</v>
      </c>
      <c r="B1226" s="62" t="s">
        <v>1264</v>
      </c>
      <c r="C1226" s="62" t="s">
        <v>1265</v>
      </c>
      <c r="D1226" s="63">
        <v>44985</v>
      </c>
      <c r="E1226" s="63">
        <v>46080</v>
      </c>
      <c r="F1226" s="62" t="s">
        <v>1921</v>
      </c>
      <c r="G1226" s="62" t="s">
        <v>304</v>
      </c>
      <c r="H1226" s="62" t="s">
        <v>2420</v>
      </c>
      <c r="I1226" s="64">
        <v>35000</v>
      </c>
      <c r="J1226" s="62" t="s">
        <v>2425</v>
      </c>
      <c r="K1226" s="62" t="s">
        <v>377</v>
      </c>
      <c r="L1226" s="65"/>
      <c r="M1226" s="62" t="s">
        <v>2443</v>
      </c>
      <c r="N1226" s="62" t="s">
        <v>640</v>
      </c>
      <c r="O1226" s="62" t="s">
        <v>417</v>
      </c>
      <c r="P1226" s="62" t="s">
        <v>2421</v>
      </c>
      <c r="Q1226" s="66" t="s">
        <v>1970</v>
      </c>
    </row>
    <row r="1227" spans="1:17" x14ac:dyDescent="0.3">
      <c r="A1227" s="61" t="s">
        <v>2160</v>
      </c>
      <c r="B1227" s="62" t="s">
        <v>1264</v>
      </c>
      <c r="C1227" s="62" t="s">
        <v>1265</v>
      </c>
      <c r="D1227" s="63">
        <v>44985</v>
      </c>
      <c r="E1227" s="63">
        <v>46080</v>
      </c>
      <c r="F1227" s="62" t="s">
        <v>1922</v>
      </c>
      <c r="G1227" s="62" t="s">
        <v>304</v>
      </c>
      <c r="H1227" s="62" t="s">
        <v>2420</v>
      </c>
      <c r="I1227" s="64">
        <v>35000</v>
      </c>
      <c r="J1227" s="62" t="s">
        <v>2425</v>
      </c>
      <c r="K1227" s="62" t="s">
        <v>377</v>
      </c>
      <c r="L1227" s="65"/>
      <c r="M1227" s="62" t="s">
        <v>2443</v>
      </c>
      <c r="N1227" s="62" t="s">
        <v>640</v>
      </c>
      <c r="O1227" s="62" t="s">
        <v>417</v>
      </c>
      <c r="P1227" s="62" t="s">
        <v>2421</v>
      </c>
      <c r="Q1227" s="66" t="s">
        <v>1970</v>
      </c>
    </row>
    <row r="1228" spans="1:17" x14ac:dyDescent="0.3">
      <c r="A1228" s="61" t="s">
        <v>2160</v>
      </c>
      <c r="B1228" s="62" t="s">
        <v>1264</v>
      </c>
      <c r="C1228" s="62" t="s">
        <v>1265</v>
      </c>
      <c r="D1228" s="63">
        <v>44985</v>
      </c>
      <c r="E1228" s="63">
        <v>46080</v>
      </c>
      <c r="F1228" s="62" t="s">
        <v>1930</v>
      </c>
      <c r="G1228" s="62" t="s">
        <v>304</v>
      </c>
      <c r="H1228" s="62" t="s">
        <v>2420</v>
      </c>
      <c r="I1228" s="64">
        <v>35000</v>
      </c>
      <c r="J1228" s="62" t="s">
        <v>2425</v>
      </c>
      <c r="K1228" s="62" t="s">
        <v>377</v>
      </c>
      <c r="L1228" s="65"/>
      <c r="M1228" s="62" t="s">
        <v>2443</v>
      </c>
      <c r="N1228" s="62" t="s">
        <v>640</v>
      </c>
      <c r="O1228" s="62" t="s">
        <v>417</v>
      </c>
      <c r="P1228" s="62" t="s">
        <v>2421</v>
      </c>
      <c r="Q1228" s="66" t="s">
        <v>1970</v>
      </c>
    </row>
    <row r="1229" spans="1:17" x14ac:dyDescent="0.3">
      <c r="A1229" s="61" t="s">
        <v>2160</v>
      </c>
      <c r="B1229" s="62" t="s">
        <v>1264</v>
      </c>
      <c r="C1229" s="62" t="s">
        <v>1265</v>
      </c>
      <c r="D1229" s="63">
        <v>44985</v>
      </c>
      <c r="E1229" s="63">
        <v>46080</v>
      </c>
      <c r="F1229" s="62" t="s">
        <v>1936</v>
      </c>
      <c r="G1229" s="62" t="s">
        <v>304</v>
      </c>
      <c r="H1229" s="62" t="s">
        <v>2420</v>
      </c>
      <c r="I1229" s="64">
        <v>35000</v>
      </c>
      <c r="J1229" s="62" t="s">
        <v>2425</v>
      </c>
      <c r="K1229" s="62" t="s">
        <v>377</v>
      </c>
      <c r="L1229" s="65"/>
      <c r="M1229" s="62" t="s">
        <v>2443</v>
      </c>
      <c r="N1229" s="62" t="s">
        <v>640</v>
      </c>
      <c r="O1229" s="62" t="s">
        <v>417</v>
      </c>
      <c r="P1229" s="62" t="s">
        <v>2421</v>
      </c>
      <c r="Q1229" s="66" t="s">
        <v>1970</v>
      </c>
    </row>
    <row r="1230" spans="1:17" x14ac:dyDescent="0.3">
      <c r="A1230" s="61" t="s">
        <v>2160</v>
      </c>
      <c r="B1230" s="62" t="s">
        <v>1264</v>
      </c>
      <c r="C1230" s="62" t="s">
        <v>1265</v>
      </c>
      <c r="D1230" s="63">
        <v>44985</v>
      </c>
      <c r="E1230" s="63">
        <v>46080</v>
      </c>
      <c r="F1230" s="62" t="s">
        <v>287</v>
      </c>
      <c r="G1230" s="62" t="s">
        <v>304</v>
      </c>
      <c r="H1230" s="62" t="s">
        <v>2420</v>
      </c>
      <c r="I1230" s="64">
        <v>35000</v>
      </c>
      <c r="J1230" s="62" t="s">
        <v>2425</v>
      </c>
      <c r="K1230" s="62" t="s">
        <v>377</v>
      </c>
      <c r="L1230" s="65"/>
      <c r="M1230" s="62" t="s">
        <v>2443</v>
      </c>
      <c r="N1230" s="62" t="s">
        <v>640</v>
      </c>
      <c r="O1230" s="62" t="s">
        <v>417</v>
      </c>
      <c r="P1230" s="62" t="s">
        <v>2421</v>
      </c>
      <c r="Q1230" s="66" t="s">
        <v>1970</v>
      </c>
    </row>
    <row r="1231" spans="1:17" x14ac:dyDescent="0.3">
      <c r="A1231" s="61" t="s">
        <v>2161</v>
      </c>
      <c r="B1231" s="62" t="s">
        <v>1266</v>
      </c>
      <c r="C1231" s="62" t="s">
        <v>1267</v>
      </c>
      <c r="D1231" s="63">
        <v>45056</v>
      </c>
      <c r="E1231" s="63">
        <v>46516</v>
      </c>
      <c r="F1231" s="62" t="s">
        <v>350</v>
      </c>
      <c r="G1231" s="62" t="s">
        <v>304</v>
      </c>
      <c r="H1231" s="62" t="s">
        <v>2420</v>
      </c>
      <c r="I1231" s="64">
        <v>590000</v>
      </c>
      <c r="J1231" s="62" t="s">
        <v>2425</v>
      </c>
      <c r="K1231" s="62" t="s">
        <v>377</v>
      </c>
      <c r="L1231" s="65"/>
      <c r="M1231" s="62" t="s">
        <v>1518</v>
      </c>
      <c r="N1231" s="62" t="s">
        <v>1072</v>
      </c>
      <c r="O1231" s="62" t="s">
        <v>637</v>
      </c>
      <c r="P1231" s="62" t="s">
        <v>2421</v>
      </c>
      <c r="Q1231" s="66" t="s">
        <v>1982</v>
      </c>
    </row>
    <row r="1232" spans="1:17" x14ac:dyDescent="0.3">
      <c r="A1232" s="61" t="s">
        <v>2162</v>
      </c>
      <c r="B1232" s="62" t="s">
        <v>1268</v>
      </c>
      <c r="C1232" s="62" t="s">
        <v>1269</v>
      </c>
      <c r="D1232" s="63">
        <v>45450</v>
      </c>
      <c r="E1232" s="63">
        <v>46363</v>
      </c>
      <c r="F1232" s="62" t="s">
        <v>1936</v>
      </c>
      <c r="G1232" s="62" t="s">
        <v>602</v>
      </c>
      <c r="H1232" s="62" t="s">
        <v>467</v>
      </c>
      <c r="I1232" s="64">
        <v>54064.833333333299</v>
      </c>
      <c r="J1232" s="62" t="s">
        <v>468</v>
      </c>
      <c r="K1232" s="62" t="s">
        <v>467</v>
      </c>
      <c r="L1232" s="65"/>
      <c r="M1232" s="62" t="s">
        <v>825</v>
      </c>
      <c r="N1232" s="62" t="s">
        <v>370</v>
      </c>
      <c r="O1232" s="62" t="s">
        <v>371</v>
      </c>
      <c r="P1232" s="62" t="s">
        <v>2421</v>
      </c>
      <c r="Q1232" s="66" t="s">
        <v>1976</v>
      </c>
    </row>
    <row r="1233" spans="1:17" x14ac:dyDescent="0.3">
      <c r="A1233" s="61" t="s">
        <v>2162</v>
      </c>
      <c r="B1233" s="62" t="s">
        <v>1268</v>
      </c>
      <c r="C1233" s="62" t="s">
        <v>1269</v>
      </c>
      <c r="D1233" s="63">
        <v>45450</v>
      </c>
      <c r="E1233" s="63">
        <v>46363</v>
      </c>
      <c r="F1233" s="62" t="s">
        <v>1936</v>
      </c>
      <c r="G1233" s="62" t="s">
        <v>710</v>
      </c>
      <c r="H1233" s="62" t="s">
        <v>467</v>
      </c>
      <c r="I1233" s="64">
        <v>54064.833333333299</v>
      </c>
      <c r="J1233" s="62" t="s">
        <v>468</v>
      </c>
      <c r="K1233" s="62" t="s">
        <v>467</v>
      </c>
      <c r="L1233" s="65"/>
      <c r="M1233" s="62" t="s">
        <v>825</v>
      </c>
      <c r="N1233" s="62" t="s">
        <v>370</v>
      </c>
      <c r="O1233" s="62" t="s">
        <v>371</v>
      </c>
      <c r="P1233" s="62" t="s">
        <v>2421</v>
      </c>
      <c r="Q1233" s="66" t="s">
        <v>1976</v>
      </c>
    </row>
    <row r="1234" spans="1:17" x14ac:dyDescent="0.3">
      <c r="A1234" s="61" t="s">
        <v>2162</v>
      </c>
      <c r="B1234" s="62" t="s">
        <v>1268</v>
      </c>
      <c r="C1234" s="62" t="s">
        <v>1269</v>
      </c>
      <c r="D1234" s="63">
        <v>45450</v>
      </c>
      <c r="E1234" s="63">
        <v>46363</v>
      </c>
      <c r="F1234" s="62" t="s">
        <v>1936</v>
      </c>
      <c r="G1234" s="62" t="s">
        <v>411</v>
      </c>
      <c r="H1234" s="62" t="s">
        <v>467</v>
      </c>
      <c r="I1234" s="64">
        <v>54064.833333333299</v>
      </c>
      <c r="J1234" s="62" t="s">
        <v>468</v>
      </c>
      <c r="K1234" s="62" t="s">
        <v>467</v>
      </c>
      <c r="L1234" s="65"/>
      <c r="M1234" s="62" t="s">
        <v>825</v>
      </c>
      <c r="N1234" s="62" t="s">
        <v>370</v>
      </c>
      <c r="O1234" s="62" t="s">
        <v>371</v>
      </c>
      <c r="P1234" s="62" t="s">
        <v>2421</v>
      </c>
      <c r="Q1234" s="66" t="s">
        <v>1976</v>
      </c>
    </row>
    <row r="1235" spans="1:17" x14ac:dyDescent="0.3">
      <c r="A1235" s="61" t="s">
        <v>2162</v>
      </c>
      <c r="B1235" s="62" t="s">
        <v>1268</v>
      </c>
      <c r="C1235" s="62" t="s">
        <v>1269</v>
      </c>
      <c r="D1235" s="63">
        <v>45450</v>
      </c>
      <c r="E1235" s="63">
        <v>46363</v>
      </c>
      <c r="F1235" s="62" t="s">
        <v>1945</v>
      </c>
      <c r="G1235" s="62" t="s">
        <v>400</v>
      </c>
      <c r="H1235" s="62" t="s">
        <v>467</v>
      </c>
      <c r="I1235" s="64">
        <v>162194.5</v>
      </c>
      <c r="J1235" s="62" t="s">
        <v>468</v>
      </c>
      <c r="K1235" s="62" t="s">
        <v>467</v>
      </c>
      <c r="L1235" s="65"/>
      <c r="M1235" s="62" t="s">
        <v>825</v>
      </c>
      <c r="N1235" s="62" t="s">
        <v>370</v>
      </c>
      <c r="O1235" s="62" t="s">
        <v>371</v>
      </c>
      <c r="P1235" s="62" t="s">
        <v>2421</v>
      </c>
      <c r="Q1235" s="66" t="s">
        <v>1976</v>
      </c>
    </row>
    <row r="1236" spans="1:17" x14ac:dyDescent="0.3">
      <c r="A1236" s="61" t="s">
        <v>2163</v>
      </c>
      <c r="B1236" s="62" t="s">
        <v>1270</v>
      </c>
      <c r="C1236" s="62" t="s">
        <v>1271</v>
      </c>
      <c r="D1236" s="63">
        <v>45658</v>
      </c>
      <c r="E1236" s="63">
        <v>46363</v>
      </c>
      <c r="F1236" s="62" t="s">
        <v>1936</v>
      </c>
      <c r="G1236" s="62" t="s">
        <v>602</v>
      </c>
      <c r="H1236" s="62" t="s">
        <v>467</v>
      </c>
      <c r="I1236" s="64">
        <v>18021.5</v>
      </c>
      <c r="J1236" s="62" t="s">
        <v>468</v>
      </c>
      <c r="K1236" s="62" t="s">
        <v>467</v>
      </c>
      <c r="L1236" s="65"/>
      <c r="M1236" s="62" t="s">
        <v>825</v>
      </c>
      <c r="N1236" s="62" t="s">
        <v>370</v>
      </c>
      <c r="O1236" s="62" t="s">
        <v>371</v>
      </c>
      <c r="P1236" s="62" t="s">
        <v>2421</v>
      </c>
      <c r="Q1236" s="66" t="s">
        <v>1976</v>
      </c>
    </row>
    <row r="1237" spans="1:17" x14ac:dyDescent="0.3">
      <c r="A1237" s="61" t="s">
        <v>2163</v>
      </c>
      <c r="B1237" s="62" t="s">
        <v>1270</v>
      </c>
      <c r="C1237" s="62" t="s">
        <v>1271</v>
      </c>
      <c r="D1237" s="63">
        <v>45658</v>
      </c>
      <c r="E1237" s="63">
        <v>46363</v>
      </c>
      <c r="F1237" s="62" t="s">
        <v>1936</v>
      </c>
      <c r="G1237" s="62" t="s">
        <v>710</v>
      </c>
      <c r="H1237" s="62" t="s">
        <v>467</v>
      </c>
      <c r="I1237" s="64">
        <v>18021.5</v>
      </c>
      <c r="J1237" s="62" t="s">
        <v>468</v>
      </c>
      <c r="K1237" s="62" t="s">
        <v>467</v>
      </c>
      <c r="L1237" s="65"/>
      <c r="M1237" s="62" t="s">
        <v>825</v>
      </c>
      <c r="N1237" s="62" t="s">
        <v>370</v>
      </c>
      <c r="O1237" s="62" t="s">
        <v>371</v>
      </c>
      <c r="P1237" s="62" t="s">
        <v>2421</v>
      </c>
      <c r="Q1237" s="66" t="s">
        <v>1976</v>
      </c>
    </row>
    <row r="1238" spans="1:17" x14ac:dyDescent="0.3">
      <c r="A1238" s="61" t="s">
        <v>2163</v>
      </c>
      <c r="B1238" s="62" t="s">
        <v>1270</v>
      </c>
      <c r="C1238" s="62" t="s">
        <v>1271</v>
      </c>
      <c r="D1238" s="63">
        <v>45658</v>
      </c>
      <c r="E1238" s="63">
        <v>46363</v>
      </c>
      <c r="F1238" s="62" t="s">
        <v>1936</v>
      </c>
      <c r="G1238" s="62" t="s">
        <v>411</v>
      </c>
      <c r="H1238" s="62" t="s">
        <v>467</v>
      </c>
      <c r="I1238" s="64">
        <v>18021.5</v>
      </c>
      <c r="J1238" s="62" t="s">
        <v>468</v>
      </c>
      <c r="K1238" s="62" t="s">
        <v>467</v>
      </c>
      <c r="L1238" s="65"/>
      <c r="M1238" s="62" t="s">
        <v>825</v>
      </c>
      <c r="N1238" s="62" t="s">
        <v>370</v>
      </c>
      <c r="O1238" s="62" t="s">
        <v>371</v>
      </c>
      <c r="P1238" s="62" t="s">
        <v>2421</v>
      </c>
      <c r="Q1238" s="66" t="s">
        <v>1976</v>
      </c>
    </row>
    <row r="1239" spans="1:17" x14ac:dyDescent="0.3">
      <c r="A1239" s="61" t="s">
        <v>2163</v>
      </c>
      <c r="B1239" s="62" t="s">
        <v>1270</v>
      </c>
      <c r="C1239" s="62" t="s">
        <v>1271</v>
      </c>
      <c r="D1239" s="63">
        <v>45658</v>
      </c>
      <c r="E1239" s="63">
        <v>46363</v>
      </c>
      <c r="F1239" s="62" t="s">
        <v>1945</v>
      </c>
      <c r="G1239" s="62" t="s">
        <v>400</v>
      </c>
      <c r="H1239" s="62" t="s">
        <v>467</v>
      </c>
      <c r="I1239" s="64">
        <v>54064.5</v>
      </c>
      <c r="J1239" s="62" t="s">
        <v>468</v>
      </c>
      <c r="K1239" s="62" t="s">
        <v>467</v>
      </c>
      <c r="L1239" s="65"/>
      <c r="M1239" s="62" t="s">
        <v>825</v>
      </c>
      <c r="N1239" s="62" t="s">
        <v>370</v>
      </c>
      <c r="O1239" s="62" t="s">
        <v>371</v>
      </c>
      <c r="P1239" s="62" t="s">
        <v>2421</v>
      </c>
      <c r="Q1239" s="66" t="s">
        <v>1976</v>
      </c>
    </row>
    <row r="1240" spans="1:17" x14ac:dyDescent="0.3">
      <c r="A1240" s="61" t="s">
        <v>2164</v>
      </c>
      <c r="B1240" s="62" t="s">
        <v>1273</v>
      </c>
      <c r="C1240" s="62" t="s">
        <v>1274</v>
      </c>
      <c r="D1240" s="63">
        <v>45139</v>
      </c>
      <c r="E1240" s="63">
        <v>46234</v>
      </c>
      <c r="F1240" s="62" t="s">
        <v>1959</v>
      </c>
      <c r="G1240" s="62" t="s">
        <v>666</v>
      </c>
      <c r="H1240" s="62" t="s">
        <v>638</v>
      </c>
      <c r="I1240" s="64">
        <v>94312</v>
      </c>
      <c r="J1240" s="62" t="s">
        <v>645</v>
      </c>
      <c r="K1240" s="62" t="s">
        <v>638</v>
      </c>
      <c r="L1240" s="65"/>
      <c r="M1240" s="62" t="s">
        <v>424</v>
      </c>
      <c r="N1240" s="62" t="s">
        <v>491</v>
      </c>
      <c r="O1240" s="62" t="s">
        <v>365</v>
      </c>
      <c r="P1240" s="62" t="s">
        <v>2421</v>
      </c>
      <c r="Q1240" s="66" t="s">
        <v>1968</v>
      </c>
    </row>
    <row r="1241" spans="1:17" x14ac:dyDescent="0.3">
      <c r="A1241" s="61" t="s">
        <v>2164</v>
      </c>
      <c r="B1241" s="62" t="s">
        <v>1273</v>
      </c>
      <c r="C1241" s="62" t="s">
        <v>1274</v>
      </c>
      <c r="D1241" s="63">
        <v>45139</v>
      </c>
      <c r="E1241" s="63">
        <v>46234</v>
      </c>
      <c r="F1241" s="62" t="s">
        <v>1959</v>
      </c>
      <c r="G1241" s="62" t="s">
        <v>807</v>
      </c>
      <c r="H1241" s="62" t="s">
        <v>638</v>
      </c>
      <c r="I1241" s="64">
        <v>94312</v>
      </c>
      <c r="J1241" s="62" t="s">
        <v>645</v>
      </c>
      <c r="K1241" s="62" t="s">
        <v>638</v>
      </c>
      <c r="L1241" s="65"/>
      <c r="M1241" s="62" t="s">
        <v>424</v>
      </c>
      <c r="N1241" s="62" t="s">
        <v>491</v>
      </c>
      <c r="O1241" s="62" t="s">
        <v>365</v>
      </c>
      <c r="P1241" s="62" t="s">
        <v>2421</v>
      </c>
      <c r="Q1241" s="66" t="s">
        <v>1968</v>
      </c>
    </row>
    <row r="1242" spans="1:17" x14ac:dyDescent="0.3">
      <c r="A1242" s="61" t="s">
        <v>2164</v>
      </c>
      <c r="B1242" s="62" t="s">
        <v>1273</v>
      </c>
      <c r="C1242" s="62" t="s">
        <v>1274</v>
      </c>
      <c r="D1242" s="63">
        <v>45139</v>
      </c>
      <c r="E1242" s="63">
        <v>46234</v>
      </c>
      <c r="F1242" s="62" t="s">
        <v>1959</v>
      </c>
      <c r="G1242" s="62" t="s">
        <v>669</v>
      </c>
      <c r="H1242" s="62" t="s">
        <v>638</v>
      </c>
      <c r="I1242" s="64">
        <v>94312</v>
      </c>
      <c r="J1242" s="62" t="s">
        <v>645</v>
      </c>
      <c r="K1242" s="62" t="s">
        <v>638</v>
      </c>
      <c r="L1242" s="65"/>
      <c r="M1242" s="62" t="s">
        <v>424</v>
      </c>
      <c r="N1242" s="62" t="s">
        <v>491</v>
      </c>
      <c r="O1242" s="62" t="s">
        <v>365</v>
      </c>
      <c r="P1242" s="62" t="s">
        <v>2421</v>
      </c>
      <c r="Q1242" s="66" t="s">
        <v>1968</v>
      </c>
    </row>
    <row r="1243" spans="1:17" x14ac:dyDescent="0.3">
      <c r="A1243" s="61" t="s">
        <v>2164</v>
      </c>
      <c r="B1243" s="62" t="s">
        <v>1273</v>
      </c>
      <c r="C1243" s="62" t="s">
        <v>1274</v>
      </c>
      <c r="D1243" s="63">
        <v>45139</v>
      </c>
      <c r="E1243" s="63">
        <v>46234</v>
      </c>
      <c r="F1243" s="62" t="s">
        <v>1959</v>
      </c>
      <c r="G1243" s="62" t="s">
        <v>781</v>
      </c>
      <c r="H1243" s="62" t="s">
        <v>638</v>
      </c>
      <c r="I1243" s="64">
        <v>94312</v>
      </c>
      <c r="J1243" s="62" t="s">
        <v>645</v>
      </c>
      <c r="K1243" s="62" t="s">
        <v>638</v>
      </c>
      <c r="L1243" s="65"/>
      <c r="M1243" s="62" t="s">
        <v>424</v>
      </c>
      <c r="N1243" s="62" t="s">
        <v>491</v>
      </c>
      <c r="O1243" s="62" t="s">
        <v>365</v>
      </c>
      <c r="P1243" s="62" t="s">
        <v>2421</v>
      </c>
      <c r="Q1243" s="66" t="s">
        <v>1968</v>
      </c>
    </row>
    <row r="1244" spans="1:17" x14ac:dyDescent="0.3">
      <c r="A1244" s="61" t="s">
        <v>2165</v>
      </c>
      <c r="B1244" s="62" t="s">
        <v>1275</v>
      </c>
      <c r="C1244" s="62" t="s">
        <v>1276</v>
      </c>
      <c r="D1244" s="63">
        <v>45261</v>
      </c>
      <c r="E1244" s="63">
        <v>46477</v>
      </c>
      <c r="F1244" s="62" t="s">
        <v>350</v>
      </c>
      <c r="G1244" s="62" t="s">
        <v>350</v>
      </c>
      <c r="H1244" s="62" t="s">
        <v>638</v>
      </c>
      <c r="I1244" s="64">
        <v>377248</v>
      </c>
      <c r="J1244" s="62" t="s">
        <v>645</v>
      </c>
      <c r="K1244" s="62" t="s">
        <v>638</v>
      </c>
      <c r="L1244" s="65"/>
      <c r="M1244" s="62" t="s">
        <v>424</v>
      </c>
      <c r="N1244" s="62" t="s">
        <v>1218</v>
      </c>
      <c r="O1244" s="62" t="s">
        <v>596</v>
      </c>
      <c r="P1244" s="62" t="s">
        <v>2421</v>
      </c>
      <c r="Q1244" s="66" t="s">
        <v>1972</v>
      </c>
    </row>
    <row r="1245" spans="1:17" x14ac:dyDescent="0.3">
      <c r="A1245" s="61" t="s">
        <v>2166</v>
      </c>
      <c r="B1245" s="62" t="s">
        <v>1277</v>
      </c>
      <c r="C1245" s="62" t="s">
        <v>1278</v>
      </c>
      <c r="D1245" s="63">
        <v>44927</v>
      </c>
      <c r="E1245" s="63">
        <v>46142</v>
      </c>
      <c r="F1245" s="62" t="s">
        <v>282</v>
      </c>
      <c r="G1245" s="62" t="s">
        <v>304</v>
      </c>
      <c r="H1245" s="62" t="s">
        <v>638</v>
      </c>
      <c r="I1245" s="64">
        <v>138324.33333333299</v>
      </c>
      <c r="J1245" s="62" t="s">
        <v>645</v>
      </c>
      <c r="K1245" s="62" t="s">
        <v>638</v>
      </c>
      <c r="L1245" s="65"/>
      <c r="M1245" s="62" t="s">
        <v>424</v>
      </c>
      <c r="N1245" s="62" t="s">
        <v>370</v>
      </c>
      <c r="O1245" s="62" t="s">
        <v>371</v>
      </c>
      <c r="P1245" s="62" t="s">
        <v>2421</v>
      </c>
      <c r="Q1245" s="66" t="s">
        <v>1972</v>
      </c>
    </row>
    <row r="1246" spans="1:17" x14ac:dyDescent="0.3">
      <c r="A1246" s="61" t="s">
        <v>2166</v>
      </c>
      <c r="B1246" s="62" t="s">
        <v>1277</v>
      </c>
      <c r="C1246" s="62" t="s">
        <v>1278</v>
      </c>
      <c r="D1246" s="63">
        <v>44927</v>
      </c>
      <c r="E1246" s="63">
        <v>46142</v>
      </c>
      <c r="F1246" s="62" t="s">
        <v>286</v>
      </c>
      <c r="G1246" s="62" t="s">
        <v>304</v>
      </c>
      <c r="H1246" s="62" t="s">
        <v>638</v>
      </c>
      <c r="I1246" s="64">
        <v>138324.33333333299</v>
      </c>
      <c r="J1246" s="62" t="s">
        <v>645</v>
      </c>
      <c r="K1246" s="62" t="s">
        <v>638</v>
      </c>
      <c r="L1246" s="65"/>
      <c r="M1246" s="62" t="s">
        <v>424</v>
      </c>
      <c r="N1246" s="62" t="s">
        <v>370</v>
      </c>
      <c r="O1246" s="62" t="s">
        <v>371</v>
      </c>
      <c r="P1246" s="62" t="s">
        <v>2421</v>
      </c>
      <c r="Q1246" s="66" t="s">
        <v>1972</v>
      </c>
    </row>
    <row r="1247" spans="1:17" x14ac:dyDescent="0.3">
      <c r="A1247" s="61" t="s">
        <v>2166</v>
      </c>
      <c r="B1247" s="62" t="s">
        <v>1277</v>
      </c>
      <c r="C1247" s="62" t="s">
        <v>1278</v>
      </c>
      <c r="D1247" s="63">
        <v>44927</v>
      </c>
      <c r="E1247" s="63">
        <v>46142</v>
      </c>
      <c r="F1247" s="62" t="s">
        <v>289</v>
      </c>
      <c r="G1247" s="62" t="s">
        <v>304</v>
      </c>
      <c r="H1247" s="62" t="s">
        <v>638</v>
      </c>
      <c r="I1247" s="64">
        <v>138324.33333333299</v>
      </c>
      <c r="J1247" s="62" t="s">
        <v>645</v>
      </c>
      <c r="K1247" s="62" t="s">
        <v>638</v>
      </c>
      <c r="L1247" s="65"/>
      <c r="M1247" s="62" t="s">
        <v>424</v>
      </c>
      <c r="N1247" s="62" t="s">
        <v>370</v>
      </c>
      <c r="O1247" s="62" t="s">
        <v>371</v>
      </c>
      <c r="P1247" s="62" t="s">
        <v>2421</v>
      </c>
      <c r="Q1247" s="66" t="s">
        <v>1972</v>
      </c>
    </row>
    <row r="1248" spans="1:17" x14ac:dyDescent="0.3">
      <c r="A1248" s="61" t="s">
        <v>2167</v>
      </c>
      <c r="B1248" s="62" t="s">
        <v>1279</v>
      </c>
      <c r="C1248" s="62" t="s">
        <v>1280</v>
      </c>
      <c r="D1248" s="63">
        <v>45472</v>
      </c>
      <c r="E1248" s="63">
        <v>46201</v>
      </c>
      <c r="F1248" s="62" t="s">
        <v>350</v>
      </c>
      <c r="G1248" s="62" t="s">
        <v>304</v>
      </c>
      <c r="H1248" s="62" t="s">
        <v>2420</v>
      </c>
      <c r="I1248" s="64">
        <v>500000</v>
      </c>
      <c r="J1248" s="62" t="s">
        <v>2425</v>
      </c>
      <c r="K1248" s="62" t="s">
        <v>377</v>
      </c>
      <c r="L1248" s="65"/>
      <c r="M1248" s="62" t="s">
        <v>1518</v>
      </c>
      <c r="N1248" s="62" t="s">
        <v>469</v>
      </c>
      <c r="O1248" s="62" t="s">
        <v>315</v>
      </c>
      <c r="P1248" s="62" t="s">
        <v>2421</v>
      </c>
      <c r="Q1248" s="66" t="s">
        <v>1969</v>
      </c>
    </row>
    <row r="1249" spans="1:17" x14ac:dyDescent="0.3">
      <c r="A1249" s="61" t="s">
        <v>2168</v>
      </c>
      <c r="B1249" s="62" t="s">
        <v>1281</v>
      </c>
      <c r="C1249" s="62" t="s">
        <v>1282</v>
      </c>
      <c r="D1249" s="63">
        <v>45053</v>
      </c>
      <c r="E1249" s="63">
        <v>46149</v>
      </c>
      <c r="F1249" s="62" t="s">
        <v>350</v>
      </c>
      <c r="G1249" s="62" t="s">
        <v>304</v>
      </c>
      <c r="H1249" s="62" t="s">
        <v>2420</v>
      </c>
      <c r="I1249" s="64">
        <v>990000</v>
      </c>
      <c r="J1249" s="62" t="s">
        <v>2425</v>
      </c>
      <c r="K1249" s="62" t="s">
        <v>377</v>
      </c>
      <c r="L1249" s="65"/>
      <c r="M1249" s="62" t="s">
        <v>1518</v>
      </c>
      <c r="N1249" s="62" t="s">
        <v>949</v>
      </c>
      <c r="O1249" s="62" t="s">
        <v>309</v>
      </c>
      <c r="P1249" s="62" t="s">
        <v>2421</v>
      </c>
      <c r="Q1249" s="66" t="s">
        <v>1982</v>
      </c>
    </row>
    <row r="1250" spans="1:17" x14ac:dyDescent="0.3">
      <c r="A1250" s="61" t="s">
        <v>2169</v>
      </c>
      <c r="B1250" s="62" t="s">
        <v>1283</v>
      </c>
      <c r="C1250" s="62" t="s">
        <v>1284</v>
      </c>
      <c r="D1250" s="63">
        <v>45202</v>
      </c>
      <c r="E1250" s="63">
        <v>46056</v>
      </c>
      <c r="F1250" s="62" t="s">
        <v>1916</v>
      </c>
      <c r="G1250" s="62" t="s">
        <v>304</v>
      </c>
      <c r="H1250" s="62" t="s">
        <v>2420</v>
      </c>
      <c r="I1250" s="64">
        <v>70000</v>
      </c>
      <c r="J1250" s="62" t="s">
        <v>2425</v>
      </c>
      <c r="K1250" s="62" t="s">
        <v>377</v>
      </c>
      <c r="L1250" s="65"/>
      <c r="M1250" s="62" t="s">
        <v>2465</v>
      </c>
      <c r="N1250" s="62" t="s">
        <v>579</v>
      </c>
      <c r="O1250" s="62" t="s">
        <v>428</v>
      </c>
      <c r="P1250" s="62" t="s">
        <v>2421</v>
      </c>
      <c r="Q1250" s="66" t="s">
        <v>2021</v>
      </c>
    </row>
    <row r="1251" spans="1:17" x14ac:dyDescent="0.3">
      <c r="A1251" s="61" t="s">
        <v>2169</v>
      </c>
      <c r="B1251" s="62" t="s">
        <v>1283</v>
      </c>
      <c r="C1251" s="62" t="s">
        <v>1284</v>
      </c>
      <c r="D1251" s="63">
        <v>45202</v>
      </c>
      <c r="E1251" s="63">
        <v>46056</v>
      </c>
      <c r="F1251" s="62" t="s">
        <v>1934</v>
      </c>
      <c r="G1251" s="62" t="s">
        <v>304</v>
      </c>
      <c r="H1251" s="62" t="s">
        <v>2420</v>
      </c>
      <c r="I1251" s="64">
        <v>70000</v>
      </c>
      <c r="J1251" s="62" t="s">
        <v>2425</v>
      </c>
      <c r="K1251" s="62" t="s">
        <v>377</v>
      </c>
      <c r="L1251" s="65"/>
      <c r="M1251" s="62" t="s">
        <v>2465</v>
      </c>
      <c r="N1251" s="62" t="s">
        <v>579</v>
      </c>
      <c r="O1251" s="62" t="s">
        <v>428</v>
      </c>
      <c r="P1251" s="62" t="s">
        <v>2421</v>
      </c>
      <c r="Q1251" s="66" t="s">
        <v>2021</v>
      </c>
    </row>
    <row r="1252" spans="1:17" x14ac:dyDescent="0.3">
      <c r="A1252" s="61" t="s">
        <v>2169</v>
      </c>
      <c r="B1252" s="62" t="s">
        <v>1283</v>
      </c>
      <c r="C1252" s="62" t="s">
        <v>1284</v>
      </c>
      <c r="D1252" s="63">
        <v>45202</v>
      </c>
      <c r="E1252" s="63">
        <v>46056</v>
      </c>
      <c r="F1252" s="62" t="s">
        <v>1958</v>
      </c>
      <c r="G1252" s="62" t="s">
        <v>304</v>
      </c>
      <c r="H1252" s="62" t="s">
        <v>2420</v>
      </c>
      <c r="I1252" s="64">
        <v>70000</v>
      </c>
      <c r="J1252" s="62" t="s">
        <v>2425</v>
      </c>
      <c r="K1252" s="62" t="s">
        <v>377</v>
      </c>
      <c r="L1252" s="65"/>
      <c r="M1252" s="62" t="s">
        <v>2465</v>
      </c>
      <c r="N1252" s="62" t="s">
        <v>579</v>
      </c>
      <c r="O1252" s="62" t="s">
        <v>428</v>
      </c>
      <c r="P1252" s="62" t="s">
        <v>2421</v>
      </c>
      <c r="Q1252" s="66" t="s">
        <v>2021</v>
      </c>
    </row>
    <row r="1253" spans="1:17" x14ac:dyDescent="0.3">
      <c r="A1253" s="61" t="s">
        <v>2169</v>
      </c>
      <c r="B1253" s="62" t="s">
        <v>1283</v>
      </c>
      <c r="C1253" s="62" t="s">
        <v>1284</v>
      </c>
      <c r="D1253" s="63">
        <v>45202</v>
      </c>
      <c r="E1253" s="63">
        <v>46056</v>
      </c>
      <c r="F1253" s="62" t="s">
        <v>1938</v>
      </c>
      <c r="G1253" s="62" t="s">
        <v>304</v>
      </c>
      <c r="H1253" s="62" t="s">
        <v>2420</v>
      </c>
      <c r="I1253" s="64">
        <v>70000</v>
      </c>
      <c r="J1253" s="62" t="s">
        <v>2425</v>
      </c>
      <c r="K1253" s="62" t="s">
        <v>377</v>
      </c>
      <c r="L1253" s="65"/>
      <c r="M1253" s="62" t="s">
        <v>2465</v>
      </c>
      <c r="N1253" s="62" t="s">
        <v>579</v>
      </c>
      <c r="O1253" s="62" t="s">
        <v>428</v>
      </c>
      <c r="P1253" s="62" t="s">
        <v>2421</v>
      </c>
      <c r="Q1253" s="66" t="s">
        <v>2021</v>
      </c>
    </row>
    <row r="1254" spans="1:17" x14ac:dyDescent="0.3">
      <c r="A1254" s="61" t="s">
        <v>2169</v>
      </c>
      <c r="B1254" s="62" t="s">
        <v>1283</v>
      </c>
      <c r="C1254" s="62" t="s">
        <v>1284</v>
      </c>
      <c r="D1254" s="63">
        <v>45202</v>
      </c>
      <c r="E1254" s="63">
        <v>46056</v>
      </c>
      <c r="F1254" s="62" t="s">
        <v>1963</v>
      </c>
      <c r="G1254" s="62" t="s">
        <v>304</v>
      </c>
      <c r="H1254" s="62" t="s">
        <v>2420</v>
      </c>
      <c r="I1254" s="64">
        <v>70000</v>
      </c>
      <c r="J1254" s="62" t="s">
        <v>2425</v>
      </c>
      <c r="K1254" s="62" t="s">
        <v>377</v>
      </c>
      <c r="L1254" s="65"/>
      <c r="M1254" s="62" t="s">
        <v>2465</v>
      </c>
      <c r="N1254" s="62" t="s">
        <v>579</v>
      </c>
      <c r="O1254" s="62" t="s">
        <v>428</v>
      </c>
      <c r="P1254" s="62" t="s">
        <v>2421</v>
      </c>
      <c r="Q1254" s="66" t="s">
        <v>2021</v>
      </c>
    </row>
    <row r="1255" spans="1:17" x14ac:dyDescent="0.3">
      <c r="A1255" s="61" t="s">
        <v>2169</v>
      </c>
      <c r="B1255" s="62" t="s">
        <v>1283</v>
      </c>
      <c r="C1255" s="62" t="s">
        <v>1284</v>
      </c>
      <c r="D1255" s="63">
        <v>45202</v>
      </c>
      <c r="E1255" s="63">
        <v>46056</v>
      </c>
      <c r="F1255" s="62" t="s">
        <v>1948</v>
      </c>
      <c r="G1255" s="62" t="s">
        <v>304</v>
      </c>
      <c r="H1255" s="62" t="s">
        <v>2420</v>
      </c>
      <c r="I1255" s="64">
        <v>70000</v>
      </c>
      <c r="J1255" s="62" t="s">
        <v>2425</v>
      </c>
      <c r="K1255" s="62" t="s">
        <v>377</v>
      </c>
      <c r="L1255" s="65"/>
      <c r="M1255" s="62" t="s">
        <v>2465</v>
      </c>
      <c r="N1255" s="62" t="s">
        <v>579</v>
      </c>
      <c r="O1255" s="62" t="s">
        <v>428</v>
      </c>
      <c r="P1255" s="62" t="s">
        <v>2421</v>
      </c>
      <c r="Q1255" s="66" t="s">
        <v>2021</v>
      </c>
    </row>
    <row r="1256" spans="1:17" x14ac:dyDescent="0.3">
      <c r="A1256" s="61" t="s">
        <v>2170</v>
      </c>
      <c r="B1256" s="62" t="s">
        <v>1285</v>
      </c>
      <c r="C1256" s="62" t="s">
        <v>1286</v>
      </c>
      <c r="D1256" s="63">
        <v>45103</v>
      </c>
      <c r="E1256" s="63">
        <v>46199</v>
      </c>
      <c r="F1256" s="62" t="s">
        <v>348</v>
      </c>
      <c r="G1256" s="62" t="s">
        <v>304</v>
      </c>
      <c r="H1256" s="62" t="s">
        <v>2420</v>
      </c>
      <c r="I1256" s="64">
        <v>420000</v>
      </c>
      <c r="J1256" s="62" t="s">
        <v>2425</v>
      </c>
      <c r="K1256" s="62" t="s">
        <v>377</v>
      </c>
      <c r="L1256" s="65"/>
      <c r="M1256" s="62" t="s">
        <v>2443</v>
      </c>
      <c r="N1256" s="62" t="s">
        <v>991</v>
      </c>
      <c r="O1256" s="62" t="s">
        <v>426</v>
      </c>
      <c r="P1256" s="62" t="s">
        <v>2421</v>
      </c>
      <c r="Q1256" s="66" t="s">
        <v>1983</v>
      </c>
    </row>
    <row r="1257" spans="1:17" x14ac:dyDescent="0.3">
      <c r="A1257" s="61" t="s">
        <v>2171</v>
      </c>
      <c r="B1257" s="62" t="s">
        <v>1288</v>
      </c>
      <c r="C1257" s="62" t="s">
        <v>1289</v>
      </c>
      <c r="D1257" s="63">
        <v>45444</v>
      </c>
      <c r="E1257" s="63">
        <v>46173</v>
      </c>
      <c r="F1257" s="62" t="s">
        <v>1959</v>
      </c>
      <c r="G1257" s="62" t="s">
        <v>466</v>
      </c>
      <c r="H1257" s="62" t="s">
        <v>373</v>
      </c>
      <c r="I1257" s="64">
        <v>124855.75</v>
      </c>
      <c r="J1257" s="62" t="s">
        <v>373</v>
      </c>
      <c r="K1257" s="62" t="s">
        <v>1693</v>
      </c>
      <c r="L1257" s="65"/>
      <c r="M1257" s="62" t="s">
        <v>1518</v>
      </c>
      <c r="N1257" s="62" t="s">
        <v>355</v>
      </c>
      <c r="O1257" s="62" t="s">
        <v>309</v>
      </c>
      <c r="P1257" s="62" t="s">
        <v>2421</v>
      </c>
      <c r="Q1257" s="66" t="s">
        <v>1972</v>
      </c>
    </row>
    <row r="1258" spans="1:17" x14ac:dyDescent="0.3">
      <c r="A1258" s="61" t="s">
        <v>2171</v>
      </c>
      <c r="B1258" s="62" t="s">
        <v>1288</v>
      </c>
      <c r="C1258" s="62" t="s">
        <v>1289</v>
      </c>
      <c r="D1258" s="63">
        <v>45444</v>
      </c>
      <c r="E1258" s="63">
        <v>46173</v>
      </c>
      <c r="F1258" s="62" t="s">
        <v>1959</v>
      </c>
      <c r="G1258" s="62" t="s">
        <v>679</v>
      </c>
      <c r="H1258" s="62" t="s">
        <v>373</v>
      </c>
      <c r="I1258" s="64">
        <v>124855.75</v>
      </c>
      <c r="J1258" s="62" t="s">
        <v>373</v>
      </c>
      <c r="K1258" s="62" t="s">
        <v>1693</v>
      </c>
      <c r="L1258" s="65"/>
      <c r="M1258" s="62" t="s">
        <v>1518</v>
      </c>
      <c r="N1258" s="62" t="s">
        <v>355</v>
      </c>
      <c r="O1258" s="62" t="s">
        <v>309</v>
      </c>
      <c r="P1258" s="62" t="s">
        <v>2421</v>
      </c>
      <c r="Q1258" s="66" t="s">
        <v>1972</v>
      </c>
    </row>
    <row r="1259" spans="1:17" x14ac:dyDescent="0.3">
      <c r="A1259" s="61" t="s">
        <v>2171</v>
      </c>
      <c r="B1259" s="62" t="s">
        <v>1288</v>
      </c>
      <c r="C1259" s="62" t="s">
        <v>1289</v>
      </c>
      <c r="D1259" s="63">
        <v>45444</v>
      </c>
      <c r="E1259" s="63">
        <v>46173</v>
      </c>
      <c r="F1259" s="62" t="s">
        <v>1959</v>
      </c>
      <c r="G1259" s="62" t="s">
        <v>583</v>
      </c>
      <c r="H1259" s="62" t="s">
        <v>373</v>
      </c>
      <c r="I1259" s="64">
        <v>124855.75</v>
      </c>
      <c r="J1259" s="62" t="s">
        <v>373</v>
      </c>
      <c r="K1259" s="62" t="s">
        <v>1693</v>
      </c>
      <c r="L1259" s="65"/>
      <c r="M1259" s="62" t="s">
        <v>1518</v>
      </c>
      <c r="N1259" s="62" t="s">
        <v>355</v>
      </c>
      <c r="O1259" s="62" t="s">
        <v>309</v>
      </c>
      <c r="P1259" s="62" t="s">
        <v>2421</v>
      </c>
      <c r="Q1259" s="66" t="s">
        <v>1972</v>
      </c>
    </row>
    <row r="1260" spans="1:17" x14ac:dyDescent="0.3">
      <c r="A1260" s="61" t="s">
        <v>2171</v>
      </c>
      <c r="B1260" s="62" t="s">
        <v>1288</v>
      </c>
      <c r="C1260" s="62" t="s">
        <v>1289</v>
      </c>
      <c r="D1260" s="63">
        <v>45444</v>
      </c>
      <c r="E1260" s="63">
        <v>46173</v>
      </c>
      <c r="F1260" s="62" t="s">
        <v>1959</v>
      </c>
      <c r="G1260" s="62" t="s">
        <v>475</v>
      </c>
      <c r="H1260" s="62" t="s">
        <v>373</v>
      </c>
      <c r="I1260" s="64">
        <v>124855.75</v>
      </c>
      <c r="J1260" s="62" t="s">
        <v>373</v>
      </c>
      <c r="K1260" s="62" t="s">
        <v>1693</v>
      </c>
      <c r="L1260" s="65"/>
      <c r="M1260" s="62" t="s">
        <v>1518</v>
      </c>
      <c r="N1260" s="62" t="s">
        <v>355</v>
      </c>
      <c r="O1260" s="62" t="s">
        <v>309</v>
      </c>
      <c r="P1260" s="62" t="s">
        <v>2421</v>
      </c>
      <c r="Q1260" s="66" t="s">
        <v>1972</v>
      </c>
    </row>
    <row r="1261" spans="1:17" x14ac:dyDescent="0.3">
      <c r="A1261" s="61" t="s">
        <v>2171</v>
      </c>
      <c r="B1261" s="62" t="s">
        <v>1288</v>
      </c>
      <c r="C1261" s="62" t="s">
        <v>1289</v>
      </c>
      <c r="D1261" s="63">
        <v>45444</v>
      </c>
      <c r="E1261" s="63">
        <v>46173</v>
      </c>
      <c r="F1261" s="62" t="s">
        <v>1959</v>
      </c>
      <c r="G1261" s="62" t="s">
        <v>808</v>
      </c>
      <c r="H1261" s="62" t="s">
        <v>373</v>
      </c>
      <c r="I1261" s="64">
        <v>124855.75</v>
      </c>
      <c r="J1261" s="62" t="s">
        <v>373</v>
      </c>
      <c r="K1261" s="62" t="s">
        <v>1693</v>
      </c>
      <c r="L1261" s="65"/>
      <c r="M1261" s="62" t="s">
        <v>1518</v>
      </c>
      <c r="N1261" s="62" t="s">
        <v>355</v>
      </c>
      <c r="O1261" s="62" t="s">
        <v>309</v>
      </c>
      <c r="P1261" s="62" t="s">
        <v>2421</v>
      </c>
      <c r="Q1261" s="66" t="s">
        <v>1972</v>
      </c>
    </row>
    <row r="1262" spans="1:17" x14ac:dyDescent="0.3">
      <c r="A1262" s="61" t="s">
        <v>2171</v>
      </c>
      <c r="B1262" s="62" t="s">
        <v>1288</v>
      </c>
      <c r="C1262" s="62" t="s">
        <v>1289</v>
      </c>
      <c r="D1262" s="63">
        <v>45444</v>
      </c>
      <c r="E1262" s="63">
        <v>46173</v>
      </c>
      <c r="F1262" s="62" t="s">
        <v>280</v>
      </c>
      <c r="G1262" s="62" t="s">
        <v>280</v>
      </c>
      <c r="H1262" s="62" t="s">
        <v>373</v>
      </c>
      <c r="I1262" s="64">
        <v>208092.91666666701</v>
      </c>
      <c r="J1262" s="62" t="s">
        <v>373</v>
      </c>
      <c r="K1262" s="62" t="s">
        <v>1693</v>
      </c>
      <c r="L1262" s="65"/>
      <c r="M1262" s="62" t="s">
        <v>1518</v>
      </c>
      <c r="N1262" s="62" t="s">
        <v>355</v>
      </c>
      <c r="O1262" s="62" t="s">
        <v>309</v>
      </c>
      <c r="P1262" s="62" t="s">
        <v>2421</v>
      </c>
      <c r="Q1262" s="66" t="s">
        <v>1972</v>
      </c>
    </row>
    <row r="1263" spans="1:17" x14ac:dyDescent="0.3">
      <c r="A1263" s="61" t="s">
        <v>2171</v>
      </c>
      <c r="B1263" s="62" t="s">
        <v>1288</v>
      </c>
      <c r="C1263" s="62" t="s">
        <v>1289</v>
      </c>
      <c r="D1263" s="63">
        <v>45444</v>
      </c>
      <c r="E1263" s="63">
        <v>46173</v>
      </c>
      <c r="F1263" s="62" t="s">
        <v>280</v>
      </c>
      <c r="G1263" s="62" t="s">
        <v>406</v>
      </c>
      <c r="H1263" s="62" t="s">
        <v>373</v>
      </c>
      <c r="I1263" s="64">
        <v>208092.91666666701</v>
      </c>
      <c r="J1263" s="62" t="s">
        <v>373</v>
      </c>
      <c r="K1263" s="62" t="s">
        <v>1693</v>
      </c>
      <c r="L1263" s="65"/>
      <c r="M1263" s="62" t="s">
        <v>1518</v>
      </c>
      <c r="N1263" s="62" t="s">
        <v>355</v>
      </c>
      <c r="O1263" s="62" t="s">
        <v>309</v>
      </c>
      <c r="P1263" s="62" t="s">
        <v>2421</v>
      </c>
      <c r="Q1263" s="66" t="s">
        <v>1972</v>
      </c>
    </row>
    <row r="1264" spans="1:17" x14ac:dyDescent="0.3">
      <c r="A1264" s="61" t="s">
        <v>2171</v>
      </c>
      <c r="B1264" s="62" t="s">
        <v>1288</v>
      </c>
      <c r="C1264" s="62" t="s">
        <v>1289</v>
      </c>
      <c r="D1264" s="63">
        <v>45444</v>
      </c>
      <c r="E1264" s="63">
        <v>46173</v>
      </c>
      <c r="F1264" s="62" t="s">
        <v>280</v>
      </c>
      <c r="G1264" s="62" t="s">
        <v>409</v>
      </c>
      <c r="H1264" s="62" t="s">
        <v>373</v>
      </c>
      <c r="I1264" s="64">
        <v>208092.91666666701</v>
      </c>
      <c r="J1264" s="62" t="s">
        <v>373</v>
      </c>
      <c r="K1264" s="62" t="s">
        <v>1693</v>
      </c>
      <c r="L1264" s="65"/>
      <c r="M1264" s="62" t="s">
        <v>1518</v>
      </c>
      <c r="N1264" s="62" t="s">
        <v>355</v>
      </c>
      <c r="O1264" s="62" t="s">
        <v>309</v>
      </c>
      <c r="P1264" s="62" t="s">
        <v>2421</v>
      </c>
      <c r="Q1264" s="66" t="s">
        <v>1972</v>
      </c>
    </row>
    <row r="1265" spans="1:17" x14ac:dyDescent="0.3">
      <c r="A1265" s="61" t="s">
        <v>2171</v>
      </c>
      <c r="B1265" s="62" t="s">
        <v>1288</v>
      </c>
      <c r="C1265" s="62" t="s">
        <v>1289</v>
      </c>
      <c r="D1265" s="63">
        <v>45444</v>
      </c>
      <c r="E1265" s="63">
        <v>46173</v>
      </c>
      <c r="F1265" s="62" t="s">
        <v>287</v>
      </c>
      <c r="G1265" s="62" t="s">
        <v>396</v>
      </c>
      <c r="H1265" s="62" t="s">
        <v>373</v>
      </c>
      <c r="I1265" s="64">
        <v>624278.75</v>
      </c>
      <c r="J1265" s="62" t="s">
        <v>373</v>
      </c>
      <c r="K1265" s="62" t="s">
        <v>1693</v>
      </c>
      <c r="L1265" s="65"/>
      <c r="M1265" s="62" t="s">
        <v>1518</v>
      </c>
      <c r="N1265" s="62" t="s">
        <v>355</v>
      </c>
      <c r="O1265" s="62" t="s">
        <v>309</v>
      </c>
      <c r="P1265" s="62" t="s">
        <v>2421</v>
      </c>
      <c r="Q1265" s="66" t="s">
        <v>1972</v>
      </c>
    </row>
    <row r="1266" spans="1:17" x14ac:dyDescent="0.3">
      <c r="A1266" s="61" t="s">
        <v>2171</v>
      </c>
      <c r="B1266" s="62" t="s">
        <v>1288</v>
      </c>
      <c r="C1266" s="62" t="s">
        <v>1289</v>
      </c>
      <c r="D1266" s="63">
        <v>45444</v>
      </c>
      <c r="E1266" s="63">
        <v>46173</v>
      </c>
      <c r="F1266" s="62" t="s">
        <v>1945</v>
      </c>
      <c r="G1266" s="62" t="s">
        <v>400</v>
      </c>
      <c r="H1266" s="62" t="s">
        <v>373</v>
      </c>
      <c r="I1266" s="64">
        <v>624278.75</v>
      </c>
      <c r="J1266" s="62" t="s">
        <v>373</v>
      </c>
      <c r="K1266" s="62" t="s">
        <v>1693</v>
      </c>
      <c r="L1266" s="65"/>
      <c r="M1266" s="62" t="s">
        <v>1518</v>
      </c>
      <c r="N1266" s="62" t="s">
        <v>355</v>
      </c>
      <c r="O1266" s="62" t="s">
        <v>309</v>
      </c>
      <c r="P1266" s="62" t="s">
        <v>2421</v>
      </c>
      <c r="Q1266" s="66" t="s">
        <v>1972</v>
      </c>
    </row>
    <row r="1267" spans="1:17" x14ac:dyDescent="0.3">
      <c r="A1267" s="61" t="s">
        <v>2172</v>
      </c>
      <c r="B1267" s="62" t="s">
        <v>1290</v>
      </c>
      <c r="C1267" s="62" t="s">
        <v>1291</v>
      </c>
      <c r="D1267" s="63">
        <v>45292</v>
      </c>
      <c r="E1267" s="63">
        <v>46752</v>
      </c>
      <c r="F1267" s="62" t="s">
        <v>350</v>
      </c>
      <c r="G1267" s="62" t="s">
        <v>350</v>
      </c>
      <c r="H1267" s="62" t="s">
        <v>2427</v>
      </c>
      <c r="I1267" s="64">
        <v>890978</v>
      </c>
      <c r="J1267" s="62" t="s">
        <v>1292</v>
      </c>
      <c r="K1267" s="62" t="s">
        <v>360</v>
      </c>
      <c r="L1267" s="65"/>
      <c r="M1267" s="62" t="s">
        <v>1518</v>
      </c>
      <c r="N1267" s="62" t="s">
        <v>374</v>
      </c>
      <c r="O1267" s="62" t="s">
        <v>375</v>
      </c>
      <c r="P1267" s="62" t="s">
        <v>2421</v>
      </c>
      <c r="Q1267" s="66" t="s">
        <v>1968</v>
      </c>
    </row>
    <row r="1268" spans="1:17" x14ac:dyDescent="0.3">
      <c r="A1268" s="61" t="s">
        <v>2172</v>
      </c>
      <c r="B1268" s="62" t="s">
        <v>1290</v>
      </c>
      <c r="C1268" s="62" t="s">
        <v>1291</v>
      </c>
      <c r="D1268" s="63">
        <v>45292</v>
      </c>
      <c r="E1268" s="63">
        <v>46752</v>
      </c>
      <c r="F1268" s="62" t="s">
        <v>350</v>
      </c>
      <c r="G1268" s="62" t="s">
        <v>350</v>
      </c>
      <c r="H1268" s="62" t="s">
        <v>2426</v>
      </c>
      <c r="I1268" s="64">
        <v>562490</v>
      </c>
      <c r="J1268" s="62" t="s">
        <v>929</v>
      </c>
      <c r="K1268" s="62" t="s">
        <v>360</v>
      </c>
      <c r="L1268" s="65"/>
      <c r="M1268" s="62" t="s">
        <v>1518</v>
      </c>
      <c r="N1268" s="62" t="s">
        <v>374</v>
      </c>
      <c r="O1268" s="62" t="s">
        <v>375</v>
      </c>
      <c r="P1268" s="62" t="s">
        <v>2421</v>
      </c>
      <c r="Q1268" s="66" t="s">
        <v>1968</v>
      </c>
    </row>
    <row r="1269" spans="1:17" x14ac:dyDescent="0.3">
      <c r="A1269" s="61" t="s">
        <v>2173</v>
      </c>
      <c r="B1269" s="62" t="s">
        <v>1295</v>
      </c>
      <c r="C1269" s="62" t="s">
        <v>1296</v>
      </c>
      <c r="D1269" s="63">
        <v>45292</v>
      </c>
      <c r="E1269" s="63">
        <v>46996</v>
      </c>
      <c r="F1269" s="62" t="s">
        <v>287</v>
      </c>
      <c r="G1269" s="62" t="s">
        <v>286</v>
      </c>
      <c r="H1269" s="62" t="s">
        <v>2427</v>
      </c>
      <c r="I1269" s="64">
        <v>277156</v>
      </c>
      <c r="J1269" s="62" t="s">
        <v>1297</v>
      </c>
      <c r="K1269" s="62" t="s">
        <v>351</v>
      </c>
      <c r="L1269" s="65"/>
      <c r="M1269" s="62" t="s">
        <v>1518</v>
      </c>
      <c r="N1269" s="62" t="s">
        <v>1230</v>
      </c>
      <c r="O1269" s="62" t="s">
        <v>459</v>
      </c>
      <c r="P1269" s="62" t="s">
        <v>2421</v>
      </c>
      <c r="Q1269" s="66" t="s">
        <v>1971</v>
      </c>
    </row>
    <row r="1270" spans="1:17" x14ac:dyDescent="0.3">
      <c r="A1270" s="61" t="s">
        <v>2173</v>
      </c>
      <c r="B1270" s="62" t="s">
        <v>1295</v>
      </c>
      <c r="C1270" s="62" t="s">
        <v>1296</v>
      </c>
      <c r="D1270" s="63">
        <v>45292</v>
      </c>
      <c r="E1270" s="63">
        <v>46996</v>
      </c>
      <c r="F1270" s="62" t="s">
        <v>287</v>
      </c>
      <c r="G1270" s="62" t="s">
        <v>1298</v>
      </c>
      <c r="H1270" s="62" t="s">
        <v>2427</v>
      </c>
      <c r="I1270" s="64">
        <v>277156</v>
      </c>
      <c r="J1270" s="62" t="s">
        <v>1297</v>
      </c>
      <c r="K1270" s="62" t="s">
        <v>351</v>
      </c>
      <c r="L1270" s="65"/>
      <c r="M1270" s="62" t="s">
        <v>1518</v>
      </c>
      <c r="N1270" s="62" t="s">
        <v>1230</v>
      </c>
      <c r="O1270" s="62" t="s">
        <v>459</v>
      </c>
      <c r="P1270" s="62" t="s">
        <v>2421</v>
      </c>
      <c r="Q1270" s="66" t="s">
        <v>1971</v>
      </c>
    </row>
    <row r="1271" spans="1:17" x14ac:dyDescent="0.3">
      <c r="A1271" s="61" t="s">
        <v>2173</v>
      </c>
      <c r="B1271" s="62" t="s">
        <v>1295</v>
      </c>
      <c r="C1271" s="62" t="s">
        <v>1296</v>
      </c>
      <c r="D1271" s="63">
        <v>45292</v>
      </c>
      <c r="E1271" s="63">
        <v>46996</v>
      </c>
      <c r="F1271" s="62" t="s">
        <v>287</v>
      </c>
      <c r="G1271" s="62" t="s">
        <v>1199</v>
      </c>
      <c r="H1271" s="62" t="s">
        <v>2427</v>
      </c>
      <c r="I1271" s="64">
        <v>277156</v>
      </c>
      <c r="J1271" s="62" t="s">
        <v>1297</v>
      </c>
      <c r="K1271" s="62" t="s">
        <v>351</v>
      </c>
      <c r="L1271" s="65"/>
      <c r="M1271" s="62" t="s">
        <v>1518</v>
      </c>
      <c r="N1271" s="62" t="s">
        <v>1230</v>
      </c>
      <c r="O1271" s="62" t="s">
        <v>459</v>
      </c>
      <c r="P1271" s="62" t="s">
        <v>2421</v>
      </c>
      <c r="Q1271" s="66" t="s">
        <v>1971</v>
      </c>
    </row>
    <row r="1272" spans="1:17" x14ac:dyDescent="0.3">
      <c r="A1272" s="61" t="s">
        <v>2174</v>
      </c>
      <c r="B1272" s="62" t="s">
        <v>1299</v>
      </c>
      <c r="C1272" s="62" t="s">
        <v>1300</v>
      </c>
      <c r="D1272" s="63">
        <v>45505</v>
      </c>
      <c r="E1272" s="63">
        <v>46234</v>
      </c>
      <c r="F1272" s="62" t="s">
        <v>1959</v>
      </c>
      <c r="G1272" s="62" t="s">
        <v>466</v>
      </c>
      <c r="H1272" s="62" t="s">
        <v>489</v>
      </c>
      <c r="I1272" s="64">
        <v>194423.4</v>
      </c>
      <c r="J1272" s="62" t="s">
        <v>1071</v>
      </c>
      <c r="K1272" s="62" t="s">
        <v>489</v>
      </c>
      <c r="L1272" s="65"/>
      <c r="M1272" s="62" t="s">
        <v>825</v>
      </c>
      <c r="N1272" s="62" t="s">
        <v>378</v>
      </c>
      <c r="O1272" s="62" t="s">
        <v>371</v>
      </c>
      <c r="P1272" s="62" t="s">
        <v>2421</v>
      </c>
      <c r="Q1272" s="66" t="s">
        <v>1972</v>
      </c>
    </row>
    <row r="1273" spans="1:17" x14ac:dyDescent="0.3">
      <c r="A1273" s="61" t="s">
        <v>2174</v>
      </c>
      <c r="B1273" s="62" t="s">
        <v>1299</v>
      </c>
      <c r="C1273" s="62" t="s">
        <v>1300</v>
      </c>
      <c r="D1273" s="63">
        <v>45505</v>
      </c>
      <c r="E1273" s="63">
        <v>46234</v>
      </c>
      <c r="F1273" s="62" t="s">
        <v>1959</v>
      </c>
      <c r="G1273" s="62" t="s">
        <v>679</v>
      </c>
      <c r="H1273" s="62" t="s">
        <v>489</v>
      </c>
      <c r="I1273" s="64">
        <v>194423.4</v>
      </c>
      <c r="J1273" s="62" t="s">
        <v>1071</v>
      </c>
      <c r="K1273" s="62" t="s">
        <v>489</v>
      </c>
      <c r="L1273" s="65"/>
      <c r="M1273" s="62" t="s">
        <v>825</v>
      </c>
      <c r="N1273" s="62" t="s">
        <v>378</v>
      </c>
      <c r="O1273" s="62" t="s">
        <v>371</v>
      </c>
      <c r="P1273" s="62" t="s">
        <v>2421</v>
      </c>
      <c r="Q1273" s="66" t="s">
        <v>1972</v>
      </c>
    </row>
    <row r="1274" spans="1:17" x14ac:dyDescent="0.3">
      <c r="A1274" s="61" t="s">
        <v>2174</v>
      </c>
      <c r="B1274" s="62" t="s">
        <v>1299</v>
      </c>
      <c r="C1274" s="62" t="s">
        <v>1300</v>
      </c>
      <c r="D1274" s="63">
        <v>45505</v>
      </c>
      <c r="E1274" s="63">
        <v>46234</v>
      </c>
      <c r="F1274" s="62" t="s">
        <v>1959</v>
      </c>
      <c r="G1274" s="62" t="s">
        <v>668</v>
      </c>
      <c r="H1274" s="62" t="s">
        <v>489</v>
      </c>
      <c r="I1274" s="64">
        <v>194423.4</v>
      </c>
      <c r="J1274" s="62" t="s">
        <v>1071</v>
      </c>
      <c r="K1274" s="62" t="s">
        <v>489</v>
      </c>
      <c r="L1274" s="65"/>
      <c r="M1274" s="62" t="s">
        <v>825</v>
      </c>
      <c r="N1274" s="62" t="s">
        <v>378</v>
      </c>
      <c r="O1274" s="62" t="s">
        <v>371</v>
      </c>
      <c r="P1274" s="62" t="s">
        <v>2421</v>
      </c>
      <c r="Q1274" s="66" t="s">
        <v>1972</v>
      </c>
    </row>
    <row r="1275" spans="1:17" x14ac:dyDescent="0.3">
      <c r="A1275" s="61" t="s">
        <v>2174</v>
      </c>
      <c r="B1275" s="62" t="s">
        <v>1299</v>
      </c>
      <c r="C1275" s="62" t="s">
        <v>1300</v>
      </c>
      <c r="D1275" s="63">
        <v>45505</v>
      </c>
      <c r="E1275" s="63">
        <v>46234</v>
      </c>
      <c r="F1275" s="62" t="s">
        <v>1959</v>
      </c>
      <c r="G1275" s="62" t="s">
        <v>475</v>
      </c>
      <c r="H1275" s="62" t="s">
        <v>489</v>
      </c>
      <c r="I1275" s="64">
        <v>194423.4</v>
      </c>
      <c r="J1275" s="62" t="s">
        <v>1071</v>
      </c>
      <c r="K1275" s="62" t="s">
        <v>489</v>
      </c>
      <c r="L1275" s="65"/>
      <c r="M1275" s="62" t="s">
        <v>825</v>
      </c>
      <c r="N1275" s="62" t="s">
        <v>378</v>
      </c>
      <c r="O1275" s="62" t="s">
        <v>371</v>
      </c>
      <c r="P1275" s="62" t="s">
        <v>2421</v>
      </c>
      <c r="Q1275" s="66" t="s">
        <v>1972</v>
      </c>
    </row>
    <row r="1276" spans="1:17" x14ac:dyDescent="0.3">
      <c r="A1276" s="61" t="s">
        <v>2174</v>
      </c>
      <c r="B1276" s="62" t="s">
        <v>1299</v>
      </c>
      <c r="C1276" s="62" t="s">
        <v>1300</v>
      </c>
      <c r="D1276" s="63">
        <v>45505</v>
      </c>
      <c r="E1276" s="63">
        <v>46234</v>
      </c>
      <c r="F1276" s="62" t="s">
        <v>1959</v>
      </c>
      <c r="G1276" s="62" t="s">
        <v>808</v>
      </c>
      <c r="H1276" s="62" t="s">
        <v>489</v>
      </c>
      <c r="I1276" s="64">
        <v>194423.4</v>
      </c>
      <c r="J1276" s="62" t="s">
        <v>1071</v>
      </c>
      <c r="K1276" s="62" t="s">
        <v>489</v>
      </c>
      <c r="L1276" s="65"/>
      <c r="M1276" s="62" t="s">
        <v>825</v>
      </c>
      <c r="N1276" s="62" t="s">
        <v>378</v>
      </c>
      <c r="O1276" s="62" t="s">
        <v>371</v>
      </c>
      <c r="P1276" s="62" t="s">
        <v>2421</v>
      </c>
      <c r="Q1276" s="66" t="s">
        <v>1972</v>
      </c>
    </row>
    <row r="1277" spans="1:17" x14ac:dyDescent="0.3">
      <c r="A1277" s="61" t="s">
        <v>2174</v>
      </c>
      <c r="B1277" s="62" t="s">
        <v>1299</v>
      </c>
      <c r="C1277" s="62" t="s">
        <v>1300</v>
      </c>
      <c r="D1277" s="63">
        <v>45505</v>
      </c>
      <c r="E1277" s="63">
        <v>46234</v>
      </c>
      <c r="F1277" s="62" t="s">
        <v>287</v>
      </c>
      <c r="G1277" s="62" t="s">
        <v>770</v>
      </c>
      <c r="H1277" s="62" t="s">
        <v>489</v>
      </c>
      <c r="I1277" s="64">
        <v>243029.25</v>
      </c>
      <c r="J1277" s="62" t="s">
        <v>1071</v>
      </c>
      <c r="K1277" s="62" t="s">
        <v>489</v>
      </c>
      <c r="L1277" s="65"/>
      <c r="M1277" s="62" t="s">
        <v>825</v>
      </c>
      <c r="N1277" s="62" t="s">
        <v>378</v>
      </c>
      <c r="O1277" s="62" t="s">
        <v>371</v>
      </c>
      <c r="P1277" s="62" t="s">
        <v>2421</v>
      </c>
      <c r="Q1277" s="66" t="s">
        <v>1972</v>
      </c>
    </row>
    <row r="1278" spans="1:17" x14ac:dyDescent="0.3">
      <c r="A1278" s="61" t="s">
        <v>2174</v>
      </c>
      <c r="B1278" s="62" t="s">
        <v>1299</v>
      </c>
      <c r="C1278" s="62" t="s">
        <v>1300</v>
      </c>
      <c r="D1278" s="63">
        <v>45505</v>
      </c>
      <c r="E1278" s="63">
        <v>46234</v>
      </c>
      <c r="F1278" s="62" t="s">
        <v>287</v>
      </c>
      <c r="G1278" s="62" t="s">
        <v>394</v>
      </c>
      <c r="H1278" s="62" t="s">
        <v>489</v>
      </c>
      <c r="I1278" s="64">
        <v>243029.25</v>
      </c>
      <c r="J1278" s="62" t="s">
        <v>1071</v>
      </c>
      <c r="K1278" s="62" t="s">
        <v>489</v>
      </c>
      <c r="L1278" s="65"/>
      <c r="M1278" s="62" t="s">
        <v>825</v>
      </c>
      <c r="N1278" s="62" t="s">
        <v>378</v>
      </c>
      <c r="O1278" s="62" t="s">
        <v>371</v>
      </c>
      <c r="P1278" s="62" t="s">
        <v>2421</v>
      </c>
      <c r="Q1278" s="66" t="s">
        <v>1972</v>
      </c>
    </row>
    <row r="1279" spans="1:17" x14ac:dyDescent="0.3">
      <c r="A1279" s="61" t="s">
        <v>2174</v>
      </c>
      <c r="B1279" s="62" t="s">
        <v>1299</v>
      </c>
      <c r="C1279" s="62" t="s">
        <v>1300</v>
      </c>
      <c r="D1279" s="63">
        <v>45505</v>
      </c>
      <c r="E1279" s="63">
        <v>46234</v>
      </c>
      <c r="F1279" s="62" t="s">
        <v>287</v>
      </c>
      <c r="G1279" s="62" t="s">
        <v>395</v>
      </c>
      <c r="H1279" s="62" t="s">
        <v>489</v>
      </c>
      <c r="I1279" s="64">
        <v>243029.25</v>
      </c>
      <c r="J1279" s="62" t="s">
        <v>1071</v>
      </c>
      <c r="K1279" s="62" t="s">
        <v>489</v>
      </c>
      <c r="L1279" s="65"/>
      <c r="M1279" s="62" t="s">
        <v>825</v>
      </c>
      <c r="N1279" s="62" t="s">
        <v>378</v>
      </c>
      <c r="O1279" s="62" t="s">
        <v>371</v>
      </c>
      <c r="P1279" s="62" t="s">
        <v>2421</v>
      </c>
      <c r="Q1279" s="66" t="s">
        <v>1972</v>
      </c>
    </row>
    <row r="1280" spans="1:17" x14ac:dyDescent="0.3">
      <c r="A1280" s="61" t="s">
        <v>2174</v>
      </c>
      <c r="B1280" s="62" t="s">
        <v>1299</v>
      </c>
      <c r="C1280" s="62" t="s">
        <v>1300</v>
      </c>
      <c r="D1280" s="63">
        <v>45505</v>
      </c>
      <c r="E1280" s="63">
        <v>46234</v>
      </c>
      <c r="F1280" s="62" t="s">
        <v>287</v>
      </c>
      <c r="G1280" s="62" t="s">
        <v>423</v>
      </c>
      <c r="H1280" s="62" t="s">
        <v>489</v>
      </c>
      <c r="I1280" s="64">
        <v>243029.25</v>
      </c>
      <c r="J1280" s="62" t="s">
        <v>1071</v>
      </c>
      <c r="K1280" s="62" t="s">
        <v>489</v>
      </c>
      <c r="L1280" s="65"/>
      <c r="M1280" s="62" t="s">
        <v>825</v>
      </c>
      <c r="N1280" s="62" t="s">
        <v>378</v>
      </c>
      <c r="O1280" s="62" t="s">
        <v>371</v>
      </c>
      <c r="P1280" s="62" t="s">
        <v>2421</v>
      </c>
      <c r="Q1280" s="66" t="s">
        <v>1972</v>
      </c>
    </row>
    <row r="1281" spans="1:17" x14ac:dyDescent="0.3">
      <c r="A1281" s="61" t="s">
        <v>2174</v>
      </c>
      <c r="B1281" s="62" t="s">
        <v>1299</v>
      </c>
      <c r="C1281" s="62" t="s">
        <v>1300</v>
      </c>
      <c r="D1281" s="63">
        <v>45505</v>
      </c>
      <c r="E1281" s="63">
        <v>46234</v>
      </c>
      <c r="F1281" s="62" t="s">
        <v>286</v>
      </c>
      <c r="G1281" s="62" t="s">
        <v>474</v>
      </c>
      <c r="H1281" s="62" t="s">
        <v>489</v>
      </c>
      <c r="I1281" s="64">
        <v>972117</v>
      </c>
      <c r="J1281" s="62" t="s">
        <v>1071</v>
      </c>
      <c r="K1281" s="62" t="s">
        <v>489</v>
      </c>
      <c r="L1281" s="65"/>
      <c r="M1281" s="62" t="s">
        <v>825</v>
      </c>
      <c r="N1281" s="62" t="s">
        <v>378</v>
      </c>
      <c r="O1281" s="62" t="s">
        <v>371</v>
      </c>
      <c r="P1281" s="62" t="s">
        <v>2421</v>
      </c>
      <c r="Q1281" s="66" t="s">
        <v>1972</v>
      </c>
    </row>
    <row r="1282" spans="1:17" x14ac:dyDescent="0.3">
      <c r="A1282" s="61" t="s">
        <v>2175</v>
      </c>
      <c r="B1282" s="62" t="s">
        <v>1301</v>
      </c>
      <c r="C1282" s="62" t="s">
        <v>1302</v>
      </c>
      <c r="D1282" s="63">
        <v>45536</v>
      </c>
      <c r="E1282" s="63">
        <v>47361</v>
      </c>
      <c r="F1282" s="62" t="s">
        <v>1987</v>
      </c>
      <c r="G1282" s="62" t="s">
        <v>1108</v>
      </c>
      <c r="H1282" s="62" t="s">
        <v>2427</v>
      </c>
      <c r="I1282" s="64">
        <v>1139424.5</v>
      </c>
      <c r="J1282" s="62" t="s">
        <v>1303</v>
      </c>
      <c r="K1282" s="62" t="s">
        <v>489</v>
      </c>
      <c r="L1282" s="65"/>
      <c r="M1282" s="62" t="s">
        <v>1518</v>
      </c>
      <c r="N1282" s="62" t="s">
        <v>969</v>
      </c>
      <c r="O1282" s="62" t="s">
        <v>744</v>
      </c>
      <c r="P1282" s="62" t="s">
        <v>2421</v>
      </c>
      <c r="Q1282" s="66" t="s">
        <v>1971</v>
      </c>
    </row>
    <row r="1283" spans="1:17" x14ac:dyDescent="0.3">
      <c r="A1283" s="61" t="s">
        <v>2175</v>
      </c>
      <c r="B1283" s="62" t="s">
        <v>1301</v>
      </c>
      <c r="C1283" s="62" t="s">
        <v>1302</v>
      </c>
      <c r="D1283" s="63">
        <v>45536</v>
      </c>
      <c r="E1283" s="63">
        <v>47361</v>
      </c>
      <c r="F1283" s="62" t="s">
        <v>1987</v>
      </c>
      <c r="G1283" s="62" t="s">
        <v>962</v>
      </c>
      <c r="H1283" s="62" t="s">
        <v>2427</v>
      </c>
      <c r="I1283" s="64">
        <v>1139424.5</v>
      </c>
      <c r="J1283" s="62" t="s">
        <v>1303</v>
      </c>
      <c r="K1283" s="62" t="s">
        <v>489</v>
      </c>
      <c r="L1283" s="65"/>
      <c r="M1283" s="62" t="s">
        <v>1518</v>
      </c>
      <c r="N1283" s="62" t="s">
        <v>969</v>
      </c>
      <c r="O1283" s="62" t="s">
        <v>744</v>
      </c>
      <c r="P1283" s="62" t="s">
        <v>2421</v>
      </c>
      <c r="Q1283" s="66" t="s">
        <v>1971</v>
      </c>
    </row>
    <row r="1284" spans="1:17" x14ac:dyDescent="0.3">
      <c r="A1284" s="61" t="s">
        <v>2175</v>
      </c>
      <c r="B1284" s="62" t="s">
        <v>1301</v>
      </c>
      <c r="C1284" s="62" t="s">
        <v>1302</v>
      </c>
      <c r="D1284" s="63">
        <v>45536</v>
      </c>
      <c r="E1284" s="63">
        <v>47361</v>
      </c>
      <c r="F1284" s="62" t="s">
        <v>348</v>
      </c>
      <c r="G1284" s="62" t="s">
        <v>348</v>
      </c>
      <c r="H1284" s="62" t="s">
        <v>2427</v>
      </c>
      <c r="I1284" s="64">
        <v>2278849</v>
      </c>
      <c r="J1284" s="62" t="s">
        <v>1303</v>
      </c>
      <c r="K1284" s="62" t="s">
        <v>489</v>
      </c>
      <c r="L1284" s="65"/>
      <c r="M1284" s="62" t="s">
        <v>1518</v>
      </c>
      <c r="N1284" s="62" t="s">
        <v>969</v>
      </c>
      <c r="O1284" s="62" t="s">
        <v>744</v>
      </c>
      <c r="P1284" s="62" t="s">
        <v>2421</v>
      </c>
      <c r="Q1284" s="66" t="s">
        <v>1971</v>
      </c>
    </row>
    <row r="1285" spans="1:17" x14ac:dyDescent="0.3">
      <c r="A1285" s="61" t="s">
        <v>2175</v>
      </c>
      <c r="B1285" s="62" t="s">
        <v>1301</v>
      </c>
      <c r="C1285" s="62" t="s">
        <v>1302</v>
      </c>
      <c r="D1285" s="63">
        <v>45536</v>
      </c>
      <c r="E1285" s="63">
        <v>47361</v>
      </c>
      <c r="F1285" s="62" t="s">
        <v>1987</v>
      </c>
      <c r="G1285" s="62" t="s">
        <v>1108</v>
      </c>
      <c r="H1285" s="62" t="s">
        <v>2427</v>
      </c>
      <c r="I1285" s="64">
        <v>481505.75</v>
      </c>
      <c r="J1285" s="62" t="s">
        <v>2481</v>
      </c>
      <c r="K1285" s="62" t="s">
        <v>489</v>
      </c>
      <c r="L1285" s="65"/>
      <c r="M1285" s="62" t="s">
        <v>1518</v>
      </c>
      <c r="N1285" s="62" t="s">
        <v>969</v>
      </c>
      <c r="O1285" s="62" t="s">
        <v>744</v>
      </c>
      <c r="P1285" s="62" t="s">
        <v>2421</v>
      </c>
      <c r="Q1285" s="66" t="s">
        <v>1971</v>
      </c>
    </row>
    <row r="1286" spans="1:17" x14ac:dyDescent="0.3">
      <c r="A1286" s="61" t="s">
        <v>2175</v>
      </c>
      <c r="B1286" s="62" t="s">
        <v>1301</v>
      </c>
      <c r="C1286" s="62" t="s">
        <v>1302</v>
      </c>
      <c r="D1286" s="63">
        <v>45536</v>
      </c>
      <c r="E1286" s="63">
        <v>47361</v>
      </c>
      <c r="F1286" s="62" t="s">
        <v>1987</v>
      </c>
      <c r="G1286" s="62" t="s">
        <v>962</v>
      </c>
      <c r="H1286" s="62" t="s">
        <v>2427</v>
      </c>
      <c r="I1286" s="64">
        <v>481505.75</v>
      </c>
      <c r="J1286" s="62" t="s">
        <v>2481</v>
      </c>
      <c r="K1286" s="62" t="s">
        <v>489</v>
      </c>
      <c r="L1286" s="65"/>
      <c r="M1286" s="62" t="s">
        <v>1518</v>
      </c>
      <c r="N1286" s="62" t="s">
        <v>969</v>
      </c>
      <c r="O1286" s="62" t="s">
        <v>744</v>
      </c>
      <c r="P1286" s="62" t="s">
        <v>2421</v>
      </c>
      <c r="Q1286" s="66" t="s">
        <v>1971</v>
      </c>
    </row>
    <row r="1287" spans="1:17" x14ac:dyDescent="0.3">
      <c r="A1287" s="61" t="s">
        <v>2175</v>
      </c>
      <c r="B1287" s="62" t="s">
        <v>1301</v>
      </c>
      <c r="C1287" s="62" t="s">
        <v>1302</v>
      </c>
      <c r="D1287" s="63">
        <v>45536</v>
      </c>
      <c r="E1287" s="63">
        <v>47361</v>
      </c>
      <c r="F1287" s="62" t="s">
        <v>348</v>
      </c>
      <c r="G1287" s="62" t="s">
        <v>348</v>
      </c>
      <c r="H1287" s="62" t="s">
        <v>2427</v>
      </c>
      <c r="I1287" s="64">
        <v>963011.5</v>
      </c>
      <c r="J1287" s="62" t="s">
        <v>2481</v>
      </c>
      <c r="K1287" s="62" t="s">
        <v>489</v>
      </c>
      <c r="L1287" s="65"/>
      <c r="M1287" s="62" t="s">
        <v>1518</v>
      </c>
      <c r="N1287" s="62" t="s">
        <v>969</v>
      </c>
      <c r="O1287" s="62" t="s">
        <v>744</v>
      </c>
      <c r="P1287" s="62" t="s">
        <v>2421</v>
      </c>
      <c r="Q1287" s="66" t="s">
        <v>1971</v>
      </c>
    </row>
    <row r="1288" spans="1:17" x14ac:dyDescent="0.3">
      <c r="A1288" s="61" t="s">
        <v>2176</v>
      </c>
      <c r="B1288" s="62" t="s">
        <v>1304</v>
      </c>
      <c r="C1288" s="62" t="s">
        <v>1305</v>
      </c>
      <c r="D1288" s="63">
        <v>45245</v>
      </c>
      <c r="E1288" s="63">
        <v>46460</v>
      </c>
      <c r="F1288" s="62" t="s">
        <v>1934</v>
      </c>
      <c r="G1288" s="62" t="s">
        <v>304</v>
      </c>
      <c r="H1288" s="62" t="s">
        <v>489</v>
      </c>
      <c r="I1288" s="64">
        <v>978029.33333333302</v>
      </c>
      <c r="J1288" s="62" t="s">
        <v>490</v>
      </c>
      <c r="K1288" s="62" t="s">
        <v>489</v>
      </c>
      <c r="L1288" s="65"/>
      <c r="M1288" s="62" t="s">
        <v>825</v>
      </c>
      <c r="N1288" s="62" t="s">
        <v>314</v>
      </c>
      <c r="O1288" s="62" t="s">
        <v>315</v>
      </c>
      <c r="P1288" s="62" t="s">
        <v>2421</v>
      </c>
      <c r="Q1288" s="66" t="s">
        <v>1969</v>
      </c>
    </row>
    <row r="1289" spans="1:17" x14ac:dyDescent="0.3">
      <c r="A1289" s="61" t="s">
        <v>2176</v>
      </c>
      <c r="B1289" s="62" t="s">
        <v>1304</v>
      </c>
      <c r="C1289" s="62" t="s">
        <v>1305</v>
      </c>
      <c r="D1289" s="63">
        <v>45245</v>
      </c>
      <c r="E1289" s="63">
        <v>46460</v>
      </c>
      <c r="F1289" s="62" t="s">
        <v>1958</v>
      </c>
      <c r="G1289" s="62" t="s">
        <v>304</v>
      </c>
      <c r="H1289" s="62" t="s">
        <v>489</v>
      </c>
      <c r="I1289" s="64">
        <v>978029.33333333302</v>
      </c>
      <c r="J1289" s="62" t="s">
        <v>490</v>
      </c>
      <c r="K1289" s="62" t="s">
        <v>489</v>
      </c>
      <c r="L1289" s="65"/>
      <c r="M1289" s="62" t="s">
        <v>825</v>
      </c>
      <c r="N1289" s="62" t="s">
        <v>314</v>
      </c>
      <c r="O1289" s="62" t="s">
        <v>315</v>
      </c>
      <c r="P1289" s="62" t="s">
        <v>2421</v>
      </c>
      <c r="Q1289" s="66" t="s">
        <v>1969</v>
      </c>
    </row>
    <row r="1290" spans="1:17" x14ac:dyDescent="0.3">
      <c r="A1290" s="61" t="s">
        <v>2176</v>
      </c>
      <c r="B1290" s="62" t="s">
        <v>1304</v>
      </c>
      <c r="C1290" s="62" t="s">
        <v>1305</v>
      </c>
      <c r="D1290" s="63">
        <v>45245</v>
      </c>
      <c r="E1290" s="63">
        <v>46460</v>
      </c>
      <c r="F1290" s="62" t="s">
        <v>1938</v>
      </c>
      <c r="G1290" s="62" t="s">
        <v>304</v>
      </c>
      <c r="H1290" s="62" t="s">
        <v>489</v>
      </c>
      <c r="I1290" s="64">
        <v>978029.33333333302</v>
      </c>
      <c r="J1290" s="62" t="s">
        <v>490</v>
      </c>
      <c r="K1290" s="62" t="s">
        <v>489</v>
      </c>
      <c r="L1290" s="65"/>
      <c r="M1290" s="62" t="s">
        <v>825</v>
      </c>
      <c r="N1290" s="62" t="s">
        <v>314</v>
      </c>
      <c r="O1290" s="62" t="s">
        <v>315</v>
      </c>
      <c r="P1290" s="62" t="s">
        <v>2421</v>
      </c>
      <c r="Q1290" s="66" t="s">
        <v>1969</v>
      </c>
    </row>
    <row r="1291" spans="1:17" x14ac:dyDescent="0.3">
      <c r="A1291" s="61" t="s">
        <v>2176</v>
      </c>
      <c r="B1291" s="62" t="s">
        <v>1304</v>
      </c>
      <c r="C1291" s="62" t="s">
        <v>1305</v>
      </c>
      <c r="D1291" s="63">
        <v>45245</v>
      </c>
      <c r="E1291" s="63">
        <v>46460</v>
      </c>
      <c r="F1291" s="62" t="s">
        <v>1934</v>
      </c>
      <c r="G1291" s="62" t="s">
        <v>304</v>
      </c>
      <c r="H1291" s="62" t="s">
        <v>2427</v>
      </c>
      <c r="I1291" s="64">
        <v>108669.66666666701</v>
      </c>
      <c r="J1291" s="62" t="s">
        <v>1306</v>
      </c>
      <c r="K1291" s="62" t="s">
        <v>489</v>
      </c>
      <c r="L1291" s="65"/>
      <c r="M1291" s="62" t="s">
        <v>825</v>
      </c>
      <c r="N1291" s="62" t="s">
        <v>314</v>
      </c>
      <c r="O1291" s="62" t="s">
        <v>315</v>
      </c>
      <c r="P1291" s="62" t="s">
        <v>2421</v>
      </c>
      <c r="Q1291" s="66" t="s">
        <v>1969</v>
      </c>
    </row>
    <row r="1292" spans="1:17" x14ac:dyDescent="0.3">
      <c r="A1292" s="61" t="s">
        <v>2176</v>
      </c>
      <c r="B1292" s="62" t="s">
        <v>1304</v>
      </c>
      <c r="C1292" s="62" t="s">
        <v>1305</v>
      </c>
      <c r="D1292" s="63">
        <v>45245</v>
      </c>
      <c r="E1292" s="63">
        <v>46460</v>
      </c>
      <c r="F1292" s="62" t="s">
        <v>1958</v>
      </c>
      <c r="G1292" s="62" t="s">
        <v>304</v>
      </c>
      <c r="H1292" s="62" t="s">
        <v>2427</v>
      </c>
      <c r="I1292" s="64">
        <v>108669.66666666701</v>
      </c>
      <c r="J1292" s="62" t="s">
        <v>1306</v>
      </c>
      <c r="K1292" s="62" t="s">
        <v>489</v>
      </c>
      <c r="L1292" s="65"/>
      <c r="M1292" s="62" t="s">
        <v>825</v>
      </c>
      <c r="N1292" s="62" t="s">
        <v>314</v>
      </c>
      <c r="O1292" s="62" t="s">
        <v>315</v>
      </c>
      <c r="P1292" s="62" t="s">
        <v>2421</v>
      </c>
      <c r="Q1292" s="66" t="s">
        <v>1969</v>
      </c>
    </row>
    <row r="1293" spans="1:17" x14ac:dyDescent="0.3">
      <c r="A1293" s="61" t="s">
        <v>2176</v>
      </c>
      <c r="B1293" s="62" t="s">
        <v>1304</v>
      </c>
      <c r="C1293" s="62" t="s">
        <v>1305</v>
      </c>
      <c r="D1293" s="63">
        <v>45245</v>
      </c>
      <c r="E1293" s="63">
        <v>46460</v>
      </c>
      <c r="F1293" s="62" t="s">
        <v>1938</v>
      </c>
      <c r="G1293" s="62" t="s">
        <v>304</v>
      </c>
      <c r="H1293" s="62" t="s">
        <v>2427</v>
      </c>
      <c r="I1293" s="64">
        <v>108669.66666666701</v>
      </c>
      <c r="J1293" s="62" t="s">
        <v>1306</v>
      </c>
      <c r="K1293" s="62" t="s">
        <v>489</v>
      </c>
      <c r="L1293" s="65"/>
      <c r="M1293" s="62" t="s">
        <v>825</v>
      </c>
      <c r="N1293" s="62" t="s">
        <v>314</v>
      </c>
      <c r="O1293" s="62" t="s">
        <v>315</v>
      </c>
      <c r="P1293" s="62" t="s">
        <v>2421</v>
      </c>
      <c r="Q1293" s="66" t="s">
        <v>1969</v>
      </c>
    </row>
    <row r="1294" spans="1:17" x14ac:dyDescent="0.3">
      <c r="A1294" s="61" t="s">
        <v>2177</v>
      </c>
      <c r="B1294" s="62" t="s">
        <v>1307</v>
      </c>
      <c r="C1294" s="62" t="s">
        <v>1308</v>
      </c>
      <c r="D1294" s="63">
        <v>45292</v>
      </c>
      <c r="E1294" s="63">
        <v>46387</v>
      </c>
      <c r="F1294" s="62" t="s">
        <v>1921</v>
      </c>
      <c r="G1294" s="62" t="s">
        <v>304</v>
      </c>
      <c r="H1294" s="62" t="s">
        <v>2427</v>
      </c>
      <c r="I1294" s="64">
        <v>143624</v>
      </c>
      <c r="J1294" s="62" t="s">
        <v>1309</v>
      </c>
      <c r="K1294" s="62" t="s">
        <v>489</v>
      </c>
      <c r="L1294" s="65"/>
      <c r="M1294" s="62" t="s">
        <v>424</v>
      </c>
      <c r="N1294" s="62" t="s">
        <v>1014</v>
      </c>
      <c r="O1294" s="62" t="s">
        <v>365</v>
      </c>
      <c r="P1294" s="62" t="s">
        <v>2421</v>
      </c>
      <c r="Q1294" s="66" t="s">
        <v>1968</v>
      </c>
    </row>
    <row r="1295" spans="1:17" x14ac:dyDescent="0.3">
      <c r="A1295" s="61" t="s">
        <v>2177</v>
      </c>
      <c r="B1295" s="62" t="s">
        <v>1307</v>
      </c>
      <c r="C1295" s="62" t="s">
        <v>1308</v>
      </c>
      <c r="D1295" s="63">
        <v>45292</v>
      </c>
      <c r="E1295" s="63">
        <v>46387</v>
      </c>
      <c r="F1295" s="62" t="s">
        <v>1940</v>
      </c>
      <c r="G1295" s="62" t="s">
        <v>304</v>
      </c>
      <c r="H1295" s="62" t="s">
        <v>2427</v>
      </c>
      <c r="I1295" s="64">
        <v>143624</v>
      </c>
      <c r="J1295" s="62" t="s">
        <v>1309</v>
      </c>
      <c r="K1295" s="62" t="s">
        <v>489</v>
      </c>
      <c r="L1295" s="65"/>
      <c r="M1295" s="62" t="s">
        <v>424</v>
      </c>
      <c r="N1295" s="62" t="s">
        <v>1014</v>
      </c>
      <c r="O1295" s="62" t="s">
        <v>365</v>
      </c>
      <c r="P1295" s="62" t="s">
        <v>2421</v>
      </c>
      <c r="Q1295" s="66" t="s">
        <v>1968</v>
      </c>
    </row>
    <row r="1296" spans="1:17" x14ac:dyDescent="0.3">
      <c r="A1296" s="61" t="s">
        <v>2177</v>
      </c>
      <c r="B1296" s="62" t="s">
        <v>1307</v>
      </c>
      <c r="C1296" s="62" t="s">
        <v>1308</v>
      </c>
      <c r="D1296" s="63">
        <v>45292</v>
      </c>
      <c r="E1296" s="63">
        <v>46387</v>
      </c>
      <c r="F1296" s="62" t="s">
        <v>1958</v>
      </c>
      <c r="G1296" s="62" t="s">
        <v>304</v>
      </c>
      <c r="H1296" s="62" t="s">
        <v>2427</v>
      </c>
      <c r="I1296" s="64">
        <v>143624</v>
      </c>
      <c r="J1296" s="62" t="s">
        <v>1309</v>
      </c>
      <c r="K1296" s="62" t="s">
        <v>489</v>
      </c>
      <c r="L1296" s="65"/>
      <c r="M1296" s="62" t="s">
        <v>424</v>
      </c>
      <c r="N1296" s="62" t="s">
        <v>1014</v>
      </c>
      <c r="O1296" s="62" t="s">
        <v>365</v>
      </c>
      <c r="P1296" s="62" t="s">
        <v>2421</v>
      </c>
      <c r="Q1296" s="66" t="s">
        <v>1968</v>
      </c>
    </row>
    <row r="1297" spans="1:17" x14ac:dyDescent="0.3">
      <c r="A1297" s="61" t="s">
        <v>2178</v>
      </c>
      <c r="B1297" s="62" t="s">
        <v>1310</v>
      </c>
      <c r="C1297" s="62" t="s">
        <v>1311</v>
      </c>
      <c r="D1297" s="63">
        <v>45456</v>
      </c>
      <c r="E1297" s="63">
        <v>46186</v>
      </c>
      <c r="F1297" s="62" t="s">
        <v>1936</v>
      </c>
      <c r="G1297" s="62" t="s">
        <v>1312</v>
      </c>
      <c r="H1297" s="62" t="s">
        <v>467</v>
      </c>
      <c r="I1297" s="64">
        <v>5212.7096774193597</v>
      </c>
      <c r="J1297" s="62" t="s">
        <v>468</v>
      </c>
      <c r="K1297" s="62" t="s">
        <v>467</v>
      </c>
      <c r="L1297" s="65"/>
      <c r="M1297" s="62" t="s">
        <v>825</v>
      </c>
      <c r="N1297" s="62" t="s">
        <v>639</v>
      </c>
      <c r="O1297" s="62" t="s">
        <v>371</v>
      </c>
      <c r="P1297" s="62" t="s">
        <v>2421</v>
      </c>
      <c r="Q1297" s="66" t="s">
        <v>1970</v>
      </c>
    </row>
    <row r="1298" spans="1:17" x14ac:dyDescent="0.3">
      <c r="A1298" s="61" t="s">
        <v>2178</v>
      </c>
      <c r="B1298" s="62" t="s">
        <v>1310</v>
      </c>
      <c r="C1298" s="62" t="s">
        <v>1311</v>
      </c>
      <c r="D1298" s="63">
        <v>45456</v>
      </c>
      <c r="E1298" s="63">
        <v>46186</v>
      </c>
      <c r="F1298" s="62" t="s">
        <v>1936</v>
      </c>
      <c r="G1298" s="62" t="s">
        <v>730</v>
      </c>
      <c r="H1298" s="62" t="s">
        <v>467</v>
      </c>
      <c r="I1298" s="64">
        <v>5212.7096774193597</v>
      </c>
      <c r="J1298" s="62" t="s">
        <v>468</v>
      </c>
      <c r="K1298" s="62" t="s">
        <v>467</v>
      </c>
      <c r="L1298" s="65"/>
      <c r="M1298" s="62" t="s">
        <v>825</v>
      </c>
      <c r="N1298" s="62" t="s">
        <v>639</v>
      </c>
      <c r="O1298" s="62" t="s">
        <v>371</v>
      </c>
      <c r="P1298" s="62" t="s">
        <v>2421</v>
      </c>
      <c r="Q1298" s="66" t="s">
        <v>1970</v>
      </c>
    </row>
    <row r="1299" spans="1:17" x14ac:dyDescent="0.3">
      <c r="A1299" s="61" t="s">
        <v>2178</v>
      </c>
      <c r="B1299" s="62" t="s">
        <v>1310</v>
      </c>
      <c r="C1299" s="62" t="s">
        <v>1311</v>
      </c>
      <c r="D1299" s="63">
        <v>45456</v>
      </c>
      <c r="E1299" s="63">
        <v>46186</v>
      </c>
      <c r="F1299" s="62" t="s">
        <v>1936</v>
      </c>
      <c r="G1299" s="62" t="s">
        <v>749</v>
      </c>
      <c r="H1299" s="62" t="s">
        <v>467</v>
      </c>
      <c r="I1299" s="64">
        <v>5212.7096774193597</v>
      </c>
      <c r="J1299" s="62" t="s">
        <v>468</v>
      </c>
      <c r="K1299" s="62" t="s">
        <v>467</v>
      </c>
      <c r="L1299" s="65"/>
      <c r="M1299" s="62" t="s">
        <v>825</v>
      </c>
      <c r="N1299" s="62" t="s">
        <v>639</v>
      </c>
      <c r="O1299" s="62" t="s">
        <v>371</v>
      </c>
      <c r="P1299" s="62" t="s">
        <v>2421</v>
      </c>
      <c r="Q1299" s="66" t="s">
        <v>1970</v>
      </c>
    </row>
    <row r="1300" spans="1:17" x14ac:dyDescent="0.3">
      <c r="A1300" s="61" t="s">
        <v>2178</v>
      </c>
      <c r="B1300" s="62" t="s">
        <v>1310</v>
      </c>
      <c r="C1300" s="62" t="s">
        <v>1311</v>
      </c>
      <c r="D1300" s="63">
        <v>45456</v>
      </c>
      <c r="E1300" s="63">
        <v>46186</v>
      </c>
      <c r="F1300" s="62" t="s">
        <v>1936</v>
      </c>
      <c r="G1300" s="62" t="s">
        <v>865</v>
      </c>
      <c r="H1300" s="62" t="s">
        <v>467</v>
      </c>
      <c r="I1300" s="64">
        <v>5212.7096774193597</v>
      </c>
      <c r="J1300" s="62" t="s">
        <v>468</v>
      </c>
      <c r="K1300" s="62" t="s">
        <v>467</v>
      </c>
      <c r="L1300" s="65"/>
      <c r="M1300" s="62" t="s">
        <v>825</v>
      </c>
      <c r="N1300" s="62" t="s">
        <v>639</v>
      </c>
      <c r="O1300" s="62" t="s">
        <v>371</v>
      </c>
      <c r="P1300" s="62" t="s">
        <v>2421</v>
      </c>
      <c r="Q1300" s="66" t="s">
        <v>1970</v>
      </c>
    </row>
    <row r="1301" spans="1:17" x14ac:dyDescent="0.3">
      <c r="A1301" s="61" t="s">
        <v>2178</v>
      </c>
      <c r="B1301" s="62" t="s">
        <v>1310</v>
      </c>
      <c r="C1301" s="62" t="s">
        <v>1311</v>
      </c>
      <c r="D1301" s="63">
        <v>45456</v>
      </c>
      <c r="E1301" s="63">
        <v>46186</v>
      </c>
      <c r="F1301" s="62" t="s">
        <v>1936</v>
      </c>
      <c r="G1301" s="62" t="s">
        <v>1313</v>
      </c>
      <c r="H1301" s="62" t="s">
        <v>467</v>
      </c>
      <c r="I1301" s="64">
        <v>5212.7096774193597</v>
      </c>
      <c r="J1301" s="62" t="s">
        <v>468</v>
      </c>
      <c r="K1301" s="62" t="s">
        <v>467</v>
      </c>
      <c r="L1301" s="65"/>
      <c r="M1301" s="62" t="s">
        <v>825</v>
      </c>
      <c r="N1301" s="62" t="s">
        <v>639</v>
      </c>
      <c r="O1301" s="62" t="s">
        <v>371</v>
      </c>
      <c r="P1301" s="62" t="s">
        <v>2421</v>
      </c>
      <c r="Q1301" s="66" t="s">
        <v>1970</v>
      </c>
    </row>
    <row r="1302" spans="1:17" x14ac:dyDescent="0.3">
      <c r="A1302" s="61" t="s">
        <v>2178</v>
      </c>
      <c r="B1302" s="62" t="s">
        <v>1310</v>
      </c>
      <c r="C1302" s="62" t="s">
        <v>1311</v>
      </c>
      <c r="D1302" s="63">
        <v>45456</v>
      </c>
      <c r="E1302" s="63">
        <v>46186</v>
      </c>
      <c r="F1302" s="62" t="s">
        <v>1936</v>
      </c>
      <c r="G1302" s="62" t="s">
        <v>709</v>
      </c>
      <c r="H1302" s="62" t="s">
        <v>467</v>
      </c>
      <c r="I1302" s="64">
        <v>5212.7096774193597</v>
      </c>
      <c r="J1302" s="62" t="s">
        <v>468</v>
      </c>
      <c r="K1302" s="62" t="s">
        <v>467</v>
      </c>
      <c r="L1302" s="65"/>
      <c r="M1302" s="62" t="s">
        <v>825</v>
      </c>
      <c r="N1302" s="62" t="s">
        <v>639</v>
      </c>
      <c r="O1302" s="62" t="s">
        <v>371</v>
      </c>
      <c r="P1302" s="62" t="s">
        <v>2421</v>
      </c>
      <c r="Q1302" s="66" t="s">
        <v>1970</v>
      </c>
    </row>
    <row r="1303" spans="1:17" x14ac:dyDescent="0.3">
      <c r="A1303" s="61" t="s">
        <v>2178</v>
      </c>
      <c r="B1303" s="62" t="s">
        <v>1310</v>
      </c>
      <c r="C1303" s="62" t="s">
        <v>1311</v>
      </c>
      <c r="D1303" s="63">
        <v>45456</v>
      </c>
      <c r="E1303" s="63">
        <v>46186</v>
      </c>
      <c r="F1303" s="62" t="s">
        <v>1936</v>
      </c>
      <c r="G1303" s="62" t="s">
        <v>745</v>
      </c>
      <c r="H1303" s="62" t="s">
        <v>467</v>
      </c>
      <c r="I1303" s="64">
        <v>5212.7096774193597</v>
      </c>
      <c r="J1303" s="62" t="s">
        <v>468</v>
      </c>
      <c r="K1303" s="62" t="s">
        <v>467</v>
      </c>
      <c r="L1303" s="65"/>
      <c r="M1303" s="62" t="s">
        <v>825</v>
      </c>
      <c r="N1303" s="62" t="s">
        <v>639</v>
      </c>
      <c r="O1303" s="62" t="s">
        <v>371</v>
      </c>
      <c r="P1303" s="62" t="s">
        <v>2421</v>
      </c>
      <c r="Q1303" s="66" t="s">
        <v>1970</v>
      </c>
    </row>
    <row r="1304" spans="1:17" x14ac:dyDescent="0.3">
      <c r="A1304" s="61" t="s">
        <v>2178</v>
      </c>
      <c r="B1304" s="62" t="s">
        <v>1310</v>
      </c>
      <c r="C1304" s="62" t="s">
        <v>1311</v>
      </c>
      <c r="D1304" s="63">
        <v>45456</v>
      </c>
      <c r="E1304" s="63">
        <v>46186</v>
      </c>
      <c r="F1304" s="62" t="s">
        <v>1936</v>
      </c>
      <c r="G1304" s="62" t="s">
        <v>602</v>
      </c>
      <c r="H1304" s="62" t="s">
        <v>467</v>
      </c>
      <c r="I1304" s="64">
        <v>5212.7096774193597</v>
      </c>
      <c r="J1304" s="62" t="s">
        <v>468</v>
      </c>
      <c r="K1304" s="62" t="s">
        <v>467</v>
      </c>
      <c r="L1304" s="65"/>
      <c r="M1304" s="62" t="s">
        <v>825</v>
      </c>
      <c r="N1304" s="62" t="s">
        <v>639</v>
      </c>
      <c r="O1304" s="62" t="s">
        <v>371</v>
      </c>
      <c r="P1304" s="62" t="s">
        <v>2421</v>
      </c>
      <c r="Q1304" s="66" t="s">
        <v>1970</v>
      </c>
    </row>
    <row r="1305" spans="1:17" x14ac:dyDescent="0.3">
      <c r="A1305" s="61" t="s">
        <v>2178</v>
      </c>
      <c r="B1305" s="62" t="s">
        <v>1310</v>
      </c>
      <c r="C1305" s="62" t="s">
        <v>1311</v>
      </c>
      <c r="D1305" s="63">
        <v>45456</v>
      </c>
      <c r="E1305" s="63">
        <v>46186</v>
      </c>
      <c r="F1305" s="62" t="s">
        <v>1936</v>
      </c>
      <c r="G1305" s="62" t="s">
        <v>797</v>
      </c>
      <c r="H1305" s="62" t="s">
        <v>467</v>
      </c>
      <c r="I1305" s="64">
        <v>5212.7096774193597</v>
      </c>
      <c r="J1305" s="62" t="s">
        <v>468</v>
      </c>
      <c r="K1305" s="62" t="s">
        <v>467</v>
      </c>
      <c r="L1305" s="65"/>
      <c r="M1305" s="62" t="s">
        <v>825</v>
      </c>
      <c r="N1305" s="62" t="s">
        <v>639</v>
      </c>
      <c r="O1305" s="62" t="s">
        <v>371</v>
      </c>
      <c r="P1305" s="62" t="s">
        <v>2421</v>
      </c>
      <c r="Q1305" s="66" t="s">
        <v>1970</v>
      </c>
    </row>
    <row r="1306" spans="1:17" x14ac:dyDescent="0.3">
      <c r="A1306" s="61" t="s">
        <v>2178</v>
      </c>
      <c r="B1306" s="62" t="s">
        <v>1310</v>
      </c>
      <c r="C1306" s="62" t="s">
        <v>1311</v>
      </c>
      <c r="D1306" s="63">
        <v>45456</v>
      </c>
      <c r="E1306" s="63">
        <v>46186</v>
      </c>
      <c r="F1306" s="62" t="s">
        <v>1936</v>
      </c>
      <c r="G1306" s="62" t="s">
        <v>866</v>
      </c>
      <c r="H1306" s="62" t="s">
        <v>467</v>
      </c>
      <c r="I1306" s="64">
        <v>5212.7096774193597</v>
      </c>
      <c r="J1306" s="62" t="s">
        <v>468</v>
      </c>
      <c r="K1306" s="62" t="s">
        <v>467</v>
      </c>
      <c r="L1306" s="65"/>
      <c r="M1306" s="62" t="s">
        <v>825</v>
      </c>
      <c r="N1306" s="62" t="s">
        <v>639</v>
      </c>
      <c r="O1306" s="62" t="s">
        <v>371</v>
      </c>
      <c r="P1306" s="62" t="s">
        <v>2421</v>
      </c>
      <c r="Q1306" s="66" t="s">
        <v>1970</v>
      </c>
    </row>
    <row r="1307" spans="1:17" x14ac:dyDescent="0.3">
      <c r="A1307" s="61" t="s">
        <v>2178</v>
      </c>
      <c r="B1307" s="62" t="s">
        <v>1310</v>
      </c>
      <c r="C1307" s="62" t="s">
        <v>1311</v>
      </c>
      <c r="D1307" s="63">
        <v>45456</v>
      </c>
      <c r="E1307" s="63">
        <v>46186</v>
      </c>
      <c r="F1307" s="62" t="s">
        <v>1936</v>
      </c>
      <c r="G1307" s="62" t="s">
        <v>761</v>
      </c>
      <c r="H1307" s="62" t="s">
        <v>467</v>
      </c>
      <c r="I1307" s="64">
        <v>5212.7096774193597</v>
      </c>
      <c r="J1307" s="62" t="s">
        <v>468</v>
      </c>
      <c r="K1307" s="62" t="s">
        <v>467</v>
      </c>
      <c r="L1307" s="65"/>
      <c r="M1307" s="62" t="s">
        <v>825</v>
      </c>
      <c r="N1307" s="62" t="s">
        <v>639</v>
      </c>
      <c r="O1307" s="62" t="s">
        <v>371</v>
      </c>
      <c r="P1307" s="62" t="s">
        <v>2421</v>
      </c>
      <c r="Q1307" s="66" t="s">
        <v>1970</v>
      </c>
    </row>
    <row r="1308" spans="1:17" x14ac:dyDescent="0.3">
      <c r="A1308" s="61" t="s">
        <v>2178</v>
      </c>
      <c r="B1308" s="62" t="s">
        <v>1310</v>
      </c>
      <c r="C1308" s="62" t="s">
        <v>1311</v>
      </c>
      <c r="D1308" s="63">
        <v>45456</v>
      </c>
      <c r="E1308" s="63">
        <v>46186</v>
      </c>
      <c r="F1308" s="62" t="s">
        <v>1936</v>
      </c>
      <c r="G1308" s="62" t="s">
        <v>867</v>
      </c>
      <c r="H1308" s="62" t="s">
        <v>467</v>
      </c>
      <c r="I1308" s="64">
        <v>5212.7096774193597</v>
      </c>
      <c r="J1308" s="62" t="s">
        <v>468</v>
      </c>
      <c r="K1308" s="62" t="s">
        <v>467</v>
      </c>
      <c r="L1308" s="65"/>
      <c r="M1308" s="62" t="s">
        <v>825</v>
      </c>
      <c r="N1308" s="62" t="s">
        <v>639</v>
      </c>
      <c r="O1308" s="62" t="s">
        <v>371</v>
      </c>
      <c r="P1308" s="62" t="s">
        <v>2421</v>
      </c>
      <c r="Q1308" s="66" t="s">
        <v>1970</v>
      </c>
    </row>
    <row r="1309" spans="1:17" x14ac:dyDescent="0.3">
      <c r="A1309" s="61" t="s">
        <v>2178</v>
      </c>
      <c r="B1309" s="62" t="s">
        <v>1310</v>
      </c>
      <c r="C1309" s="62" t="s">
        <v>1311</v>
      </c>
      <c r="D1309" s="63">
        <v>45456</v>
      </c>
      <c r="E1309" s="63">
        <v>46186</v>
      </c>
      <c r="F1309" s="62" t="s">
        <v>1936</v>
      </c>
      <c r="G1309" s="62" t="s">
        <v>710</v>
      </c>
      <c r="H1309" s="62" t="s">
        <v>467</v>
      </c>
      <c r="I1309" s="64">
        <v>5212.7096774193597</v>
      </c>
      <c r="J1309" s="62" t="s">
        <v>468</v>
      </c>
      <c r="K1309" s="62" t="s">
        <v>467</v>
      </c>
      <c r="L1309" s="65"/>
      <c r="M1309" s="62" t="s">
        <v>825</v>
      </c>
      <c r="N1309" s="62" t="s">
        <v>639</v>
      </c>
      <c r="O1309" s="62" t="s">
        <v>371</v>
      </c>
      <c r="P1309" s="62" t="s">
        <v>2421</v>
      </c>
      <c r="Q1309" s="66" t="s">
        <v>1970</v>
      </c>
    </row>
    <row r="1310" spans="1:17" x14ac:dyDescent="0.3">
      <c r="A1310" s="61" t="s">
        <v>2178</v>
      </c>
      <c r="B1310" s="62" t="s">
        <v>1310</v>
      </c>
      <c r="C1310" s="62" t="s">
        <v>1311</v>
      </c>
      <c r="D1310" s="63">
        <v>45456</v>
      </c>
      <c r="E1310" s="63">
        <v>46186</v>
      </c>
      <c r="F1310" s="62" t="s">
        <v>1936</v>
      </c>
      <c r="G1310" s="62" t="s">
        <v>746</v>
      </c>
      <c r="H1310" s="62" t="s">
        <v>467</v>
      </c>
      <c r="I1310" s="64">
        <v>5212.7096774193597</v>
      </c>
      <c r="J1310" s="62" t="s">
        <v>468</v>
      </c>
      <c r="K1310" s="62" t="s">
        <v>467</v>
      </c>
      <c r="L1310" s="65"/>
      <c r="M1310" s="62" t="s">
        <v>825</v>
      </c>
      <c r="N1310" s="62" t="s">
        <v>639</v>
      </c>
      <c r="O1310" s="62" t="s">
        <v>371</v>
      </c>
      <c r="P1310" s="62" t="s">
        <v>2421</v>
      </c>
      <c r="Q1310" s="66" t="s">
        <v>1970</v>
      </c>
    </row>
    <row r="1311" spans="1:17" x14ac:dyDescent="0.3">
      <c r="A1311" s="61" t="s">
        <v>2178</v>
      </c>
      <c r="B1311" s="62" t="s">
        <v>1310</v>
      </c>
      <c r="C1311" s="62" t="s">
        <v>1311</v>
      </c>
      <c r="D1311" s="63">
        <v>45456</v>
      </c>
      <c r="E1311" s="63">
        <v>46186</v>
      </c>
      <c r="F1311" s="62" t="s">
        <v>1936</v>
      </c>
      <c r="G1311" s="62" t="s">
        <v>604</v>
      </c>
      <c r="H1311" s="62" t="s">
        <v>467</v>
      </c>
      <c r="I1311" s="64">
        <v>5212.7096774193597</v>
      </c>
      <c r="J1311" s="62" t="s">
        <v>468</v>
      </c>
      <c r="K1311" s="62" t="s">
        <v>467</v>
      </c>
      <c r="L1311" s="65"/>
      <c r="M1311" s="62" t="s">
        <v>825</v>
      </c>
      <c r="N1311" s="62" t="s">
        <v>639</v>
      </c>
      <c r="O1311" s="62" t="s">
        <v>371</v>
      </c>
      <c r="P1311" s="62" t="s">
        <v>2421</v>
      </c>
      <c r="Q1311" s="66" t="s">
        <v>1970</v>
      </c>
    </row>
    <row r="1312" spans="1:17" x14ac:dyDescent="0.3">
      <c r="A1312" s="61" t="s">
        <v>2178</v>
      </c>
      <c r="B1312" s="62" t="s">
        <v>1310</v>
      </c>
      <c r="C1312" s="62" t="s">
        <v>1311</v>
      </c>
      <c r="D1312" s="63">
        <v>45456</v>
      </c>
      <c r="E1312" s="63">
        <v>46186</v>
      </c>
      <c r="F1312" s="62" t="s">
        <v>1936</v>
      </c>
      <c r="G1312" s="62" t="s">
        <v>747</v>
      </c>
      <c r="H1312" s="62" t="s">
        <v>467</v>
      </c>
      <c r="I1312" s="64">
        <v>5212.7096774193597</v>
      </c>
      <c r="J1312" s="62" t="s">
        <v>468</v>
      </c>
      <c r="K1312" s="62" t="s">
        <v>467</v>
      </c>
      <c r="L1312" s="65"/>
      <c r="M1312" s="62" t="s">
        <v>825</v>
      </c>
      <c r="N1312" s="62" t="s">
        <v>639</v>
      </c>
      <c r="O1312" s="62" t="s">
        <v>371</v>
      </c>
      <c r="P1312" s="62" t="s">
        <v>2421</v>
      </c>
      <c r="Q1312" s="66" t="s">
        <v>1970</v>
      </c>
    </row>
    <row r="1313" spans="1:17" x14ac:dyDescent="0.3">
      <c r="A1313" s="61" t="s">
        <v>2178</v>
      </c>
      <c r="B1313" s="62" t="s">
        <v>1310</v>
      </c>
      <c r="C1313" s="62" t="s">
        <v>1311</v>
      </c>
      <c r="D1313" s="63">
        <v>45456</v>
      </c>
      <c r="E1313" s="63">
        <v>46186</v>
      </c>
      <c r="F1313" s="62" t="s">
        <v>1936</v>
      </c>
      <c r="G1313" s="62" t="s">
        <v>868</v>
      </c>
      <c r="H1313" s="62" t="s">
        <v>467</v>
      </c>
      <c r="I1313" s="64">
        <v>5212.7096774193597</v>
      </c>
      <c r="J1313" s="62" t="s">
        <v>468</v>
      </c>
      <c r="K1313" s="62" t="s">
        <v>467</v>
      </c>
      <c r="L1313" s="65"/>
      <c r="M1313" s="62" t="s">
        <v>825</v>
      </c>
      <c r="N1313" s="62" t="s">
        <v>639</v>
      </c>
      <c r="O1313" s="62" t="s">
        <v>371</v>
      </c>
      <c r="P1313" s="62" t="s">
        <v>2421</v>
      </c>
      <c r="Q1313" s="66" t="s">
        <v>1970</v>
      </c>
    </row>
    <row r="1314" spans="1:17" x14ac:dyDescent="0.3">
      <c r="A1314" s="61" t="s">
        <v>2178</v>
      </c>
      <c r="B1314" s="62" t="s">
        <v>1310</v>
      </c>
      <c r="C1314" s="62" t="s">
        <v>1311</v>
      </c>
      <c r="D1314" s="63">
        <v>45456</v>
      </c>
      <c r="E1314" s="63">
        <v>46186</v>
      </c>
      <c r="F1314" s="62" t="s">
        <v>1936</v>
      </c>
      <c r="G1314" s="62" t="s">
        <v>1223</v>
      </c>
      <c r="H1314" s="62" t="s">
        <v>467</v>
      </c>
      <c r="I1314" s="64">
        <v>5212.7096774193597</v>
      </c>
      <c r="J1314" s="62" t="s">
        <v>468</v>
      </c>
      <c r="K1314" s="62" t="s">
        <v>467</v>
      </c>
      <c r="L1314" s="65"/>
      <c r="M1314" s="62" t="s">
        <v>825</v>
      </c>
      <c r="N1314" s="62" t="s">
        <v>639</v>
      </c>
      <c r="O1314" s="62" t="s">
        <v>371</v>
      </c>
      <c r="P1314" s="62" t="s">
        <v>2421</v>
      </c>
      <c r="Q1314" s="66" t="s">
        <v>1970</v>
      </c>
    </row>
    <row r="1315" spans="1:17" x14ac:dyDescent="0.3">
      <c r="A1315" s="61" t="s">
        <v>2178</v>
      </c>
      <c r="B1315" s="62" t="s">
        <v>1310</v>
      </c>
      <c r="C1315" s="62" t="s">
        <v>1311</v>
      </c>
      <c r="D1315" s="63">
        <v>45456</v>
      </c>
      <c r="E1315" s="63">
        <v>46186</v>
      </c>
      <c r="F1315" s="62" t="s">
        <v>1936</v>
      </c>
      <c r="G1315" s="62" t="s">
        <v>750</v>
      </c>
      <c r="H1315" s="62" t="s">
        <v>467</v>
      </c>
      <c r="I1315" s="64">
        <v>5212.7096774193597</v>
      </c>
      <c r="J1315" s="62" t="s">
        <v>468</v>
      </c>
      <c r="K1315" s="62" t="s">
        <v>467</v>
      </c>
      <c r="L1315" s="65"/>
      <c r="M1315" s="62" t="s">
        <v>825</v>
      </c>
      <c r="N1315" s="62" t="s">
        <v>639</v>
      </c>
      <c r="O1315" s="62" t="s">
        <v>371</v>
      </c>
      <c r="P1315" s="62" t="s">
        <v>2421</v>
      </c>
      <c r="Q1315" s="66" t="s">
        <v>1970</v>
      </c>
    </row>
    <row r="1316" spans="1:17" x14ac:dyDescent="0.3">
      <c r="A1316" s="61" t="s">
        <v>2178</v>
      </c>
      <c r="B1316" s="62" t="s">
        <v>1310</v>
      </c>
      <c r="C1316" s="62" t="s">
        <v>1311</v>
      </c>
      <c r="D1316" s="63">
        <v>45456</v>
      </c>
      <c r="E1316" s="63">
        <v>46186</v>
      </c>
      <c r="F1316" s="62" t="s">
        <v>1936</v>
      </c>
      <c r="G1316" s="62" t="s">
        <v>711</v>
      </c>
      <c r="H1316" s="62" t="s">
        <v>467</v>
      </c>
      <c r="I1316" s="64">
        <v>5212.7096774193597</v>
      </c>
      <c r="J1316" s="62" t="s">
        <v>468</v>
      </c>
      <c r="K1316" s="62" t="s">
        <v>467</v>
      </c>
      <c r="L1316" s="65"/>
      <c r="M1316" s="62" t="s">
        <v>825</v>
      </c>
      <c r="N1316" s="62" t="s">
        <v>639</v>
      </c>
      <c r="O1316" s="62" t="s">
        <v>371</v>
      </c>
      <c r="P1316" s="62" t="s">
        <v>2421</v>
      </c>
      <c r="Q1316" s="66" t="s">
        <v>1970</v>
      </c>
    </row>
    <row r="1317" spans="1:17" x14ac:dyDescent="0.3">
      <c r="A1317" s="61" t="s">
        <v>2178</v>
      </c>
      <c r="B1317" s="62" t="s">
        <v>1310</v>
      </c>
      <c r="C1317" s="62" t="s">
        <v>1311</v>
      </c>
      <c r="D1317" s="63">
        <v>45456</v>
      </c>
      <c r="E1317" s="63">
        <v>46186</v>
      </c>
      <c r="F1317" s="62" t="s">
        <v>1936</v>
      </c>
      <c r="G1317" s="62" t="s">
        <v>798</v>
      </c>
      <c r="H1317" s="62" t="s">
        <v>467</v>
      </c>
      <c r="I1317" s="64">
        <v>5212.7096774193597</v>
      </c>
      <c r="J1317" s="62" t="s">
        <v>468</v>
      </c>
      <c r="K1317" s="62" t="s">
        <v>467</v>
      </c>
      <c r="L1317" s="65"/>
      <c r="M1317" s="62" t="s">
        <v>825</v>
      </c>
      <c r="N1317" s="62" t="s">
        <v>639</v>
      </c>
      <c r="O1317" s="62" t="s">
        <v>371</v>
      </c>
      <c r="P1317" s="62" t="s">
        <v>2421</v>
      </c>
      <c r="Q1317" s="66" t="s">
        <v>1970</v>
      </c>
    </row>
    <row r="1318" spans="1:17" x14ac:dyDescent="0.3">
      <c r="A1318" s="61" t="s">
        <v>2178</v>
      </c>
      <c r="B1318" s="62" t="s">
        <v>1310</v>
      </c>
      <c r="C1318" s="62" t="s">
        <v>1311</v>
      </c>
      <c r="D1318" s="63">
        <v>45456</v>
      </c>
      <c r="E1318" s="63">
        <v>46186</v>
      </c>
      <c r="F1318" s="62" t="s">
        <v>1936</v>
      </c>
      <c r="G1318" s="62" t="s">
        <v>748</v>
      </c>
      <c r="H1318" s="62" t="s">
        <v>467</v>
      </c>
      <c r="I1318" s="64">
        <v>5212.7096774193597</v>
      </c>
      <c r="J1318" s="62" t="s">
        <v>468</v>
      </c>
      <c r="K1318" s="62" t="s">
        <v>467</v>
      </c>
      <c r="L1318" s="65"/>
      <c r="M1318" s="62" t="s">
        <v>825</v>
      </c>
      <c r="N1318" s="62" t="s">
        <v>639</v>
      </c>
      <c r="O1318" s="62" t="s">
        <v>371</v>
      </c>
      <c r="P1318" s="62" t="s">
        <v>2421</v>
      </c>
      <c r="Q1318" s="66" t="s">
        <v>1970</v>
      </c>
    </row>
    <row r="1319" spans="1:17" x14ac:dyDescent="0.3">
      <c r="A1319" s="61" t="s">
        <v>2178</v>
      </c>
      <c r="B1319" s="62" t="s">
        <v>1310</v>
      </c>
      <c r="C1319" s="62" t="s">
        <v>1311</v>
      </c>
      <c r="D1319" s="63">
        <v>45456</v>
      </c>
      <c r="E1319" s="63">
        <v>46186</v>
      </c>
      <c r="F1319" s="62" t="s">
        <v>1936</v>
      </c>
      <c r="G1319" s="62" t="s">
        <v>411</v>
      </c>
      <c r="H1319" s="62" t="s">
        <v>467</v>
      </c>
      <c r="I1319" s="64">
        <v>5212.7096774193597</v>
      </c>
      <c r="J1319" s="62" t="s">
        <v>468</v>
      </c>
      <c r="K1319" s="62" t="s">
        <v>467</v>
      </c>
      <c r="L1319" s="65"/>
      <c r="M1319" s="62" t="s">
        <v>825</v>
      </c>
      <c r="N1319" s="62" t="s">
        <v>639</v>
      </c>
      <c r="O1319" s="62" t="s">
        <v>371</v>
      </c>
      <c r="P1319" s="62" t="s">
        <v>2421</v>
      </c>
      <c r="Q1319" s="66" t="s">
        <v>1970</v>
      </c>
    </row>
    <row r="1320" spans="1:17" x14ac:dyDescent="0.3">
      <c r="A1320" s="61" t="s">
        <v>2178</v>
      </c>
      <c r="B1320" s="62" t="s">
        <v>1310</v>
      </c>
      <c r="C1320" s="62" t="s">
        <v>1311</v>
      </c>
      <c r="D1320" s="63">
        <v>45456</v>
      </c>
      <c r="E1320" s="63">
        <v>46186</v>
      </c>
      <c r="F1320" s="62" t="s">
        <v>1936</v>
      </c>
      <c r="G1320" s="62" t="s">
        <v>1314</v>
      </c>
      <c r="H1320" s="62" t="s">
        <v>467</v>
      </c>
      <c r="I1320" s="64">
        <v>5212.7096774193597</v>
      </c>
      <c r="J1320" s="62" t="s">
        <v>468</v>
      </c>
      <c r="K1320" s="62" t="s">
        <v>467</v>
      </c>
      <c r="L1320" s="65"/>
      <c r="M1320" s="62" t="s">
        <v>825</v>
      </c>
      <c r="N1320" s="62" t="s">
        <v>639</v>
      </c>
      <c r="O1320" s="62" t="s">
        <v>371</v>
      </c>
      <c r="P1320" s="62" t="s">
        <v>2421</v>
      </c>
      <c r="Q1320" s="66" t="s">
        <v>1970</v>
      </c>
    </row>
    <row r="1321" spans="1:17" x14ac:dyDescent="0.3">
      <c r="A1321" s="61" t="s">
        <v>2178</v>
      </c>
      <c r="B1321" s="62" t="s">
        <v>1310</v>
      </c>
      <c r="C1321" s="62" t="s">
        <v>1311</v>
      </c>
      <c r="D1321" s="63">
        <v>45456</v>
      </c>
      <c r="E1321" s="63">
        <v>46186</v>
      </c>
      <c r="F1321" s="62" t="s">
        <v>1936</v>
      </c>
      <c r="G1321" s="62" t="s">
        <v>605</v>
      </c>
      <c r="H1321" s="62" t="s">
        <v>467</v>
      </c>
      <c r="I1321" s="64">
        <v>5212.7096774193597</v>
      </c>
      <c r="J1321" s="62" t="s">
        <v>468</v>
      </c>
      <c r="K1321" s="62" t="s">
        <v>467</v>
      </c>
      <c r="L1321" s="65"/>
      <c r="M1321" s="62" t="s">
        <v>825</v>
      </c>
      <c r="N1321" s="62" t="s">
        <v>639</v>
      </c>
      <c r="O1321" s="62" t="s">
        <v>371</v>
      </c>
      <c r="P1321" s="62" t="s">
        <v>2421</v>
      </c>
      <c r="Q1321" s="66" t="s">
        <v>1970</v>
      </c>
    </row>
    <row r="1322" spans="1:17" x14ac:dyDescent="0.3">
      <c r="A1322" s="61" t="s">
        <v>2178</v>
      </c>
      <c r="B1322" s="62" t="s">
        <v>1310</v>
      </c>
      <c r="C1322" s="62" t="s">
        <v>1311</v>
      </c>
      <c r="D1322" s="63">
        <v>45456</v>
      </c>
      <c r="E1322" s="63">
        <v>46186</v>
      </c>
      <c r="F1322" s="62" t="s">
        <v>1936</v>
      </c>
      <c r="G1322" s="62" t="s">
        <v>412</v>
      </c>
      <c r="H1322" s="62" t="s">
        <v>467</v>
      </c>
      <c r="I1322" s="64">
        <v>5212.7096774193597</v>
      </c>
      <c r="J1322" s="62" t="s">
        <v>468</v>
      </c>
      <c r="K1322" s="62" t="s">
        <v>467</v>
      </c>
      <c r="L1322" s="65"/>
      <c r="M1322" s="62" t="s">
        <v>825</v>
      </c>
      <c r="N1322" s="62" t="s">
        <v>639</v>
      </c>
      <c r="O1322" s="62" t="s">
        <v>371</v>
      </c>
      <c r="P1322" s="62" t="s">
        <v>2421</v>
      </c>
      <c r="Q1322" s="66" t="s">
        <v>1970</v>
      </c>
    </row>
    <row r="1323" spans="1:17" x14ac:dyDescent="0.3">
      <c r="A1323" s="61" t="s">
        <v>2178</v>
      </c>
      <c r="B1323" s="62" t="s">
        <v>1310</v>
      </c>
      <c r="C1323" s="62" t="s">
        <v>1311</v>
      </c>
      <c r="D1323" s="63">
        <v>45456</v>
      </c>
      <c r="E1323" s="63">
        <v>46186</v>
      </c>
      <c r="F1323" s="62" t="s">
        <v>1936</v>
      </c>
      <c r="G1323" s="62" t="s">
        <v>413</v>
      </c>
      <c r="H1323" s="62" t="s">
        <v>467</v>
      </c>
      <c r="I1323" s="64">
        <v>5212.7096774193597</v>
      </c>
      <c r="J1323" s="62" t="s">
        <v>468</v>
      </c>
      <c r="K1323" s="62" t="s">
        <v>467</v>
      </c>
      <c r="L1323" s="65"/>
      <c r="M1323" s="62" t="s">
        <v>825</v>
      </c>
      <c r="N1323" s="62" t="s">
        <v>639</v>
      </c>
      <c r="O1323" s="62" t="s">
        <v>371</v>
      </c>
      <c r="P1323" s="62" t="s">
        <v>2421</v>
      </c>
      <c r="Q1323" s="66" t="s">
        <v>1970</v>
      </c>
    </row>
    <row r="1324" spans="1:17" x14ac:dyDescent="0.3">
      <c r="A1324" s="61" t="s">
        <v>2178</v>
      </c>
      <c r="B1324" s="62" t="s">
        <v>1310</v>
      </c>
      <c r="C1324" s="62" t="s">
        <v>1311</v>
      </c>
      <c r="D1324" s="63">
        <v>45456</v>
      </c>
      <c r="E1324" s="63">
        <v>46186</v>
      </c>
      <c r="F1324" s="62" t="s">
        <v>1936</v>
      </c>
      <c r="G1324" s="62" t="s">
        <v>1261</v>
      </c>
      <c r="H1324" s="62" t="s">
        <v>467</v>
      </c>
      <c r="I1324" s="64">
        <v>5212.7096774193597</v>
      </c>
      <c r="J1324" s="62" t="s">
        <v>468</v>
      </c>
      <c r="K1324" s="62" t="s">
        <v>467</v>
      </c>
      <c r="L1324" s="65"/>
      <c r="M1324" s="62" t="s">
        <v>825</v>
      </c>
      <c r="N1324" s="62" t="s">
        <v>639</v>
      </c>
      <c r="O1324" s="62" t="s">
        <v>371</v>
      </c>
      <c r="P1324" s="62" t="s">
        <v>2421</v>
      </c>
      <c r="Q1324" s="66" t="s">
        <v>1970</v>
      </c>
    </row>
    <row r="1325" spans="1:17" x14ac:dyDescent="0.3">
      <c r="A1325" s="61" t="s">
        <v>2178</v>
      </c>
      <c r="B1325" s="62" t="s">
        <v>1310</v>
      </c>
      <c r="C1325" s="62" t="s">
        <v>1311</v>
      </c>
      <c r="D1325" s="63">
        <v>45456</v>
      </c>
      <c r="E1325" s="63">
        <v>46186</v>
      </c>
      <c r="F1325" s="62" t="s">
        <v>1936</v>
      </c>
      <c r="G1325" s="62" t="s">
        <v>414</v>
      </c>
      <c r="H1325" s="62" t="s">
        <v>467</v>
      </c>
      <c r="I1325" s="64">
        <v>5212.7096774193597</v>
      </c>
      <c r="J1325" s="62" t="s">
        <v>468</v>
      </c>
      <c r="K1325" s="62" t="s">
        <v>467</v>
      </c>
      <c r="L1325" s="65"/>
      <c r="M1325" s="62" t="s">
        <v>825</v>
      </c>
      <c r="N1325" s="62" t="s">
        <v>639</v>
      </c>
      <c r="O1325" s="62" t="s">
        <v>371</v>
      </c>
      <c r="P1325" s="62" t="s">
        <v>2421</v>
      </c>
      <c r="Q1325" s="66" t="s">
        <v>1970</v>
      </c>
    </row>
    <row r="1326" spans="1:17" x14ac:dyDescent="0.3">
      <c r="A1326" s="61" t="s">
        <v>2178</v>
      </c>
      <c r="B1326" s="62" t="s">
        <v>1310</v>
      </c>
      <c r="C1326" s="62" t="s">
        <v>1311</v>
      </c>
      <c r="D1326" s="63">
        <v>45456</v>
      </c>
      <c r="E1326" s="63">
        <v>46186</v>
      </c>
      <c r="F1326" s="62" t="s">
        <v>1936</v>
      </c>
      <c r="G1326" s="62" t="s">
        <v>547</v>
      </c>
      <c r="H1326" s="62" t="s">
        <v>467</v>
      </c>
      <c r="I1326" s="64">
        <v>5212.7096774193597</v>
      </c>
      <c r="J1326" s="62" t="s">
        <v>468</v>
      </c>
      <c r="K1326" s="62" t="s">
        <v>467</v>
      </c>
      <c r="L1326" s="65"/>
      <c r="M1326" s="62" t="s">
        <v>825</v>
      </c>
      <c r="N1326" s="62" t="s">
        <v>639</v>
      </c>
      <c r="O1326" s="62" t="s">
        <v>371</v>
      </c>
      <c r="P1326" s="62" t="s">
        <v>2421</v>
      </c>
      <c r="Q1326" s="66" t="s">
        <v>1970</v>
      </c>
    </row>
    <row r="1327" spans="1:17" x14ac:dyDescent="0.3">
      <c r="A1327" s="61" t="s">
        <v>2178</v>
      </c>
      <c r="B1327" s="62" t="s">
        <v>1310</v>
      </c>
      <c r="C1327" s="62" t="s">
        <v>1311</v>
      </c>
      <c r="D1327" s="63">
        <v>45456</v>
      </c>
      <c r="E1327" s="63">
        <v>46186</v>
      </c>
      <c r="F1327" s="62" t="s">
        <v>1936</v>
      </c>
      <c r="G1327" s="62" t="s">
        <v>869</v>
      </c>
      <c r="H1327" s="62" t="s">
        <v>467</v>
      </c>
      <c r="I1327" s="64">
        <v>5212.7096774193597</v>
      </c>
      <c r="J1327" s="62" t="s">
        <v>468</v>
      </c>
      <c r="K1327" s="62" t="s">
        <v>467</v>
      </c>
      <c r="L1327" s="65"/>
      <c r="M1327" s="62" t="s">
        <v>825</v>
      </c>
      <c r="N1327" s="62" t="s">
        <v>639</v>
      </c>
      <c r="O1327" s="62" t="s">
        <v>371</v>
      </c>
      <c r="P1327" s="62" t="s">
        <v>2421</v>
      </c>
      <c r="Q1327" s="66" t="s">
        <v>1970</v>
      </c>
    </row>
    <row r="1328" spans="1:17" x14ac:dyDescent="0.3">
      <c r="A1328" s="61" t="s">
        <v>2179</v>
      </c>
      <c r="B1328" s="62" t="s">
        <v>1315</v>
      </c>
      <c r="C1328" s="62" t="s">
        <v>1316</v>
      </c>
      <c r="D1328" s="63">
        <v>45292</v>
      </c>
      <c r="E1328" s="63">
        <v>46752</v>
      </c>
      <c r="F1328" s="62" t="s">
        <v>348</v>
      </c>
      <c r="G1328" s="62" t="s">
        <v>348</v>
      </c>
      <c r="H1328" s="62" t="s">
        <v>362</v>
      </c>
      <c r="I1328" s="64">
        <v>220739</v>
      </c>
      <c r="J1328" s="62" t="s">
        <v>363</v>
      </c>
      <c r="K1328" s="62" t="s">
        <v>1957</v>
      </c>
      <c r="L1328" s="65"/>
      <c r="M1328" s="62" t="s">
        <v>825</v>
      </c>
      <c r="N1328" s="62" t="s">
        <v>948</v>
      </c>
      <c r="O1328" s="62" t="s">
        <v>428</v>
      </c>
      <c r="P1328" s="62" t="s">
        <v>2421</v>
      </c>
      <c r="Q1328" s="66" t="s">
        <v>2021</v>
      </c>
    </row>
    <row r="1329" spans="1:17" x14ac:dyDescent="0.3">
      <c r="A1329" s="61" t="s">
        <v>2180</v>
      </c>
      <c r="B1329" s="62" t="s">
        <v>1317</v>
      </c>
      <c r="C1329" s="62" t="s">
        <v>1318</v>
      </c>
      <c r="D1329" s="63">
        <v>45322</v>
      </c>
      <c r="E1329" s="63">
        <v>46661</v>
      </c>
      <c r="F1329" s="62" t="s">
        <v>350</v>
      </c>
      <c r="G1329" s="62" t="s">
        <v>304</v>
      </c>
      <c r="H1329" s="62" t="s">
        <v>2426</v>
      </c>
      <c r="I1329" s="64">
        <v>1233000</v>
      </c>
      <c r="J1329" s="62" t="s">
        <v>601</v>
      </c>
      <c r="K1329" s="62" t="s">
        <v>377</v>
      </c>
      <c r="L1329" s="65"/>
      <c r="M1329" s="62" t="s">
        <v>1518</v>
      </c>
      <c r="N1329" s="62" t="s">
        <v>949</v>
      </c>
      <c r="O1329" s="62" t="s">
        <v>309</v>
      </c>
      <c r="P1329" s="62" t="s">
        <v>2421</v>
      </c>
      <c r="Q1329" s="66" t="s">
        <v>1971</v>
      </c>
    </row>
    <row r="1330" spans="1:17" x14ac:dyDescent="0.3">
      <c r="A1330" s="61" t="s">
        <v>2181</v>
      </c>
      <c r="B1330" s="62" t="s">
        <v>1319</v>
      </c>
      <c r="C1330" s="62" t="s">
        <v>1320</v>
      </c>
      <c r="D1330" s="63">
        <v>45526</v>
      </c>
      <c r="E1330" s="63">
        <v>46255</v>
      </c>
      <c r="F1330" s="62" t="s">
        <v>1943</v>
      </c>
      <c r="G1330" s="62" t="s">
        <v>341</v>
      </c>
      <c r="H1330" s="62" t="s">
        <v>2427</v>
      </c>
      <c r="I1330" s="64">
        <v>222339</v>
      </c>
      <c r="J1330" s="62" t="s">
        <v>1321</v>
      </c>
      <c r="K1330" s="62" t="s">
        <v>462</v>
      </c>
      <c r="L1330" s="65"/>
      <c r="M1330" s="62" t="s">
        <v>825</v>
      </c>
      <c r="N1330" s="62" t="s">
        <v>416</v>
      </c>
      <c r="O1330" s="62" t="s">
        <v>417</v>
      </c>
      <c r="P1330" s="62" t="s">
        <v>2421</v>
      </c>
      <c r="Q1330" s="66" t="s">
        <v>1972</v>
      </c>
    </row>
    <row r="1331" spans="1:17" x14ac:dyDescent="0.3">
      <c r="A1331" s="61" t="s">
        <v>2182</v>
      </c>
      <c r="B1331" s="62" t="s">
        <v>1323</v>
      </c>
      <c r="C1331" s="62" t="s">
        <v>1324</v>
      </c>
      <c r="D1331" s="63">
        <v>45536</v>
      </c>
      <c r="E1331" s="63">
        <v>46266</v>
      </c>
      <c r="F1331" s="62" t="s">
        <v>350</v>
      </c>
      <c r="G1331" s="62" t="s">
        <v>304</v>
      </c>
      <c r="H1331" s="62" t="s">
        <v>467</v>
      </c>
      <c r="I1331" s="64">
        <v>221399</v>
      </c>
      <c r="J1331" s="62" t="s">
        <v>468</v>
      </c>
      <c r="K1331" s="62" t="s">
        <v>467</v>
      </c>
      <c r="L1331" s="65"/>
      <c r="M1331" s="62" t="s">
        <v>825</v>
      </c>
      <c r="N1331" s="62" t="s">
        <v>639</v>
      </c>
      <c r="O1331" s="62" t="s">
        <v>371</v>
      </c>
      <c r="P1331" s="62" t="s">
        <v>2421</v>
      </c>
      <c r="Q1331" s="66" t="s">
        <v>1972</v>
      </c>
    </row>
    <row r="1332" spans="1:17" x14ac:dyDescent="0.3">
      <c r="A1332" s="61" t="s">
        <v>2183</v>
      </c>
      <c r="B1332" s="62" t="s">
        <v>1325</v>
      </c>
      <c r="C1332" s="62" t="s">
        <v>1326</v>
      </c>
      <c r="D1332" s="63">
        <v>44613</v>
      </c>
      <c r="E1332" s="63">
        <v>46265</v>
      </c>
      <c r="F1332" s="62" t="s">
        <v>1961</v>
      </c>
      <c r="G1332" s="62" t="s">
        <v>304</v>
      </c>
      <c r="H1332" s="62" t="s">
        <v>489</v>
      </c>
      <c r="I1332" s="64">
        <v>840498.25</v>
      </c>
      <c r="J1332" s="62" t="s">
        <v>490</v>
      </c>
      <c r="K1332" s="62" t="s">
        <v>489</v>
      </c>
      <c r="L1332" s="65"/>
      <c r="M1332" s="62" t="s">
        <v>457</v>
      </c>
      <c r="N1332" s="62" t="s">
        <v>364</v>
      </c>
      <c r="O1332" s="62" t="s">
        <v>365</v>
      </c>
      <c r="P1332" s="62" t="s">
        <v>2421</v>
      </c>
      <c r="Q1332" s="66" t="s">
        <v>1971</v>
      </c>
    </row>
    <row r="1333" spans="1:17" x14ac:dyDescent="0.3">
      <c r="A1333" s="61" t="s">
        <v>2183</v>
      </c>
      <c r="B1333" s="62" t="s">
        <v>1325</v>
      </c>
      <c r="C1333" s="62" t="s">
        <v>1326</v>
      </c>
      <c r="D1333" s="63">
        <v>44613</v>
      </c>
      <c r="E1333" s="63">
        <v>46265</v>
      </c>
      <c r="F1333" s="62" t="s">
        <v>1938</v>
      </c>
      <c r="G1333" s="62" t="s">
        <v>304</v>
      </c>
      <c r="H1333" s="62" t="s">
        <v>489</v>
      </c>
      <c r="I1333" s="64">
        <v>840498.25</v>
      </c>
      <c r="J1333" s="62" t="s">
        <v>490</v>
      </c>
      <c r="K1333" s="62" t="s">
        <v>489</v>
      </c>
      <c r="L1333" s="65"/>
      <c r="M1333" s="62" t="s">
        <v>457</v>
      </c>
      <c r="N1333" s="62" t="s">
        <v>364</v>
      </c>
      <c r="O1333" s="62" t="s">
        <v>365</v>
      </c>
      <c r="P1333" s="62" t="s">
        <v>2421</v>
      </c>
      <c r="Q1333" s="66" t="s">
        <v>1971</v>
      </c>
    </row>
    <row r="1334" spans="1:17" x14ac:dyDescent="0.3">
      <c r="A1334" s="61" t="s">
        <v>2183</v>
      </c>
      <c r="B1334" s="62" t="s">
        <v>1325</v>
      </c>
      <c r="C1334" s="62" t="s">
        <v>1326</v>
      </c>
      <c r="D1334" s="63">
        <v>44613</v>
      </c>
      <c r="E1334" s="63">
        <v>46265</v>
      </c>
      <c r="F1334" s="62" t="s">
        <v>1963</v>
      </c>
      <c r="G1334" s="62" t="s">
        <v>304</v>
      </c>
      <c r="H1334" s="62" t="s">
        <v>489</v>
      </c>
      <c r="I1334" s="64">
        <v>840498.25</v>
      </c>
      <c r="J1334" s="62" t="s">
        <v>490</v>
      </c>
      <c r="K1334" s="62" t="s">
        <v>489</v>
      </c>
      <c r="L1334" s="65"/>
      <c r="M1334" s="62" t="s">
        <v>457</v>
      </c>
      <c r="N1334" s="62" t="s">
        <v>364</v>
      </c>
      <c r="O1334" s="62" t="s">
        <v>365</v>
      </c>
      <c r="P1334" s="62" t="s">
        <v>2421</v>
      </c>
      <c r="Q1334" s="66" t="s">
        <v>1971</v>
      </c>
    </row>
    <row r="1335" spans="1:17" x14ac:dyDescent="0.3">
      <c r="A1335" s="61" t="s">
        <v>2183</v>
      </c>
      <c r="B1335" s="62" t="s">
        <v>1325</v>
      </c>
      <c r="C1335" s="62" t="s">
        <v>1326</v>
      </c>
      <c r="D1335" s="63">
        <v>44613</v>
      </c>
      <c r="E1335" s="63">
        <v>46265</v>
      </c>
      <c r="F1335" s="62" t="s">
        <v>1948</v>
      </c>
      <c r="G1335" s="62" t="s">
        <v>304</v>
      </c>
      <c r="H1335" s="62" t="s">
        <v>489</v>
      </c>
      <c r="I1335" s="64">
        <v>840498.25</v>
      </c>
      <c r="J1335" s="62" t="s">
        <v>490</v>
      </c>
      <c r="K1335" s="62" t="s">
        <v>489</v>
      </c>
      <c r="L1335" s="65"/>
      <c r="M1335" s="62" t="s">
        <v>457</v>
      </c>
      <c r="N1335" s="62" t="s">
        <v>364</v>
      </c>
      <c r="O1335" s="62" t="s">
        <v>365</v>
      </c>
      <c r="P1335" s="62" t="s">
        <v>2421</v>
      </c>
      <c r="Q1335" s="66" t="s">
        <v>1971</v>
      </c>
    </row>
    <row r="1336" spans="1:17" x14ac:dyDescent="0.3">
      <c r="A1336" s="61" t="s">
        <v>2184</v>
      </c>
      <c r="B1336" s="62" t="s">
        <v>1327</v>
      </c>
      <c r="C1336" s="62" t="s">
        <v>1328</v>
      </c>
      <c r="D1336" s="63">
        <v>45292</v>
      </c>
      <c r="E1336" s="63">
        <v>46752</v>
      </c>
      <c r="F1336" s="62" t="s">
        <v>350</v>
      </c>
      <c r="G1336" s="62" t="s">
        <v>304</v>
      </c>
      <c r="H1336" s="62" t="s">
        <v>373</v>
      </c>
      <c r="I1336" s="64">
        <v>197770</v>
      </c>
      <c r="J1336" s="62" t="s">
        <v>373</v>
      </c>
      <c r="K1336" s="62" t="s">
        <v>1693</v>
      </c>
      <c r="L1336" s="65"/>
      <c r="M1336" s="62" t="s">
        <v>1518</v>
      </c>
      <c r="N1336" s="62" t="s">
        <v>949</v>
      </c>
      <c r="O1336" s="62" t="s">
        <v>309</v>
      </c>
      <c r="P1336" s="62" t="s">
        <v>2421</v>
      </c>
      <c r="Q1336" s="66" t="s">
        <v>1971</v>
      </c>
    </row>
    <row r="1337" spans="1:17" x14ac:dyDescent="0.3">
      <c r="A1337" s="61" t="s">
        <v>2185</v>
      </c>
      <c r="B1337" s="62" t="s">
        <v>1331</v>
      </c>
      <c r="C1337" s="62" t="s">
        <v>1332</v>
      </c>
      <c r="D1337" s="63">
        <v>45444</v>
      </c>
      <c r="E1337" s="63">
        <v>46173</v>
      </c>
      <c r="F1337" s="62" t="s">
        <v>1936</v>
      </c>
      <c r="G1337" s="62" t="s">
        <v>730</v>
      </c>
      <c r="H1337" s="62" t="s">
        <v>2427</v>
      </c>
      <c r="I1337" s="64">
        <v>3854.2249999999999</v>
      </c>
      <c r="J1337" s="62" t="s">
        <v>1333</v>
      </c>
      <c r="K1337" s="62" t="s">
        <v>489</v>
      </c>
      <c r="L1337" s="65"/>
      <c r="M1337" s="62" t="s">
        <v>2443</v>
      </c>
      <c r="N1337" s="62" t="s">
        <v>558</v>
      </c>
      <c r="O1337" s="62" t="s">
        <v>426</v>
      </c>
      <c r="P1337" s="62" t="s">
        <v>2421</v>
      </c>
      <c r="Q1337" s="66" t="s">
        <v>1972</v>
      </c>
    </row>
    <row r="1338" spans="1:17" x14ac:dyDescent="0.3">
      <c r="A1338" s="61" t="s">
        <v>2185</v>
      </c>
      <c r="B1338" s="62" t="s">
        <v>1331</v>
      </c>
      <c r="C1338" s="62" t="s">
        <v>1332</v>
      </c>
      <c r="D1338" s="63">
        <v>45444</v>
      </c>
      <c r="E1338" s="63">
        <v>46173</v>
      </c>
      <c r="F1338" s="62" t="s">
        <v>1936</v>
      </c>
      <c r="G1338" s="62" t="s">
        <v>749</v>
      </c>
      <c r="H1338" s="62" t="s">
        <v>2427</v>
      </c>
      <c r="I1338" s="64">
        <v>3854.2249999999999</v>
      </c>
      <c r="J1338" s="62" t="s">
        <v>1333</v>
      </c>
      <c r="K1338" s="62" t="s">
        <v>489</v>
      </c>
      <c r="L1338" s="65"/>
      <c r="M1338" s="62" t="s">
        <v>2443</v>
      </c>
      <c r="N1338" s="62" t="s">
        <v>558</v>
      </c>
      <c r="O1338" s="62" t="s">
        <v>426</v>
      </c>
      <c r="P1338" s="62" t="s">
        <v>2421</v>
      </c>
      <c r="Q1338" s="66" t="s">
        <v>1972</v>
      </c>
    </row>
    <row r="1339" spans="1:17" x14ac:dyDescent="0.3">
      <c r="A1339" s="61" t="s">
        <v>2185</v>
      </c>
      <c r="B1339" s="62" t="s">
        <v>1331</v>
      </c>
      <c r="C1339" s="62" t="s">
        <v>1332</v>
      </c>
      <c r="D1339" s="63">
        <v>45444</v>
      </c>
      <c r="E1339" s="63">
        <v>46173</v>
      </c>
      <c r="F1339" s="62" t="s">
        <v>1936</v>
      </c>
      <c r="G1339" s="62" t="s">
        <v>604</v>
      </c>
      <c r="H1339" s="62" t="s">
        <v>2427</v>
      </c>
      <c r="I1339" s="64">
        <v>3854.2249999999999</v>
      </c>
      <c r="J1339" s="62" t="s">
        <v>1333</v>
      </c>
      <c r="K1339" s="62" t="s">
        <v>489</v>
      </c>
      <c r="L1339" s="65"/>
      <c r="M1339" s="62" t="s">
        <v>2443</v>
      </c>
      <c r="N1339" s="62" t="s">
        <v>558</v>
      </c>
      <c r="O1339" s="62" t="s">
        <v>426</v>
      </c>
      <c r="P1339" s="62" t="s">
        <v>2421</v>
      </c>
      <c r="Q1339" s="66" t="s">
        <v>1972</v>
      </c>
    </row>
    <row r="1340" spans="1:17" x14ac:dyDescent="0.3">
      <c r="A1340" s="61" t="s">
        <v>2185</v>
      </c>
      <c r="B1340" s="62" t="s">
        <v>1331</v>
      </c>
      <c r="C1340" s="62" t="s">
        <v>1332</v>
      </c>
      <c r="D1340" s="63">
        <v>45444</v>
      </c>
      <c r="E1340" s="63">
        <v>46173</v>
      </c>
      <c r="F1340" s="62" t="s">
        <v>1936</v>
      </c>
      <c r="G1340" s="62" t="s">
        <v>750</v>
      </c>
      <c r="H1340" s="62" t="s">
        <v>2427</v>
      </c>
      <c r="I1340" s="64">
        <v>3854.2249999999999</v>
      </c>
      <c r="J1340" s="62" t="s">
        <v>1333</v>
      </c>
      <c r="K1340" s="62" t="s">
        <v>489</v>
      </c>
      <c r="L1340" s="65"/>
      <c r="M1340" s="62" t="s">
        <v>2443</v>
      </c>
      <c r="N1340" s="62" t="s">
        <v>558</v>
      </c>
      <c r="O1340" s="62" t="s">
        <v>426</v>
      </c>
      <c r="P1340" s="62" t="s">
        <v>2421</v>
      </c>
      <c r="Q1340" s="66" t="s">
        <v>1972</v>
      </c>
    </row>
    <row r="1341" spans="1:17" x14ac:dyDescent="0.3">
      <c r="A1341" s="61" t="s">
        <v>2185</v>
      </c>
      <c r="B1341" s="62" t="s">
        <v>1331</v>
      </c>
      <c r="C1341" s="62" t="s">
        <v>1332</v>
      </c>
      <c r="D1341" s="63">
        <v>45444</v>
      </c>
      <c r="E1341" s="63">
        <v>46173</v>
      </c>
      <c r="F1341" s="62" t="s">
        <v>1936</v>
      </c>
      <c r="G1341" s="62" t="s">
        <v>411</v>
      </c>
      <c r="H1341" s="62" t="s">
        <v>2427</v>
      </c>
      <c r="I1341" s="64">
        <v>3854.2249999999999</v>
      </c>
      <c r="J1341" s="62" t="s">
        <v>1333</v>
      </c>
      <c r="K1341" s="62" t="s">
        <v>489</v>
      </c>
      <c r="L1341" s="65"/>
      <c r="M1341" s="62" t="s">
        <v>2443</v>
      </c>
      <c r="N1341" s="62" t="s">
        <v>558</v>
      </c>
      <c r="O1341" s="62" t="s">
        <v>426</v>
      </c>
      <c r="P1341" s="62" t="s">
        <v>2421</v>
      </c>
      <c r="Q1341" s="66" t="s">
        <v>1972</v>
      </c>
    </row>
    <row r="1342" spans="1:17" x14ac:dyDescent="0.3">
      <c r="A1342" s="61" t="s">
        <v>2185</v>
      </c>
      <c r="B1342" s="62" t="s">
        <v>1331</v>
      </c>
      <c r="C1342" s="62" t="s">
        <v>1332</v>
      </c>
      <c r="D1342" s="63">
        <v>45444</v>
      </c>
      <c r="E1342" s="63">
        <v>46173</v>
      </c>
      <c r="F1342" s="62" t="s">
        <v>1930</v>
      </c>
      <c r="G1342" s="62" t="s">
        <v>723</v>
      </c>
      <c r="H1342" s="62" t="s">
        <v>2427</v>
      </c>
      <c r="I1342" s="64">
        <v>9635.5625</v>
      </c>
      <c r="J1342" s="62" t="s">
        <v>1333</v>
      </c>
      <c r="K1342" s="62" t="s">
        <v>489</v>
      </c>
      <c r="L1342" s="65"/>
      <c r="M1342" s="62" t="s">
        <v>2443</v>
      </c>
      <c r="N1342" s="62" t="s">
        <v>558</v>
      </c>
      <c r="O1342" s="62" t="s">
        <v>426</v>
      </c>
      <c r="P1342" s="62" t="s">
        <v>2421</v>
      </c>
      <c r="Q1342" s="66" t="s">
        <v>1972</v>
      </c>
    </row>
    <row r="1343" spans="1:17" x14ac:dyDescent="0.3">
      <c r="A1343" s="61" t="s">
        <v>2185</v>
      </c>
      <c r="B1343" s="62" t="s">
        <v>1331</v>
      </c>
      <c r="C1343" s="62" t="s">
        <v>1332</v>
      </c>
      <c r="D1343" s="63">
        <v>45444</v>
      </c>
      <c r="E1343" s="63">
        <v>46173</v>
      </c>
      <c r="F1343" s="62" t="s">
        <v>1930</v>
      </c>
      <c r="G1343" s="62" t="s">
        <v>546</v>
      </c>
      <c r="H1343" s="62" t="s">
        <v>2427</v>
      </c>
      <c r="I1343" s="64">
        <v>9635.5625</v>
      </c>
      <c r="J1343" s="62" t="s">
        <v>1333</v>
      </c>
      <c r="K1343" s="62" t="s">
        <v>489</v>
      </c>
      <c r="L1343" s="65"/>
      <c r="M1343" s="62" t="s">
        <v>2443</v>
      </c>
      <c r="N1343" s="62" t="s">
        <v>558</v>
      </c>
      <c r="O1343" s="62" t="s">
        <v>426</v>
      </c>
      <c r="P1343" s="62" t="s">
        <v>2421</v>
      </c>
      <c r="Q1343" s="66" t="s">
        <v>1972</v>
      </c>
    </row>
    <row r="1344" spans="1:17" x14ac:dyDescent="0.3">
      <c r="A1344" s="61" t="s">
        <v>2185</v>
      </c>
      <c r="B1344" s="62" t="s">
        <v>1331</v>
      </c>
      <c r="C1344" s="62" t="s">
        <v>1332</v>
      </c>
      <c r="D1344" s="63">
        <v>45444</v>
      </c>
      <c r="E1344" s="63">
        <v>46173</v>
      </c>
      <c r="F1344" s="62" t="s">
        <v>280</v>
      </c>
      <c r="G1344" s="62" t="s">
        <v>280</v>
      </c>
      <c r="H1344" s="62" t="s">
        <v>2427</v>
      </c>
      <c r="I1344" s="64">
        <v>9635.5625</v>
      </c>
      <c r="J1344" s="62" t="s">
        <v>1333</v>
      </c>
      <c r="K1344" s="62" t="s">
        <v>489</v>
      </c>
      <c r="L1344" s="65"/>
      <c r="M1344" s="62" t="s">
        <v>2443</v>
      </c>
      <c r="N1344" s="62" t="s">
        <v>558</v>
      </c>
      <c r="O1344" s="62" t="s">
        <v>426</v>
      </c>
      <c r="P1344" s="62" t="s">
        <v>2421</v>
      </c>
      <c r="Q1344" s="66" t="s">
        <v>1972</v>
      </c>
    </row>
    <row r="1345" spans="1:17" x14ac:dyDescent="0.3">
      <c r="A1345" s="61" t="s">
        <v>2185</v>
      </c>
      <c r="B1345" s="62" t="s">
        <v>1331</v>
      </c>
      <c r="C1345" s="62" t="s">
        <v>1332</v>
      </c>
      <c r="D1345" s="63">
        <v>45444</v>
      </c>
      <c r="E1345" s="63">
        <v>46173</v>
      </c>
      <c r="F1345" s="62" t="s">
        <v>280</v>
      </c>
      <c r="G1345" s="62" t="s">
        <v>406</v>
      </c>
      <c r="H1345" s="62" t="s">
        <v>2427</v>
      </c>
      <c r="I1345" s="64">
        <v>9635.5625</v>
      </c>
      <c r="J1345" s="62" t="s">
        <v>1333</v>
      </c>
      <c r="K1345" s="62" t="s">
        <v>489</v>
      </c>
      <c r="L1345" s="65"/>
      <c r="M1345" s="62" t="s">
        <v>2443</v>
      </c>
      <c r="N1345" s="62" t="s">
        <v>558</v>
      </c>
      <c r="O1345" s="62" t="s">
        <v>426</v>
      </c>
      <c r="P1345" s="62" t="s">
        <v>2421</v>
      </c>
      <c r="Q1345" s="66" t="s">
        <v>1972</v>
      </c>
    </row>
    <row r="1346" spans="1:17" x14ac:dyDescent="0.3">
      <c r="A1346" s="61" t="s">
        <v>2185</v>
      </c>
      <c r="B1346" s="62" t="s">
        <v>1331</v>
      </c>
      <c r="C1346" s="62" t="s">
        <v>1332</v>
      </c>
      <c r="D1346" s="63">
        <v>45444</v>
      </c>
      <c r="E1346" s="63">
        <v>46173</v>
      </c>
      <c r="F1346" s="62" t="s">
        <v>1948</v>
      </c>
      <c r="G1346" s="62" t="s">
        <v>368</v>
      </c>
      <c r="H1346" s="62" t="s">
        <v>2427</v>
      </c>
      <c r="I1346" s="64">
        <v>9635.5625</v>
      </c>
      <c r="J1346" s="62" t="s">
        <v>1333</v>
      </c>
      <c r="K1346" s="62" t="s">
        <v>489</v>
      </c>
      <c r="L1346" s="65"/>
      <c r="M1346" s="62" t="s">
        <v>2443</v>
      </c>
      <c r="N1346" s="62" t="s">
        <v>558</v>
      </c>
      <c r="O1346" s="62" t="s">
        <v>426</v>
      </c>
      <c r="P1346" s="62" t="s">
        <v>2421</v>
      </c>
      <c r="Q1346" s="66" t="s">
        <v>1972</v>
      </c>
    </row>
    <row r="1347" spans="1:17" x14ac:dyDescent="0.3">
      <c r="A1347" s="61" t="s">
        <v>2185</v>
      </c>
      <c r="B1347" s="62" t="s">
        <v>1331</v>
      </c>
      <c r="C1347" s="62" t="s">
        <v>1332</v>
      </c>
      <c r="D1347" s="63">
        <v>45444</v>
      </c>
      <c r="E1347" s="63">
        <v>46173</v>
      </c>
      <c r="F1347" s="62" t="s">
        <v>1948</v>
      </c>
      <c r="G1347" s="62" t="s">
        <v>369</v>
      </c>
      <c r="H1347" s="62" t="s">
        <v>2427</v>
      </c>
      <c r="I1347" s="64">
        <v>9635.5625</v>
      </c>
      <c r="J1347" s="62" t="s">
        <v>1333</v>
      </c>
      <c r="K1347" s="62" t="s">
        <v>489</v>
      </c>
      <c r="L1347" s="65"/>
      <c r="M1347" s="62" t="s">
        <v>2443</v>
      </c>
      <c r="N1347" s="62" t="s">
        <v>558</v>
      </c>
      <c r="O1347" s="62" t="s">
        <v>426</v>
      </c>
      <c r="P1347" s="62" t="s">
        <v>2421</v>
      </c>
      <c r="Q1347" s="66" t="s">
        <v>1972</v>
      </c>
    </row>
    <row r="1348" spans="1:17" x14ac:dyDescent="0.3">
      <c r="A1348" s="61" t="s">
        <v>2185</v>
      </c>
      <c r="B1348" s="62" t="s">
        <v>1331</v>
      </c>
      <c r="C1348" s="62" t="s">
        <v>1332</v>
      </c>
      <c r="D1348" s="63">
        <v>45444</v>
      </c>
      <c r="E1348" s="63">
        <v>46173</v>
      </c>
      <c r="F1348" s="62" t="s">
        <v>1959</v>
      </c>
      <c r="G1348" s="62" t="s">
        <v>511</v>
      </c>
      <c r="H1348" s="62" t="s">
        <v>2427</v>
      </c>
      <c r="I1348" s="64">
        <v>9635.5625</v>
      </c>
      <c r="J1348" s="62" t="s">
        <v>1333</v>
      </c>
      <c r="K1348" s="62" t="s">
        <v>489</v>
      </c>
      <c r="L1348" s="65"/>
      <c r="M1348" s="62" t="s">
        <v>2443</v>
      </c>
      <c r="N1348" s="62" t="s">
        <v>558</v>
      </c>
      <c r="O1348" s="62" t="s">
        <v>426</v>
      </c>
      <c r="P1348" s="62" t="s">
        <v>2421</v>
      </c>
      <c r="Q1348" s="66" t="s">
        <v>1972</v>
      </c>
    </row>
    <row r="1349" spans="1:17" x14ac:dyDescent="0.3">
      <c r="A1349" s="61" t="s">
        <v>2185</v>
      </c>
      <c r="B1349" s="62" t="s">
        <v>1331</v>
      </c>
      <c r="C1349" s="62" t="s">
        <v>1332</v>
      </c>
      <c r="D1349" s="63">
        <v>45444</v>
      </c>
      <c r="E1349" s="63">
        <v>46173</v>
      </c>
      <c r="F1349" s="62" t="s">
        <v>1959</v>
      </c>
      <c r="G1349" s="62" t="s">
        <v>665</v>
      </c>
      <c r="H1349" s="62" t="s">
        <v>2427</v>
      </c>
      <c r="I1349" s="64">
        <v>9635.5625</v>
      </c>
      <c r="J1349" s="62" t="s">
        <v>1333</v>
      </c>
      <c r="K1349" s="62" t="s">
        <v>489</v>
      </c>
      <c r="L1349" s="65"/>
      <c r="M1349" s="62" t="s">
        <v>2443</v>
      </c>
      <c r="N1349" s="62" t="s">
        <v>558</v>
      </c>
      <c r="O1349" s="62" t="s">
        <v>426</v>
      </c>
      <c r="P1349" s="62" t="s">
        <v>2421</v>
      </c>
      <c r="Q1349" s="66" t="s">
        <v>1972</v>
      </c>
    </row>
    <row r="1350" spans="1:17" x14ac:dyDescent="0.3">
      <c r="A1350" s="61" t="s">
        <v>2185</v>
      </c>
      <c r="B1350" s="62" t="s">
        <v>1331</v>
      </c>
      <c r="C1350" s="62" t="s">
        <v>1332</v>
      </c>
      <c r="D1350" s="63">
        <v>45444</v>
      </c>
      <c r="E1350" s="63">
        <v>46173</v>
      </c>
      <c r="F1350" s="62" t="s">
        <v>1922</v>
      </c>
      <c r="G1350" s="62" t="s">
        <v>304</v>
      </c>
      <c r="H1350" s="62" t="s">
        <v>2427</v>
      </c>
      <c r="I1350" s="64">
        <v>19271.125</v>
      </c>
      <c r="J1350" s="62" t="s">
        <v>1333</v>
      </c>
      <c r="K1350" s="62" t="s">
        <v>489</v>
      </c>
      <c r="L1350" s="65"/>
      <c r="M1350" s="62" t="s">
        <v>2443</v>
      </c>
      <c r="N1350" s="62" t="s">
        <v>558</v>
      </c>
      <c r="O1350" s="62" t="s">
        <v>426</v>
      </c>
      <c r="P1350" s="62" t="s">
        <v>2421</v>
      </c>
      <c r="Q1350" s="66" t="s">
        <v>1972</v>
      </c>
    </row>
    <row r="1351" spans="1:17" x14ac:dyDescent="0.3">
      <c r="A1351" s="61" t="s">
        <v>2185</v>
      </c>
      <c r="B1351" s="62" t="s">
        <v>1331</v>
      </c>
      <c r="C1351" s="62" t="s">
        <v>1332</v>
      </c>
      <c r="D1351" s="63">
        <v>45444</v>
      </c>
      <c r="E1351" s="63">
        <v>46173</v>
      </c>
      <c r="F1351" s="62" t="s">
        <v>1943</v>
      </c>
      <c r="G1351" s="62" t="s">
        <v>304</v>
      </c>
      <c r="H1351" s="62" t="s">
        <v>2427</v>
      </c>
      <c r="I1351" s="64">
        <v>19271.125</v>
      </c>
      <c r="J1351" s="62" t="s">
        <v>1333</v>
      </c>
      <c r="K1351" s="62" t="s">
        <v>489</v>
      </c>
      <c r="L1351" s="65"/>
      <c r="M1351" s="62" t="s">
        <v>2443</v>
      </c>
      <c r="N1351" s="62" t="s">
        <v>558</v>
      </c>
      <c r="O1351" s="62" t="s">
        <v>426</v>
      </c>
      <c r="P1351" s="62" t="s">
        <v>2421</v>
      </c>
      <c r="Q1351" s="66" t="s">
        <v>1972</v>
      </c>
    </row>
    <row r="1352" spans="1:17" x14ac:dyDescent="0.3">
      <c r="A1352" s="61" t="s">
        <v>2185</v>
      </c>
      <c r="B1352" s="62" t="s">
        <v>1331</v>
      </c>
      <c r="C1352" s="62" t="s">
        <v>1332</v>
      </c>
      <c r="D1352" s="63">
        <v>45444</v>
      </c>
      <c r="E1352" s="63">
        <v>46173</v>
      </c>
      <c r="F1352" s="62" t="s">
        <v>1961</v>
      </c>
      <c r="G1352" s="62" t="s">
        <v>634</v>
      </c>
      <c r="H1352" s="62" t="s">
        <v>2427</v>
      </c>
      <c r="I1352" s="64">
        <v>19271.125</v>
      </c>
      <c r="J1352" s="62" t="s">
        <v>1333</v>
      </c>
      <c r="K1352" s="62" t="s">
        <v>489</v>
      </c>
      <c r="L1352" s="65"/>
      <c r="M1352" s="62" t="s">
        <v>2443</v>
      </c>
      <c r="N1352" s="62" t="s">
        <v>558</v>
      </c>
      <c r="O1352" s="62" t="s">
        <v>426</v>
      </c>
      <c r="P1352" s="62" t="s">
        <v>2421</v>
      </c>
      <c r="Q1352" s="66" t="s">
        <v>1972</v>
      </c>
    </row>
    <row r="1353" spans="1:17" x14ac:dyDescent="0.3">
      <c r="A1353" s="61" t="s">
        <v>2185</v>
      </c>
      <c r="B1353" s="62" t="s">
        <v>1331</v>
      </c>
      <c r="C1353" s="62" t="s">
        <v>1332</v>
      </c>
      <c r="D1353" s="63">
        <v>45444</v>
      </c>
      <c r="E1353" s="63">
        <v>46173</v>
      </c>
      <c r="F1353" s="62" t="s">
        <v>1936</v>
      </c>
      <c r="G1353" s="62" t="s">
        <v>730</v>
      </c>
      <c r="H1353" s="62" t="s">
        <v>2427</v>
      </c>
      <c r="I1353" s="64">
        <v>624.27499999999998</v>
      </c>
      <c r="J1353" s="62" t="s">
        <v>1189</v>
      </c>
      <c r="K1353" s="62" t="s">
        <v>489</v>
      </c>
      <c r="L1353" s="65"/>
      <c r="M1353" s="62" t="s">
        <v>2443</v>
      </c>
      <c r="N1353" s="62" t="s">
        <v>558</v>
      </c>
      <c r="O1353" s="62" t="s">
        <v>426</v>
      </c>
      <c r="P1353" s="62" t="s">
        <v>2421</v>
      </c>
      <c r="Q1353" s="66" t="s">
        <v>1972</v>
      </c>
    </row>
    <row r="1354" spans="1:17" x14ac:dyDescent="0.3">
      <c r="A1354" s="61" t="s">
        <v>2185</v>
      </c>
      <c r="B1354" s="62" t="s">
        <v>1331</v>
      </c>
      <c r="C1354" s="62" t="s">
        <v>1332</v>
      </c>
      <c r="D1354" s="63">
        <v>45444</v>
      </c>
      <c r="E1354" s="63">
        <v>46173</v>
      </c>
      <c r="F1354" s="62" t="s">
        <v>1936</v>
      </c>
      <c r="G1354" s="62" t="s">
        <v>749</v>
      </c>
      <c r="H1354" s="62" t="s">
        <v>2427</v>
      </c>
      <c r="I1354" s="64">
        <v>624.27499999999998</v>
      </c>
      <c r="J1354" s="62" t="s">
        <v>1189</v>
      </c>
      <c r="K1354" s="62" t="s">
        <v>489</v>
      </c>
      <c r="L1354" s="65"/>
      <c r="M1354" s="62" t="s">
        <v>2443</v>
      </c>
      <c r="N1354" s="62" t="s">
        <v>558</v>
      </c>
      <c r="O1354" s="62" t="s">
        <v>426</v>
      </c>
      <c r="P1354" s="62" t="s">
        <v>2421</v>
      </c>
      <c r="Q1354" s="66" t="s">
        <v>1972</v>
      </c>
    </row>
    <row r="1355" spans="1:17" x14ac:dyDescent="0.3">
      <c r="A1355" s="61" t="s">
        <v>2185</v>
      </c>
      <c r="B1355" s="62" t="s">
        <v>1331</v>
      </c>
      <c r="C1355" s="62" t="s">
        <v>1332</v>
      </c>
      <c r="D1355" s="63">
        <v>45444</v>
      </c>
      <c r="E1355" s="63">
        <v>46173</v>
      </c>
      <c r="F1355" s="62" t="s">
        <v>1936</v>
      </c>
      <c r="G1355" s="62" t="s">
        <v>604</v>
      </c>
      <c r="H1355" s="62" t="s">
        <v>2427</v>
      </c>
      <c r="I1355" s="64">
        <v>624.27499999999998</v>
      </c>
      <c r="J1355" s="62" t="s">
        <v>1189</v>
      </c>
      <c r="K1355" s="62" t="s">
        <v>489</v>
      </c>
      <c r="L1355" s="65"/>
      <c r="M1355" s="62" t="s">
        <v>2443</v>
      </c>
      <c r="N1355" s="62" t="s">
        <v>558</v>
      </c>
      <c r="O1355" s="62" t="s">
        <v>426</v>
      </c>
      <c r="P1355" s="62" t="s">
        <v>2421</v>
      </c>
      <c r="Q1355" s="66" t="s">
        <v>1972</v>
      </c>
    </row>
    <row r="1356" spans="1:17" x14ac:dyDescent="0.3">
      <c r="A1356" s="61" t="s">
        <v>2185</v>
      </c>
      <c r="B1356" s="62" t="s">
        <v>1331</v>
      </c>
      <c r="C1356" s="62" t="s">
        <v>1332</v>
      </c>
      <c r="D1356" s="63">
        <v>45444</v>
      </c>
      <c r="E1356" s="63">
        <v>46173</v>
      </c>
      <c r="F1356" s="62" t="s">
        <v>1936</v>
      </c>
      <c r="G1356" s="62" t="s">
        <v>750</v>
      </c>
      <c r="H1356" s="62" t="s">
        <v>2427</v>
      </c>
      <c r="I1356" s="64">
        <v>624.27499999999998</v>
      </c>
      <c r="J1356" s="62" t="s">
        <v>1189</v>
      </c>
      <c r="K1356" s="62" t="s">
        <v>489</v>
      </c>
      <c r="L1356" s="65"/>
      <c r="M1356" s="62" t="s">
        <v>2443</v>
      </c>
      <c r="N1356" s="62" t="s">
        <v>558</v>
      </c>
      <c r="O1356" s="62" t="s">
        <v>426</v>
      </c>
      <c r="P1356" s="62" t="s">
        <v>2421</v>
      </c>
      <c r="Q1356" s="66" t="s">
        <v>1972</v>
      </c>
    </row>
    <row r="1357" spans="1:17" x14ac:dyDescent="0.3">
      <c r="A1357" s="61" t="s">
        <v>2185</v>
      </c>
      <c r="B1357" s="62" t="s">
        <v>1331</v>
      </c>
      <c r="C1357" s="62" t="s">
        <v>1332</v>
      </c>
      <c r="D1357" s="63">
        <v>45444</v>
      </c>
      <c r="E1357" s="63">
        <v>46173</v>
      </c>
      <c r="F1357" s="62" t="s">
        <v>1936</v>
      </c>
      <c r="G1357" s="62" t="s">
        <v>411</v>
      </c>
      <c r="H1357" s="62" t="s">
        <v>2427</v>
      </c>
      <c r="I1357" s="64">
        <v>624.27499999999998</v>
      </c>
      <c r="J1357" s="62" t="s">
        <v>1189</v>
      </c>
      <c r="K1357" s="62" t="s">
        <v>489</v>
      </c>
      <c r="L1357" s="65"/>
      <c r="M1357" s="62" t="s">
        <v>2443</v>
      </c>
      <c r="N1357" s="62" t="s">
        <v>558</v>
      </c>
      <c r="O1357" s="62" t="s">
        <v>426</v>
      </c>
      <c r="P1357" s="62" t="s">
        <v>2421</v>
      </c>
      <c r="Q1357" s="66" t="s">
        <v>1972</v>
      </c>
    </row>
    <row r="1358" spans="1:17" x14ac:dyDescent="0.3">
      <c r="A1358" s="61" t="s">
        <v>2185</v>
      </c>
      <c r="B1358" s="62" t="s">
        <v>1331</v>
      </c>
      <c r="C1358" s="62" t="s">
        <v>1332</v>
      </c>
      <c r="D1358" s="63">
        <v>45444</v>
      </c>
      <c r="E1358" s="63">
        <v>46173</v>
      </c>
      <c r="F1358" s="62" t="s">
        <v>1930</v>
      </c>
      <c r="G1358" s="62" t="s">
        <v>723</v>
      </c>
      <c r="H1358" s="62" t="s">
        <v>2427</v>
      </c>
      <c r="I1358" s="64">
        <v>1560.6875</v>
      </c>
      <c r="J1358" s="62" t="s">
        <v>1189</v>
      </c>
      <c r="K1358" s="62" t="s">
        <v>489</v>
      </c>
      <c r="L1358" s="65"/>
      <c r="M1358" s="62" t="s">
        <v>2443</v>
      </c>
      <c r="N1358" s="62" t="s">
        <v>558</v>
      </c>
      <c r="O1358" s="62" t="s">
        <v>426</v>
      </c>
      <c r="P1358" s="62" t="s">
        <v>2421</v>
      </c>
      <c r="Q1358" s="66" t="s">
        <v>1972</v>
      </c>
    </row>
    <row r="1359" spans="1:17" x14ac:dyDescent="0.3">
      <c r="A1359" s="61" t="s">
        <v>2185</v>
      </c>
      <c r="B1359" s="62" t="s">
        <v>1331</v>
      </c>
      <c r="C1359" s="62" t="s">
        <v>1332</v>
      </c>
      <c r="D1359" s="63">
        <v>45444</v>
      </c>
      <c r="E1359" s="63">
        <v>46173</v>
      </c>
      <c r="F1359" s="62" t="s">
        <v>1930</v>
      </c>
      <c r="G1359" s="62" t="s">
        <v>546</v>
      </c>
      <c r="H1359" s="62" t="s">
        <v>2427</v>
      </c>
      <c r="I1359" s="64">
        <v>1560.6875</v>
      </c>
      <c r="J1359" s="62" t="s">
        <v>1189</v>
      </c>
      <c r="K1359" s="62" t="s">
        <v>489</v>
      </c>
      <c r="L1359" s="65"/>
      <c r="M1359" s="62" t="s">
        <v>2443</v>
      </c>
      <c r="N1359" s="62" t="s">
        <v>558</v>
      </c>
      <c r="O1359" s="62" t="s">
        <v>426</v>
      </c>
      <c r="P1359" s="62" t="s">
        <v>2421</v>
      </c>
      <c r="Q1359" s="66" t="s">
        <v>1972</v>
      </c>
    </row>
    <row r="1360" spans="1:17" x14ac:dyDescent="0.3">
      <c r="A1360" s="61" t="s">
        <v>2185</v>
      </c>
      <c r="B1360" s="62" t="s">
        <v>1331</v>
      </c>
      <c r="C1360" s="62" t="s">
        <v>1332</v>
      </c>
      <c r="D1360" s="63">
        <v>45444</v>
      </c>
      <c r="E1360" s="63">
        <v>46173</v>
      </c>
      <c r="F1360" s="62" t="s">
        <v>280</v>
      </c>
      <c r="G1360" s="62" t="s">
        <v>280</v>
      </c>
      <c r="H1360" s="62" t="s">
        <v>2427</v>
      </c>
      <c r="I1360" s="64">
        <v>1560.6875</v>
      </c>
      <c r="J1360" s="62" t="s">
        <v>1189</v>
      </c>
      <c r="K1360" s="62" t="s">
        <v>489</v>
      </c>
      <c r="L1360" s="65"/>
      <c r="M1360" s="62" t="s">
        <v>2443</v>
      </c>
      <c r="N1360" s="62" t="s">
        <v>558</v>
      </c>
      <c r="O1360" s="62" t="s">
        <v>426</v>
      </c>
      <c r="P1360" s="62" t="s">
        <v>2421</v>
      </c>
      <c r="Q1360" s="66" t="s">
        <v>1972</v>
      </c>
    </row>
    <row r="1361" spans="1:17" x14ac:dyDescent="0.3">
      <c r="A1361" s="61" t="s">
        <v>2185</v>
      </c>
      <c r="B1361" s="62" t="s">
        <v>1331</v>
      </c>
      <c r="C1361" s="62" t="s">
        <v>1332</v>
      </c>
      <c r="D1361" s="63">
        <v>45444</v>
      </c>
      <c r="E1361" s="63">
        <v>46173</v>
      </c>
      <c r="F1361" s="62" t="s">
        <v>280</v>
      </c>
      <c r="G1361" s="62" t="s">
        <v>406</v>
      </c>
      <c r="H1361" s="62" t="s">
        <v>2427</v>
      </c>
      <c r="I1361" s="64">
        <v>1560.6875</v>
      </c>
      <c r="J1361" s="62" t="s">
        <v>1189</v>
      </c>
      <c r="K1361" s="62" t="s">
        <v>489</v>
      </c>
      <c r="L1361" s="65"/>
      <c r="M1361" s="62" t="s">
        <v>2443</v>
      </c>
      <c r="N1361" s="62" t="s">
        <v>558</v>
      </c>
      <c r="O1361" s="62" t="s">
        <v>426</v>
      </c>
      <c r="P1361" s="62" t="s">
        <v>2421</v>
      </c>
      <c r="Q1361" s="66" t="s">
        <v>1972</v>
      </c>
    </row>
    <row r="1362" spans="1:17" x14ac:dyDescent="0.3">
      <c r="A1362" s="61" t="s">
        <v>2185</v>
      </c>
      <c r="B1362" s="62" t="s">
        <v>1331</v>
      </c>
      <c r="C1362" s="62" t="s">
        <v>1332</v>
      </c>
      <c r="D1362" s="63">
        <v>45444</v>
      </c>
      <c r="E1362" s="63">
        <v>46173</v>
      </c>
      <c r="F1362" s="62" t="s">
        <v>1948</v>
      </c>
      <c r="G1362" s="62" t="s">
        <v>368</v>
      </c>
      <c r="H1362" s="62" t="s">
        <v>2427</v>
      </c>
      <c r="I1362" s="64">
        <v>1560.6875</v>
      </c>
      <c r="J1362" s="62" t="s">
        <v>1189</v>
      </c>
      <c r="K1362" s="62" t="s">
        <v>489</v>
      </c>
      <c r="L1362" s="65"/>
      <c r="M1362" s="62" t="s">
        <v>2443</v>
      </c>
      <c r="N1362" s="62" t="s">
        <v>558</v>
      </c>
      <c r="O1362" s="62" t="s">
        <v>426</v>
      </c>
      <c r="P1362" s="62" t="s">
        <v>2421</v>
      </c>
      <c r="Q1362" s="66" t="s">
        <v>1972</v>
      </c>
    </row>
    <row r="1363" spans="1:17" x14ac:dyDescent="0.3">
      <c r="A1363" s="61" t="s">
        <v>2185</v>
      </c>
      <c r="B1363" s="62" t="s">
        <v>1331</v>
      </c>
      <c r="C1363" s="62" t="s">
        <v>1332</v>
      </c>
      <c r="D1363" s="63">
        <v>45444</v>
      </c>
      <c r="E1363" s="63">
        <v>46173</v>
      </c>
      <c r="F1363" s="62" t="s">
        <v>1948</v>
      </c>
      <c r="G1363" s="62" t="s">
        <v>369</v>
      </c>
      <c r="H1363" s="62" t="s">
        <v>2427</v>
      </c>
      <c r="I1363" s="64">
        <v>1560.6875</v>
      </c>
      <c r="J1363" s="62" t="s">
        <v>1189</v>
      </c>
      <c r="K1363" s="62" t="s">
        <v>489</v>
      </c>
      <c r="L1363" s="65"/>
      <c r="M1363" s="62" t="s">
        <v>2443</v>
      </c>
      <c r="N1363" s="62" t="s">
        <v>558</v>
      </c>
      <c r="O1363" s="62" t="s">
        <v>426</v>
      </c>
      <c r="P1363" s="62" t="s">
        <v>2421</v>
      </c>
      <c r="Q1363" s="66" t="s">
        <v>1972</v>
      </c>
    </row>
    <row r="1364" spans="1:17" x14ac:dyDescent="0.3">
      <c r="A1364" s="61" t="s">
        <v>2185</v>
      </c>
      <c r="B1364" s="62" t="s">
        <v>1331</v>
      </c>
      <c r="C1364" s="62" t="s">
        <v>1332</v>
      </c>
      <c r="D1364" s="63">
        <v>45444</v>
      </c>
      <c r="E1364" s="63">
        <v>46173</v>
      </c>
      <c r="F1364" s="62" t="s">
        <v>1959</v>
      </c>
      <c r="G1364" s="62" t="s">
        <v>511</v>
      </c>
      <c r="H1364" s="62" t="s">
        <v>2427</v>
      </c>
      <c r="I1364" s="64">
        <v>1560.6875</v>
      </c>
      <c r="J1364" s="62" t="s">
        <v>1189</v>
      </c>
      <c r="K1364" s="62" t="s">
        <v>489</v>
      </c>
      <c r="L1364" s="65"/>
      <c r="M1364" s="62" t="s">
        <v>2443</v>
      </c>
      <c r="N1364" s="62" t="s">
        <v>558</v>
      </c>
      <c r="O1364" s="62" t="s">
        <v>426</v>
      </c>
      <c r="P1364" s="62" t="s">
        <v>2421</v>
      </c>
      <c r="Q1364" s="66" t="s">
        <v>1972</v>
      </c>
    </row>
    <row r="1365" spans="1:17" x14ac:dyDescent="0.3">
      <c r="A1365" s="61" t="s">
        <v>2185</v>
      </c>
      <c r="B1365" s="62" t="s">
        <v>1331</v>
      </c>
      <c r="C1365" s="62" t="s">
        <v>1332</v>
      </c>
      <c r="D1365" s="63">
        <v>45444</v>
      </c>
      <c r="E1365" s="63">
        <v>46173</v>
      </c>
      <c r="F1365" s="62" t="s">
        <v>1959</v>
      </c>
      <c r="G1365" s="62" t="s">
        <v>665</v>
      </c>
      <c r="H1365" s="62" t="s">
        <v>2427</v>
      </c>
      <c r="I1365" s="64">
        <v>1560.6875</v>
      </c>
      <c r="J1365" s="62" t="s">
        <v>1189</v>
      </c>
      <c r="K1365" s="62" t="s">
        <v>489</v>
      </c>
      <c r="L1365" s="65"/>
      <c r="M1365" s="62" t="s">
        <v>2443</v>
      </c>
      <c r="N1365" s="62" t="s">
        <v>558</v>
      </c>
      <c r="O1365" s="62" t="s">
        <v>426</v>
      </c>
      <c r="P1365" s="62" t="s">
        <v>2421</v>
      </c>
      <c r="Q1365" s="66" t="s">
        <v>1972</v>
      </c>
    </row>
    <row r="1366" spans="1:17" x14ac:dyDescent="0.3">
      <c r="A1366" s="61" t="s">
        <v>2185</v>
      </c>
      <c r="B1366" s="62" t="s">
        <v>1331</v>
      </c>
      <c r="C1366" s="62" t="s">
        <v>1332</v>
      </c>
      <c r="D1366" s="63">
        <v>45444</v>
      </c>
      <c r="E1366" s="63">
        <v>46173</v>
      </c>
      <c r="F1366" s="62" t="s">
        <v>1922</v>
      </c>
      <c r="G1366" s="62" t="s">
        <v>304</v>
      </c>
      <c r="H1366" s="62" t="s">
        <v>2427</v>
      </c>
      <c r="I1366" s="64">
        <v>3121.375</v>
      </c>
      <c r="J1366" s="62" t="s">
        <v>1189</v>
      </c>
      <c r="K1366" s="62" t="s">
        <v>489</v>
      </c>
      <c r="L1366" s="65"/>
      <c r="M1366" s="62" t="s">
        <v>2443</v>
      </c>
      <c r="N1366" s="62" t="s">
        <v>558</v>
      </c>
      <c r="O1366" s="62" t="s">
        <v>426</v>
      </c>
      <c r="P1366" s="62" t="s">
        <v>2421</v>
      </c>
      <c r="Q1366" s="66" t="s">
        <v>1972</v>
      </c>
    </row>
    <row r="1367" spans="1:17" x14ac:dyDescent="0.3">
      <c r="A1367" s="61" t="s">
        <v>2185</v>
      </c>
      <c r="B1367" s="62" t="s">
        <v>1331</v>
      </c>
      <c r="C1367" s="62" t="s">
        <v>1332</v>
      </c>
      <c r="D1367" s="63">
        <v>45444</v>
      </c>
      <c r="E1367" s="63">
        <v>46173</v>
      </c>
      <c r="F1367" s="62" t="s">
        <v>1943</v>
      </c>
      <c r="G1367" s="62" t="s">
        <v>304</v>
      </c>
      <c r="H1367" s="62" t="s">
        <v>2427</v>
      </c>
      <c r="I1367" s="64">
        <v>3121.375</v>
      </c>
      <c r="J1367" s="62" t="s">
        <v>1189</v>
      </c>
      <c r="K1367" s="62" t="s">
        <v>489</v>
      </c>
      <c r="L1367" s="65"/>
      <c r="M1367" s="62" t="s">
        <v>2443</v>
      </c>
      <c r="N1367" s="62" t="s">
        <v>558</v>
      </c>
      <c r="O1367" s="62" t="s">
        <v>426</v>
      </c>
      <c r="P1367" s="62" t="s">
        <v>2421</v>
      </c>
      <c r="Q1367" s="66" t="s">
        <v>1972</v>
      </c>
    </row>
    <row r="1368" spans="1:17" x14ac:dyDescent="0.3">
      <c r="A1368" s="61" t="s">
        <v>2185</v>
      </c>
      <c r="B1368" s="62" t="s">
        <v>1331</v>
      </c>
      <c r="C1368" s="62" t="s">
        <v>1332</v>
      </c>
      <c r="D1368" s="63">
        <v>45444</v>
      </c>
      <c r="E1368" s="63">
        <v>46173</v>
      </c>
      <c r="F1368" s="62" t="s">
        <v>1961</v>
      </c>
      <c r="G1368" s="62" t="s">
        <v>634</v>
      </c>
      <c r="H1368" s="62" t="s">
        <v>2427</v>
      </c>
      <c r="I1368" s="64">
        <v>3121.375</v>
      </c>
      <c r="J1368" s="62" t="s">
        <v>1189</v>
      </c>
      <c r="K1368" s="62" t="s">
        <v>489</v>
      </c>
      <c r="L1368" s="65"/>
      <c r="M1368" s="62" t="s">
        <v>2443</v>
      </c>
      <c r="N1368" s="62" t="s">
        <v>558</v>
      </c>
      <c r="O1368" s="62" t="s">
        <v>426</v>
      </c>
      <c r="P1368" s="62" t="s">
        <v>2421</v>
      </c>
      <c r="Q1368" s="66" t="s">
        <v>1972</v>
      </c>
    </row>
    <row r="1369" spans="1:17" x14ac:dyDescent="0.3">
      <c r="A1369" s="61" t="s">
        <v>2185</v>
      </c>
      <c r="B1369" s="62" t="s">
        <v>1331</v>
      </c>
      <c r="C1369" s="62" t="s">
        <v>1332</v>
      </c>
      <c r="D1369" s="63">
        <v>45444</v>
      </c>
      <c r="E1369" s="63">
        <v>46173</v>
      </c>
      <c r="F1369" s="62" t="s">
        <v>1936</v>
      </c>
      <c r="G1369" s="62" t="s">
        <v>730</v>
      </c>
      <c r="H1369" s="62" t="s">
        <v>373</v>
      </c>
      <c r="I1369" s="64">
        <v>105855.97500000001</v>
      </c>
      <c r="J1369" s="62" t="s">
        <v>373</v>
      </c>
      <c r="K1369" s="62" t="s">
        <v>489</v>
      </c>
      <c r="L1369" s="65"/>
      <c r="M1369" s="62" t="s">
        <v>2443</v>
      </c>
      <c r="N1369" s="62" t="s">
        <v>558</v>
      </c>
      <c r="O1369" s="62" t="s">
        <v>426</v>
      </c>
      <c r="P1369" s="62" t="s">
        <v>2421</v>
      </c>
      <c r="Q1369" s="66" t="s">
        <v>1972</v>
      </c>
    </row>
    <row r="1370" spans="1:17" x14ac:dyDescent="0.3">
      <c r="A1370" s="61" t="s">
        <v>2185</v>
      </c>
      <c r="B1370" s="62" t="s">
        <v>1331</v>
      </c>
      <c r="C1370" s="62" t="s">
        <v>1332</v>
      </c>
      <c r="D1370" s="63">
        <v>45444</v>
      </c>
      <c r="E1370" s="63">
        <v>46173</v>
      </c>
      <c r="F1370" s="62" t="s">
        <v>1936</v>
      </c>
      <c r="G1370" s="62" t="s">
        <v>749</v>
      </c>
      <c r="H1370" s="62" t="s">
        <v>373</v>
      </c>
      <c r="I1370" s="64">
        <v>105855.97500000001</v>
      </c>
      <c r="J1370" s="62" t="s">
        <v>373</v>
      </c>
      <c r="K1370" s="62" t="s">
        <v>489</v>
      </c>
      <c r="L1370" s="65"/>
      <c r="M1370" s="62" t="s">
        <v>2443</v>
      </c>
      <c r="N1370" s="62" t="s">
        <v>558</v>
      </c>
      <c r="O1370" s="62" t="s">
        <v>426</v>
      </c>
      <c r="P1370" s="62" t="s">
        <v>2421</v>
      </c>
      <c r="Q1370" s="66" t="s">
        <v>1972</v>
      </c>
    </row>
    <row r="1371" spans="1:17" x14ac:dyDescent="0.3">
      <c r="A1371" s="61" t="s">
        <v>2185</v>
      </c>
      <c r="B1371" s="62" t="s">
        <v>1331</v>
      </c>
      <c r="C1371" s="62" t="s">
        <v>1332</v>
      </c>
      <c r="D1371" s="63">
        <v>45444</v>
      </c>
      <c r="E1371" s="63">
        <v>46173</v>
      </c>
      <c r="F1371" s="62" t="s">
        <v>1936</v>
      </c>
      <c r="G1371" s="62" t="s">
        <v>604</v>
      </c>
      <c r="H1371" s="62" t="s">
        <v>373</v>
      </c>
      <c r="I1371" s="64">
        <v>105855.97500000001</v>
      </c>
      <c r="J1371" s="62" t="s">
        <v>373</v>
      </c>
      <c r="K1371" s="62" t="s">
        <v>489</v>
      </c>
      <c r="L1371" s="65"/>
      <c r="M1371" s="62" t="s">
        <v>2443</v>
      </c>
      <c r="N1371" s="62" t="s">
        <v>558</v>
      </c>
      <c r="O1371" s="62" t="s">
        <v>426</v>
      </c>
      <c r="P1371" s="62" t="s">
        <v>2421</v>
      </c>
      <c r="Q1371" s="66" t="s">
        <v>1972</v>
      </c>
    </row>
    <row r="1372" spans="1:17" x14ac:dyDescent="0.3">
      <c r="A1372" s="61" t="s">
        <v>2185</v>
      </c>
      <c r="B1372" s="62" t="s">
        <v>1331</v>
      </c>
      <c r="C1372" s="62" t="s">
        <v>1332</v>
      </c>
      <c r="D1372" s="63">
        <v>45444</v>
      </c>
      <c r="E1372" s="63">
        <v>46173</v>
      </c>
      <c r="F1372" s="62" t="s">
        <v>1936</v>
      </c>
      <c r="G1372" s="62" t="s">
        <v>750</v>
      </c>
      <c r="H1372" s="62" t="s">
        <v>373</v>
      </c>
      <c r="I1372" s="64">
        <v>105855.97500000001</v>
      </c>
      <c r="J1372" s="62" t="s">
        <v>373</v>
      </c>
      <c r="K1372" s="62" t="s">
        <v>489</v>
      </c>
      <c r="L1372" s="65"/>
      <c r="M1372" s="62" t="s">
        <v>2443</v>
      </c>
      <c r="N1372" s="62" t="s">
        <v>558</v>
      </c>
      <c r="O1372" s="62" t="s">
        <v>426</v>
      </c>
      <c r="P1372" s="62" t="s">
        <v>2421</v>
      </c>
      <c r="Q1372" s="66" t="s">
        <v>1972</v>
      </c>
    </row>
    <row r="1373" spans="1:17" x14ac:dyDescent="0.3">
      <c r="A1373" s="61" t="s">
        <v>2185</v>
      </c>
      <c r="B1373" s="62" t="s">
        <v>1331</v>
      </c>
      <c r="C1373" s="62" t="s">
        <v>1332</v>
      </c>
      <c r="D1373" s="63">
        <v>45444</v>
      </c>
      <c r="E1373" s="63">
        <v>46173</v>
      </c>
      <c r="F1373" s="62" t="s">
        <v>1936</v>
      </c>
      <c r="G1373" s="62" t="s">
        <v>411</v>
      </c>
      <c r="H1373" s="62" t="s">
        <v>373</v>
      </c>
      <c r="I1373" s="64">
        <v>105855.97500000001</v>
      </c>
      <c r="J1373" s="62" t="s">
        <v>373</v>
      </c>
      <c r="K1373" s="62" t="s">
        <v>489</v>
      </c>
      <c r="L1373" s="65"/>
      <c r="M1373" s="62" t="s">
        <v>2443</v>
      </c>
      <c r="N1373" s="62" t="s">
        <v>558</v>
      </c>
      <c r="O1373" s="62" t="s">
        <v>426</v>
      </c>
      <c r="P1373" s="62" t="s">
        <v>2421</v>
      </c>
      <c r="Q1373" s="66" t="s">
        <v>1972</v>
      </c>
    </row>
    <row r="1374" spans="1:17" x14ac:dyDescent="0.3">
      <c r="A1374" s="61" t="s">
        <v>2185</v>
      </c>
      <c r="B1374" s="62" t="s">
        <v>1331</v>
      </c>
      <c r="C1374" s="62" t="s">
        <v>1332</v>
      </c>
      <c r="D1374" s="63">
        <v>45444</v>
      </c>
      <c r="E1374" s="63">
        <v>46173</v>
      </c>
      <c r="F1374" s="62" t="s">
        <v>1930</v>
      </c>
      <c r="G1374" s="62" t="s">
        <v>723</v>
      </c>
      <c r="H1374" s="62" t="s">
        <v>373</v>
      </c>
      <c r="I1374" s="64">
        <v>264639.9375</v>
      </c>
      <c r="J1374" s="62" t="s">
        <v>373</v>
      </c>
      <c r="K1374" s="62" t="s">
        <v>489</v>
      </c>
      <c r="L1374" s="65"/>
      <c r="M1374" s="62" t="s">
        <v>2443</v>
      </c>
      <c r="N1374" s="62" t="s">
        <v>558</v>
      </c>
      <c r="O1374" s="62" t="s">
        <v>426</v>
      </c>
      <c r="P1374" s="62" t="s">
        <v>2421</v>
      </c>
      <c r="Q1374" s="66" t="s">
        <v>1972</v>
      </c>
    </row>
    <row r="1375" spans="1:17" x14ac:dyDescent="0.3">
      <c r="A1375" s="61" t="s">
        <v>2185</v>
      </c>
      <c r="B1375" s="62" t="s">
        <v>1331</v>
      </c>
      <c r="C1375" s="62" t="s">
        <v>1332</v>
      </c>
      <c r="D1375" s="63">
        <v>45444</v>
      </c>
      <c r="E1375" s="63">
        <v>46173</v>
      </c>
      <c r="F1375" s="62" t="s">
        <v>1930</v>
      </c>
      <c r="G1375" s="62" t="s">
        <v>546</v>
      </c>
      <c r="H1375" s="62" t="s">
        <v>373</v>
      </c>
      <c r="I1375" s="64">
        <v>264639.9375</v>
      </c>
      <c r="J1375" s="62" t="s">
        <v>373</v>
      </c>
      <c r="K1375" s="62" t="s">
        <v>489</v>
      </c>
      <c r="L1375" s="65"/>
      <c r="M1375" s="62" t="s">
        <v>2443</v>
      </c>
      <c r="N1375" s="62" t="s">
        <v>558</v>
      </c>
      <c r="O1375" s="62" t="s">
        <v>426</v>
      </c>
      <c r="P1375" s="62" t="s">
        <v>2421</v>
      </c>
      <c r="Q1375" s="66" t="s">
        <v>1972</v>
      </c>
    </row>
    <row r="1376" spans="1:17" x14ac:dyDescent="0.3">
      <c r="A1376" s="61" t="s">
        <v>2185</v>
      </c>
      <c r="B1376" s="62" t="s">
        <v>1331</v>
      </c>
      <c r="C1376" s="62" t="s">
        <v>1332</v>
      </c>
      <c r="D1376" s="63">
        <v>45444</v>
      </c>
      <c r="E1376" s="63">
        <v>46173</v>
      </c>
      <c r="F1376" s="62" t="s">
        <v>280</v>
      </c>
      <c r="G1376" s="62" t="s">
        <v>280</v>
      </c>
      <c r="H1376" s="62" t="s">
        <v>373</v>
      </c>
      <c r="I1376" s="64">
        <v>264639.9375</v>
      </c>
      <c r="J1376" s="62" t="s">
        <v>373</v>
      </c>
      <c r="K1376" s="62" t="s">
        <v>489</v>
      </c>
      <c r="L1376" s="65"/>
      <c r="M1376" s="62" t="s">
        <v>2443</v>
      </c>
      <c r="N1376" s="62" t="s">
        <v>558</v>
      </c>
      <c r="O1376" s="62" t="s">
        <v>426</v>
      </c>
      <c r="P1376" s="62" t="s">
        <v>2421</v>
      </c>
      <c r="Q1376" s="66" t="s">
        <v>1972</v>
      </c>
    </row>
    <row r="1377" spans="1:17" x14ac:dyDescent="0.3">
      <c r="A1377" s="61" t="s">
        <v>2185</v>
      </c>
      <c r="B1377" s="62" t="s">
        <v>1331</v>
      </c>
      <c r="C1377" s="62" t="s">
        <v>1332</v>
      </c>
      <c r="D1377" s="63">
        <v>45444</v>
      </c>
      <c r="E1377" s="63">
        <v>46173</v>
      </c>
      <c r="F1377" s="62" t="s">
        <v>280</v>
      </c>
      <c r="G1377" s="62" t="s">
        <v>406</v>
      </c>
      <c r="H1377" s="62" t="s">
        <v>373</v>
      </c>
      <c r="I1377" s="64">
        <v>264639.9375</v>
      </c>
      <c r="J1377" s="62" t="s">
        <v>373</v>
      </c>
      <c r="K1377" s="62" t="s">
        <v>489</v>
      </c>
      <c r="L1377" s="65"/>
      <c r="M1377" s="62" t="s">
        <v>2443</v>
      </c>
      <c r="N1377" s="62" t="s">
        <v>558</v>
      </c>
      <c r="O1377" s="62" t="s">
        <v>426</v>
      </c>
      <c r="P1377" s="62" t="s">
        <v>2421</v>
      </c>
      <c r="Q1377" s="66" t="s">
        <v>1972</v>
      </c>
    </row>
    <row r="1378" spans="1:17" x14ac:dyDescent="0.3">
      <c r="A1378" s="61" t="s">
        <v>2185</v>
      </c>
      <c r="B1378" s="62" t="s">
        <v>1331</v>
      </c>
      <c r="C1378" s="62" t="s">
        <v>1332</v>
      </c>
      <c r="D1378" s="63">
        <v>45444</v>
      </c>
      <c r="E1378" s="63">
        <v>46173</v>
      </c>
      <c r="F1378" s="62" t="s">
        <v>1948</v>
      </c>
      <c r="G1378" s="62" t="s">
        <v>368</v>
      </c>
      <c r="H1378" s="62" t="s">
        <v>373</v>
      </c>
      <c r="I1378" s="64">
        <v>264639.9375</v>
      </c>
      <c r="J1378" s="62" t="s">
        <v>373</v>
      </c>
      <c r="K1378" s="62" t="s">
        <v>489</v>
      </c>
      <c r="L1378" s="65"/>
      <c r="M1378" s="62" t="s">
        <v>2443</v>
      </c>
      <c r="N1378" s="62" t="s">
        <v>558</v>
      </c>
      <c r="O1378" s="62" t="s">
        <v>426</v>
      </c>
      <c r="P1378" s="62" t="s">
        <v>2421</v>
      </c>
      <c r="Q1378" s="66" t="s">
        <v>1972</v>
      </c>
    </row>
    <row r="1379" spans="1:17" x14ac:dyDescent="0.3">
      <c r="A1379" s="61" t="s">
        <v>2185</v>
      </c>
      <c r="B1379" s="62" t="s">
        <v>1331</v>
      </c>
      <c r="C1379" s="62" t="s">
        <v>1332</v>
      </c>
      <c r="D1379" s="63">
        <v>45444</v>
      </c>
      <c r="E1379" s="63">
        <v>46173</v>
      </c>
      <c r="F1379" s="62" t="s">
        <v>1948</v>
      </c>
      <c r="G1379" s="62" t="s">
        <v>369</v>
      </c>
      <c r="H1379" s="62" t="s">
        <v>373</v>
      </c>
      <c r="I1379" s="64">
        <v>264639.9375</v>
      </c>
      <c r="J1379" s="62" t="s">
        <v>373</v>
      </c>
      <c r="K1379" s="62" t="s">
        <v>489</v>
      </c>
      <c r="L1379" s="65"/>
      <c r="M1379" s="62" t="s">
        <v>2443</v>
      </c>
      <c r="N1379" s="62" t="s">
        <v>558</v>
      </c>
      <c r="O1379" s="62" t="s">
        <v>426</v>
      </c>
      <c r="P1379" s="62" t="s">
        <v>2421</v>
      </c>
      <c r="Q1379" s="66" t="s">
        <v>1972</v>
      </c>
    </row>
    <row r="1380" spans="1:17" x14ac:dyDescent="0.3">
      <c r="A1380" s="61" t="s">
        <v>2185</v>
      </c>
      <c r="B1380" s="62" t="s">
        <v>1331</v>
      </c>
      <c r="C1380" s="62" t="s">
        <v>1332</v>
      </c>
      <c r="D1380" s="63">
        <v>45444</v>
      </c>
      <c r="E1380" s="63">
        <v>46173</v>
      </c>
      <c r="F1380" s="62" t="s">
        <v>1959</v>
      </c>
      <c r="G1380" s="62" t="s">
        <v>511</v>
      </c>
      <c r="H1380" s="62" t="s">
        <v>373</v>
      </c>
      <c r="I1380" s="64">
        <v>264639.9375</v>
      </c>
      <c r="J1380" s="62" t="s">
        <v>373</v>
      </c>
      <c r="K1380" s="62" t="s">
        <v>489</v>
      </c>
      <c r="L1380" s="65"/>
      <c r="M1380" s="62" t="s">
        <v>2443</v>
      </c>
      <c r="N1380" s="62" t="s">
        <v>558</v>
      </c>
      <c r="O1380" s="62" t="s">
        <v>426</v>
      </c>
      <c r="P1380" s="62" t="s">
        <v>2421</v>
      </c>
      <c r="Q1380" s="66" t="s">
        <v>1972</v>
      </c>
    </row>
    <row r="1381" spans="1:17" x14ac:dyDescent="0.3">
      <c r="A1381" s="61" t="s">
        <v>2185</v>
      </c>
      <c r="B1381" s="62" t="s">
        <v>1331</v>
      </c>
      <c r="C1381" s="62" t="s">
        <v>1332</v>
      </c>
      <c r="D1381" s="63">
        <v>45444</v>
      </c>
      <c r="E1381" s="63">
        <v>46173</v>
      </c>
      <c r="F1381" s="62" t="s">
        <v>1959</v>
      </c>
      <c r="G1381" s="62" t="s">
        <v>665</v>
      </c>
      <c r="H1381" s="62" t="s">
        <v>373</v>
      </c>
      <c r="I1381" s="64">
        <v>264639.9375</v>
      </c>
      <c r="J1381" s="62" t="s">
        <v>373</v>
      </c>
      <c r="K1381" s="62" t="s">
        <v>489</v>
      </c>
      <c r="L1381" s="65"/>
      <c r="M1381" s="62" t="s">
        <v>2443</v>
      </c>
      <c r="N1381" s="62" t="s">
        <v>558</v>
      </c>
      <c r="O1381" s="62" t="s">
        <v>426</v>
      </c>
      <c r="P1381" s="62" t="s">
        <v>2421</v>
      </c>
      <c r="Q1381" s="66" t="s">
        <v>1972</v>
      </c>
    </row>
    <row r="1382" spans="1:17" x14ac:dyDescent="0.3">
      <c r="A1382" s="61" t="s">
        <v>2185</v>
      </c>
      <c r="B1382" s="62" t="s">
        <v>1331</v>
      </c>
      <c r="C1382" s="62" t="s">
        <v>1332</v>
      </c>
      <c r="D1382" s="63">
        <v>45444</v>
      </c>
      <c r="E1382" s="63">
        <v>46173</v>
      </c>
      <c r="F1382" s="62" t="s">
        <v>1922</v>
      </c>
      <c r="G1382" s="62" t="s">
        <v>304</v>
      </c>
      <c r="H1382" s="62" t="s">
        <v>373</v>
      </c>
      <c r="I1382" s="64">
        <v>529279.875</v>
      </c>
      <c r="J1382" s="62" t="s">
        <v>373</v>
      </c>
      <c r="K1382" s="62" t="s">
        <v>489</v>
      </c>
      <c r="L1382" s="65"/>
      <c r="M1382" s="62" t="s">
        <v>2443</v>
      </c>
      <c r="N1382" s="62" t="s">
        <v>558</v>
      </c>
      <c r="O1382" s="62" t="s">
        <v>426</v>
      </c>
      <c r="P1382" s="62" t="s">
        <v>2421</v>
      </c>
      <c r="Q1382" s="66" t="s">
        <v>1972</v>
      </c>
    </row>
    <row r="1383" spans="1:17" x14ac:dyDescent="0.3">
      <c r="A1383" s="61" t="s">
        <v>2185</v>
      </c>
      <c r="B1383" s="62" t="s">
        <v>1331</v>
      </c>
      <c r="C1383" s="62" t="s">
        <v>1332</v>
      </c>
      <c r="D1383" s="63">
        <v>45444</v>
      </c>
      <c r="E1383" s="63">
        <v>46173</v>
      </c>
      <c r="F1383" s="62" t="s">
        <v>1943</v>
      </c>
      <c r="G1383" s="62" t="s">
        <v>304</v>
      </c>
      <c r="H1383" s="62" t="s">
        <v>373</v>
      </c>
      <c r="I1383" s="64">
        <v>529279.875</v>
      </c>
      <c r="J1383" s="62" t="s">
        <v>373</v>
      </c>
      <c r="K1383" s="62" t="s">
        <v>489</v>
      </c>
      <c r="L1383" s="65"/>
      <c r="M1383" s="62" t="s">
        <v>2443</v>
      </c>
      <c r="N1383" s="62" t="s">
        <v>558</v>
      </c>
      <c r="O1383" s="62" t="s">
        <v>426</v>
      </c>
      <c r="P1383" s="62" t="s">
        <v>2421</v>
      </c>
      <c r="Q1383" s="66" t="s">
        <v>1972</v>
      </c>
    </row>
    <row r="1384" spans="1:17" x14ac:dyDescent="0.3">
      <c r="A1384" s="61" t="s">
        <v>2185</v>
      </c>
      <c r="B1384" s="62" t="s">
        <v>1331</v>
      </c>
      <c r="C1384" s="62" t="s">
        <v>1332</v>
      </c>
      <c r="D1384" s="63">
        <v>45444</v>
      </c>
      <c r="E1384" s="63">
        <v>46173</v>
      </c>
      <c r="F1384" s="62" t="s">
        <v>1961</v>
      </c>
      <c r="G1384" s="62" t="s">
        <v>634</v>
      </c>
      <c r="H1384" s="62" t="s">
        <v>373</v>
      </c>
      <c r="I1384" s="64">
        <v>529279.875</v>
      </c>
      <c r="J1384" s="62" t="s">
        <v>373</v>
      </c>
      <c r="K1384" s="62" t="s">
        <v>489</v>
      </c>
      <c r="L1384" s="65"/>
      <c r="M1384" s="62" t="s">
        <v>2443</v>
      </c>
      <c r="N1384" s="62" t="s">
        <v>558</v>
      </c>
      <c r="O1384" s="62" t="s">
        <v>426</v>
      </c>
      <c r="P1384" s="62" t="s">
        <v>2421</v>
      </c>
      <c r="Q1384" s="66" t="s">
        <v>1972</v>
      </c>
    </row>
    <row r="1385" spans="1:17" x14ac:dyDescent="0.3">
      <c r="A1385" s="61" t="s">
        <v>2186</v>
      </c>
      <c r="B1385" s="62" t="s">
        <v>1334</v>
      </c>
      <c r="C1385" s="62" t="s">
        <v>1335</v>
      </c>
      <c r="D1385" s="63">
        <v>45689</v>
      </c>
      <c r="E1385" s="63">
        <v>46053</v>
      </c>
      <c r="F1385" s="62" t="s">
        <v>287</v>
      </c>
      <c r="G1385" s="62" t="s">
        <v>930</v>
      </c>
      <c r="H1385" s="62" t="s">
        <v>931</v>
      </c>
      <c r="I1385" s="64">
        <v>143039</v>
      </c>
      <c r="J1385" s="62" t="s">
        <v>932</v>
      </c>
      <c r="K1385" s="62" t="s">
        <v>931</v>
      </c>
      <c r="L1385" s="65"/>
      <c r="M1385" s="62" t="s">
        <v>1518</v>
      </c>
      <c r="N1385" s="62" t="s">
        <v>558</v>
      </c>
      <c r="O1385" s="62" t="s">
        <v>426</v>
      </c>
      <c r="P1385" s="62" t="s">
        <v>2421</v>
      </c>
      <c r="Q1385" s="66" t="s">
        <v>1969</v>
      </c>
    </row>
    <row r="1386" spans="1:17" x14ac:dyDescent="0.3">
      <c r="A1386" s="61" t="s">
        <v>2186</v>
      </c>
      <c r="B1386" s="62" t="s">
        <v>1334</v>
      </c>
      <c r="C1386" s="62" t="s">
        <v>1335</v>
      </c>
      <c r="D1386" s="63">
        <v>45689</v>
      </c>
      <c r="E1386" s="63">
        <v>46053</v>
      </c>
      <c r="F1386" s="62" t="s">
        <v>287</v>
      </c>
      <c r="G1386" s="62" t="s">
        <v>554</v>
      </c>
      <c r="H1386" s="62" t="s">
        <v>931</v>
      </c>
      <c r="I1386" s="64">
        <v>143039</v>
      </c>
      <c r="J1386" s="62" t="s">
        <v>932</v>
      </c>
      <c r="K1386" s="62" t="s">
        <v>931</v>
      </c>
      <c r="L1386" s="65"/>
      <c r="M1386" s="62" t="s">
        <v>1518</v>
      </c>
      <c r="N1386" s="62" t="s">
        <v>558</v>
      </c>
      <c r="O1386" s="62" t="s">
        <v>426</v>
      </c>
      <c r="P1386" s="62" t="s">
        <v>2421</v>
      </c>
      <c r="Q1386" s="66" t="s">
        <v>1969</v>
      </c>
    </row>
    <row r="1387" spans="1:17" x14ac:dyDescent="0.3">
      <c r="A1387" s="61" t="s">
        <v>2187</v>
      </c>
      <c r="B1387" s="62" t="s">
        <v>1336</v>
      </c>
      <c r="C1387" s="62" t="s">
        <v>1337</v>
      </c>
      <c r="D1387" s="63">
        <v>45292</v>
      </c>
      <c r="E1387" s="63">
        <v>46112</v>
      </c>
      <c r="F1387" s="62" t="s">
        <v>350</v>
      </c>
      <c r="G1387" s="62" t="s">
        <v>304</v>
      </c>
      <c r="H1387" s="62" t="s">
        <v>489</v>
      </c>
      <c r="I1387" s="64">
        <v>2091194</v>
      </c>
      <c r="J1387" s="62" t="s">
        <v>549</v>
      </c>
      <c r="K1387" s="62" t="s">
        <v>489</v>
      </c>
      <c r="L1387" s="65"/>
      <c r="M1387" s="62" t="s">
        <v>2443</v>
      </c>
      <c r="N1387" s="62" t="s">
        <v>469</v>
      </c>
      <c r="O1387" s="62" t="s">
        <v>315</v>
      </c>
      <c r="P1387" s="62" t="s">
        <v>2421</v>
      </c>
      <c r="Q1387" s="66" t="s">
        <v>1969</v>
      </c>
    </row>
    <row r="1388" spans="1:17" x14ac:dyDescent="0.3">
      <c r="A1388" s="61" t="s">
        <v>2188</v>
      </c>
      <c r="B1388" s="62" t="s">
        <v>1338</v>
      </c>
      <c r="C1388" s="62" t="s">
        <v>1339</v>
      </c>
      <c r="D1388" s="63">
        <v>45474</v>
      </c>
      <c r="E1388" s="63">
        <v>46234</v>
      </c>
      <c r="F1388" s="62" t="s">
        <v>286</v>
      </c>
      <c r="G1388" s="62" t="s">
        <v>672</v>
      </c>
      <c r="H1388" s="62" t="s">
        <v>489</v>
      </c>
      <c r="I1388" s="64">
        <v>626122.16666666698</v>
      </c>
      <c r="J1388" s="62" t="s">
        <v>1071</v>
      </c>
      <c r="K1388" s="62" t="s">
        <v>489</v>
      </c>
      <c r="L1388" s="65"/>
      <c r="M1388" s="62" t="s">
        <v>825</v>
      </c>
      <c r="N1388" s="62" t="s">
        <v>378</v>
      </c>
      <c r="O1388" s="62" t="s">
        <v>371</v>
      </c>
      <c r="P1388" s="62" t="s">
        <v>2421</v>
      </c>
      <c r="Q1388" s="66" t="s">
        <v>1972</v>
      </c>
    </row>
    <row r="1389" spans="1:17" x14ac:dyDescent="0.3">
      <c r="A1389" s="61" t="s">
        <v>2188</v>
      </c>
      <c r="B1389" s="62" t="s">
        <v>1338</v>
      </c>
      <c r="C1389" s="62" t="s">
        <v>1339</v>
      </c>
      <c r="D1389" s="63">
        <v>45474</v>
      </c>
      <c r="E1389" s="63">
        <v>46234</v>
      </c>
      <c r="F1389" s="62" t="s">
        <v>286</v>
      </c>
      <c r="G1389" s="62" t="s">
        <v>811</v>
      </c>
      <c r="H1389" s="62" t="s">
        <v>489</v>
      </c>
      <c r="I1389" s="64">
        <v>626122.16666666698</v>
      </c>
      <c r="J1389" s="62" t="s">
        <v>1071</v>
      </c>
      <c r="K1389" s="62" t="s">
        <v>489</v>
      </c>
      <c r="L1389" s="65"/>
      <c r="M1389" s="62" t="s">
        <v>825</v>
      </c>
      <c r="N1389" s="62" t="s">
        <v>378</v>
      </c>
      <c r="O1389" s="62" t="s">
        <v>371</v>
      </c>
      <c r="P1389" s="62" t="s">
        <v>2421</v>
      </c>
      <c r="Q1389" s="66" t="s">
        <v>1972</v>
      </c>
    </row>
    <row r="1390" spans="1:17" x14ac:dyDescent="0.3">
      <c r="A1390" s="61" t="s">
        <v>2188</v>
      </c>
      <c r="B1390" s="62" t="s">
        <v>1338</v>
      </c>
      <c r="C1390" s="62" t="s">
        <v>1339</v>
      </c>
      <c r="D1390" s="63">
        <v>45474</v>
      </c>
      <c r="E1390" s="63">
        <v>46234</v>
      </c>
      <c r="F1390" s="62" t="s">
        <v>1930</v>
      </c>
      <c r="G1390" s="62" t="s">
        <v>1221</v>
      </c>
      <c r="H1390" s="62" t="s">
        <v>489</v>
      </c>
      <c r="I1390" s="64">
        <v>1252244.33333333</v>
      </c>
      <c r="J1390" s="62" t="s">
        <v>1071</v>
      </c>
      <c r="K1390" s="62" t="s">
        <v>489</v>
      </c>
      <c r="L1390" s="65"/>
      <c r="M1390" s="62" t="s">
        <v>825</v>
      </c>
      <c r="N1390" s="62" t="s">
        <v>378</v>
      </c>
      <c r="O1390" s="62" t="s">
        <v>371</v>
      </c>
      <c r="P1390" s="62" t="s">
        <v>2421</v>
      </c>
      <c r="Q1390" s="66" t="s">
        <v>1972</v>
      </c>
    </row>
    <row r="1391" spans="1:17" x14ac:dyDescent="0.3">
      <c r="A1391" s="61" t="s">
        <v>2188</v>
      </c>
      <c r="B1391" s="62" t="s">
        <v>1338</v>
      </c>
      <c r="C1391" s="62" t="s">
        <v>1339</v>
      </c>
      <c r="D1391" s="63">
        <v>45474</v>
      </c>
      <c r="E1391" s="63">
        <v>46234</v>
      </c>
      <c r="F1391" s="62" t="s">
        <v>1948</v>
      </c>
      <c r="G1391" s="62" t="s">
        <v>368</v>
      </c>
      <c r="H1391" s="62" t="s">
        <v>489</v>
      </c>
      <c r="I1391" s="64">
        <v>1252244.33333333</v>
      </c>
      <c r="J1391" s="62" t="s">
        <v>1071</v>
      </c>
      <c r="K1391" s="62" t="s">
        <v>489</v>
      </c>
      <c r="L1391" s="65"/>
      <c r="M1391" s="62" t="s">
        <v>825</v>
      </c>
      <c r="N1391" s="62" t="s">
        <v>378</v>
      </c>
      <c r="O1391" s="62" t="s">
        <v>371</v>
      </c>
      <c r="P1391" s="62" t="s">
        <v>2421</v>
      </c>
      <c r="Q1391" s="66" t="s">
        <v>1972</v>
      </c>
    </row>
    <row r="1392" spans="1:17" x14ac:dyDescent="0.3">
      <c r="A1392" s="61" t="s">
        <v>2189</v>
      </c>
      <c r="B1392" s="62" t="s">
        <v>1340</v>
      </c>
      <c r="C1392" s="62" t="s">
        <v>1341</v>
      </c>
      <c r="D1392" s="63">
        <v>45474</v>
      </c>
      <c r="E1392" s="63">
        <v>46568</v>
      </c>
      <c r="F1392" s="62" t="s">
        <v>287</v>
      </c>
      <c r="G1392" s="62" t="s">
        <v>1342</v>
      </c>
      <c r="H1392" s="62" t="s">
        <v>362</v>
      </c>
      <c r="I1392" s="64">
        <v>40241.1875</v>
      </c>
      <c r="J1392" s="62" t="s">
        <v>363</v>
      </c>
      <c r="K1392" s="62" t="s">
        <v>362</v>
      </c>
      <c r="L1392" s="65"/>
      <c r="M1392" s="62" t="s">
        <v>2443</v>
      </c>
      <c r="N1392" s="62" t="s">
        <v>314</v>
      </c>
      <c r="O1392" s="62" t="s">
        <v>315</v>
      </c>
      <c r="P1392" s="62" t="s">
        <v>2421</v>
      </c>
      <c r="Q1392" s="66" t="s">
        <v>1969</v>
      </c>
    </row>
    <row r="1393" spans="1:17" x14ac:dyDescent="0.3">
      <c r="A1393" s="61" t="s">
        <v>2189</v>
      </c>
      <c r="B1393" s="62" t="s">
        <v>1340</v>
      </c>
      <c r="C1393" s="62" t="s">
        <v>1341</v>
      </c>
      <c r="D1393" s="63">
        <v>45474</v>
      </c>
      <c r="E1393" s="63">
        <v>46568</v>
      </c>
      <c r="F1393" s="62" t="s">
        <v>287</v>
      </c>
      <c r="G1393" s="62" t="s">
        <v>1343</v>
      </c>
      <c r="H1393" s="62" t="s">
        <v>362</v>
      </c>
      <c r="I1393" s="64">
        <v>40241.1875</v>
      </c>
      <c r="J1393" s="62" t="s">
        <v>363</v>
      </c>
      <c r="K1393" s="62" t="s">
        <v>362</v>
      </c>
      <c r="L1393" s="65"/>
      <c r="M1393" s="62" t="s">
        <v>2443</v>
      </c>
      <c r="N1393" s="62" t="s">
        <v>314</v>
      </c>
      <c r="O1393" s="62" t="s">
        <v>315</v>
      </c>
      <c r="P1393" s="62" t="s">
        <v>2421</v>
      </c>
      <c r="Q1393" s="66" t="s">
        <v>1969</v>
      </c>
    </row>
    <row r="1394" spans="1:17" x14ac:dyDescent="0.3">
      <c r="A1394" s="61" t="s">
        <v>2189</v>
      </c>
      <c r="B1394" s="62" t="s">
        <v>1340</v>
      </c>
      <c r="C1394" s="62" t="s">
        <v>1341</v>
      </c>
      <c r="D1394" s="63">
        <v>45474</v>
      </c>
      <c r="E1394" s="63">
        <v>46568</v>
      </c>
      <c r="F1394" s="62" t="s">
        <v>287</v>
      </c>
      <c r="G1394" s="62" t="s">
        <v>1344</v>
      </c>
      <c r="H1394" s="62" t="s">
        <v>362</v>
      </c>
      <c r="I1394" s="64">
        <v>40241.1875</v>
      </c>
      <c r="J1394" s="62" t="s">
        <v>363</v>
      </c>
      <c r="K1394" s="62" t="s">
        <v>362</v>
      </c>
      <c r="L1394" s="65"/>
      <c r="M1394" s="62" t="s">
        <v>2443</v>
      </c>
      <c r="N1394" s="62" t="s">
        <v>314</v>
      </c>
      <c r="O1394" s="62" t="s">
        <v>315</v>
      </c>
      <c r="P1394" s="62" t="s">
        <v>2421</v>
      </c>
      <c r="Q1394" s="66" t="s">
        <v>1969</v>
      </c>
    </row>
    <row r="1395" spans="1:17" x14ac:dyDescent="0.3">
      <c r="A1395" s="61" t="s">
        <v>2189</v>
      </c>
      <c r="B1395" s="62" t="s">
        <v>1340</v>
      </c>
      <c r="C1395" s="62" t="s">
        <v>1341</v>
      </c>
      <c r="D1395" s="63">
        <v>45474</v>
      </c>
      <c r="E1395" s="63">
        <v>46568</v>
      </c>
      <c r="F1395" s="62" t="s">
        <v>287</v>
      </c>
      <c r="G1395" s="62" t="s">
        <v>964</v>
      </c>
      <c r="H1395" s="62" t="s">
        <v>362</v>
      </c>
      <c r="I1395" s="64">
        <v>40241.1875</v>
      </c>
      <c r="J1395" s="62" t="s">
        <v>363</v>
      </c>
      <c r="K1395" s="62" t="s">
        <v>362</v>
      </c>
      <c r="L1395" s="65"/>
      <c r="M1395" s="62" t="s">
        <v>2443</v>
      </c>
      <c r="N1395" s="62" t="s">
        <v>314</v>
      </c>
      <c r="O1395" s="62" t="s">
        <v>315</v>
      </c>
      <c r="P1395" s="62" t="s">
        <v>2421</v>
      </c>
      <c r="Q1395" s="66" t="s">
        <v>1969</v>
      </c>
    </row>
    <row r="1396" spans="1:17" x14ac:dyDescent="0.3">
      <c r="A1396" s="61" t="s">
        <v>2189</v>
      </c>
      <c r="B1396" s="62" t="s">
        <v>1340</v>
      </c>
      <c r="C1396" s="62" t="s">
        <v>1341</v>
      </c>
      <c r="D1396" s="63">
        <v>45474</v>
      </c>
      <c r="E1396" s="63">
        <v>46568</v>
      </c>
      <c r="F1396" s="62" t="s">
        <v>287</v>
      </c>
      <c r="G1396" s="62" t="s">
        <v>554</v>
      </c>
      <c r="H1396" s="62" t="s">
        <v>362</v>
      </c>
      <c r="I1396" s="64">
        <v>40241.1875</v>
      </c>
      <c r="J1396" s="62" t="s">
        <v>363</v>
      </c>
      <c r="K1396" s="62" t="s">
        <v>362</v>
      </c>
      <c r="L1396" s="65"/>
      <c r="M1396" s="62" t="s">
        <v>2443</v>
      </c>
      <c r="N1396" s="62" t="s">
        <v>314</v>
      </c>
      <c r="O1396" s="62" t="s">
        <v>315</v>
      </c>
      <c r="P1396" s="62" t="s">
        <v>2421</v>
      </c>
      <c r="Q1396" s="66" t="s">
        <v>1969</v>
      </c>
    </row>
    <row r="1397" spans="1:17" x14ac:dyDescent="0.3">
      <c r="A1397" s="61" t="s">
        <v>2189</v>
      </c>
      <c r="B1397" s="62" t="s">
        <v>1340</v>
      </c>
      <c r="C1397" s="62" t="s">
        <v>1341</v>
      </c>
      <c r="D1397" s="63">
        <v>45474</v>
      </c>
      <c r="E1397" s="63">
        <v>46568</v>
      </c>
      <c r="F1397" s="62" t="s">
        <v>287</v>
      </c>
      <c r="G1397" s="62" t="s">
        <v>933</v>
      </c>
      <c r="H1397" s="62" t="s">
        <v>362</v>
      </c>
      <c r="I1397" s="64">
        <v>40241.1875</v>
      </c>
      <c r="J1397" s="62" t="s">
        <v>363</v>
      </c>
      <c r="K1397" s="62" t="s">
        <v>362</v>
      </c>
      <c r="L1397" s="65"/>
      <c r="M1397" s="62" t="s">
        <v>2443</v>
      </c>
      <c r="N1397" s="62" t="s">
        <v>314</v>
      </c>
      <c r="O1397" s="62" t="s">
        <v>315</v>
      </c>
      <c r="P1397" s="62" t="s">
        <v>2421</v>
      </c>
      <c r="Q1397" s="66" t="s">
        <v>1969</v>
      </c>
    </row>
    <row r="1398" spans="1:17" x14ac:dyDescent="0.3">
      <c r="A1398" s="61" t="s">
        <v>2189</v>
      </c>
      <c r="B1398" s="62" t="s">
        <v>1340</v>
      </c>
      <c r="C1398" s="62" t="s">
        <v>1341</v>
      </c>
      <c r="D1398" s="63">
        <v>45474</v>
      </c>
      <c r="E1398" s="63">
        <v>46568</v>
      </c>
      <c r="F1398" s="62" t="s">
        <v>287</v>
      </c>
      <c r="G1398" s="62" t="s">
        <v>786</v>
      </c>
      <c r="H1398" s="62" t="s">
        <v>362</v>
      </c>
      <c r="I1398" s="64">
        <v>40241.1875</v>
      </c>
      <c r="J1398" s="62" t="s">
        <v>363</v>
      </c>
      <c r="K1398" s="62" t="s">
        <v>362</v>
      </c>
      <c r="L1398" s="65"/>
      <c r="M1398" s="62" t="s">
        <v>2443</v>
      </c>
      <c r="N1398" s="62" t="s">
        <v>314</v>
      </c>
      <c r="O1398" s="62" t="s">
        <v>315</v>
      </c>
      <c r="P1398" s="62" t="s">
        <v>2421</v>
      </c>
      <c r="Q1398" s="66" t="s">
        <v>1969</v>
      </c>
    </row>
    <row r="1399" spans="1:17" x14ac:dyDescent="0.3">
      <c r="A1399" s="61" t="s">
        <v>2189</v>
      </c>
      <c r="B1399" s="62" t="s">
        <v>1340</v>
      </c>
      <c r="C1399" s="62" t="s">
        <v>1341</v>
      </c>
      <c r="D1399" s="63">
        <v>45474</v>
      </c>
      <c r="E1399" s="63">
        <v>46568</v>
      </c>
      <c r="F1399" s="62" t="s">
        <v>287</v>
      </c>
      <c r="G1399" s="62" t="s">
        <v>1345</v>
      </c>
      <c r="H1399" s="62" t="s">
        <v>362</v>
      </c>
      <c r="I1399" s="64">
        <v>40241.1875</v>
      </c>
      <c r="J1399" s="62" t="s">
        <v>363</v>
      </c>
      <c r="K1399" s="62" t="s">
        <v>362</v>
      </c>
      <c r="L1399" s="65"/>
      <c r="M1399" s="62" t="s">
        <v>2443</v>
      </c>
      <c r="N1399" s="62" t="s">
        <v>314</v>
      </c>
      <c r="O1399" s="62" t="s">
        <v>315</v>
      </c>
      <c r="P1399" s="62" t="s">
        <v>2421</v>
      </c>
      <c r="Q1399" s="66" t="s">
        <v>1969</v>
      </c>
    </row>
    <row r="1400" spans="1:17" x14ac:dyDescent="0.3">
      <c r="A1400" s="61" t="s">
        <v>2189</v>
      </c>
      <c r="B1400" s="62" t="s">
        <v>1340</v>
      </c>
      <c r="C1400" s="62" t="s">
        <v>1341</v>
      </c>
      <c r="D1400" s="63">
        <v>45474</v>
      </c>
      <c r="E1400" s="63">
        <v>46568</v>
      </c>
      <c r="F1400" s="62" t="s">
        <v>1958</v>
      </c>
      <c r="G1400" s="62" t="s">
        <v>1343</v>
      </c>
      <c r="H1400" s="62" t="s">
        <v>362</v>
      </c>
      <c r="I1400" s="64">
        <v>80482.375</v>
      </c>
      <c r="J1400" s="62" t="s">
        <v>363</v>
      </c>
      <c r="K1400" s="62" t="s">
        <v>362</v>
      </c>
      <c r="L1400" s="65"/>
      <c r="M1400" s="62" t="s">
        <v>2443</v>
      </c>
      <c r="N1400" s="62" t="s">
        <v>314</v>
      </c>
      <c r="O1400" s="62" t="s">
        <v>315</v>
      </c>
      <c r="P1400" s="62" t="s">
        <v>2421</v>
      </c>
      <c r="Q1400" s="66" t="s">
        <v>1969</v>
      </c>
    </row>
    <row r="1401" spans="1:17" x14ac:dyDescent="0.3">
      <c r="A1401" s="61" t="s">
        <v>2189</v>
      </c>
      <c r="B1401" s="62" t="s">
        <v>1340</v>
      </c>
      <c r="C1401" s="62" t="s">
        <v>1341</v>
      </c>
      <c r="D1401" s="63">
        <v>45474</v>
      </c>
      <c r="E1401" s="63">
        <v>46568</v>
      </c>
      <c r="F1401" s="62" t="s">
        <v>1958</v>
      </c>
      <c r="G1401" s="62" t="s">
        <v>517</v>
      </c>
      <c r="H1401" s="62" t="s">
        <v>362</v>
      </c>
      <c r="I1401" s="64">
        <v>80482.375</v>
      </c>
      <c r="J1401" s="62" t="s">
        <v>363</v>
      </c>
      <c r="K1401" s="62" t="s">
        <v>362</v>
      </c>
      <c r="L1401" s="65"/>
      <c r="M1401" s="62" t="s">
        <v>2443</v>
      </c>
      <c r="N1401" s="62" t="s">
        <v>314</v>
      </c>
      <c r="O1401" s="62" t="s">
        <v>315</v>
      </c>
      <c r="P1401" s="62" t="s">
        <v>2421</v>
      </c>
      <c r="Q1401" s="66" t="s">
        <v>1969</v>
      </c>
    </row>
    <row r="1402" spans="1:17" x14ac:dyDescent="0.3">
      <c r="A1402" s="61" t="s">
        <v>2189</v>
      </c>
      <c r="B1402" s="62" t="s">
        <v>1340</v>
      </c>
      <c r="C1402" s="62" t="s">
        <v>1341</v>
      </c>
      <c r="D1402" s="63">
        <v>45474</v>
      </c>
      <c r="E1402" s="63">
        <v>46568</v>
      </c>
      <c r="F1402" s="62" t="s">
        <v>1958</v>
      </c>
      <c r="G1402" s="62" t="s">
        <v>1346</v>
      </c>
      <c r="H1402" s="62" t="s">
        <v>362</v>
      </c>
      <c r="I1402" s="64">
        <v>80482.375</v>
      </c>
      <c r="J1402" s="62" t="s">
        <v>363</v>
      </c>
      <c r="K1402" s="62" t="s">
        <v>362</v>
      </c>
      <c r="L1402" s="65"/>
      <c r="M1402" s="62" t="s">
        <v>2443</v>
      </c>
      <c r="N1402" s="62" t="s">
        <v>314</v>
      </c>
      <c r="O1402" s="62" t="s">
        <v>315</v>
      </c>
      <c r="P1402" s="62" t="s">
        <v>2421</v>
      </c>
      <c r="Q1402" s="66" t="s">
        <v>1969</v>
      </c>
    </row>
    <row r="1403" spans="1:17" x14ac:dyDescent="0.3">
      <c r="A1403" s="61" t="s">
        <v>2189</v>
      </c>
      <c r="B1403" s="62" t="s">
        <v>1340</v>
      </c>
      <c r="C1403" s="62" t="s">
        <v>1341</v>
      </c>
      <c r="D1403" s="63">
        <v>45474</v>
      </c>
      <c r="E1403" s="63">
        <v>46568</v>
      </c>
      <c r="F1403" s="62" t="s">
        <v>1958</v>
      </c>
      <c r="G1403" s="62" t="s">
        <v>843</v>
      </c>
      <c r="H1403" s="62" t="s">
        <v>362</v>
      </c>
      <c r="I1403" s="64">
        <v>80482.375</v>
      </c>
      <c r="J1403" s="62" t="s">
        <v>363</v>
      </c>
      <c r="K1403" s="62" t="s">
        <v>362</v>
      </c>
      <c r="L1403" s="65"/>
      <c r="M1403" s="62" t="s">
        <v>2443</v>
      </c>
      <c r="N1403" s="62" t="s">
        <v>314</v>
      </c>
      <c r="O1403" s="62" t="s">
        <v>315</v>
      </c>
      <c r="P1403" s="62" t="s">
        <v>2421</v>
      </c>
      <c r="Q1403" s="66" t="s">
        <v>1969</v>
      </c>
    </row>
    <row r="1404" spans="1:17" x14ac:dyDescent="0.3">
      <c r="A1404" s="61" t="s">
        <v>2189</v>
      </c>
      <c r="B1404" s="62" t="s">
        <v>1340</v>
      </c>
      <c r="C1404" s="62" t="s">
        <v>1341</v>
      </c>
      <c r="D1404" s="63">
        <v>45474</v>
      </c>
      <c r="E1404" s="63">
        <v>46568</v>
      </c>
      <c r="F1404" s="62" t="s">
        <v>287</v>
      </c>
      <c r="G1404" s="62" t="s">
        <v>1342</v>
      </c>
      <c r="H1404" s="62" t="s">
        <v>2427</v>
      </c>
      <c r="I1404" s="64">
        <v>875.375</v>
      </c>
      <c r="J1404" s="62" t="s">
        <v>2482</v>
      </c>
      <c r="K1404" s="62" t="s">
        <v>362</v>
      </c>
      <c r="L1404" s="65"/>
      <c r="M1404" s="62" t="s">
        <v>2443</v>
      </c>
      <c r="N1404" s="62" t="s">
        <v>314</v>
      </c>
      <c r="O1404" s="62" t="s">
        <v>315</v>
      </c>
      <c r="P1404" s="62" t="s">
        <v>2421</v>
      </c>
      <c r="Q1404" s="66" t="s">
        <v>1969</v>
      </c>
    </row>
    <row r="1405" spans="1:17" x14ac:dyDescent="0.3">
      <c r="A1405" s="61" t="s">
        <v>2189</v>
      </c>
      <c r="B1405" s="62" t="s">
        <v>1340</v>
      </c>
      <c r="C1405" s="62" t="s">
        <v>1341</v>
      </c>
      <c r="D1405" s="63">
        <v>45474</v>
      </c>
      <c r="E1405" s="63">
        <v>46568</v>
      </c>
      <c r="F1405" s="62" t="s">
        <v>287</v>
      </c>
      <c r="G1405" s="62" t="s">
        <v>1343</v>
      </c>
      <c r="H1405" s="62" t="s">
        <v>2427</v>
      </c>
      <c r="I1405" s="64">
        <v>875.375</v>
      </c>
      <c r="J1405" s="62" t="s">
        <v>2482</v>
      </c>
      <c r="K1405" s="62" t="s">
        <v>362</v>
      </c>
      <c r="L1405" s="65"/>
      <c r="M1405" s="62" t="s">
        <v>2443</v>
      </c>
      <c r="N1405" s="62" t="s">
        <v>314</v>
      </c>
      <c r="O1405" s="62" t="s">
        <v>315</v>
      </c>
      <c r="P1405" s="62" t="s">
        <v>2421</v>
      </c>
      <c r="Q1405" s="66" t="s">
        <v>1969</v>
      </c>
    </row>
    <row r="1406" spans="1:17" x14ac:dyDescent="0.3">
      <c r="A1406" s="61" t="s">
        <v>2189</v>
      </c>
      <c r="B1406" s="62" t="s">
        <v>1340</v>
      </c>
      <c r="C1406" s="62" t="s">
        <v>1341</v>
      </c>
      <c r="D1406" s="63">
        <v>45474</v>
      </c>
      <c r="E1406" s="63">
        <v>46568</v>
      </c>
      <c r="F1406" s="62" t="s">
        <v>287</v>
      </c>
      <c r="G1406" s="62" t="s">
        <v>1344</v>
      </c>
      <c r="H1406" s="62" t="s">
        <v>2427</v>
      </c>
      <c r="I1406" s="64">
        <v>875.375</v>
      </c>
      <c r="J1406" s="62" t="s">
        <v>2482</v>
      </c>
      <c r="K1406" s="62" t="s">
        <v>362</v>
      </c>
      <c r="L1406" s="65"/>
      <c r="M1406" s="62" t="s">
        <v>2443</v>
      </c>
      <c r="N1406" s="62" t="s">
        <v>314</v>
      </c>
      <c r="O1406" s="62" t="s">
        <v>315</v>
      </c>
      <c r="P1406" s="62" t="s">
        <v>2421</v>
      </c>
      <c r="Q1406" s="66" t="s">
        <v>1969</v>
      </c>
    </row>
    <row r="1407" spans="1:17" x14ac:dyDescent="0.3">
      <c r="A1407" s="61" t="s">
        <v>2189</v>
      </c>
      <c r="B1407" s="62" t="s">
        <v>1340</v>
      </c>
      <c r="C1407" s="62" t="s">
        <v>1341</v>
      </c>
      <c r="D1407" s="63">
        <v>45474</v>
      </c>
      <c r="E1407" s="63">
        <v>46568</v>
      </c>
      <c r="F1407" s="62" t="s">
        <v>287</v>
      </c>
      <c r="G1407" s="62" t="s">
        <v>964</v>
      </c>
      <c r="H1407" s="62" t="s">
        <v>2427</v>
      </c>
      <c r="I1407" s="64">
        <v>875.375</v>
      </c>
      <c r="J1407" s="62" t="s">
        <v>2482</v>
      </c>
      <c r="K1407" s="62" t="s">
        <v>362</v>
      </c>
      <c r="L1407" s="65"/>
      <c r="M1407" s="62" t="s">
        <v>2443</v>
      </c>
      <c r="N1407" s="62" t="s">
        <v>314</v>
      </c>
      <c r="O1407" s="62" t="s">
        <v>315</v>
      </c>
      <c r="P1407" s="62" t="s">
        <v>2421</v>
      </c>
      <c r="Q1407" s="66" t="s">
        <v>1969</v>
      </c>
    </row>
    <row r="1408" spans="1:17" x14ac:dyDescent="0.3">
      <c r="A1408" s="61" t="s">
        <v>2189</v>
      </c>
      <c r="B1408" s="62" t="s">
        <v>1340</v>
      </c>
      <c r="C1408" s="62" t="s">
        <v>1341</v>
      </c>
      <c r="D1408" s="63">
        <v>45474</v>
      </c>
      <c r="E1408" s="63">
        <v>46568</v>
      </c>
      <c r="F1408" s="62" t="s">
        <v>287</v>
      </c>
      <c r="G1408" s="62" t="s">
        <v>554</v>
      </c>
      <c r="H1408" s="62" t="s">
        <v>2427</v>
      </c>
      <c r="I1408" s="64">
        <v>875.375</v>
      </c>
      <c r="J1408" s="62" t="s">
        <v>2482</v>
      </c>
      <c r="K1408" s="62" t="s">
        <v>362</v>
      </c>
      <c r="L1408" s="65"/>
      <c r="M1408" s="62" t="s">
        <v>2443</v>
      </c>
      <c r="N1408" s="62" t="s">
        <v>314</v>
      </c>
      <c r="O1408" s="62" t="s">
        <v>315</v>
      </c>
      <c r="P1408" s="62" t="s">
        <v>2421</v>
      </c>
      <c r="Q1408" s="66" t="s">
        <v>1969</v>
      </c>
    </row>
    <row r="1409" spans="1:17" x14ac:dyDescent="0.3">
      <c r="A1409" s="61" t="s">
        <v>2189</v>
      </c>
      <c r="B1409" s="62" t="s">
        <v>1340</v>
      </c>
      <c r="C1409" s="62" t="s">
        <v>1341</v>
      </c>
      <c r="D1409" s="63">
        <v>45474</v>
      </c>
      <c r="E1409" s="63">
        <v>46568</v>
      </c>
      <c r="F1409" s="62" t="s">
        <v>287</v>
      </c>
      <c r="G1409" s="62" t="s">
        <v>933</v>
      </c>
      <c r="H1409" s="62" t="s">
        <v>2427</v>
      </c>
      <c r="I1409" s="64">
        <v>875.375</v>
      </c>
      <c r="J1409" s="62" t="s">
        <v>2482</v>
      </c>
      <c r="K1409" s="62" t="s">
        <v>362</v>
      </c>
      <c r="L1409" s="65"/>
      <c r="M1409" s="62" t="s">
        <v>2443</v>
      </c>
      <c r="N1409" s="62" t="s">
        <v>314</v>
      </c>
      <c r="O1409" s="62" t="s">
        <v>315</v>
      </c>
      <c r="P1409" s="62" t="s">
        <v>2421</v>
      </c>
      <c r="Q1409" s="66" t="s">
        <v>1969</v>
      </c>
    </row>
    <row r="1410" spans="1:17" x14ac:dyDescent="0.3">
      <c r="A1410" s="61" t="s">
        <v>2189</v>
      </c>
      <c r="B1410" s="62" t="s">
        <v>1340</v>
      </c>
      <c r="C1410" s="62" t="s">
        <v>1341</v>
      </c>
      <c r="D1410" s="63">
        <v>45474</v>
      </c>
      <c r="E1410" s="63">
        <v>46568</v>
      </c>
      <c r="F1410" s="62" t="s">
        <v>287</v>
      </c>
      <c r="G1410" s="62" t="s">
        <v>786</v>
      </c>
      <c r="H1410" s="62" t="s">
        <v>2427</v>
      </c>
      <c r="I1410" s="64">
        <v>875.375</v>
      </c>
      <c r="J1410" s="62" t="s">
        <v>2482</v>
      </c>
      <c r="K1410" s="62" t="s">
        <v>362</v>
      </c>
      <c r="L1410" s="65"/>
      <c r="M1410" s="62" t="s">
        <v>2443</v>
      </c>
      <c r="N1410" s="62" t="s">
        <v>314</v>
      </c>
      <c r="O1410" s="62" t="s">
        <v>315</v>
      </c>
      <c r="P1410" s="62" t="s">
        <v>2421</v>
      </c>
      <c r="Q1410" s="66" t="s">
        <v>1969</v>
      </c>
    </row>
    <row r="1411" spans="1:17" x14ac:dyDescent="0.3">
      <c r="A1411" s="61" t="s">
        <v>2189</v>
      </c>
      <c r="B1411" s="62" t="s">
        <v>1340</v>
      </c>
      <c r="C1411" s="62" t="s">
        <v>1341</v>
      </c>
      <c r="D1411" s="63">
        <v>45474</v>
      </c>
      <c r="E1411" s="63">
        <v>46568</v>
      </c>
      <c r="F1411" s="62" t="s">
        <v>287</v>
      </c>
      <c r="G1411" s="62" t="s">
        <v>1345</v>
      </c>
      <c r="H1411" s="62" t="s">
        <v>2427</v>
      </c>
      <c r="I1411" s="64">
        <v>875.375</v>
      </c>
      <c r="J1411" s="62" t="s">
        <v>2482</v>
      </c>
      <c r="K1411" s="62" t="s">
        <v>362</v>
      </c>
      <c r="L1411" s="65"/>
      <c r="M1411" s="62" t="s">
        <v>2443</v>
      </c>
      <c r="N1411" s="62" t="s">
        <v>314</v>
      </c>
      <c r="O1411" s="62" t="s">
        <v>315</v>
      </c>
      <c r="P1411" s="62" t="s">
        <v>2421</v>
      </c>
      <c r="Q1411" s="66" t="s">
        <v>1969</v>
      </c>
    </row>
    <row r="1412" spans="1:17" x14ac:dyDescent="0.3">
      <c r="A1412" s="61" t="s">
        <v>2189</v>
      </c>
      <c r="B1412" s="62" t="s">
        <v>1340</v>
      </c>
      <c r="C1412" s="62" t="s">
        <v>1341</v>
      </c>
      <c r="D1412" s="63">
        <v>45474</v>
      </c>
      <c r="E1412" s="63">
        <v>46568</v>
      </c>
      <c r="F1412" s="62" t="s">
        <v>1958</v>
      </c>
      <c r="G1412" s="62" t="s">
        <v>1343</v>
      </c>
      <c r="H1412" s="62" t="s">
        <v>2427</v>
      </c>
      <c r="I1412" s="64">
        <v>1750.75</v>
      </c>
      <c r="J1412" s="62" t="s">
        <v>2482</v>
      </c>
      <c r="K1412" s="62" t="s">
        <v>362</v>
      </c>
      <c r="L1412" s="65"/>
      <c r="M1412" s="62" t="s">
        <v>2443</v>
      </c>
      <c r="N1412" s="62" t="s">
        <v>314</v>
      </c>
      <c r="O1412" s="62" t="s">
        <v>315</v>
      </c>
      <c r="P1412" s="62" t="s">
        <v>2421</v>
      </c>
      <c r="Q1412" s="66" t="s">
        <v>1969</v>
      </c>
    </row>
    <row r="1413" spans="1:17" x14ac:dyDescent="0.3">
      <c r="A1413" s="61" t="s">
        <v>2189</v>
      </c>
      <c r="B1413" s="62" t="s">
        <v>1340</v>
      </c>
      <c r="C1413" s="62" t="s">
        <v>1341</v>
      </c>
      <c r="D1413" s="63">
        <v>45474</v>
      </c>
      <c r="E1413" s="63">
        <v>46568</v>
      </c>
      <c r="F1413" s="62" t="s">
        <v>1958</v>
      </c>
      <c r="G1413" s="62" t="s">
        <v>517</v>
      </c>
      <c r="H1413" s="62" t="s">
        <v>2427</v>
      </c>
      <c r="I1413" s="64">
        <v>1750.75</v>
      </c>
      <c r="J1413" s="62" t="s">
        <v>2482</v>
      </c>
      <c r="K1413" s="62" t="s">
        <v>362</v>
      </c>
      <c r="L1413" s="65"/>
      <c r="M1413" s="62" t="s">
        <v>2443</v>
      </c>
      <c r="N1413" s="62" t="s">
        <v>314</v>
      </c>
      <c r="O1413" s="62" t="s">
        <v>315</v>
      </c>
      <c r="P1413" s="62" t="s">
        <v>2421</v>
      </c>
      <c r="Q1413" s="66" t="s">
        <v>1969</v>
      </c>
    </row>
    <row r="1414" spans="1:17" x14ac:dyDescent="0.3">
      <c r="A1414" s="61" t="s">
        <v>2189</v>
      </c>
      <c r="B1414" s="62" t="s">
        <v>1340</v>
      </c>
      <c r="C1414" s="62" t="s">
        <v>1341</v>
      </c>
      <c r="D1414" s="63">
        <v>45474</v>
      </c>
      <c r="E1414" s="63">
        <v>46568</v>
      </c>
      <c r="F1414" s="62" t="s">
        <v>1958</v>
      </c>
      <c r="G1414" s="62" t="s">
        <v>1346</v>
      </c>
      <c r="H1414" s="62" t="s">
        <v>2427</v>
      </c>
      <c r="I1414" s="64">
        <v>1750.75</v>
      </c>
      <c r="J1414" s="62" t="s">
        <v>2482</v>
      </c>
      <c r="K1414" s="62" t="s">
        <v>362</v>
      </c>
      <c r="L1414" s="65"/>
      <c r="M1414" s="62" t="s">
        <v>2443</v>
      </c>
      <c r="N1414" s="62" t="s">
        <v>314</v>
      </c>
      <c r="O1414" s="62" t="s">
        <v>315</v>
      </c>
      <c r="P1414" s="62" t="s">
        <v>2421</v>
      </c>
      <c r="Q1414" s="66" t="s">
        <v>1969</v>
      </c>
    </row>
    <row r="1415" spans="1:17" x14ac:dyDescent="0.3">
      <c r="A1415" s="61" t="s">
        <v>2189</v>
      </c>
      <c r="B1415" s="62" t="s">
        <v>1340</v>
      </c>
      <c r="C1415" s="62" t="s">
        <v>1341</v>
      </c>
      <c r="D1415" s="63">
        <v>45474</v>
      </c>
      <c r="E1415" s="63">
        <v>46568</v>
      </c>
      <c r="F1415" s="62" t="s">
        <v>1958</v>
      </c>
      <c r="G1415" s="62" t="s">
        <v>843</v>
      </c>
      <c r="H1415" s="62" t="s">
        <v>2427</v>
      </c>
      <c r="I1415" s="64">
        <v>1750.75</v>
      </c>
      <c r="J1415" s="62" t="s">
        <v>2482</v>
      </c>
      <c r="K1415" s="62" t="s">
        <v>362</v>
      </c>
      <c r="L1415" s="65"/>
      <c r="M1415" s="62" t="s">
        <v>2443</v>
      </c>
      <c r="N1415" s="62" t="s">
        <v>314</v>
      </c>
      <c r="O1415" s="62" t="s">
        <v>315</v>
      </c>
      <c r="P1415" s="62" t="s">
        <v>2421</v>
      </c>
      <c r="Q1415" s="66" t="s">
        <v>1969</v>
      </c>
    </row>
    <row r="1416" spans="1:17" x14ac:dyDescent="0.3">
      <c r="A1416" s="61" t="s">
        <v>2190</v>
      </c>
      <c r="B1416" s="62" t="s">
        <v>1347</v>
      </c>
      <c r="C1416" s="62" t="s">
        <v>1348</v>
      </c>
      <c r="D1416" s="63">
        <v>45539</v>
      </c>
      <c r="E1416" s="63">
        <v>46816</v>
      </c>
      <c r="F1416" s="62" t="s">
        <v>287</v>
      </c>
      <c r="G1416" s="62" t="s">
        <v>589</v>
      </c>
      <c r="H1416" s="62" t="s">
        <v>467</v>
      </c>
      <c r="I1416" s="64">
        <v>177472</v>
      </c>
      <c r="J1416" s="62" t="s">
        <v>468</v>
      </c>
      <c r="K1416" s="62" t="s">
        <v>467</v>
      </c>
      <c r="L1416" s="65"/>
      <c r="M1416" s="62" t="s">
        <v>825</v>
      </c>
      <c r="N1416" s="62" t="s">
        <v>416</v>
      </c>
      <c r="O1416" s="62" t="s">
        <v>417</v>
      </c>
      <c r="P1416" s="62" t="s">
        <v>2421</v>
      </c>
      <c r="Q1416" s="66" t="s">
        <v>2021</v>
      </c>
    </row>
    <row r="1417" spans="1:17" x14ac:dyDescent="0.3">
      <c r="A1417" s="61" t="s">
        <v>2190</v>
      </c>
      <c r="B1417" s="62" t="s">
        <v>1347</v>
      </c>
      <c r="C1417" s="62" t="s">
        <v>1348</v>
      </c>
      <c r="D1417" s="63">
        <v>45539</v>
      </c>
      <c r="E1417" s="63">
        <v>46816</v>
      </c>
      <c r="F1417" s="62" t="s">
        <v>287</v>
      </c>
      <c r="G1417" s="62" t="s">
        <v>1083</v>
      </c>
      <c r="H1417" s="62" t="s">
        <v>467</v>
      </c>
      <c r="I1417" s="64">
        <v>177472</v>
      </c>
      <c r="J1417" s="62" t="s">
        <v>468</v>
      </c>
      <c r="K1417" s="62" t="s">
        <v>467</v>
      </c>
      <c r="L1417" s="65"/>
      <c r="M1417" s="62" t="s">
        <v>825</v>
      </c>
      <c r="N1417" s="62" t="s">
        <v>416</v>
      </c>
      <c r="O1417" s="62" t="s">
        <v>417</v>
      </c>
      <c r="P1417" s="62" t="s">
        <v>2421</v>
      </c>
      <c r="Q1417" s="66" t="s">
        <v>2021</v>
      </c>
    </row>
    <row r="1418" spans="1:17" x14ac:dyDescent="0.3">
      <c r="A1418" s="61" t="s">
        <v>2190</v>
      </c>
      <c r="B1418" s="62" t="s">
        <v>1347</v>
      </c>
      <c r="C1418" s="62" t="s">
        <v>1348</v>
      </c>
      <c r="D1418" s="63">
        <v>45539</v>
      </c>
      <c r="E1418" s="63">
        <v>46816</v>
      </c>
      <c r="F1418" s="62" t="s">
        <v>287</v>
      </c>
      <c r="G1418" s="62" t="s">
        <v>592</v>
      </c>
      <c r="H1418" s="62" t="s">
        <v>467</v>
      </c>
      <c r="I1418" s="64">
        <v>177472</v>
      </c>
      <c r="J1418" s="62" t="s">
        <v>468</v>
      </c>
      <c r="K1418" s="62" t="s">
        <v>467</v>
      </c>
      <c r="L1418" s="65"/>
      <c r="M1418" s="62" t="s">
        <v>825</v>
      </c>
      <c r="N1418" s="62" t="s">
        <v>416</v>
      </c>
      <c r="O1418" s="62" t="s">
        <v>417</v>
      </c>
      <c r="P1418" s="62" t="s">
        <v>2421</v>
      </c>
      <c r="Q1418" s="66" t="s">
        <v>2021</v>
      </c>
    </row>
    <row r="1419" spans="1:17" x14ac:dyDescent="0.3">
      <c r="A1419" s="61" t="s">
        <v>2190</v>
      </c>
      <c r="B1419" s="62" t="s">
        <v>1347</v>
      </c>
      <c r="C1419" s="62" t="s">
        <v>1348</v>
      </c>
      <c r="D1419" s="63">
        <v>45539</v>
      </c>
      <c r="E1419" s="63">
        <v>46816</v>
      </c>
      <c r="F1419" s="62" t="s">
        <v>287</v>
      </c>
      <c r="G1419" s="62" t="s">
        <v>593</v>
      </c>
      <c r="H1419" s="62" t="s">
        <v>467</v>
      </c>
      <c r="I1419" s="64">
        <v>177472</v>
      </c>
      <c r="J1419" s="62" t="s">
        <v>468</v>
      </c>
      <c r="K1419" s="62" t="s">
        <v>467</v>
      </c>
      <c r="L1419" s="65"/>
      <c r="M1419" s="62" t="s">
        <v>825</v>
      </c>
      <c r="N1419" s="62" t="s">
        <v>416</v>
      </c>
      <c r="O1419" s="62" t="s">
        <v>417</v>
      </c>
      <c r="P1419" s="62" t="s">
        <v>2421</v>
      </c>
      <c r="Q1419" s="66" t="s">
        <v>2021</v>
      </c>
    </row>
    <row r="1420" spans="1:17" x14ac:dyDescent="0.3">
      <c r="A1420" s="61" t="s">
        <v>2190</v>
      </c>
      <c r="B1420" s="62" t="s">
        <v>1347</v>
      </c>
      <c r="C1420" s="62" t="s">
        <v>1348</v>
      </c>
      <c r="D1420" s="63">
        <v>45539</v>
      </c>
      <c r="E1420" s="63">
        <v>46816</v>
      </c>
      <c r="F1420" s="62" t="s">
        <v>287</v>
      </c>
      <c r="G1420" s="62" t="s">
        <v>396</v>
      </c>
      <c r="H1420" s="62" t="s">
        <v>467</v>
      </c>
      <c r="I1420" s="64">
        <v>177472</v>
      </c>
      <c r="J1420" s="62" t="s">
        <v>468</v>
      </c>
      <c r="K1420" s="62" t="s">
        <v>467</v>
      </c>
      <c r="L1420" s="65"/>
      <c r="M1420" s="62" t="s">
        <v>825</v>
      </c>
      <c r="N1420" s="62" t="s">
        <v>416</v>
      </c>
      <c r="O1420" s="62" t="s">
        <v>417</v>
      </c>
      <c r="P1420" s="62" t="s">
        <v>2421</v>
      </c>
      <c r="Q1420" s="66" t="s">
        <v>2021</v>
      </c>
    </row>
    <row r="1421" spans="1:17" x14ac:dyDescent="0.3">
      <c r="A1421" s="61" t="s">
        <v>2191</v>
      </c>
      <c r="B1421" s="62" t="s">
        <v>1349</v>
      </c>
      <c r="C1421" s="62" t="s">
        <v>1348</v>
      </c>
      <c r="D1421" s="63">
        <v>45658</v>
      </c>
      <c r="E1421" s="63">
        <v>46816</v>
      </c>
      <c r="F1421" s="62" t="s">
        <v>287</v>
      </c>
      <c r="G1421" s="62" t="s">
        <v>589</v>
      </c>
      <c r="H1421" s="62" t="s">
        <v>467</v>
      </c>
      <c r="I1421" s="64">
        <v>151662</v>
      </c>
      <c r="J1421" s="62" t="s">
        <v>468</v>
      </c>
      <c r="K1421" s="62" t="s">
        <v>467</v>
      </c>
      <c r="L1421" s="65"/>
      <c r="M1421" s="62" t="s">
        <v>825</v>
      </c>
      <c r="N1421" s="62" t="s">
        <v>416</v>
      </c>
      <c r="O1421" s="62" t="s">
        <v>417</v>
      </c>
      <c r="P1421" s="62" t="s">
        <v>2421</v>
      </c>
      <c r="Q1421" s="66" t="s">
        <v>2021</v>
      </c>
    </row>
    <row r="1422" spans="1:17" x14ac:dyDescent="0.3">
      <c r="A1422" s="61" t="s">
        <v>2191</v>
      </c>
      <c r="B1422" s="62" t="s">
        <v>1349</v>
      </c>
      <c r="C1422" s="62" t="s">
        <v>1348</v>
      </c>
      <c r="D1422" s="63">
        <v>45658</v>
      </c>
      <c r="E1422" s="63">
        <v>46816</v>
      </c>
      <c r="F1422" s="62" t="s">
        <v>287</v>
      </c>
      <c r="G1422" s="62" t="s">
        <v>1083</v>
      </c>
      <c r="H1422" s="62" t="s">
        <v>467</v>
      </c>
      <c r="I1422" s="64">
        <v>151662</v>
      </c>
      <c r="J1422" s="62" t="s">
        <v>468</v>
      </c>
      <c r="K1422" s="62" t="s">
        <v>467</v>
      </c>
      <c r="L1422" s="65"/>
      <c r="M1422" s="62" t="s">
        <v>825</v>
      </c>
      <c r="N1422" s="62" t="s">
        <v>416</v>
      </c>
      <c r="O1422" s="62" t="s">
        <v>417</v>
      </c>
      <c r="P1422" s="62" t="s">
        <v>2421</v>
      </c>
      <c r="Q1422" s="66" t="s">
        <v>2021</v>
      </c>
    </row>
    <row r="1423" spans="1:17" x14ac:dyDescent="0.3">
      <c r="A1423" s="61" t="s">
        <v>2191</v>
      </c>
      <c r="B1423" s="62" t="s">
        <v>1349</v>
      </c>
      <c r="C1423" s="62" t="s">
        <v>1348</v>
      </c>
      <c r="D1423" s="63">
        <v>45658</v>
      </c>
      <c r="E1423" s="63">
        <v>46816</v>
      </c>
      <c r="F1423" s="62" t="s">
        <v>287</v>
      </c>
      <c r="G1423" s="62" t="s">
        <v>592</v>
      </c>
      <c r="H1423" s="62" t="s">
        <v>467</v>
      </c>
      <c r="I1423" s="64">
        <v>151662</v>
      </c>
      <c r="J1423" s="62" t="s">
        <v>468</v>
      </c>
      <c r="K1423" s="62" t="s">
        <v>467</v>
      </c>
      <c r="L1423" s="65"/>
      <c r="M1423" s="62" t="s">
        <v>825</v>
      </c>
      <c r="N1423" s="62" t="s">
        <v>416</v>
      </c>
      <c r="O1423" s="62" t="s">
        <v>417</v>
      </c>
      <c r="P1423" s="62" t="s">
        <v>2421</v>
      </c>
      <c r="Q1423" s="66" t="s">
        <v>2021</v>
      </c>
    </row>
    <row r="1424" spans="1:17" x14ac:dyDescent="0.3">
      <c r="A1424" s="61" t="s">
        <v>2191</v>
      </c>
      <c r="B1424" s="62" t="s">
        <v>1349</v>
      </c>
      <c r="C1424" s="62" t="s">
        <v>1348</v>
      </c>
      <c r="D1424" s="63">
        <v>45658</v>
      </c>
      <c r="E1424" s="63">
        <v>46816</v>
      </c>
      <c r="F1424" s="62" t="s">
        <v>287</v>
      </c>
      <c r="G1424" s="62" t="s">
        <v>593</v>
      </c>
      <c r="H1424" s="62" t="s">
        <v>467</v>
      </c>
      <c r="I1424" s="64">
        <v>151662</v>
      </c>
      <c r="J1424" s="62" t="s">
        <v>468</v>
      </c>
      <c r="K1424" s="62" t="s">
        <v>467</v>
      </c>
      <c r="L1424" s="65"/>
      <c r="M1424" s="62" t="s">
        <v>825</v>
      </c>
      <c r="N1424" s="62" t="s">
        <v>416</v>
      </c>
      <c r="O1424" s="62" t="s">
        <v>417</v>
      </c>
      <c r="P1424" s="62" t="s">
        <v>2421</v>
      </c>
      <c r="Q1424" s="66" t="s">
        <v>2021</v>
      </c>
    </row>
    <row r="1425" spans="1:17" x14ac:dyDescent="0.3">
      <c r="A1425" s="61" t="s">
        <v>2191</v>
      </c>
      <c r="B1425" s="62" t="s">
        <v>1349</v>
      </c>
      <c r="C1425" s="62" t="s">
        <v>1348</v>
      </c>
      <c r="D1425" s="63">
        <v>45658</v>
      </c>
      <c r="E1425" s="63">
        <v>46816</v>
      </c>
      <c r="F1425" s="62" t="s">
        <v>287</v>
      </c>
      <c r="G1425" s="62" t="s">
        <v>396</v>
      </c>
      <c r="H1425" s="62" t="s">
        <v>467</v>
      </c>
      <c r="I1425" s="64">
        <v>151662</v>
      </c>
      <c r="J1425" s="62" t="s">
        <v>468</v>
      </c>
      <c r="K1425" s="62" t="s">
        <v>467</v>
      </c>
      <c r="L1425" s="65"/>
      <c r="M1425" s="62" t="s">
        <v>825</v>
      </c>
      <c r="N1425" s="62" t="s">
        <v>416</v>
      </c>
      <c r="O1425" s="62" t="s">
        <v>417</v>
      </c>
      <c r="P1425" s="62" t="s">
        <v>2421</v>
      </c>
      <c r="Q1425" s="66" t="s">
        <v>2021</v>
      </c>
    </row>
    <row r="1426" spans="1:17" x14ac:dyDescent="0.3">
      <c r="A1426" s="61" t="s">
        <v>2192</v>
      </c>
      <c r="B1426" s="62" t="s">
        <v>1353</v>
      </c>
      <c r="C1426" s="62" t="s">
        <v>1354</v>
      </c>
      <c r="D1426" s="63">
        <v>45517</v>
      </c>
      <c r="E1426" s="63">
        <v>46796</v>
      </c>
      <c r="F1426" s="62" t="s">
        <v>1936</v>
      </c>
      <c r="G1426" s="62" t="s">
        <v>1313</v>
      </c>
      <c r="H1426" s="62" t="s">
        <v>467</v>
      </c>
      <c r="I1426" s="64">
        <v>127549.33333333299</v>
      </c>
      <c r="J1426" s="62" t="s">
        <v>468</v>
      </c>
      <c r="K1426" s="62" t="s">
        <v>467</v>
      </c>
      <c r="L1426" s="65"/>
      <c r="M1426" s="62" t="s">
        <v>825</v>
      </c>
      <c r="N1426" s="62" t="s">
        <v>663</v>
      </c>
      <c r="O1426" s="62" t="s">
        <v>371</v>
      </c>
      <c r="P1426" s="62" t="s">
        <v>2421</v>
      </c>
      <c r="Q1426" s="66" t="s">
        <v>1972</v>
      </c>
    </row>
    <row r="1427" spans="1:17" x14ac:dyDescent="0.3">
      <c r="A1427" s="61" t="s">
        <v>2192</v>
      </c>
      <c r="B1427" s="62" t="s">
        <v>1353</v>
      </c>
      <c r="C1427" s="62" t="s">
        <v>1354</v>
      </c>
      <c r="D1427" s="63">
        <v>45517</v>
      </c>
      <c r="E1427" s="63">
        <v>46796</v>
      </c>
      <c r="F1427" s="62" t="s">
        <v>1936</v>
      </c>
      <c r="G1427" s="62" t="s">
        <v>747</v>
      </c>
      <c r="H1427" s="62" t="s">
        <v>467</v>
      </c>
      <c r="I1427" s="64">
        <v>127549.33333333299</v>
      </c>
      <c r="J1427" s="62" t="s">
        <v>468</v>
      </c>
      <c r="K1427" s="62" t="s">
        <v>467</v>
      </c>
      <c r="L1427" s="65"/>
      <c r="M1427" s="62" t="s">
        <v>825</v>
      </c>
      <c r="N1427" s="62" t="s">
        <v>663</v>
      </c>
      <c r="O1427" s="62" t="s">
        <v>371</v>
      </c>
      <c r="P1427" s="62" t="s">
        <v>2421</v>
      </c>
      <c r="Q1427" s="66" t="s">
        <v>1972</v>
      </c>
    </row>
    <row r="1428" spans="1:17" x14ac:dyDescent="0.3">
      <c r="A1428" s="61" t="s">
        <v>2192</v>
      </c>
      <c r="B1428" s="62" t="s">
        <v>1353</v>
      </c>
      <c r="C1428" s="62" t="s">
        <v>1354</v>
      </c>
      <c r="D1428" s="63">
        <v>45517</v>
      </c>
      <c r="E1428" s="63">
        <v>46796</v>
      </c>
      <c r="F1428" s="62" t="s">
        <v>287</v>
      </c>
      <c r="G1428" s="62" t="s">
        <v>589</v>
      </c>
      <c r="H1428" s="62" t="s">
        <v>467</v>
      </c>
      <c r="I1428" s="64">
        <v>127549.33333333299</v>
      </c>
      <c r="J1428" s="62" t="s">
        <v>468</v>
      </c>
      <c r="K1428" s="62" t="s">
        <v>467</v>
      </c>
      <c r="L1428" s="65"/>
      <c r="M1428" s="62" t="s">
        <v>825</v>
      </c>
      <c r="N1428" s="62" t="s">
        <v>663</v>
      </c>
      <c r="O1428" s="62" t="s">
        <v>371</v>
      </c>
      <c r="P1428" s="62" t="s">
        <v>2421</v>
      </c>
      <c r="Q1428" s="66" t="s">
        <v>1972</v>
      </c>
    </row>
    <row r="1429" spans="1:17" x14ac:dyDescent="0.3">
      <c r="A1429" s="61" t="s">
        <v>2192</v>
      </c>
      <c r="B1429" s="62" t="s">
        <v>1353</v>
      </c>
      <c r="C1429" s="62" t="s">
        <v>1354</v>
      </c>
      <c r="D1429" s="63">
        <v>45517</v>
      </c>
      <c r="E1429" s="63">
        <v>46796</v>
      </c>
      <c r="F1429" s="62" t="s">
        <v>287</v>
      </c>
      <c r="G1429" s="62" t="s">
        <v>396</v>
      </c>
      <c r="H1429" s="62" t="s">
        <v>467</v>
      </c>
      <c r="I1429" s="64">
        <v>127549.33333333299</v>
      </c>
      <c r="J1429" s="62" t="s">
        <v>468</v>
      </c>
      <c r="K1429" s="62" t="s">
        <v>467</v>
      </c>
      <c r="L1429" s="65"/>
      <c r="M1429" s="62" t="s">
        <v>825</v>
      </c>
      <c r="N1429" s="62" t="s">
        <v>663</v>
      </c>
      <c r="O1429" s="62" t="s">
        <v>371</v>
      </c>
      <c r="P1429" s="62" t="s">
        <v>2421</v>
      </c>
      <c r="Q1429" s="66" t="s">
        <v>1972</v>
      </c>
    </row>
    <row r="1430" spans="1:17" x14ac:dyDescent="0.3">
      <c r="A1430" s="61" t="s">
        <v>2192</v>
      </c>
      <c r="B1430" s="62" t="s">
        <v>1353</v>
      </c>
      <c r="C1430" s="62" t="s">
        <v>1354</v>
      </c>
      <c r="D1430" s="63">
        <v>45517</v>
      </c>
      <c r="E1430" s="63">
        <v>46796</v>
      </c>
      <c r="F1430" s="62" t="s">
        <v>1959</v>
      </c>
      <c r="G1430" s="62" t="s">
        <v>588</v>
      </c>
      <c r="H1430" s="62" t="s">
        <v>467</v>
      </c>
      <c r="I1430" s="64">
        <v>255098.66666666701</v>
      </c>
      <c r="J1430" s="62" t="s">
        <v>468</v>
      </c>
      <c r="K1430" s="62" t="s">
        <v>467</v>
      </c>
      <c r="L1430" s="65"/>
      <c r="M1430" s="62" t="s">
        <v>825</v>
      </c>
      <c r="N1430" s="62" t="s">
        <v>663</v>
      </c>
      <c r="O1430" s="62" t="s">
        <v>371</v>
      </c>
      <c r="P1430" s="62" t="s">
        <v>2421</v>
      </c>
      <c r="Q1430" s="66" t="s">
        <v>1972</v>
      </c>
    </row>
    <row r="1431" spans="1:17" x14ac:dyDescent="0.3">
      <c r="A1431" s="61" t="s">
        <v>2193</v>
      </c>
      <c r="B1431" s="62" t="s">
        <v>1355</v>
      </c>
      <c r="C1431" s="62" t="s">
        <v>1354</v>
      </c>
      <c r="D1431" s="63">
        <v>45658</v>
      </c>
      <c r="E1431" s="63">
        <v>46796</v>
      </c>
      <c r="F1431" s="62" t="s">
        <v>1936</v>
      </c>
      <c r="G1431" s="62" t="s">
        <v>1313</v>
      </c>
      <c r="H1431" s="62" t="s">
        <v>467</v>
      </c>
      <c r="I1431" s="64">
        <v>144440</v>
      </c>
      <c r="J1431" s="62" t="s">
        <v>468</v>
      </c>
      <c r="K1431" s="62" t="s">
        <v>467</v>
      </c>
      <c r="L1431" s="65"/>
      <c r="M1431" s="62" t="s">
        <v>825</v>
      </c>
      <c r="N1431" s="62" t="s">
        <v>663</v>
      </c>
      <c r="O1431" s="62" t="s">
        <v>371</v>
      </c>
      <c r="P1431" s="62" t="s">
        <v>2421</v>
      </c>
      <c r="Q1431" s="66" t="s">
        <v>1972</v>
      </c>
    </row>
    <row r="1432" spans="1:17" x14ac:dyDescent="0.3">
      <c r="A1432" s="61" t="s">
        <v>2193</v>
      </c>
      <c r="B1432" s="62" t="s">
        <v>1355</v>
      </c>
      <c r="C1432" s="62" t="s">
        <v>1354</v>
      </c>
      <c r="D1432" s="63">
        <v>45658</v>
      </c>
      <c r="E1432" s="63">
        <v>46796</v>
      </c>
      <c r="F1432" s="62" t="s">
        <v>1936</v>
      </c>
      <c r="G1432" s="62" t="s">
        <v>747</v>
      </c>
      <c r="H1432" s="62" t="s">
        <v>467</v>
      </c>
      <c r="I1432" s="64">
        <v>144440</v>
      </c>
      <c r="J1432" s="62" t="s">
        <v>468</v>
      </c>
      <c r="K1432" s="62" t="s">
        <v>467</v>
      </c>
      <c r="L1432" s="65"/>
      <c r="M1432" s="62" t="s">
        <v>825</v>
      </c>
      <c r="N1432" s="62" t="s">
        <v>663</v>
      </c>
      <c r="O1432" s="62" t="s">
        <v>371</v>
      </c>
      <c r="P1432" s="62" t="s">
        <v>2421</v>
      </c>
      <c r="Q1432" s="66" t="s">
        <v>1972</v>
      </c>
    </row>
    <row r="1433" spans="1:17" x14ac:dyDescent="0.3">
      <c r="A1433" s="61" t="s">
        <v>2193</v>
      </c>
      <c r="B1433" s="62" t="s">
        <v>1355</v>
      </c>
      <c r="C1433" s="62" t="s">
        <v>1354</v>
      </c>
      <c r="D1433" s="63">
        <v>45658</v>
      </c>
      <c r="E1433" s="63">
        <v>46796</v>
      </c>
      <c r="F1433" s="62" t="s">
        <v>287</v>
      </c>
      <c r="G1433" s="62" t="s">
        <v>589</v>
      </c>
      <c r="H1433" s="62" t="s">
        <v>467</v>
      </c>
      <c r="I1433" s="64">
        <v>144440</v>
      </c>
      <c r="J1433" s="62" t="s">
        <v>468</v>
      </c>
      <c r="K1433" s="62" t="s">
        <v>467</v>
      </c>
      <c r="L1433" s="65"/>
      <c r="M1433" s="62" t="s">
        <v>825</v>
      </c>
      <c r="N1433" s="62" t="s">
        <v>663</v>
      </c>
      <c r="O1433" s="62" t="s">
        <v>371</v>
      </c>
      <c r="P1433" s="62" t="s">
        <v>2421</v>
      </c>
      <c r="Q1433" s="66" t="s">
        <v>1972</v>
      </c>
    </row>
    <row r="1434" spans="1:17" x14ac:dyDescent="0.3">
      <c r="A1434" s="61" t="s">
        <v>2193</v>
      </c>
      <c r="B1434" s="62" t="s">
        <v>1355</v>
      </c>
      <c r="C1434" s="62" t="s">
        <v>1354</v>
      </c>
      <c r="D1434" s="63">
        <v>45658</v>
      </c>
      <c r="E1434" s="63">
        <v>46796</v>
      </c>
      <c r="F1434" s="62" t="s">
        <v>287</v>
      </c>
      <c r="G1434" s="62" t="s">
        <v>396</v>
      </c>
      <c r="H1434" s="62" t="s">
        <v>467</v>
      </c>
      <c r="I1434" s="64">
        <v>144440</v>
      </c>
      <c r="J1434" s="62" t="s">
        <v>468</v>
      </c>
      <c r="K1434" s="62" t="s">
        <v>467</v>
      </c>
      <c r="L1434" s="65"/>
      <c r="M1434" s="62" t="s">
        <v>825</v>
      </c>
      <c r="N1434" s="62" t="s">
        <v>663</v>
      </c>
      <c r="O1434" s="62" t="s">
        <v>371</v>
      </c>
      <c r="P1434" s="62" t="s">
        <v>2421</v>
      </c>
      <c r="Q1434" s="66" t="s">
        <v>1972</v>
      </c>
    </row>
    <row r="1435" spans="1:17" x14ac:dyDescent="0.3">
      <c r="A1435" s="61" t="s">
        <v>2193</v>
      </c>
      <c r="B1435" s="62" t="s">
        <v>1355</v>
      </c>
      <c r="C1435" s="62" t="s">
        <v>1354</v>
      </c>
      <c r="D1435" s="63">
        <v>45658</v>
      </c>
      <c r="E1435" s="63">
        <v>46796</v>
      </c>
      <c r="F1435" s="62" t="s">
        <v>1959</v>
      </c>
      <c r="G1435" s="62" t="s">
        <v>588</v>
      </c>
      <c r="H1435" s="62" t="s">
        <v>467</v>
      </c>
      <c r="I1435" s="64">
        <v>288880</v>
      </c>
      <c r="J1435" s="62" t="s">
        <v>468</v>
      </c>
      <c r="K1435" s="62" t="s">
        <v>467</v>
      </c>
      <c r="L1435" s="65"/>
      <c r="M1435" s="62" t="s">
        <v>825</v>
      </c>
      <c r="N1435" s="62" t="s">
        <v>663</v>
      </c>
      <c r="O1435" s="62" t="s">
        <v>371</v>
      </c>
      <c r="P1435" s="62" t="s">
        <v>2421</v>
      </c>
      <c r="Q1435" s="66" t="s">
        <v>1972</v>
      </c>
    </row>
    <row r="1436" spans="1:17" x14ac:dyDescent="0.3">
      <c r="A1436" s="61" t="s">
        <v>2194</v>
      </c>
      <c r="B1436" s="62" t="s">
        <v>1356</v>
      </c>
      <c r="C1436" s="62" t="s">
        <v>1357</v>
      </c>
      <c r="D1436" s="63">
        <v>44477</v>
      </c>
      <c r="E1436" s="63">
        <v>46303</v>
      </c>
      <c r="F1436" s="62" t="s">
        <v>350</v>
      </c>
      <c r="G1436" s="62" t="s">
        <v>304</v>
      </c>
      <c r="H1436" s="62" t="s">
        <v>2420</v>
      </c>
      <c r="I1436" s="64">
        <v>4820000</v>
      </c>
      <c r="J1436" s="62" t="s">
        <v>2425</v>
      </c>
      <c r="K1436" s="62" t="s">
        <v>377</v>
      </c>
      <c r="L1436" s="65"/>
      <c r="M1436" s="62" t="s">
        <v>457</v>
      </c>
      <c r="N1436" s="62" t="s">
        <v>458</v>
      </c>
      <c r="O1436" s="62" t="s">
        <v>459</v>
      </c>
      <c r="P1436" s="62" t="s">
        <v>2421</v>
      </c>
      <c r="Q1436" s="66" t="s">
        <v>1971</v>
      </c>
    </row>
    <row r="1437" spans="1:17" x14ac:dyDescent="0.3">
      <c r="A1437" s="61" t="s">
        <v>2195</v>
      </c>
      <c r="B1437" s="62" t="s">
        <v>1358</v>
      </c>
      <c r="C1437" s="62" t="s">
        <v>1359</v>
      </c>
      <c r="D1437" s="63">
        <v>45525</v>
      </c>
      <c r="E1437" s="63">
        <v>46439</v>
      </c>
      <c r="F1437" s="62" t="s">
        <v>1936</v>
      </c>
      <c r="G1437" s="62" t="s">
        <v>602</v>
      </c>
      <c r="H1437" s="62" t="s">
        <v>467</v>
      </c>
      <c r="I1437" s="64">
        <v>497353.5</v>
      </c>
      <c r="J1437" s="62" t="s">
        <v>468</v>
      </c>
      <c r="K1437" s="62" t="s">
        <v>467</v>
      </c>
      <c r="L1437" s="65"/>
      <c r="M1437" s="62" t="s">
        <v>825</v>
      </c>
      <c r="N1437" s="62" t="s">
        <v>416</v>
      </c>
      <c r="O1437" s="62" t="s">
        <v>417</v>
      </c>
      <c r="P1437" s="62" t="s">
        <v>2421</v>
      </c>
      <c r="Q1437" s="66" t="s">
        <v>2021</v>
      </c>
    </row>
    <row r="1438" spans="1:17" x14ac:dyDescent="0.3">
      <c r="A1438" s="61" t="s">
        <v>2195</v>
      </c>
      <c r="B1438" s="62" t="s">
        <v>1358</v>
      </c>
      <c r="C1438" s="62" t="s">
        <v>1359</v>
      </c>
      <c r="D1438" s="63">
        <v>45525</v>
      </c>
      <c r="E1438" s="63">
        <v>46439</v>
      </c>
      <c r="F1438" s="62" t="s">
        <v>1936</v>
      </c>
      <c r="G1438" s="62" t="s">
        <v>605</v>
      </c>
      <c r="H1438" s="62" t="s">
        <v>467</v>
      </c>
      <c r="I1438" s="64">
        <v>497353.5</v>
      </c>
      <c r="J1438" s="62" t="s">
        <v>468</v>
      </c>
      <c r="K1438" s="62" t="s">
        <v>467</v>
      </c>
      <c r="L1438" s="65"/>
      <c r="M1438" s="62" t="s">
        <v>825</v>
      </c>
      <c r="N1438" s="62" t="s">
        <v>416</v>
      </c>
      <c r="O1438" s="62" t="s">
        <v>417</v>
      </c>
      <c r="P1438" s="62" t="s">
        <v>2421</v>
      </c>
      <c r="Q1438" s="66" t="s">
        <v>2021</v>
      </c>
    </row>
    <row r="1439" spans="1:17" x14ac:dyDescent="0.3">
      <c r="A1439" s="61" t="s">
        <v>2195</v>
      </c>
      <c r="B1439" s="62" t="s">
        <v>1358</v>
      </c>
      <c r="C1439" s="62" t="s">
        <v>1359</v>
      </c>
      <c r="D1439" s="63">
        <v>45525</v>
      </c>
      <c r="E1439" s="63">
        <v>46439</v>
      </c>
      <c r="F1439" s="62" t="s">
        <v>1936</v>
      </c>
      <c r="G1439" s="62" t="s">
        <v>602</v>
      </c>
      <c r="H1439" s="62" t="s">
        <v>2427</v>
      </c>
      <c r="I1439" s="64">
        <v>4344</v>
      </c>
      <c r="J1439" s="62" t="s">
        <v>1360</v>
      </c>
      <c r="K1439" s="62" t="s">
        <v>467</v>
      </c>
      <c r="L1439" s="65"/>
      <c r="M1439" s="62" t="s">
        <v>825</v>
      </c>
      <c r="N1439" s="62" t="s">
        <v>416</v>
      </c>
      <c r="O1439" s="62" t="s">
        <v>417</v>
      </c>
      <c r="P1439" s="62" t="s">
        <v>2421</v>
      </c>
      <c r="Q1439" s="66" t="s">
        <v>2021</v>
      </c>
    </row>
    <row r="1440" spans="1:17" x14ac:dyDescent="0.3">
      <c r="A1440" s="61" t="s">
        <v>2195</v>
      </c>
      <c r="B1440" s="62" t="s">
        <v>1358</v>
      </c>
      <c r="C1440" s="62" t="s">
        <v>1359</v>
      </c>
      <c r="D1440" s="63">
        <v>45525</v>
      </c>
      <c r="E1440" s="63">
        <v>46439</v>
      </c>
      <c r="F1440" s="62" t="s">
        <v>1936</v>
      </c>
      <c r="G1440" s="62" t="s">
        <v>605</v>
      </c>
      <c r="H1440" s="62" t="s">
        <v>2427</v>
      </c>
      <c r="I1440" s="64">
        <v>4344</v>
      </c>
      <c r="J1440" s="62" t="s">
        <v>1360</v>
      </c>
      <c r="K1440" s="62" t="s">
        <v>467</v>
      </c>
      <c r="L1440" s="65"/>
      <c r="M1440" s="62" t="s">
        <v>825</v>
      </c>
      <c r="N1440" s="62" t="s">
        <v>416</v>
      </c>
      <c r="O1440" s="62" t="s">
        <v>417</v>
      </c>
      <c r="P1440" s="62" t="s">
        <v>2421</v>
      </c>
      <c r="Q1440" s="66" t="s">
        <v>2021</v>
      </c>
    </row>
    <row r="1441" spans="1:17" x14ac:dyDescent="0.3">
      <c r="A1441" s="61" t="s">
        <v>2196</v>
      </c>
      <c r="B1441" s="62" t="s">
        <v>1361</v>
      </c>
      <c r="C1441" s="62" t="s">
        <v>1362</v>
      </c>
      <c r="D1441" s="63">
        <v>45413</v>
      </c>
      <c r="E1441" s="63">
        <v>46172</v>
      </c>
      <c r="F1441" s="62" t="s">
        <v>1959</v>
      </c>
      <c r="G1441" s="62" t="s">
        <v>466</v>
      </c>
      <c r="H1441" s="62" t="s">
        <v>467</v>
      </c>
      <c r="I1441" s="64">
        <v>213699.66666666701</v>
      </c>
      <c r="J1441" s="62" t="s">
        <v>999</v>
      </c>
      <c r="K1441" s="62" t="s">
        <v>467</v>
      </c>
      <c r="L1441" s="65"/>
      <c r="M1441" s="62" t="s">
        <v>825</v>
      </c>
      <c r="N1441" s="62" t="s">
        <v>799</v>
      </c>
      <c r="O1441" s="62" t="s">
        <v>428</v>
      </c>
      <c r="P1441" s="62" t="s">
        <v>2421</v>
      </c>
      <c r="Q1441" s="66" t="s">
        <v>2021</v>
      </c>
    </row>
    <row r="1442" spans="1:17" x14ac:dyDescent="0.3">
      <c r="A1442" s="61" t="s">
        <v>2196</v>
      </c>
      <c r="B1442" s="62" t="s">
        <v>1361</v>
      </c>
      <c r="C1442" s="62" t="s">
        <v>1362</v>
      </c>
      <c r="D1442" s="63">
        <v>45413</v>
      </c>
      <c r="E1442" s="63">
        <v>46172</v>
      </c>
      <c r="F1442" s="62" t="s">
        <v>1959</v>
      </c>
      <c r="G1442" s="62" t="s">
        <v>583</v>
      </c>
      <c r="H1442" s="62" t="s">
        <v>467</v>
      </c>
      <c r="I1442" s="64">
        <v>213699.66666666701</v>
      </c>
      <c r="J1442" s="62" t="s">
        <v>999</v>
      </c>
      <c r="K1442" s="62" t="s">
        <v>467</v>
      </c>
      <c r="L1442" s="65"/>
      <c r="M1442" s="62" t="s">
        <v>825</v>
      </c>
      <c r="N1442" s="62" t="s">
        <v>799</v>
      </c>
      <c r="O1442" s="62" t="s">
        <v>428</v>
      </c>
      <c r="P1442" s="62" t="s">
        <v>2421</v>
      </c>
      <c r="Q1442" s="66" t="s">
        <v>2021</v>
      </c>
    </row>
    <row r="1443" spans="1:17" x14ac:dyDescent="0.3">
      <c r="A1443" s="61" t="s">
        <v>2196</v>
      </c>
      <c r="B1443" s="62" t="s">
        <v>1361</v>
      </c>
      <c r="C1443" s="62" t="s">
        <v>1362</v>
      </c>
      <c r="D1443" s="63">
        <v>45413</v>
      </c>
      <c r="E1443" s="63">
        <v>46172</v>
      </c>
      <c r="F1443" s="62" t="s">
        <v>1959</v>
      </c>
      <c r="G1443" s="62" t="s">
        <v>475</v>
      </c>
      <c r="H1443" s="62" t="s">
        <v>467</v>
      </c>
      <c r="I1443" s="64">
        <v>213699.66666666701</v>
      </c>
      <c r="J1443" s="62" t="s">
        <v>999</v>
      </c>
      <c r="K1443" s="62" t="s">
        <v>467</v>
      </c>
      <c r="L1443" s="65"/>
      <c r="M1443" s="62" t="s">
        <v>825</v>
      </c>
      <c r="N1443" s="62" t="s">
        <v>799</v>
      </c>
      <c r="O1443" s="62" t="s">
        <v>428</v>
      </c>
      <c r="P1443" s="62" t="s">
        <v>2421</v>
      </c>
      <c r="Q1443" s="66" t="s">
        <v>2021</v>
      </c>
    </row>
    <row r="1444" spans="1:17" x14ac:dyDescent="0.3">
      <c r="A1444" s="61" t="s">
        <v>2197</v>
      </c>
      <c r="B1444" s="62" t="s">
        <v>1363</v>
      </c>
      <c r="C1444" s="62" t="s">
        <v>1364</v>
      </c>
      <c r="D1444" s="63">
        <v>45566</v>
      </c>
      <c r="E1444" s="63">
        <v>46661</v>
      </c>
      <c r="F1444" s="62" t="s">
        <v>350</v>
      </c>
      <c r="G1444" s="62" t="s">
        <v>350</v>
      </c>
      <c r="H1444" s="62" t="s">
        <v>467</v>
      </c>
      <c r="I1444" s="64">
        <v>720069</v>
      </c>
      <c r="J1444" s="62" t="s">
        <v>468</v>
      </c>
      <c r="K1444" s="62" t="s">
        <v>467</v>
      </c>
      <c r="L1444" s="65"/>
      <c r="M1444" s="62" t="s">
        <v>825</v>
      </c>
      <c r="N1444" s="62" t="s">
        <v>883</v>
      </c>
      <c r="O1444" s="62" t="s">
        <v>347</v>
      </c>
      <c r="P1444" s="62" t="s">
        <v>2421</v>
      </c>
      <c r="Q1444" s="66" t="s">
        <v>1965</v>
      </c>
    </row>
    <row r="1445" spans="1:17" x14ac:dyDescent="0.3">
      <c r="A1445" s="61" t="s">
        <v>2197</v>
      </c>
      <c r="B1445" s="62" t="s">
        <v>1363</v>
      </c>
      <c r="C1445" s="62" t="s">
        <v>1364</v>
      </c>
      <c r="D1445" s="63">
        <v>45566</v>
      </c>
      <c r="E1445" s="63">
        <v>46661</v>
      </c>
      <c r="F1445" s="62" t="s">
        <v>350</v>
      </c>
      <c r="G1445" s="62" t="s">
        <v>350</v>
      </c>
      <c r="H1445" s="62" t="s">
        <v>2427</v>
      </c>
      <c r="I1445" s="64">
        <v>49983</v>
      </c>
      <c r="J1445" s="62" t="s">
        <v>2483</v>
      </c>
      <c r="K1445" s="62" t="s">
        <v>467</v>
      </c>
      <c r="L1445" s="65"/>
      <c r="M1445" s="62" t="s">
        <v>825</v>
      </c>
      <c r="N1445" s="62" t="s">
        <v>883</v>
      </c>
      <c r="O1445" s="62" t="s">
        <v>347</v>
      </c>
      <c r="P1445" s="62" t="s">
        <v>2421</v>
      </c>
      <c r="Q1445" s="66" t="s">
        <v>1965</v>
      </c>
    </row>
    <row r="1446" spans="1:17" x14ac:dyDescent="0.3">
      <c r="A1446" s="61" t="s">
        <v>2198</v>
      </c>
      <c r="B1446" s="62" t="s">
        <v>1365</v>
      </c>
      <c r="C1446" s="62" t="s">
        <v>1366</v>
      </c>
      <c r="D1446" s="63">
        <v>45586</v>
      </c>
      <c r="E1446" s="63">
        <v>46498</v>
      </c>
      <c r="F1446" s="62" t="s">
        <v>1922</v>
      </c>
      <c r="G1446" s="62" t="s">
        <v>349</v>
      </c>
      <c r="H1446" s="62" t="s">
        <v>467</v>
      </c>
      <c r="I1446" s="64">
        <v>72240</v>
      </c>
      <c r="J1446" s="62" t="s">
        <v>468</v>
      </c>
      <c r="K1446" s="62" t="s">
        <v>467</v>
      </c>
      <c r="L1446" s="65"/>
      <c r="M1446" s="62" t="s">
        <v>825</v>
      </c>
      <c r="N1446" s="62" t="s">
        <v>2424</v>
      </c>
      <c r="O1446" s="62" t="s">
        <v>426</v>
      </c>
      <c r="P1446" s="62" t="s">
        <v>2421</v>
      </c>
      <c r="Q1446" s="66" t="s">
        <v>1975</v>
      </c>
    </row>
    <row r="1447" spans="1:17" x14ac:dyDescent="0.3">
      <c r="A1447" s="61" t="s">
        <v>2198</v>
      </c>
      <c r="B1447" s="62" t="s">
        <v>1365</v>
      </c>
      <c r="C1447" s="62" t="s">
        <v>1366</v>
      </c>
      <c r="D1447" s="63">
        <v>45586</v>
      </c>
      <c r="E1447" s="63">
        <v>46498</v>
      </c>
      <c r="F1447" s="62" t="s">
        <v>1959</v>
      </c>
      <c r="G1447" s="62" t="s">
        <v>612</v>
      </c>
      <c r="H1447" s="62" t="s">
        <v>467</v>
      </c>
      <c r="I1447" s="64">
        <v>72240</v>
      </c>
      <c r="J1447" s="62" t="s">
        <v>468</v>
      </c>
      <c r="K1447" s="62" t="s">
        <v>467</v>
      </c>
      <c r="L1447" s="65"/>
      <c r="M1447" s="62" t="s">
        <v>825</v>
      </c>
      <c r="N1447" s="62" t="s">
        <v>2424</v>
      </c>
      <c r="O1447" s="62" t="s">
        <v>426</v>
      </c>
      <c r="P1447" s="62" t="s">
        <v>2421</v>
      </c>
      <c r="Q1447" s="66" t="s">
        <v>1975</v>
      </c>
    </row>
    <row r="1448" spans="1:17" x14ac:dyDescent="0.3">
      <c r="A1448" s="61" t="s">
        <v>2198</v>
      </c>
      <c r="B1448" s="62" t="s">
        <v>1365</v>
      </c>
      <c r="C1448" s="62" t="s">
        <v>1366</v>
      </c>
      <c r="D1448" s="63">
        <v>45586</v>
      </c>
      <c r="E1448" s="63">
        <v>46498</v>
      </c>
      <c r="F1448" s="62" t="s">
        <v>1945</v>
      </c>
      <c r="G1448" s="62" t="s">
        <v>403</v>
      </c>
      <c r="H1448" s="62" t="s">
        <v>467</v>
      </c>
      <c r="I1448" s="64">
        <v>72240</v>
      </c>
      <c r="J1448" s="62" t="s">
        <v>468</v>
      </c>
      <c r="K1448" s="62" t="s">
        <v>467</v>
      </c>
      <c r="L1448" s="65"/>
      <c r="M1448" s="62" t="s">
        <v>825</v>
      </c>
      <c r="N1448" s="62" t="s">
        <v>2424</v>
      </c>
      <c r="O1448" s="62" t="s">
        <v>426</v>
      </c>
      <c r="P1448" s="62" t="s">
        <v>2421</v>
      </c>
      <c r="Q1448" s="66" t="s">
        <v>1975</v>
      </c>
    </row>
    <row r="1449" spans="1:17" x14ac:dyDescent="0.3">
      <c r="A1449" s="61" t="s">
        <v>2199</v>
      </c>
      <c r="B1449" s="62" t="s">
        <v>1368</v>
      </c>
      <c r="C1449" s="62" t="s">
        <v>1366</v>
      </c>
      <c r="D1449" s="63">
        <v>45658</v>
      </c>
      <c r="E1449" s="63">
        <v>46498</v>
      </c>
      <c r="F1449" s="62" t="s">
        <v>1922</v>
      </c>
      <c r="G1449" s="62" t="s">
        <v>349</v>
      </c>
      <c r="H1449" s="62" t="s">
        <v>467</v>
      </c>
      <c r="I1449" s="64">
        <v>72240</v>
      </c>
      <c r="J1449" s="62" t="s">
        <v>468</v>
      </c>
      <c r="K1449" s="62" t="s">
        <v>467</v>
      </c>
      <c r="L1449" s="65"/>
      <c r="M1449" s="62" t="s">
        <v>825</v>
      </c>
      <c r="N1449" s="62" t="s">
        <v>2424</v>
      </c>
      <c r="O1449" s="62" t="s">
        <v>426</v>
      </c>
      <c r="P1449" s="62" t="s">
        <v>2421</v>
      </c>
      <c r="Q1449" s="66" t="s">
        <v>1976</v>
      </c>
    </row>
    <row r="1450" spans="1:17" x14ac:dyDescent="0.3">
      <c r="A1450" s="61" t="s">
        <v>2199</v>
      </c>
      <c r="B1450" s="62" t="s">
        <v>1368</v>
      </c>
      <c r="C1450" s="62" t="s">
        <v>1366</v>
      </c>
      <c r="D1450" s="63">
        <v>45658</v>
      </c>
      <c r="E1450" s="63">
        <v>46498</v>
      </c>
      <c r="F1450" s="62" t="s">
        <v>1959</v>
      </c>
      <c r="G1450" s="62" t="s">
        <v>612</v>
      </c>
      <c r="H1450" s="62" t="s">
        <v>467</v>
      </c>
      <c r="I1450" s="64">
        <v>72240</v>
      </c>
      <c r="J1450" s="62" t="s">
        <v>468</v>
      </c>
      <c r="K1450" s="62" t="s">
        <v>467</v>
      </c>
      <c r="L1450" s="65"/>
      <c r="M1450" s="62" t="s">
        <v>825</v>
      </c>
      <c r="N1450" s="62" t="s">
        <v>2424</v>
      </c>
      <c r="O1450" s="62" t="s">
        <v>426</v>
      </c>
      <c r="P1450" s="62" t="s">
        <v>2421</v>
      </c>
      <c r="Q1450" s="66" t="s">
        <v>1976</v>
      </c>
    </row>
    <row r="1451" spans="1:17" x14ac:dyDescent="0.3">
      <c r="A1451" s="61" t="s">
        <v>2199</v>
      </c>
      <c r="B1451" s="62" t="s">
        <v>1368</v>
      </c>
      <c r="C1451" s="62" t="s">
        <v>1366</v>
      </c>
      <c r="D1451" s="63">
        <v>45658</v>
      </c>
      <c r="E1451" s="63">
        <v>46498</v>
      </c>
      <c r="F1451" s="62" t="s">
        <v>1945</v>
      </c>
      <c r="G1451" s="62" t="s">
        <v>403</v>
      </c>
      <c r="H1451" s="62" t="s">
        <v>467</v>
      </c>
      <c r="I1451" s="64">
        <v>72240</v>
      </c>
      <c r="J1451" s="62" t="s">
        <v>468</v>
      </c>
      <c r="K1451" s="62" t="s">
        <v>467</v>
      </c>
      <c r="L1451" s="65"/>
      <c r="M1451" s="62" t="s">
        <v>825</v>
      </c>
      <c r="N1451" s="62" t="s">
        <v>2424</v>
      </c>
      <c r="O1451" s="62" t="s">
        <v>426</v>
      </c>
      <c r="P1451" s="62" t="s">
        <v>2421</v>
      </c>
      <c r="Q1451" s="66" t="s">
        <v>1976</v>
      </c>
    </row>
    <row r="1452" spans="1:17" x14ac:dyDescent="0.3">
      <c r="A1452" s="61" t="s">
        <v>2200</v>
      </c>
      <c r="B1452" s="62" t="s">
        <v>1369</v>
      </c>
      <c r="C1452" s="62" t="s">
        <v>1370</v>
      </c>
      <c r="D1452" s="63">
        <v>45475</v>
      </c>
      <c r="E1452" s="63">
        <v>46024</v>
      </c>
      <c r="F1452" s="62" t="s">
        <v>1938</v>
      </c>
      <c r="G1452" s="62" t="s">
        <v>504</v>
      </c>
      <c r="H1452" s="62" t="s">
        <v>2420</v>
      </c>
      <c r="I1452" s="64">
        <v>100000</v>
      </c>
      <c r="J1452" s="62" t="s">
        <v>2425</v>
      </c>
      <c r="K1452" s="62" t="s">
        <v>377</v>
      </c>
      <c r="L1452" s="65"/>
      <c r="M1452" s="62" t="s">
        <v>1518</v>
      </c>
      <c r="N1452" s="62" t="s">
        <v>1230</v>
      </c>
      <c r="O1452" s="62" t="s">
        <v>459</v>
      </c>
      <c r="P1452" s="62" t="s">
        <v>2421</v>
      </c>
      <c r="Q1452" s="66" t="s">
        <v>1971</v>
      </c>
    </row>
    <row r="1453" spans="1:17" x14ac:dyDescent="0.3">
      <c r="A1453" s="61" t="s">
        <v>2201</v>
      </c>
      <c r="B1453" s="62" t="s">
        <v>1371</v>
      </c>
      <c r="C1453" s="62" t="s">
        <v>1372</v>
      </c>
      <c r="D1453" s="63">
        <v>45467</v>
      </c>
      <c r="E1453" s="63">
        <v>46197</v>
      </c>
      <c r="F1453" s="62" t="s">
        <v>1935</v>
      </c>
      <c r="G1453" s="62" t="s">
        <v>304</v>
      </c>
      <c r="H1453" s="62" t="s">
        <v>443</v>
      </c>
      <c r="I1453" s="64">
        <v>66659.199999999997</v>
      </c>
      <c r="J1453" s="62" t="s">
        <v>939</v>
      </c>
      <c r="K1453" s="62" t="s">
        <v>377</v>
      </c>
      <c r="L1453" s="65"/>
      <c r="M1453" s="62" t="s">
        <v>825</v>
      </c>
      <c r="N1453" s="62" t="s">
        <v>558</v>
      </c>
      <c r="O1453" s="62" t="s">
        <v>426</v>
      </c>
      <c r="P1453" s="62" t="s">
        <v>2421</v>
      </c>
      <c r="Q1453" s="66" t="s">
        <v>1972</v>
      </c>
    </row>
    <row r="1454" spans="1:17" x14ac:dyDescent="0.3">
      <c r="A1454" s="61" t="s">
        <v>2201</v>
      </c>
      <c r="B1454" s="62" t="s">
        <v>1371</v>
      </c>
      <c r="C1454" s="62" t="s">
        <v>1372</v>
      </c>
      <c r="D1454" s="63">
        <v>45467</v>
      </c>
      <c r="E1454" s="63">
        <v>46197</v>
      </c>
      <c r="F1454" s="62" t="s">
        <v>1921</v>
      </c>
      <c r="G1454" s="62" t="s">
        <v>304</v>
      </c>
      <c r="H1454" s="62" t="s">
        <v>443</v>
      </c>
      <c r="I1454" s="64">
        <v>66659.199999999997</v>
      </c>
      <c r="J1454" s="62" t="s">
        <v>939</v>
      </c>
      <c r="K1454" s="62" t="s">
        <v>377</v>
      </c>
      <c r="L1454" s="65"/>
      <c r="M1454" s="62" t="s">
        <v>825</v>
      </c>
      <c r="N1454" s="62" t="s">
        <v>558</v>
      </c>
      <c r="O1454" s="62" t="s">
        <v>426</v>
      </c>
      <c r="P1454" s="62" t="s">
        <v>2421</v>
      </c>
      <c r="Q1454" s="66" t="s">
        <v>1972</v>
      </c>
    </row>
    <row r="1455" spans="1:17" x14ac:dyDescent="0.3">
      <c r="A1455" s="61" t="s">
        <v>2201</v>
      </c>
      <c r="B1455" s="62" t="s">
        <v>1371</v>
      </c>
      <c r="C1455" s="62" t="s">
        <v>1372</v>
      </c>
      <c r="D1455" s="63">
        <v>45467</v>
      </c>
      <c r="E1455" s="63">
        <v>46197</v>
      </c>
      <c r="F1455" s="62" t="s">
        <v>348</v>
      </c>
      <c r="G1455" s="62" t="s">
        <v>304</v>
      </c>
      <c r="H1455" s="62" t="s">
        <v>443</v>
      </c>
      <c r="I1455" s="64">
        <v>66659.199999999997</v>
      </c>
      <c r="J1455" s="62" t="s">
        <v>939</v>
      </c>
      <c r="K1455" s="62" t="s">
        <v>377</v>
      </c>
      <c r="L1455" s="65"/>
      <c r="M1455" s="62" t="s">
        <v>825</v>
      </c>
      <c r="N1455" s="62" t="s">
        <v>558</v>
      </c>
      <c r="O1455" s="62" t="s">
        <v>426</v>
      </c>
      <c r="P1455" s="62" t="s">
        <v>2421</v>
      </c>
      <c r="Q1455" s="66" t="s">
        <v>1972</v>
      </c>
    </row>
    <row r="1456" spans="1:17" x14ac:dyDescent="0.3">
      <c r="A1456" s="61" t="s">
        <v>2201</v>
      </c>
      <c r="B1456" s="62" t="s">
        <v>1371</v>
      </c>
      <c r="C1456" s="62" t="s">
        <v>1372</v>
      </c>
      <c r="D1456" s="63">
        <v>45467</v>
      </c>
      <c r="E1456" s="63">
        <v>46197</v>
      </c>
      <c r="F1456" s="62" t="s">
        <v>1933</v>
      </c>
      <c r="G1456" s="62" t="s">
        <v>304</v>
      </c>
      <c r="H1456" s="62" t="s">
        <v>443</v>
      </c>
      <c r="I1456" s="64">
        <v>66659.199999999997</v>
      </c>
      <c r="J1456" s="62" t="s">
        <v>939</v>
      </c>
      <c r="K1456" s="62" t="s">
        <v>377</v>
      </c>
      <c r="L1456" s="65"/>
      <c r="M1456" s="62" t="s">
        <v>825</v>
      </c>
      <c r="N1456" s="62" t="s">
        <v>558</v>
      </c>
      <c r="O1456" s="62" t="s">
        <v>426</v>
      </c>
      <c r="P1456" s="62" t="s">
        <v>2421</v>
      </c>
      <c r="Q1456" s="66" t="s">
        <v>1972</v>
      </c>
    </row>
    <row r="1457" spans="1:17" x14ac:dyDescent="0.3">
      <c r="A1457" s="61" t="s">
        <v>2201</v>
      </c>
      <c r="B1457" s="62" t="s">
        <v>1371</v>
      </c>
      <c r="C1457" s="62" t="s">
        <v>1372</v>
      </c>
      <c r="D1457" s="63">
        <v>45467</v>
      </c>
      <c r="E1457" s="63">
        <v>46197</v>
      </c>
      <c r="F1457" s="62" t="s">
        <v>1937</v>
      </c>
      <c r="G1457" s="62" t="s">
        <v>304</v>
      </c>
      <c r="H1457" s="62" t="s">
        <v>443</v>
      </c>
      <c r="I1457" s="64">
        <v>66659.199999999997</v>
      </c>
      <c r="J1457" s="62" t="s">
        <v>939</v>
      </c>
      <c r="K1457" s="62" t="s">
        <v>377</v>
      </c>
      <c r="L1457" s="65"/>
      <c r="M1457" s="62" t="s">
        <v>825</v>
      </c>
      <c r="N1457" s="62" t="s">
        <v>558</v>
      </c>
      <c r="O1457" s="62" t="s">
        <v>426</v>
      </c>
      <c r="P1457" s="62" t="s">
        <v>2421</v>
      </c>
      <c r="Q1457" s="66" t="s">
        <v>1972</v>
      </c>
    </row>
    <row r="1458" spans="1:17" x14ac:dyDescent="0.3">
      <c r="A1458" s="61" t="s">
        <v>2201</v>
      </c>
      <c r="B1458" s="62" t="s">
        <v>1371</v>
      </c>
      <c r="C1458" s="62" t="s">
        <v>1372</v>
      </c>
      <c r="D1458" s="63">
        <v>45467</v>
      </c>
      <c r="E1458" s="63">
        <v>46197</v>
      </c>
      <c r="F1458" s="62" t="s">
        <v>1944</v>
      </c>
      <c r="G1458" s="62" t="s">
        <v>304</v>
      </c>
      <c r="H1458" s="62" t="s">
        <v>443</v>
      </c>
      <c r="I1458" s="64">
        <v>66659.199999999997</v>
      </c>
      <c r="J1458" s="62" t="s">
        <v>939</v>
      </c>
      <c r="K1458" s="62" t="s">
        <v>377</v>
      </c>
      <c r="L1458" s="65"/>
      <c r="M1458" s="62" t="s">
        <v>825</v>
      </c>
      <c r="N1458" s="62" t="s">
        <v>558</v>
      </c>
      <c r="O1458" s="62" t="s">
        <v>426</v>
      </c>
      <c r="P1458" s="62" t="s">
        <v>2421</v>
      </c>
      <c r="Q1458" s="66" t="s">
        <v>1972</v>
      </c>
    </row>
    <row r="1459" spans="1:17" x14ac:dyDescent="0.3">
      <c r="A1459" s="61" t="s">
        <v>2201</v>
      </c>
      <c r="B1459" s="62" t="s">
        <v>1371</v>
      </c>
      <c r="C1459" s="62" t="s">
        <v>1372</v>
      </c>
      <c r="D1459" s="63">
        <v>45467</v>
      </c>
      <c r="E1459" s="63">
        <v>46197</v>
      </c>
      <c r="F1459" s="62" t="s">
        <v>1930</v>
      </c>
      <c r="G1459" s="62" t="s">
        <v>304</v>
      </c>
      <c r="H1459" s="62" t="s">
        <v>443</v>
      </c>
      <c r="I1459" s="64">
        <v>66659.199999999997</v>
      </c>
      <c r="J1459" s="62" t="s">
        <v>939</v>
      </c>
      <c r="K1459" s="62" t="s">
        <v>377</v>
      </c>
      <c r="L1459" s="65"/>
      <c r="M1459" s="62" t="s">
        <v>825</v>
      </c>
      <c r="N1459" s="62" t="s">
        <v>558</v>
      </c>
      <c r="O1459" s="62" t="s">
        <v>426</v>
      </c>
      <c r="P1459" s="62" t="s">
        <v>2421</v>
      </c>
      <c r="Q1459" s="66" t="s">
        <v>1972</v>
      </c>
    </row>
    <row r="1460" spans="1:17" x14ac:dyDescent="0.3">
      <c r="A1460" s="61" t="s">
        <v>2201</v>
      </c>
      <c r="B1460" s="62" t="s">
        <v>1371</v>
      </c>
      <c r="C1460" s="62" t="s">
        <v>1372</v>
      </c>
      <c r="D1460" s="63">
        <v>45467</v>
      </c>
      <c r="E1460" s="63">
        <v>46197</v>
      </c>
      <c r="F1460" s="62" t="s">
        <v>288</v>
      </c>
      <c r="G1460" s="62" t="s">
        <v>304</v>
      </c>
      <c r="H1460" s="62" t="s">
        <v>443</v>
      </c>
      <c r="I1460" s="64">
        <v>66659.199999999997</v>
      </c>
      <c r="J1460" s="62" t="s">
        <v>939</v>
      </c>
      <c r="K1460" s="62" t="s">
        <v>377</v>
      </c>
      <c r="L1460" s="65"/>
      <c r="M1460" s="62" t="s">
        <v>825</v>
      </c>
      <c r="N1460" s="62" t="s">
        <v>558</v>
      </c>
      <c r="O1460" s="62" t="s">
        <v>426</v>
      </c>
      <c r="P1460" s="62" t="s">
        <v>2421</v>
      </c>
      <c r="Q1460" s="66" t="s">
        <v>1972</v>
      </c>
    </row>
    <row r="1461" spans="1:17" x14ac:dyDescent="0.3">
      <c r="A1461" s="61" t="s">
        <v>2201</v>
      </c>
      <c r="B1461" s="62" t="s">
        <v>1371</v>
      </c>
      <c r="C1461" s="62" t="s">
        <v>1372</v>
      </c>
      <c r="D1461" s="63">
        <v>45467</v>
      </c>
      <c r="E1461" s="63">
        <v>46197</v>
      </c>
      <c r="F1461" s="62" t="s">
        <v>280</v>
      </c>
      <c r="G1461" s="62" t="s">
        <v>304</v>
      </c>
      <c r="H1461" s="62" t="s">
        <v>443</v>
      </c>
      <c r="I1461" s="64">
        <v>66659.199999999997</v>
      </c>
      <c r="J1461" s="62" t="s">
        <v>939</v>
      </c>
      <c r="K1461" s="62" t="s">
        <v>377</v>
      </c>
      <c r="L1461" s="65"/>
      <c r="M1461" s="62" t="s">
        <v>825</v>
      </c>
      <c r="N1461" s="62" t="s">
        <v>558</v>
      </c>
      <c r="O1461" s="62" t="s">
        <v>426</v>
      </c>
      <c r="P1461" s="62" t="s">
        <v>2421</v>
      </c>
      <c r="Q1461" s="66" t="s">
        <v>1972</v>
      </c>
    </row>
    <row r="1462" spans="1:17" x14ac:dyDescent="0.3">
      <c r="A1462" s="61" t="s">
        <v>2201</v>
      </c>
      <c r="B1462" s="62" t="s">
        <v>1371</v>
      </c>
      <c r="C1462" s="62" t="s">
        <v>1372</v>
      </c>
      <c r="D1462" s="63">
        <v>45467</v>
      </c>
      <c r="E1462" s="63">
        <v>46197</v>
      </c>
      <c r="F1462" s="62" t="s">
        <v>1960</v>
      </c>
      <c r="G1462" s="62" t="s">
        <v>304</v>
      </c>
      <c r="H1462" s="62" t="s">
        <v>443</v>
      </c>
      <c r="I1462" s="64">
        <v>66659.199999999997</v>
      </c>
      <c r="J1462" s="62" t="s">
        <v>939</v>
      </c>
      <c r="K1462" s="62" t="s">
        <v>377</v>
      </c>
      <c r="L1462" s="65"/>
      <c r="M1462" s="62" t="s">
        <v>825</v>
      </c>
      <c r="N1462" s="62" t="s">
        <v>558</v>
      </c>
      <c r="O1462" s="62" t="s">
        <v>426</v>
      </c>
      <c r="P1462" s="62" t="s">
        <v>2421</v>
      </c>
      <c r="Q1462" s="66" t="s">
        <v>1972</v>
      </c>
    </row>
    <row r="1463" spans="1:17" x14ac:dyDescent="0.3">
      <c r="A1463" s="61" t="s">
        <v>2201</v>
      </c>
      <c r="B1463" s="62" t="s">
        <v>1371</v>
      </c>
      <c r="C1463" s="62" t="s">
        <v>1372</v>
      </c>
      <c r="D1463" s="63">
        <v>45467</v>
      </c>
      <c r="E1463" s="63">
        <v>46197</v>
      </c>
      <c r="F1463" s="62" t="s">
        <v>1938</v>
      </c>
      <c r="G1463" s="62" t="s">
        <v>304</v>
      </c>
      <c r="H1463" s="62" t="s">
        <v>443</v>
      </c>
      <c r="I1463" s="64">
        <v>66659.199999999997</v>
      </c>
      <c r="J1463" s="62" t="s">
        <v>939</v>
      </c>
      <c r="K1463" s="62" t="s">
        <v>377</v>
      </c>
      <c r="L1463" s="65"/>
      <c r="M1463" s="62" t="s">
        <v>825</v>
      </c>
      <c r="N1463" s="62" t="s">
        <v>558</v>
      </c>
      <c r="O1463" s="62" t="s">
        <v>426</v>
      </c>
      <c r="P1463" s="62" t="s">
        <v>2421</v>
      </c>
      <c r="Q1463" s="66" t="s">
        <v>1972</v>
      </c>
    </row>
    <row r="1464" spans="1:17" x14ac:dyDescent="0.3">
      <c r="A1464" s="61" t="s">
        <v>2201</v>
      </c>
      <c r="B1464" s="62" t="s">
        <v>1371</v>
      </c>
      <c r="C1464" s="62" t="s">
        <v>1372</v>
      </c>
      <c r="D1464" s="63">
        <v>45467</v>
      </c>
      <c r="E1464" s="63">
        <v>46197</v>
      </c>
      <c r="F1464" s="62" t="s">
        <v>1959</v>
      </c>
      <c r="G1464" s="62" t="s">
        <v>304</v>
      </c>
      <c r="H1464" s="62" t="s">
        <v>443</v>
      </c>
      <c r="I1464" s="64">
        <v>66659.199999999997</v>
      </c>
      <c r="J1464" s="62" t="s">
        <v>939</v>
      </c>
      <c r="K1464" s="62" t="s">
        <v>377</v>
      </c>
      <c r="L1464" s="65"/>
      <c r="M1464" s="62" t="s">
        <v>825</v>
      </c>
      <c r="N1464" s="62" t="s">
        <v>558</v>
      </c>
      <c r="O1464" s="62" t="s">
        <v>426</v>
      </c>
      <c r="P1464" s="62" t="s">
        <v>2421</v>
      </c>
      <c r="Q1464" s="66" t="s">
        <v>1972</v>
      </c>
    </row>
    <row r="1465" spans="1:17" x14ac:dyDescent="0.3">
      <c r="A1465" s="61" t="s">
        <v>2201</v>
      </c>
      <c r="B1465" s="62" t="s">
        <v>1371</v>
      </c>
      <c r="C1465" s="62" t="s">
        <v>1372</v>
      </c>
      <c r="D1465" s="63">
        <v>45467</v>
      </c>
      <c r="E1465" s="63">
        <v>46197</v>
      </c>
      <c r="F1465" s="62" t="s">
        <v>1936</v>
      </c>
      <c r="G1465" s="62" t="s">
        <v>304</v>
      </c>
      <c r="H1465" s="62" t="s">
        <v>443</v>
      </c>
      <c r="I1465" s="64">
        <v>66659.199999999997</v>
      </c>
      <c r="J1465" s="62" t="s">
        <v>939</v>
      </c>
      <c r="K1465" s="62" t="s">
        <v>377</v>
      </c>
      <c r="L1465" s="65"/>
      <c r="M1465" s="62" t="s">
        <v>825</v>
      </c>
      <c r="N1465" s="62" t="s">
        <v>558</v>
      </c>
      <c r="O1465" s="62" t="s">
        <v>426</v>
      </c>
      <c r="P1465" s="62" t="s">
        <v>2421</v>
      </c>
      <c r="Q1465" s="66" t="s">
        <v>1972</v>
      </c>
    </row>
    <row r="1466" spans="1:17" x14ac:dyDescent="0.3">
      <c r="A1466" s="61" t="s">
        <v>2201</v>
      </c>
      <c r="B1466" s="62" t="s">
        <v>1371</v>
      </c>
      <c r="C1466" s="62" t="s">
        <v>1372</v>
      </c>
      <c r="D1466" s="63">
        <v>45467</v>
      </c>
      <c r="E1466" s="63">
        <v>46197</v>
      </c>
      <c r="F1466" s="62" t="s">
        <v>287</v>
      </c>
      <c r="G1466" s="62" t="s">
        <v>304</v>
      </c>
      <c r="H1466" s="62" t="s">
        <v>443</v>
      </c>
      <c r="I1466" s="64">
        <v>66659.199999999997</v>
      </c>
      <c r="J1466" s="62" t="s">
        <v>939</v>
      </c>
      <c r="K1466" s="62" t="s">
        <v>377</v>
      </c>
      <c r="L1466" s="65"/>
      <c r="M1466" s="62" t="s">
        <v>825</v>
      </c>
      <c r="N1466" s="62" t="s">
        <v>558</v>
      </c>
      <c r="O1466" s="62" t="s">
        <v>426</v>
      </c>
      <c r="P1466" s="62" t="s">
        <v>2421</v>
      </c>
      <c r="Q1466" s="66" t="s">
        <v>1972</v>
      </c>
    </row>
    <row r="1467" spans="1:17" x14ac:dyDescent="0.3">
      <c r="A1467" s="61" t="s">
        <v>2201</v>
      </c>
      <c r="B1467" s="62" t="s">
        <v>1371</v>
      </c>
      <c r="C1467" s="62" t="s">
        <v>1372</v>
      </c>
      <c r="D1467" s="63">
        <v>45467</v>
      </c>
      <c r="E1467" s="63">
        <v>46197</v>
      </c>
      <c r="F1467" s="62" t="s">
        <v>1945</v>
      </c>
      <c r="G1467" s="62" t="s">
        <v>304</v>
      </c>
      <c r="H1467" s="62" t="s">
        <v>443</v>
      </c>
      <c r="I1467" s="64">
        <v>66659.199999999997</v>
      </c>
      <c r="J1467" s="62" t="s">
        <v>939</v>
      </c>
      <c r="K1467" s="62" t="s">
        <v>377</v>
      </c>
      <c r="L1467" s="65"/>
      <c r="M1467" s="62" t="s">
        <v>825</v>
      </c>
      <c r="N1467" s="62" t="s">
        <v>558</v>
      </c>
      <c r="O1467" s="62" t="s">
        <v>426</v>
      </c>
      <c r="P1467" s="62" t="s">
        <v>2421</v>
      </c>
      <c r="Q1467" s="66" t="s">
        <v>1972</v>
      </c>
    </row>
    <row r="1468" spans="1:17" x14ac:dyDescent="0.3">
      <c r="A1468" s="61" t="s">
        <v>2202</v>
      </c>
      <c r="B1468" s="62" t="s">
        <v>1373</v>
      </c>
      <c r="C1468" s="62" t="s">
        <v>1374</v>
      </c>
      <c r="D1468" s="63">
        <v>45366</v>
      </c>
      <c r="E1468" s="63">
        <v>46279</v>
      </c>
      <c r="F1468" s="62" t="s">
        <v>287</v>
      </c>
      <c r="G1468" s="62" t="s">
        <v>589</v>
      </c>
      <c r="H1468" s="62" t="s">
        <v>467</v>
      </c>
      <c r="I1468" s="64">
        <v>462781.5</v>
      </c>
      <c r="J1468" s="62" t="s">
        <v>468</v>
      </c>
      <c r="K1468" s="62" t="s">
        <v>467</v>
      </c>
      <c r="L1468" s="65"/>
      <c r="M1468" s="62" t="s">
        <v>825</v>
      </c>
      <c r="N1468" s="62" t="s">
        <v>378</v>
      </c>
      <c r="O1468" s="62" t="s">
        <v>371</v>
      </c>
      <c r="P1468" s="62" t="s">
        <v>2421</v>
      </c>
      <c r="Q1468" s="66" t="s">
        <v>1972</v>
      </c>
    </row>
    <row r="1469" spans="1:17" x14ac:dyDescent="0.3">
      <c r="A1469" s="61" t="s">
        <v>2202</v>
      </c>
      <c r="B1469" s="62" t="s">
        <v>1373</v>
      </c>
      <c r="C1469" s="62" t="s">
        <v>1374</v>
      </c>
      <c r="D1469" s="63">
        <v>45366</v>
      </c>
      <c r="E1469" s="63">
        <v>46279</v>
      </c>
      <c r="F1469" s="62" t="s">
        <v>287</v>
      </c>
      <c r="G1469" s="62" t="s">
        <v>396</v>
      </c>
      <c r="H1469" s="62" t="s">
        <v>467</v>
      </c>
      <c r="I1469" s="64">
        <v>462781.5</v>
      </c>
      <c r="J1469" s="62" t="s">
        <v>468</v>
      </c>
      <c r="K1469" s="62" t="s">
        <v>467</v>
      </c>
      <c r="L1469" s="65"/>
      <c r="M1469" s="62" t="s">
        <v>825</v>
      </c>
      <c r="N1469" s="62" t="s">
        <v>378</v>
      </c>
      <c r="O1469" s="62" t="s">
        <v>371</v>
      </c>
      <c r="P1469" s="62" t="s">
        <v>2421</v>
      </c>
      <c r="Q1469" s="66" t="s">
        <v>1972</v>
      </c>
    </row>
    <row r="1470" spans="1:17" x14ac:dyDescent="0.3">
      <c r="A1470" s="61" t="s">
        <v>2203</v>
      </c>
      <c r="B1470" s="62" t="s">
        <v>1376</v>
      </c>
      <c r="C1470" s="62" t="s">
        <v>1377</v>
      </c>
      <c r="D1470" s="63">
        <v>45614</v>
      </c>
      <c r="E1470" s="63">
        <v>46521</v>
      </c>
      <c r="F1470" s="62" t="s">
        <v>1933</v>
      </c>
      <c r="G1470" s="62" t="s">
        <v>304</v>
      </c>
      <c r="H1470" s="62" t="s">
        <v>2420</v>
      </c>
      <c r="I1470" s="64">
        <v>250000</v>
      </c>
      <c r="J1470" s="62" t="s">
        <v>2425</v>
      </c>
      <c r="K1470" s="62" t="s">
        <v>377</v>
      </c>
      <c r="L1470" s="65"/>
      <c r="M1470" s="62" t="s">
        <v>2443</v>
      </c>
      <c r="N1470" s="62" t="s">
        <v>364</v>
      </c>
      <c r="O1470" s="62" t="s">
        <v>365</v>
      </c>
      <c r="P1470" s="62" t="s">
        <v>2421</v>
      </c>
      <c r="Q1470" s="66" t="s">
        <v>1969</v>
      </c>
    </row>
    <row r="1471" spans="1:17" x14ac:dyDescent="0.3">
      <c r="A1471" s="61" t="s">
        <v>2203</v>
      </c>
      <c r="B1471" s="62" t="s">
        <v>1376</v>
      </c>
      <c r="C1471" s="62" t="s">
        <v>1377</v>
      </c>
      <c r="D1471" s="63">
        <v>45614</v>
      </c>
      <c r="E1471" s="63">
        <v>46521</v>
      </c>
      <c r="F1471" s="62" t="s">
        <v>1943</v>
      </c>
      <c r="G1471" s="62" t="s">
        <v>304</v>
      </c>
      <c r="H1471" s="62" t="s">
        <v>2420</v>
      </c>
      <c r="I1471" s="64">
        <v>250000</v>
      </c>
      <c r="J1471" s="62" t="s">
        <v>2425</v>
      </c>
      <c r="K1471" s="62" t="s">
        <v>377</v>
      </c>
      <c r="L1471" s="65"/>
      <c r="M1471" s="62" t="s">
        <v>2443</v>
      </c>
      <c r="N1471" s="62" t="s">
        <v>364</v>
      </c>
      <c r="O1471" s="62" t="s">
        <v>365</v>
      </c>
      <c r="P1471" s="62" t="s">
        <v>2421</v>
      </c>
      <c r="Q1471" s="66" t="s">
        <v>1969</v>
      </c>
    </row>
    <row r="1472" spans="1:17" x14ac:dyDescent="0.3">
      <c r="A1472" s="61" t="s">
        <v>2203</v>
      </c>
      <c r="B1472" s="62" t="s">
        <v>1376</v>
      </c>
      <c r="C1472" s="62" t="s">
        <v>1377</v>
      </c>
      <c r="D1472" s="63">
        <v>45614</v>
      </c>
      <c r="E1472" s="63">
        <v>46521</v>
      </c>
      <c r="F1472" s="62" t="s">
        <v>1934</v>
      </c>
      <c r="G1472" s="62" t="s">
        <v>304</v>
      </c>
      <c r="H1472" s="62" t="s">
        <v>2420</v>
      </c>
      <c r="I1472" s="64">
        <v>250000</v>
      </c>
      <c r="J1472" s="62" t="s">
        <v>2425</v>
      </c>
      <c r="K1472" s="62" t="s">
        <v>377</v>
      </c>
      <c r="L1472" s="65"/>
      <c r="M1472" s="62" t="s">
        <v>2443</v>
      </c>
      <c r="N1472" s="62" t="s">
        <v>364</v>
      </c>
      <c r="O1472" s="62" t="s">
        <v>365</v>
      </c>
      <c r="P1472" s="62" t="s">
        <v>2421</v>
      </c>
      <c r="Q1472" s="66" t="s">
        <v>1969</v>
      </c>
    </row>
    <row r="1473" spans="1:17" x14ac:dyDescent="0.3">
      <c r="A1473" s="61" t="s">
        <v>2203</v>
      </c>
      <c r="B1473" s="62" t="s">
        <v>1376</v>
      </c>
      <c r="C1473" s="62" t="s">
        <v>1377</v>
      </c>
      <c r="D1473" s="63">
        <v>45614</v>
      </c>
      <c r="E1473" s="63">
        <v>46521</v>
      </c>
      <c r="F1473" s="62" t="s">
        <v>280</v>
      </c>
      <c r="G1473" s="62" t="s">
        <v>304</v>
      </c>
      <c r="H1473" s="62" t="s">
        <v>2420</v>
      </c>
      <c r="I1473" s="64">
        <v>250000</v>
      </c>
      <c r="J1473" s="62" t="s">
        <v>2425</v>
      </c>
      <c r="K1473" s="62" t="s">
        <v>377</v>
      </c>
      <c r="L1473" s="65"/>
      <c r="M1473" s="62" t="s">
        <v>2443</v>
      </c>
      <c r="N1473" s="62" t="s">
        <v>364</v>
      </c>
      <c r="O1473" s="62" t="s">
        <v>365</v>
      </c>
      <c r="P1473" s="62" t="s">
        <v>2421</v>
      </c>
      <c r="Q1473" s="66" t="s">
        <v>1969</v>
      </c>
    </row>
    <row r="1474" spans="1:17" x14ac:dyDescent="0.3">
      <c r="A1474" s="61" t="s">
        <v>2203</v>
      </c>
      <c r="B1474" s="62" t="s">
        <v>1376</v>
      </c>
      <c r="C1474" s="62" t="s">
        <v>1377</v>
      </c>
      <c r="D1474" s="63">
        <v>45614</v>
      </c>
      <c r="E1474" s="63">
        <v>46521</v>
      </c>
      <c r="F1474" s="62" t="s">
        <v>1941</v>
      </c>
      <c r="G1474" s="62" t="s">
        <v>304</v>
      </c>
      <c r="H1474" s="62" t="s">
        <v>2420</v>
      </c>
      <c r="I1474" s="64">
        <v>250000</v>
      </c>
      <c r="J1474" s="62" t="s">
        <v>2425</v>
      </c>
      <c r="K1474" s="62" t="s">
        <v>377</v>
      </c>
      <c r="L1474" s="65"/>
      <c r="M1474" s="62" t="s">
        <v>2443</v>
      </c>
      <c r="N1474" s="62" t="s">
        <v>364</v>
      </c>
      <c r="O1474" s="62" t="s">
        <v>365</v>
      </c>
      <c r="P1474" s="62" t="s">
        <v>2421</v>
      </c>
      <c r="Q1474" s="66" t="s">
        <v>1969</v>
      </c>
    </row>
    <row r="1475" spans="1:17" x14ac:dyDescent="0.3">
      <c r="A1475" s="61" t="s">
        <v>2204</v>
      </c>
      <c r="B1475" s="62" t="s">
        <v>1378</v>
      </c>
      <c r="C1475" s="62" t="s">
        <v>1379</v>
      </c>
      <c r="D1475" s="63">
        <v>45427</v>
      </c>
      <c r="E1475" s="63">
        <v>46521</v>
      </c>
      <c r="F1475" s="62" t="s">
        <v>287</v>
      </c>
      <c r="G1475" s="62" t="s">
        <v>589</v>
      </c>
      <c r="H1475" s="62" t="s">
        <v>467</v>
      </c>
      <c r="I1475" s="64">
        <v>488609.5</v>
      </c>
      <c r="J1475" s="62" t="s">
        <v>999</v>
      </c>
      <c r="K1475" s="62" t="s">
        <v>467</v>
      </c>
      <c r="L1475" s="65"/>
      <c r="M1475" s="62" t="s">
        <v>825</v>
      </c>
      <c r="N1475" s="62" t="s">
        <v>671</v>
      </c>
      <c r="O1475" s="62" t="s">
        <v>426</v>
      </c>
      <c r="P1475" s="62" t="s">
        <v>2421</v>
      </c>
      <c r="Q1475" s="66" t="s">
        <v>1970</v>
      </c>
    </row>
    <row r="1476" spans="1:17" x14ac:dyDescent="0.3">
      <c r="A1476" s="61" t="s">
        <v>2204</v>
      </c>
      <c r="B1476" s="62" t="s">
        <v>1378</v>
      </c>
      <c r="C1476" s="62" t="s">
        <v>1379</v>
      </c>
      <c r="D1476" s="63">
        <v>45427</v>
      </c>
      <c r="E1476" s="63">
        <v>46521</v>
      </c>
      <c r="F1476" s="62" t="s">
        <v>287</v>
      </c>
      <c r="G1476" s="62" t="s">
        <v>396</v>
      </c>
      <c r="H1476" s="62" t="s">
        <v>467</v>
      </c>
      <c r="I1476" s="64">
        <v>488609.5</v>
      </c>
      <c r="J1476" s="62" t="s">
        <v>999</v>
      </c>
      <c r="K1476" s="62" t="s">
        <v>467</v>
      </c>
      <c r="L1476" s="65"/>
      <c r="M1476" s="62" t="s">
        <v>825</v>
      </c>
      <c r="N1476" s="62" t="s">
        <v>671</v>
      </c>
      <c r="O1476" s="62" t="s">
        <v>426</v>
      </c>
      <c r="P1476" s="62" t="s">
        <v>2421</v>
      </c>
      <c r="Q1476" s="66" t="s">
        <v>1970</v>
      </c>
    </row>
    <row r="1477" spans="1:17" x14ac:dyDescent="0.3">
      <c r="A1477" s="61" t="s">
        <v>2205</v>
      </c>
      <c r="B1477" s="62" t="s">
        <v>1380</v>
      </c>
      <c r="C1477" s="62" t="s">
        <v>1381</v>
      </c>
      <c r="D1477" s="63">
        <v>45292</v>
      </c>
      <c r="E1477" s="63">
        <v>47118</v>
      </c>
      <c r="F1477" s="62" t="s">
        <v>1931</v>
      </c>
      <c r="G1477" s="62" t="s">
        <v>304</v>
      </c>
      <c r="H1477" s="62" t="s">
        <v>443</v>
      </c>
      <c r="I1477" s="64">
        <v>33524.142857142899</v>
      </c>
      <c r="J1477" s="62" t="s">
        <v>1382</v>
      </c>
      <c r="K1477" s="62" t="s">
        <v>1957</v>
      </c>
      <c r="L1477" s="65"/>
      <c r="M1477" s="62" t="s">
        <v>424</v>
      </c>
      <c r="N1477" s="62" t="s">
        <v>909</v>
      </c>
      <c r="O1477" s="62" t="s">
        <v>637</v>
      </c>
      <c r="P1477" s="62" t="s">
        <v>2421</v>
      </c>
      <c r="Q1477" s="66" t="s">
        <v>1968</v>
      </c>
    </row>
    <row r="1478" spans="1:17" x14ac:dyDescent="0.3">
      <c r="A1478" s="61" t="s">
        <v>2205</v>
      </c>
      <c r="B1478" s="62" t="s">
        <v>1380</v>
      </c>
      <c r="C1478" s="62" t="s">
        <v>1381</v>
      </c>
      <c r="D1478" s="63">
        <v>45292</v>
      </c>
      <c r="E1478" s="63">
        <v>47118</v>
      </c>
      <c r="F1478" s="62" t="s">
        <v>282</v>
      </c>
      <c r="G1478" s="62" t="s">
        <v>304</v>
      </c>
      <c r="H1478" s="62" t="s">
        <v>443</v>
      </c>
      <c r="I1478" s="64">
        <v>33524.142857142899</v>
      </c>
      <c r="J1478" s="62" t="s">
        <v>1382</v>
      </c>
      <c r="K1478" s="62" t="s">
        <v>1957</v>
      </c>
      <c r="L1478" s="65"/>
      <c r="M1478" s="62" t="s">
        <v>424</v>
      </c>
      <c r="N1478" s="62" t="s">
        <v>909</v>
      </c>
      <c r="O1478" s="62" t="s">
        <v>637</v>
      </c>
      <c r="P1478" s="62" t="s">
        <v>2421</v>
      </c>
      <c r="Q1478" s="66" t="s">
        <v>1968</v>
      </c>
    </row>
    <row r="1479" spans="1:17" x14ac:dyDescent="0.3">
      <c r="A1479" s="61" t="s">
        <v>2205</v>
      </c>
      <c r="B1479" s="62" t="s">
        <v>1380</v>
      </c>
      <c r="C1479" s="62" t="s">
        <v>1381</v>
      </c>
      <c r="D1479" s="63">
        <v>45292</v>
      </c>
      <c r="E1479" s="63">
        <v>47118</v>
      </c>
      <c r="F1479" s="62" t="s">
        <v>348</v>
      </c>
      <c r="G1479" s="62" t="s">
        <v>304</v>
      </c>
      <c r="H1479" s="62" t="s">
        <v>443</v>
      </c>
      <c r="I1479" s="64">
        <v>33524.142857142899</v>
      </c>
      <c r="J1479" s="62" t="s">
        <v>1382</v>
      </c>
      <c r="K1479" s="62" t="s">
        <v>1957</v>
      </c>
      <c r="L1479" s="65"/>
      <c r="M1479" s="62" t="s">
        <v>424</v>
      </c>
      <c r="N1479" s="62" t="s">
        <v>909</v>
      </c>
      <c r="O1479" s="62" t="s">
        <v>637</v>
      </c>
      <c r="P1479" s="62" t="s">
        <v>2421</v>
      </c>
      <c r="Q1479" s="66" t="s">
        <v>1968</v>
      </c>
    </row>
    <row r="1480" spans="1:17" x14ac:dyDescent="0.3">
      <c r="A1480" s="61" t="s">
        <v>2205</v>
      </c>
      <c r="B1480" s="62" t="s">
        <v>1380</v>
      </c>
      <c r="C1480" s="62" t="s">
        <v>1381</v>
      </c>
      <c r="D1480" s="63">
        <v>45292</v>
      </c>
      <c r="E1480" s="63">
        <v>47118</v>
      </c>
      <c r="F1480" s="62" t="s">
        <v>1937</v>
      </c>
      <c r="G1480" s="62" t="s">
        <v>304</v>
      </c>
      <c r="H1480" s="62" t="s">
        <v>443</v>
      </c>
      <c r="I1480" s="64">
        <v>33524.142857142899</v>
      </c>
      <c r="J1480" s="62" t="s">
        <v>1382</v>
      </c>
      <c r="K1480" s="62" t="s">
        <v>1957</v>
      </c>
      <c r="L1480" s="65"/>
      <c r="M1480" s="62" t="s">
        <v>424</v>
      </c>
      <c r="N1480" s="62" t="s">
        <v>909</v>
      </c>
      <c r="O1480" s="62" t="s">
        <v>637</v>
      </c>
      <c r="P1480" s="62" t="s">
        <v>2421</v>
      </c>
      <c r="Q1480" s="66" t="s">
        <v>1968</v>
      </c>
    </row>
    <row r="1481" spans="1:17" x14ac:dyDescent="0.3">
      <c r="A1481" s="61" t="s">
        <v>2205</v>
      </c>
      <c r="B1481" s="62" t="s">
        <v>1380</v>
      </c>
      <c r="C1481" s="62" t="s">
        <v>1381</v>
      </c>
      <c r="D1481" s="63">
        <v>45292</v>
      </c>
      <c r="E1481" s="63">
        <v>47118</v>
      </c>
      <c r="F1481" s="62" t="s">
        <v>1943</v>
      </c>
      <c r="G1481" s="62" t="s">
        <v>304</v>
      </c>
      <c r="H1481" s="62" t="s">
        <v>443</v>
      </c>
      <c r="I1481" s="64">
        <v>33524.142857142899</v>
      </c>
      <c r="J1481" s="62" t="s">
        <v>1382</v>
      </c>
      <c r="K1481" s="62" t="s">
        <v>1957</v>
      </c>
      <c r="L1481" s="65"/>
      <c r="M1481" s="62" t="s">
        <v>424</v>
      </c>
      <c r="N1481" s="62" t="s">
        <v>909</v>
      </c>
      <c r="O1481" s="62" t="s">
        <v>637</v>
      </c>
      <c r="P1481" s="62" t="s">
        <v>2421</v>
      </c>
      <c r="Q1481" s="66" t="s">
        <v>1968</v>
      </c>
    </row>
    <row r="1482" spans="1:17" x14ac:dyDescent="0.3">
      <c r="A1482" s="61" t="s">
        <v>2205</v>
      </c>
      <c r="B1482" s="62" t="s">
        <v>1380</v>
      </c>
      <c r="C1482" s="62" t="s">
        <v>1381</v>
      </c>
      <c r="D1482" s="63">
        <v>45292</v>
      </c>
      <c r="E1482" s="63">
        <v>47118</v>
      </c>
      <c r="F1482" s="62" t="s">
        <v>1959</v>
      </c>
      <c r="G1482" s="62" t="s">
        <v>304</v>
      </c>
      <c r="H1482" s="62" t="s">
        <v>443</v>
      </c>
      <c r="I1482" s="64">
        <v>33524.142857142899</v>
      </c>
      <c r="J1482" s="62" t="s">
        <v>1382</v>
      </c>
      <c r="K1482" s="62" t="s">
        <v>1957</v>
      </c>
      <c r="L1482" s="65"/>
      <c r="M1482" s="62" t="s">
        <v>424</v>
      </c>
      <c r="N1482" s="62" t="s">
        <v>909</v>
      </c>
      <c r="O1482" s="62" t="s">
        <v>637</v>
      </c>
      <c r="P1482" s="62" t="s">
        <v>2421</v>
      </c>
      <c r="Q1482" s="66" t="s">
        <v>1968</v>
      </c>
    </row>
    <row r="1483" spans="1:17" x14ac:dyDescent="0.3">
      <c r="A1483" s="61" t="s">
        <v>2205</v>
      </c>
      <c r="B1483" s="62" t="s">
        <v>1380</v>
      </c>
      <c r="C1483" s="62" t="s">
        <v>1381</v>
      </c>
      <c r="D1483" s="63">
        <v>45292</v>
      </c>
      <c r="E1483" s="63">
        <v>47118</v>
      </c>
      <c r="F1483" s="62" t="s">
        <v>1945</v>
      </c>
      <c r="G1483" s="62" t="s">
        <v>304</v>
      </c>
      <c r="H1483" s="62" t="s">
        <v>443</v>
      </c>
      <c r="I1483" s="64">
        <v>33524.142857142899</v>
      </c>
      <c r="J1483" s="62" t="s">
        <v>1382</v>
      </c>
      <c r="K1483" s="62" t="s">
        <v>1957</v>
      </c>
      <c r="L1483" s="65"/>
      <c r="M1483" s="62" t="s">
        <v>424</v>
      </c>
      <c r="N1483" s="62" t="s">
        <v>909</v>
      </c>
      <c r="O1483" s="62" t="s">
        <v>637</v>
      </c>
      <c r="P1483" s="62" t="s">
        <v>2421</v>
      </c>
      <c r="Q1483" s="66" t="s">
        <v>1968</v>
      </c>
    </row>
    <row r="1484" spans="1:17" x14ac:dyDescent="0.3">
      <c r="A1484" s="61" t="s">
        <v>2205</v>
      </c>
      <c r="B1484" s="62" t="s">
        <v>1380</v>
      </c>
      <c r="C1484" s="62" t="s">
        <v>1381</v>
      </c>
      <c r="D1484" s="63">
        <v>45292</v>
      </c>
      <c r="E1484" s="63">
        <v>47118</v>
      </c>
      <c r="F1484" s="62" t="s">
        <v>1931</v>
      </c>
      <c r="G1484" s="62" t="s">
        <v>304</v>
      </c>
      <c r="H1484" s="62" t="s">
        <v>360</v>
      </c>
      <c r="I1484" s="64">
        <v>257879.714285714</v>
      </c>
      <c r="J1484" s="62" t="s">
        <v>361</v>
      </c>
      <c r="K1484" s="62" t="s">
        <v>1957</v>
      </c>
      <c r="L1484" s="65"/>
      <c r="M1484" s="62" t="s">
        <v>424</v>
      </c>
      <c r="N1484" s="62" t="s">
        <v>909</v>
      </c>
      <c r="O1484" s="62" t="s">
        <v>637</v>
      </c>
      <c r="P1484" s="62" t="s">
        <v>2421</v>
      </c>
      <c r="Q1484" s="66" t="s">
        <v>1968</v>
      </c>
    </row>
    <row r="1485" spans="1:17" x14ac:dyDescent="0.3">
      <c r="A1485" s="61" t="s">
        <v>2205</v>
      </c>
      <c r="B1485" s="62" t="s">
        <v>1380</v>
      </c>
      <c r="C1485" s="62" t="s">
        <v>1381</v>
      </c>
      <c r="D1485" s="63">
        <v>45292</v>
      </c>
      <c r="E1485" s="63">
        <v>47118</v>
      </c>
      <c r="F1485" s="62" t="s">
        <v>282</v>
      </c>
      <c r="G1485" s="62" t="s">
        <v>304</v>
      </c>
      <c r="H1485" s="62" t="s">
        <v>360</v>
      </c>
      <c r="I1485" s="64">
        <v>257879.714285714</v>
      </c>
      <c r="J1485" s="62" t="s">
        <v>361</v>
      </c>
      <c r="K1485" s="62" t="s">
        <v>1957</v>
      </c>
      <c r="L1485" s="65"/>
      <c r="M1485" s="62" t="s">
        <v>424</v>
      </c>
      <c r="N1485" s="62" t="s">
        <v>909</v>
      </c>
      <c r="O1485" s="62" t="s">
        <v>637</v>
      </c>
      <c r="P1485" s="62" t="s">
        <v>2421</v>
      </c>
      <c r="Q1485" s="66" t="s">
        <v>1968</v>
      </c>
    </row>
    <row r="1486" spans="1:17" x14ac:dyDescent="0.3">
      <c r="A1486" s="61" t="s">
        <v>2205</v>
      </c>
      <c r="B1486" s="62" t="s">
        <v>1380</v>
      </c>
      <c r="C1486" s="62" t="s">
        <v>1381</v>
      </c>
      <c r="D1486" s="63">
        <v>45292</v>
      </c>
      <c r="E1486" s="63">
        <v>47118</v>
      </c>
      <c r="F1486" s="62" t="s">
        <v>348</v>
      </c>
      <c r="G1486" s="62" t="s">
        <v>304</v>
      </c>
      <c r="H1486" s="62" t="s">
        <v>360</v>
      </c>
      <c r="I1486" s="64">
        <v>257879.714285714</v>
      </c>
      <c r="J1486" s="62" t="s">
        <v>361</v>
      </c>
      <c r="K1486" s="62" t="s">
        <v>1957</v>
      </c>
      <c r="L1486" s="65"/>
      <c r="M1486" s="62" t="s">
        <v>424</v>
      </c>
      <c r="N1486" s="62" t="s">
        <v>909</v>
      </c>
      <c r="O1486" s="62" t="s">
        <v>637</v>
      </c>
      <c r="P1486" s="62" t="s">
        <v>2421</v>
      </c>
      <c r="Q1486" s="66" t="s">
        <v>1968</v>
      </c>
    </row>
    <row r="1487" spans="1:17" x14ac:dyDescent="0.3">
      <c r="A1487" s="61" t="s">
        <v>2205</v>
      </c>
      <c r="B1487" s="62" t="s">
        <v>1380</v>
      </c>
      <c r="C1487" s="62" t="s">
        <v>1381</v>
      </c>
      <c r="D1487" s="63">
        <v>45292</v>
      </c>
      <c r="E1487" s="63">
        <v>47118</v>
      </c>
      <c r="F1487" s="62" t="s">
        <v>1937</v>
      </c>
      <c r="G1487" s="62" t="s">
        <v>304</v>
      </c>
      <c r="H1487" s="62" t="s">
        <v>360</v>
      </c>
      <c r="I1487" s="64">
        <v>257879.714285714</v>
      </c>
      <c r="J1487" s="62" t="s">
        <v>361</v>
      </c>
      <c r="K1487" s="62" t="s">
        <v>1957</v>
      </c>
      <c r="L1487" s="65"/>
      <c r="M1487" s="62" t="s">
        <v>424</v>
      </c>
      <c r="N1487" s="62" t="s">
        <v>909</v>
      </c>
      <c r="O1487" s="62" t="s">
        <v>637</v>
      </c>
      <c r="P1487" s="62" t="s">
        <v>2421</v>
      </c>
      <c r="Q1487" s="66" t="s">
        <v>1968</v>
      </c>
    </row>
    <row r="1488" spans="1:17" x14ac:dyDescent="0.3">
      <c r="A1488" s="61" t="s">
        <v>2205</v>
      </c>
      <c r="B1488" s="62" t="s">
        <v>1380</v>
      </c>
      <c r="C1488" s="62" t="s">
        <v>1381</v>
      </c>
      <c r="D1488" s="63">
        <v>45292</v>
      </c>
      <c r="E1488" s="63">
        <v>47118</v>
      </c>
      <c r="F1488" s="62" t="s">
        <v>1943</v>
      </c>
      <c r="G1488" s="62" t="s">
        <v>304</v>
      </c>
      <c r="H1488" s="62" t="s">
        <v>360</v>
      </c>
      <c r="I1488" s="64">
        <v>257879.714285714</v>
      </c>
      <c r="J1488" s="62" t="s">
        <v>361</v>
      </c>
      <c r="K1488" s="62" t="s">
        <v>1957</v>
      </c>
      <c r="L1488" s="65"/>
      <c r="M1488" s="62" t="s">
        <v>424</v>
      </c>
      <c r="N1488" s="62" t="s">
        <v>909</v>
      </c>
      <c r="O1488" s="62" t="s">
        <v>637</v>
      </c>
      <c r="P1488" s="62" t="s">
        <v>2421</v>
      </c>
      <c r="Q1488" s="66" t="s">
        <v>1968</v>
      </c>
    </row>
    <row r="1489" spans="1:17" x14ac:dyDescent="0.3">
      <c r="A1489" s="61" t="s">
        <v>2205</v>
      </c>
      <c r="B1489" s="62" t="s">
        <v>1380</v>
      </c>
      <c r="C1489" s="62" t="s">
        <v>1381</v>
      </c>
      <c r="D1489" s="63">
        <v>45292</v>
      </c>
      <c r="E1489" s="63">
        <v>47118</v>
      </c>
      <c r="F1489" s="62" t="s">
        <v>1959</v>
      </c>
      <c r="G1489" s="62" t="s">
        <v>304</v>
      </c>
      <c r="H1489" s="62" t="s">
        <v>360</v>
      </c>
      <c r="I1489" s="64">
        <v>257879.714285714</v>
      </c>
      <c r="J1489" s="62" t="s">
        <v>361</v>
      </c>
      <c r="K1489" s="62" t="s">
        <v>1957</v>
      </c>
      <c r="L1489" s="65"/>
      <c r="M1489" s="62" t="s">
        <v>424</v>
      </c>
      <c r="N1489" s="62" t="s">
        <v>909</v>
      </c>
      <c r="O1489" s="62" t="s">
        <v>637</v>
      </c>
      <c r="P1489" s="62" t="s">
        <v>2421</v>
      </c>
      <c r="Q1489" s="66" t="s">
        <v>1968</v>
      </c>
    </row>
    <row r="1490" spans="1:17" x14ac:dyDescent="0.3">
      <c r="A1490" s="61" t="s">
        <v>2205</v>
      </c>
      <c r="B1490" s="62" t="s">
        <v>1380</v>
      </c>
      <c r="C1490" s="62" t="s">
        <v>1381</v>
      </c>
      <c r="D1490" s="63">
        <v>45292</v>
      </c>
      <c r="E1490" s="63">
        <v>47118</v>
      </c>
      <c r="F1490" s="62" t="s">
        <v>1945</v>
      </c>
      <c r="G1490" s="62" t="s">
        <v>304</v>
      </c>
      <c r="H1490" s="62" t="s">
        <v>360</v>
      </c>
      <c r="I1490" s="64">
        <v>257879.714285714</v>
      </c>
      <c r="J1490" s="62" t="s">
        <v>361</v>
      </c>
      <c r="K1490" s="62" t="s">
        <v>1957</v>
      </c>
      <c r="L1490" s="65"/>
      <c r="M1490" s="62" t="s">
        <v>424</v>
      </c>
      <c r="N1490" s="62" t="s">
        <v>909</v>
      </c>
      <c r="O1490" s="62" t="s">
        <v>637</v>
      </c>
      <c r="P1490" s="62" t="s">
        <v>2421</v>
      </c>
      <c r="Q1490" s="66" t="s">
        <v>1968</v>
      </c>
    </row>
    <row r="1491" spans="1:17" x14ac:dyDescent="0.3">
      <c r="A1491" s="61" t="s">
        <v>2206</v>
      </c>
      <c r="B1491" s="62" t="s">
        <v>1383</v>
      </c>
      <c r="C1491" s="62" t="s">
        <v>1384</v>
      </c>
      <c r="D1491" s="63">
        <v>44972</v>
      </c>
      <c r="E1491" s="63">
        <v>46357</v>
      </c>
      <c r="F1491" s="62" t="s">
        <v>282</v>
      </c>
      <c r="G1491" s="62" t="s">
        <v>283</v>
      </c>
      <c r="H1491" s="62" t="s">
        <v>462</v>
      </c>
      <c r="I1491" s="64">
        <v>1761439</v>
      </c>
      <c r="J1491" s="62" t="s">
        <v>1385</v>
      </c>
      <c r="K1491" s="62" t="s">
        <v>462</v>
      </c>
      <c r="L1491" s="65"/>
      <c r="M1491" s="62" t="s">
        <v>1518</v>
      </c>
      <c r="N1491" s="62" t="s">
        <v>486</v>
      </c>
      <c r="O1491" s="62" t="s">
        <v>465</v>
      </c>
      <c r="P1491" s="62" t="s">
        <v>2421</v>
      </c>
      <c r="Q1491" s="66" t="s">
        <v>1964</v>
      </c>
    </row>
    <row r="1492" spans="1:17" x14ac:dyDescent="0.3">
      <c r="A1492" s="61" t="s">
        <v>2207</v>
      </c>
      <c r="B1492" s="62" t="s">
        <v>1386</v>
      </c>
      <c r="C1492" s="62" t="s">
        <v>1387</v>
      </c>
      <c r="D1492" s="63">
        <v>45481</v>
      </c>
      <c r="E1492" s="63">
        <v>46053</v>
      </c>
      <c r="F1492" s="62" t="s">
        <v>1940</v>
      </c>
      <c r="G1492" s="62" t="s">
        <v>304</v>
      </c>
      <c r="H1492" s="62" t="s">
        <v>462</v>
      </c>
      <c r="I1492" s="64">
        <v>284196</v>
      </c>
      <c r="J1492" s="62" t="s">
        <v>1385</v>
      </c>
      <c r="K1492" s="62" t="s">
        <v>462</v>
      </c>
      <c r="L1492" s="65"/>
      <c r="M1492" s="62" t="s">
        <v>1518</v>
      </c>
      <c r="N1492" s="62" t="s">
        <v>486</v>
      </c>
      <c r="O1492" s="62" t="s">
        <v>465</v>
      </c>
      <c r="P1492" s="62" t="s">
        <v>2421</v>
      </c>
      <c r="Q1492" s="66" t="s">
        <v>1964</v>
      </c>
    </row>
    <row r="1493" spans="1:17" x14ac:dyDescent="0.3">
      <c r="A1493" s="61" t="s">
        <v>2208</v>
      </c>
      <c r="B1493" s="62" t="s">
        <v>1388</v>
      </c>
      <c r="C1493" s="62" t="s">
        <v>1389</v>
      </c>
      <c r="D1493" s="63">
        <v>45627</v>
      </c>
      <c r="E1493" s="63">
        <v>46173</v>
      </c>
      <c r="F1493" s="62" t="s">
        <v>350</v>
      </c>
      <c r="G1493" s="62" t="s">
        <v>350</v>
      </c>
      <c r="H1493" s="62" t="s">
        <v>2427</v>
      </c>
      <c r="I1493" s="64">
        <v>13994</v>
      </c>
      <c r="J1493" s="62" t="s">
        <v>2484</v>
      </c>
      <c r="K1493" s="62" t="s">
        <v>2433</v>
      </c>
      <c r="L1493" s="65"/>
      <c r="M1493" s="62" t="s">
        <v>825</v>
      </c>
      <c r="N1493" s="62" t="s">
        <v>558</v>
      </c>
      <c r="O1493" s="62" t="s">
        <v>426</v>
      </c>
      <c r="P1493" s="62" t="s">
        <v>2421</v>
      </c>
      <c r="Q1493" s="66" t="s">
        <v>2021</v>
      </c>
    </row>
    <row r="1494" spans="1:17" x14ac:dyDescent="0.3">
      <c r="A1494" s="61" t="s">
        <v>2208</v>
      </c>
      <c r="B1494" s="62" t="s">
        <v>1388</v>
      </c>
      <c r="C1494" s="62" t="s">
        <v>1389</v>
      </c>
      <c r="D1494" s="63">
        <v>45627</v>
      </c>
      <c r="E1494" s="63">
        <v>46173</v>
      </c>
      <c r="F1494" s="62" t="s">
        <v>350</v>
      </c>
      <c r="G1494" s="62" t="s">
        <v>350</v>
      </c>
      <c r="H1494" s="62" t="s">
        <v>467</v>
      </c>
      <c r="I1494" s="64">
        <v>1041270</v>
      </c>
      <c r="J1494" s="62" t="s">
        <v>468</v>
      </c>
      <c r="K1494" s="62" t="s">
        <v>2433</v>
      </c>
      <c r="L1494" s="65"/>
      <c r="M1494" s="62" t="s">
        <v>825</v>
      </c>
      <c r="N1494" s="62" t="s">
        <v>558</v>
      </c>
      <c r="O1494" s="62" t="s">
        <v>426</v>
      </c>
      <c r="P1494" s="62" t="s">
        <v>2421</v>
      </c>
      <c r="Q1494" s="66" t="s">
        <v>2021</v>
      </c>
    </row>
    <row r="1495" spans="1:17" x14ac:dyDescent="0.3">
      <c r="A1495" s="61" t="s">
        <v>2209</v>
      </c>
      <c r="B1495" s="62" t="s">
        <v>1390</v>
      </c>
      <c r="C1495" s="62" t="s">
        <v>1391</v>
      </c>
      <c r="D1495" s="63">
        <v>45363</v>
      </c>
      <c r="E1495" s="63">
        <v>46402</v>
      </c>
      <c r="F1495" s="62" t="s">
        <v>350</v>
      </c>
      <c r="G1495" s="62" t="s">
        <v>304</v>
      </c>
      <c r="H1495" s="62" t="s">
        <v>2426</v>
      </c>
      <c r="I1495" s="64">
        <v>41786.75</v>
      </c>
      <c r="J1495" s="62" t="s">
        <v>601</v>
      </c>
      <c r="K1495" s="62" t="s">
        <v>377</v>
      </c>
      <c r="L1495" s="65"/>
      <c r="M1495" s="62" t="s">
        <v>1518</v>
      </c>
      <c r="N1495" s="62" t="s">
        <v>531</v>
      </c>
      <c r="O1495" s="62" t="s">
        <v>459</v>
      </c>
      <c r="P1495" s="62" t="s">
        <v>2421</v>
      </c>
      <c r="Q1495" s="66" t="s">
        <v>1971</v>
      </c>
    </row>
    <row r="1496" spans="1:17" x14ac:dyDescent="0.3">
      <c r="A1496" s="61" t="s">
        <v>2209</v>
      </c>
      <c r="B1496" s="62" t="s">
        <v>1390</v>
      </c>
      <c r="C1496" s="62" t="s">
        <v>1391</v>
      </c>
      <c r="D1496" s="63">
        <v>45363</v>
      </c>
      <c r="E1496" s="63">
        <v>46402</v>
      </c>
      <c r="F1496" s="62" t="s">
        <v>1930</v>
      </c>
      <c r="G1496" s="62" t="s">
        <v>304</v>
      </c>
      <c r="H1496" s="62" t="s">
        <v>2426</v>
      </c>
      <c r="I1496" s="64">
        <v>41786.75</v>
      </c>
      <c r="J1496" s="62" t="s">
        <v>601</v>
      </c>
      <c r="K1496" s="62" t="s">
        <v>377</v>
      </c>
      <c r="L1496" s="65"/>
      <c r="M1496" s="62" t="s">
        <v>1518</v>
      </c>
      <c r="N1496" s="62" t="s">
        <v>531</v>
      </c>
      <c r="O1496" s="62" t="s">
        <v>459</v>
      </c>
      <c r="P1496" s="62" t="s">
        <v>2421</v>
      </c>
      <c r="Q1496" s="66" t="s">
        <v>1971</v>
      </c>
    </row>
    <row r="1497" spans="1:17" x14ac:dyDescent="0.3">
      <c r="A1497" s="61" t="s">
        <v>2209</v>
      </c>
      <c r="B1497" s="62" t="s">
        <v>1390</v>
      </c>
      <c r="C1497" s="62" t="s">
        <v>1391</v>
      </c>
      <c r="D1497" s="63">
        <v>45363</v>
      </c>
      <c r="E1497" s="63">
        <v>46402</v>
      </c>
      <c r="F1497" s="62" t="s">
        <v>1959</v>
      </c>
      <c r="G1497" s="62" t="s">
        <v>304</v>
      </c>
      <c r="H1497" s="62" t="s">
        <v>2426</v>
      </c>
      <c r="I1497" s="64">
        <v>41786.75</v>
      </c>
      <c r="J1497" s="62" t="s">
        <v>601</v>
      </c>
      <c r="K1497" s="62" t="s">
        <v>377</v>
      </c>
      <c r="L1497" s="65"/>
      <c r="M1497" s="62" t="s">
        <v>1518</v>
      </c>
      <c r="N1497" s="62" t="s">
        <v>531</v>
      </c>
      <c r="O1497" s="62" t="s">
        <v>459</v>
      </c>
      <c r="P1497" s="62" t="s">
        <v>2421</v>
      </c>
      <c r="Q1497" s="66" t="s">
        <v>1971</v>
      </c>
    </row>
    <row r="1498" spans="1:17" x14ac:dyDescent="0.3">
      <c r="A1498" s="61" t="s">
        <v>2209</v>
      </c>
      <c r="B1498" s="62" t="s">
        <v>1390</v>
      </c>
      <c r="C1498" s="62" t="s">
        <v>1391</v>
      </c>
      <c r="D1498" s="63">
        <v>45363</v>
      </c>
      <c r="E1498" s="63">
        <v>46402</v>
      </c>
      <c r="F1498" s="62" t="s">
        <v>1945</v>
      </c>
      <c r="G1498" s="62" t="s">
        <v>304</v>
      </c>
      <c r="H1498" s="62" t="s">
        <v>2426</v>
      </c>
      <c r="I1498" s="64">
        <v>41786.75</v>
      </c>
      <c r="J1498" s="62" t="s">
        <v>601</v>
      </c>
      <c r="K1498" s="62" t="s">
        <v>377</v>
      </c>
      <c r="L1498" s="65"/>
      <c r="M1498" s="62" t="s">
        <v>1518</v>
      </c>
      <c r="N1498" s="62" t="s">
        <v>531</v>
      </c>
      <c r="O1498" s="62" t="s">
        <v>459</v>
      </c>
      <c r="P1498" s="62" t="s">
        <v>2421</v>
      </c>
      <c r="Q1498" s="66" t="s">
        <v>1971</v>
      </c>
    </row>
    <row r="1499" spans="1:17" x14ac:dyDescent="0.3">
      <c r="A1499" s="61" t="s">
        <v>2210</v>
      </c>
      <c r="B1499" s="62" t="s">
        <v>1392</v>
      </c>
      <c r="C1499" s="62" t="s">
        <v>1393</v>
      </c>
      <c r="D1499" s="63">
        <v>45531</v>
      </c>
      <c r="E1499" s="63">
        <v>46626</v>
      </c>
      <c r="F1499" s="62" t="s">
        <v>348</v>
      </c>
      <c r="G1499" s="62" t="s">
        <v>304</v>
      </c>
      <c r="H1499" s="62" t="s">
        <v>377</v>
      </c>
      <c r="I1499" s="64">
        <v>5880743</v>
      </c>
      <c r="J1499" s="62" t="s">
        <v>542</v>
      </c>
      <c r="K1499" s="62" t="s">
        <v>377</v>
      </c>
      <c r="L1499" s="65"/>
      <c r="M1499" s="62" t="s">
        <v>825</v>
      </c>
      <c r="N1499" s="62" t="s">
        <v>673</v>
      </c>
      <c r="O1499" s="62" t="s">
        <v>371</v>
      </c>
      <c r="P1499" s="62" t="s">
        <v>2421</v>
      </c>
      <c r="Q1499" s="66" t="s">
        <v>1978</v>
      </c>
    </row>
    <row r="1500" spans="1:17" x14ac:dyDescent="0.3">
      <c r="A1500" s="61" t="s">
        <v>2211</v>
      </c>
      <c r="B1500" s="62" t="s">
        <v>1396</v>
      </c>
      <c r="C1500" s="62" t="s">
        <v>1397</v>
      </c>
      <c r="D1500" s="63">
        <v>45566</v>
      </c>
      <c r="E1500" s="63">
        <v>46053</v>
      </c>
      <c r="F1500" s="62" t="s">
        <v>350</v>
      </c>
      <c r="G1500" s="62" t="s">
        <v>304</v>
      </c>
      <c r="H1500" s="62" t="s">
        <v>462</v>
      </c>
      <c r="I1500" s="64">
        <v>276949</v>
      </c>
      <c r="J1500" s="62" t="s">
        <v>1385</v>
      </c>
      <c r="K1500" s="62" t="s">
        <v>462</v>
      </c>
      <c r="L1500" s="65"/>
      <c r="M1500" s="62" t="s">
        <v>1518</v>
      </c>
      <c r="N1500" s="62" t="s">
        <v>743</v>
      </c>
      <c r="O1500" s="62" t="s">
        <v>744</v>
      </c>
      <c r="P1500" s="62" t="s">
        <v>2421</v>
      </c>
      <c r="Q1500" s="66" t="s">
        <v>1971</v>
      </c>
    </row>
    <row r="1501" spans="1:17" x14ac:dyDescent="0.3">
      <c r="A1501" s="61" t="s">
        <v>2212</v>
      </c>
      <c r="B1501" s="62" t="s">
        <v>1398</v>
      </c>
      <c r="C1501" s="62" t="s">
        <v>1399</v>
      </c>
      <c r="D1501" s="63">
        <v>45621</v>
      </c>
      <c r="E1501" s="63">
        <v>46351</v>
      </c>
      <c r="F1501" s="62" t="s">
        <v>282</v>
      </c>
      <c r="G1501" s="62" t="s">
        <v>283</v>
      </c>
      <c r="H1501" s="62" t="s">
        <v>467</v>
      </c>
      <c r="I1501" s="64">
        <v>5959.3636363636397</v>
      </c>
      <c r="J1501" s="62" t="s">
        <v>468</v>
      </c>
      <c r="K1501" s="62" t="s">
        <v>467</v>
      </c>
      <c r="L1501" s="65"/>
      <c r="M1501" s="62" t="s">
        <v>2443</v>
      </c>
      <c r="N1501" s="62" t="s">
        <v>1272</v>
      </c>
      <c r="O1501" s="62" t="s">
        <v>571</v>
      </c>
      <c r="P1501" s="62" t="s">
        <v>2421</v>
      </c>
      <c r="Q1501" s="66" t="s">
        <v>1975</v>
      </c>
    </row>
    <row r="1502" spans="1:17" x14ac:dyDescent="0.3">
      <c r="A1502" s="61" t="s">
        <v>2212</v>
      </c>
      <c r="B1502" s="62" t="s">
        <v>1398</v>
      </c>
      <c r="C1502" s="62" t="s">
        <v>1399</v>
      </c>
      <c r="D1502" s="63">
        <v>45621</v>
      </c>
      <c r="E1502" s="63">
        <v>46351</v>
      </c>
      <c r="F1502" s="62" t="s">
        <v>282</v>
      </c>
      <c r="G1502" s="62" t="s">
        <v>816</v>
      </c>
      <c r="H1502" s="62" t="s">
        <v>467</v>
      </c>
      <c r="I1502" s="64">
        <v>5959.3636363636397</v>
      </c>
      <c r="J1502" s="62" t="s">
        <v>468</v>
      </c>
      <c r="K1502" s="62" t="s">
        <v>467</v>
      </c>
      <c r="L1502" s="65"/>
      <c r="M1502" s="62" t="s">
        <v>2443</v>
      </c>
      <c r="N1502" s="62" t="s">
        <v>1272</v>
      </c>
      <c r="O1502" s="62" t="s">
        <v>571</v>
      </c>
      <c r="P1502" s="62" t="s">
        <v>2421</v>
      </c>
      <c r="Q1502" s="66" t="s">
        <v>1975</v>
      </c>
    </row>
    <row r="1503" spans="1:17" x14ac:dyDescent="0.3">
      <c r="A1503" s="61" t="s">
        <v>2212</v>
      </c>
      <c r="B1503" s="62" t="s">
        <v>1398</v>
      </c>
      <c r="C1503" s="62" t="s">
        <v>1399</v>
      </c>
      <c r="D1503" s="63">
        <v>45621</v>
      </c>
      <c r="E1503" s="63">
        <v>46351</v>
      </c>
      <c r="F1503" s="62" t="s">
        <v>1959</v>
      </c>
      <c r="G1503" s="62" t="s">
        <v>612</v>
      </c>
      <c r="H1503" s="62" t="s">
        <v>467</v>
      </c>
      <c r="I1503" s="64">
        <v>5959.3636363636397</v>
      </c>
      <c r="J1503" s="62" t="s">
        <v>468</v>
      </c>
      <c r="K1503" s="62" t="s">
        <v>467</v>
      </c>
      <c r="L1503" s="65"/>
      <c r="M1503" s="62" t="s">
        <v>2443</v>
      </c>
      <c r="N1503" s="62" t="s">
        <v>1272</v>
      </c>
      <c r="O1503" s="62" t="s">
        <v>571</v>
      </c>
      <c r="P1503" s="62" t="s">
        <v>2421</v>
      </c>
      <c r="Q1503" s="66" t="s">
        <v>1975</v>
      </c>
    </row>
    <row r="1504" spans="1:17" x14ac:dyDescent="0.3">
      <c r="A1504" s="61" t="s">
        <v>2212</v>
      </c>
      <c r="B1504" s="62" t="s">
        <v>1398</v>
      </c>
      <c r="C1504" s="62" t="s">
        <v>1399</v>
      </c>
      <c r="D1504" s="63">
        <v>45621</v>
      </c>
      <c r="E1504" s="63">
        <v>46351</v>
      </c>
      <c r="F1504" s="62" t="s">
        <v>1959</v>
      </c>
      <c r="G1504" s="62" t="s">
        <v>795</v>
      </c>
      <c r="H1504" s="62" t="s">
        <v>467</v>
      </c>
      <c r="I1504" s="64">
        <v>5959.3636363636397</v>
      </c>
      <c r="J1504" s="62" t="s">
        <v>468</v>
      </c>
      <c r="K1504" s="62" t="s">
        <v>467</v>
      </c>
      <c r="L1504" s="65"/>
      <c r="M1504" s="62" t="s">
        <v>2443</v>
      </c>
      <c r="N1504" s="62" t="s">
        <v>1272</v>
      </c>
      <c r="O1504" s="62" t="s">
        <v>571</v>
      </c>
      <c r="P1504" s="62" t="s">
        <v>2421</v>
      </c>
      <c r="Q1504" s="66" t="s">
        <v>1975</v>
      </c>
    </row>
    <row r="1505" spans="1:17" x14ac:dyDescent="0.3">
      <c r="A1505" s="61" t="s">
        <v>2212</v>
      </c>
      <c r="B1505" s="62" t="s">
        <v>1398</v>
      </c>
      <c r="C1505" s="62" t="s">
        <v>1399</v>
      </c>
      <c r="D1505" s="63">
        <v>45621</v>
      </c>
      <c r="E1505" s="63">
        <v>46351</v>
      </c>
      <c r="F1505" s="62" t="s">
        <v>1931</v>
      </c>
      <c r="G1505" s="62" t="s">
        <v>1400</v>
      </c>
      <c r="H1505" s="62" t="s">
        <v>467</v>
      </c>
      <c r="I1505" s="64">
        <v>11918.727272727299</v>
      </c>
      <c r="J1505" s="62" t="s">
        <v>468</v>
      </c>
      <c r="K1505" s="62" t="s">
        <v>467</v>
      </c>
      <c r="L1505" s="65"/>
      <c r="M1505" s="62" t="s">
        <v>2443</v>
      </c>
      <c r="N1505" s="62" t="s">
        <v>1272</v>
      </c>
      <c r="O1505" s="62" t="s">
        <v>571</v>
      </c>
      <c r="P1505" s="62" t="s">
        <v>2421</v>
      </c>
      <c r="Q1505" s="66" t="s">
        <v>1975</v>
      </c>
    </row>
    <row r="1506" spans="1:17" x14ac:dyDescent="0.3">
      <c r="A1506" s="61" t="s">
        <v>2212</v>
      </c>
      <c r="B1506" s="62" t="s">
        <v>1398</v>
      </c>
      <c r="C1506" s="62" t="s">
        <v>1399</v>
      </c>
      <c r="D1506" s="63">
        <v>45621</v>
      </c>
      <c r="E1506" s="63">
        <v>46351</v>
      </c>
      <c r="F1506" s="62" t="s">
        <v>1921</v>
      </c>
      <c r="G1506" s="62" t="s">
        <v>487</v>
      </c>
      <c r="H1506" s="62" t="s">
        <v>467</v>
      </c>
      <c r="I1506" s="64">
        <v>11918.727272727299</v>
      </c>
      <c r="J1506" s="62" t="s">
        <v>468</v>
      </c>
      <c r="K1506" s="62" t="s">
        <v>467</v>
      </c>
      <c r="L1506" s="65"/>
      <c r="M1506" s="62" t="s">
        <v>2443</v>
      </c>
      <c r="N1506" s="62" t="s">
        <v>1272</v>
      </c>
      <c r="O1506" s="62" t="s">
        <v>571</v>
      </c>
      <c r="P1506" s="62" t="s">
        <v>2421</v>
      </c>
      <c r="Q1506" s="66" t="s">
        <v>1975</v>
      </c>
    </row>
    <row r="1507" spans="1:17" x14ac:dyDescent="0.3">
      <c r="A1507" s="61" t="s">
        <v>2212</v>
      </c>
      <c r="B1507" s="62" t="s">
        <v>1398</v>
      </c>
      <c r="C1507" s="62" t="s">
        <v>1399</v>
      </c>
      <c r="D1507" s="63">
        <v>45621</v>
      </c>
      <c r="E1507" s="63">
        <v>46351</v>
      </c>
      <c r="F1507" s="62" t="s">
        <v>348</v>
      </c>
      <c r="G1507" s="62" t="s">
        <v>348</v>
      </c>
      <c r="H1507" s="62" t="s">
        <v>467</v>
      </c>
      <c r="I1507" s="64">
        <v>11918.727272727299</v>
      </c>
      <c r="J1507" s="62" t="s">
        <v>468</v>
      </c>
      <c r="K1507" s="62" t="s">
        <v>467</v>
      </c>
      <c r="L1507" s="65"/>
      <c r="M1507" s="62" t="s">
        <v>2443</v>
      </c>
      <c r="N1507" s="62" t="s">
        <v>1272</v>
      </c>
      <c r="O1507" s="62" t="s">
        <v>571</v>
      </c>
      <c r="P1507" s="62" t="s">
        <v>2421</v>
      </c>
      <c r="Q1507" s="66" t="s">
        <v>1975</v>
      </c>
    </row>
    <row r="1508" spans="1:17" x14ac:dyDescent="0.3">
      <c r="A1508" s="61" t="s">
        <v>2212</v>
      </c>
      <c r="B1508" s="62" t="s">
        <v>1398</v>
      </c>
      <c r="C1508" s="62" t="s">
        <v>1399</v>
      </c>
      <c r="D1508" s="63">
        <v>45621</v>
      </c>
      <c r="E1508" s="63">
        <v>46351</v>
      </c>
      <c r="F1508" s="62" t="s">
        <v>1933</v>
      </c>
      <c r="G1508" s="62" t="s">
        <v>756</v>
      </c>
      <c r="H1508" s="62" t="s">
        <v>467</v>
      </c>
      <c r="I1508" s="64">
        <v>11918.727272727299</v>
      </c>
      <c r="J1508" s="62" t="s">
        <v>468</v>
      </c>
      <c r="K1508" s="62" t="s">
        <v>467</v>
      </c>
      <c r="L1508" s="65"/>
      <c r="M1508" s="62" t="s">
        <v>2443</v>
      </c>
      <c r="N1508" s="62" t="s">
        <v>1272</v>
      </c>
      <c r="O1508" s="62" t="s">
        <v>571</v>
      </c>
      <c r="P1508" s="62" t="s">
        <v>2421</v>
      </c>
      <c r="Q1508" s="66" t="s">
        <v>1975</v>
      </c>
    </row>
    <row r="1509" spans="1:17" x14ac:dyDescent="0.3">
      <c r="A1509" s="61" t="s">
        <v>2212</v>
      </c>
      <c r="B1509" s="62" t="s">
        <v>1398</v>
      </c>
      <c r="C1509" s="62" t="s">
        <v>1399</v>
      </c>
      <c r="D1509" s="63">
        <v>45621</v>
      </c>
      <c r="E1509" s="63">
        <v>46351</v>
      </c>
      <c r="F1509" s="62" t="s">
        <v>1922</v>
      </c>
      <c r="G1509" s="62" t="s">
        <v>553</v>
      </c>
      <c r="H1509" s="62" t="s">
        <v>467</v>
      </c>
      <c r="I1509" s="64">
        <v>11918.727272727299</v>
      </c>
      <c r="J1509" s="62" t="s">
        <v>468</v>
      </c>
      <c r="K1509" s="62" t="s">
        <v>467</v>
      </c>
      <c r="L1509" s="65"/>
      <c r="M1509" s="62" t="s">
        <v>2443</v>
      </c>
      <c r="N1509" s="62" t="s">
        <v>1272</v>
      </c>
      <c r="O1509" s="62" t="s">
        <v>571</v>
      </c>
      <c r="P1509" s="62" t="s">
        <v>2421</v>
      </c>
      <c r="Q1509" s="66" t="s">
        <v>1975</v>
      </c>
    </row>
    <row r="1510" spans="1:17" x14ac:dyDescent="0.3">
      <c r="A1510" s="61" t="s">
        <v>2212</v>
      </c>
      <c r="B1510" s="62" t="s">
        <v>1398</v>
      </c>
      <c r="C1510" s="62" t="s">
        <v>1399</v>
      </c>
      <c r="D1510" s="63">
        <v>45621</v>
      </c>
      <c r="E1510" s="63">
        <v>46351</v>
      </c>
      <c r="F1510" s="62" t="s">
        <v>1943</v>
      </c>
      <c r="G1510" s="62" t="s">
        <v>817</v>
      </c>
      <c r="H1510" s="62" t="s">
        <v>467</v>
      </c>
      <c r="I1510" s="64">
        <v>11918.727272727299</v>
      </c>
      <c r="J1510" s="62" t="s">
        <v>468</v>
      </c>
      <c r="K1510" s="62" t="s">
        <v>467</v>
      </c>
      <c r="L1510" s="65"/>
      <c r="M1510" s="62" t="s">
        <v>2443</v>
      </c>
      <c r="N1510" s="62" t="s">
        <v>1272</v>
      </c>
      <c r="O1510" s="62" t="s">
        <v>571</v>
      </c>
      <c r="P1510" s="62" t="s">
        <v>2421</v>
      </c>
      <c r="Q1510" s="66" t="s">
        <v>1975</v>
      </c>
    </row>
    <row r="1511" spans="1:17" x14ac:dyDescent="0.3">
      <c r="A1511" s="61" t="s">
        <v>2212</v>
      </c>
      <c r="B1511" s="62" t="s">
        <v>1398</v>
      </c>
      <c r="C1511" s="62" t="s">
        <v>1399</v>
      </c>
      <c r="D1511" s="63">
        <v>45621</v>
      </c>
      <c r="E1511" s="63">
        <v>46351</v>
      </c>
      <c r="F1511" s="62" t="s">
        <v>1936</v>
      </c>
      <c r="G1511" s="62" t="s">
        <v>411</v>
      </c>
      <c r="H1511" s="62" t="s">
        <v>467</v>
      </c>
      <c r="I1511" s="64">
        <v>11918.727272727299</v>
      </c>
      <c r="J1511" s="62" t="s">
        <v>468</v>
      </c>
      <c r="K1511" s="62" t="s">
        <v>467</v>
      </c>
      <c r="L1511" s="65"/>
      <c r="M1511" s="62" t="s">
        <v>2443</v>
      </c>
      <c r="N1511" s="62" t="s">
        <v>1272</v>
      </c>
      <c r="O1511" s="62" t="s">
        <v>571</v>
      </c>
      <c r="P1511" s="62" t="s">
        <v>2421</v>
      </c>
      <c r="Q1511" s="66" t="s">
        <v>1975</v>
      </c>
    </row>
    <row r="1512" spans="1:17" x14ac:dyDescent="0.3">
      <c r="A1512" s="61" t="s">
        <v>2212</v>
      </c>
      <c r="B1512" s="62" t="s">
        <v>1398</v>
      </c>
      <c r="C1512" s="62" t="s">
        <v>1399</v>
      </c>
      <c r="D1512" s="63">
        <v>45621</v>
      </c>
      <c r="E1512" s="63">
        <v>46351</v>
      </c>
      <c r="F1512" s="62" t="s">
        <v>287</v>
      </c>
      <c r="G1512" s="62" t="s">
        <v>396</v>
      </c>
      <c r="H1512" s="62" t="s">
        <v>467</v>
      </c>
      <c r="I1512" s="64">
        <v>11918.727272727299</v>
      </c>
      <c r="J1512" s="62" t="s">
        <v>468</v>
      </c>
      <c r="K1512" s="62" t="s">
        <v>467</v>
      </c>
      <c r="L1512" s="65"/>
      <c r="M1512" s="62" t="s">
        <v>2443</v>
      </c>
      <c r="N1512" s="62" t="s">
        <v>1272</v>
      </c>
      <c r="O1512" s="62" t="s">
        <v>571</v>
      </c>
      <c r="P1512" s="62" t="s">
        <v>2421</v>
      </c>
      <c r="Q1512" s="66" t="s">
        <v>1975</v>
      </c>
    </row>
    <row r="1513" spans="1:17" x14ac:dyDescent="0.3">
      <c r="A1513" s="61" t="s">
        <v>2212</v>
      </c>
      <c r="B1513" s="62" t="s">
        <v>1398</v>
      </c>
      <c r="C1513" s="62" t="s">
        <v>1399</v>
      </c>
      <c r="D1513" s="63">
        <v>45621</v>
      </c>
      <c r="E1513" s="63">
        <v>46351</v>
      </c>
      <c r="F1513" s="62" t="s">
        <v>1945</v>
      </c>
      <c r="G1513" s="62" t="s">
        <v>400</v>
      </c>
      <c r="H1513" s="62" t="s">
        <v>467</v>
      </c>
      <c r="I1513" s="64">
        <v>11918.727272727299</v>
      </c>
      <c r="J1513" s="62" t="s">
        <v>468</v>
      </c>
      <c r="K1513" s="62" t="s">
        <v>467</v>
      </c>
      <c r="L1513" s="65"/>
      <c r="M1513" s="62" t="s">
        <v>2443</v>
      </c>
      <c r="N1513" s="62" t="s">
        <v>1272</v>
      </c>
      <c r="O1513" s="62" t="s">
        <v>571</v>
      </c>
      <c r="P1513" s="62" t="s">
        <v>2421</v>
      </c>
      <c r="Q1513" s="66" t="s">
        <v>1975</v>
      </c>
    </row>
    <row r="1514" spans="1:17" x14ac:dyDescent="0.3">
      <c r="A1514" s="61" t="s">
        <v>2213</v>
      </c>
      <c r="B1514" s="62" t="s">
        <v>1401</v>
      </c>
      <c r="C1514" s="62" t="s">
        <v>1402</v>
      </c>
      <c r="D1514" s="63">
        <v>45594</v>
      </c>
      <c r="E1514" s="63">
        <v>47055</v>
      </c>
      <c r="F1514" s="62" t="s">
        <v>350</v>
      </c>
      <c r="G1514" s="62" t="s">
        <v>304</v>
      </c>
      <c r="H1514" s="62" t="s">
        <v>362</v>
      </c>
      <c r="I1514" s="64">
        <v>1079999</v>
      </c>
      <c r="J1514" s="62" t="s">
        <v>363</v>
      </c>
      <c r="K1514" s="62" t="s">
        <v>1957</v>
      </c>
      <c r="L1514" s="65"/>
      <c r="M1514" s="62" t="s">
        <v>1518</v>
      </c>
      <c r="N1514" s="62" t="s">
        <v>911</v>
      </c>
      <c r="O1514" s="62" t="s">
        <v>375</v>
      </c>
      <c r="P1514" s="62" t="s">
        <v>2421</v>
      </c>
      <c r="Q1514" s="66" t="s">
        <v>1968</v>
      </c>
    </row>
    <row r="1515" spans="1:17" x14ac:dyDescent="0.3">
      <c r="A1515" s="61" t="s">
        <v>2214</v>
      </c>
      <c r="B1515" s="62" t="s">
        <v>1403</v>
      </c>
      <c r="C1515" s="62" t="s">
        <v>1404</v>
      </c>
      <c r="D1515" s="63">
        <v>45587</v>
      </c>
      <c r="E1515" s="63">
        <v>46093</v>
      </c>
      <c r="F1515" s="62" t="s">
        <v>1922</v>
      </c>
      <c r="G1515" s="62" t="s">
        <v>304</v>
      </c>
      <c r="H1515" s="62" t="s">
        <v>467</v>
      </c>
      <c r="I1515" s="64">
        <v>97298</v>
      </c>
      <c r="J1515" s="62" t="s">
        <v>1394</v>
      </c>
      <c r="K1515" s="62" t="s">
        <v>467</v>
      </c>
      <c r="L1515" s="65"/>
      <c r="M1515" s="62" t="s">
        <v>2443</v>
      </c>
      <c r="N1515" s="62" t="s">
        <v>558</v>
      </c>
      <c r="O1515" s="62" t="s">
        <v>426</v>
      </c>
      <c r="P1515" s="62" t="s">
        <v>2421</v>
      </c>
      <c r="Q1515" s="66" t="s">
        <v>2021</v>
      </c>
    </row>
    <row r="1516" spans="1:17" x14ac:dyDescent="0.3">
      <c r="A1516" s="61" t="s">
        <v>2214</v>
      </c>
      <c r="B1516" s="62" t="s">
        <v>1403</v>
      </c>
      <c r="C1516" s="62" t="s">
        <v>1404</v>
      </c>
      <c r="D1516" s="63">
        <v>45587</v>
      </c>
      <c r="E1516" s="63">
        <v>46093</v>
      </c>
      <c r="F1516" s="62" t="s">
        <v>1922</v>
      </c>
      <c r="G1516" s="62" t="s">
        <v>304</v>
      </c>
      <c r="H1516" s="62" t="s">
        <v>2427</v>
      </c>
      <c r="I1516" s="64">
        <v>17854</v>
      </c>
      <c r="J1516" s="62" t="s">
        <v>802</v>
      </c>
      <c r="K1516" s="62" t="s">
        <v>467</v>
      </c>
      <c r="L1516" s="65"/>
      <c r="M1516" s="62" t="s">
        <v>2443</v>
      </c>
      <c r="N1516" s="62" t="s">
        <v>558</v>
      </c>
      <c r="O1516" s="62" t="s">
        <v>426</v>
      </c>
      <c r="P1516" s="62" t="s">
        <v>2421</v>
      </c>
      <c r="Q1516" s="66" t="s">
        <v>2021</v>
      </c>
    </row>
    <row r="1517" spans="1:17" x14ac:dyDescent="0.3">
      <c r="A1517" s="61" t="s">
        <v>2215</v>
      </c>
      <c r="B1517" s="62" t="s">
        <v>1405</v>
      </c>
      <c r="C1517" s="62" t="s">
        <v>1406</v>
      </c>
      <c r="D1517" s="63">
        <v>44197</v>
      </c>
      <c r="E1517" s="63">
        <v>46387</v>
      </c>
      <c r="F1517" s="62" t="s">
        <v>1939</v>
      </c>
      <c r="G1517" s="62" t="s">
        <v>304</v>
      </c>
      <c r="H1517" s="62" t="s">
        <v>533</v>
      </c>
      <c r="I1517" s="64">
        <v>734130.5</v>
      </c>
      <c r="J1517" s="62" t="s">
        <v>534</v>
      </c>
      <c r="K1517" s="62" t="s">
        <v>533</v>
      </c>
      <c r="L1517" s="65"/>
      <c r="M1517" s="62" t="s">
        <v>509</v>
      </c>
      <c r="N1517" s="62" t="s">
        <v>1407</v>
      </c>
      <c r="O1517" s="62" t="s">
        <v>744</v>
      </c>
      <c r="P1517" s="62" t="s">
        <v>2421</v>
      </c>
      <c r="Q1517" s="66" t="s">
        <v>1969</v>
      </c>
    </row>
    <row r="1518" spans="1:17" x14ac:dyDescent="0.3">
      <c r="A1518" s="61" t="s">
        <v>2215</v>
      </c>
      <c r="B1518" s="62" t="s">
        <v>1405</v>
      </c>
      <c r="C1518" s="62" t="s">
        <v>1406</v>
      </c>
      <c r="D1518" s="63">
        <v>44197</v>
      </c>
      <c r="E1518" s="63">
        <v>46387</v>
      </c>
      <c r="F1518" s="62" t="s">
        <v>287</v>
      </c>
      <c r="G1518" s="62" t="s">
        <v>304</v>
      </c>
      <c r="H1518" s="62" t="s">
        <v>533</v>
      </c>
      <c r="I1518" s="64">
        <v>734130.5</v>
      </c>
      <c r="J1518" s="62" t="s">
        <v>534</v>
      </c>
      <c r="K1518" s="62" t="s">
        <v>533</v>
      </c>
      <c r="L1518" s="65"/>
      <c r="M1518" s="62" t="s">
        <v>509</v>
      </c>
      <c r="N1518" s="62" t="s">
        <v>1407</v>
      </c>
      <c r="O1518" s="62" t="s">
        <v>744</v>
      </c>
      <c r="P1518" s="62" t="s">
        <v>2421</v>
      </c>
      <c r="Q1518" s="66" t="s">
        <v>1969</v>
      </c>
    </row>
    <row r="1519" spans="1:17" x14ac:dyDescent="0.3">
      <c r="A1519" s="61" t="s">
        <v>2216</v>
      </c>
      <c r="B1519" s="62" t="s">
        <v>1408</v>
      </c>
      <c r="C1519" s="62" t="s">
        <v>1409</v>
      </c>
      <c r="D1519" s="63">
        <v>45542</v>
      </c>
      <c r="E1519" s="63">
        <v>46083</v>
      </c>
      <c r="F1519" s="62" t="s">
        <v>1935</v>
      </c>
      <c r="G1519" s="62" t="s">
        <v>337</v>
      </c>
      <c r="H1519" s="62" t="s">
        <v>443</v>
      </c>
      <c r="I1519" s="64">
        <v>161453.95499999999</v>
      </c>
      <c r="J1519" s="62" t="s">
        <v>939</v>
      </c>
      <c r="K1519" s="62" t="s">
        <v>377</v>
      </c>
      <c r="L1519" s="65"/>
      <c r="M1519" s="62" t="s">
        <v>825</v>
      </c>
      <c r="N1519" s="62" t="s">
        <v>938</v>
      </c>
      <c r="O1519" s="62" t="s">
        <v>371</v>
      </c>
      <c r="P1519" s="62" t="s">
        <v>2421</v>
      </c>
      <c r="Q1519" s="66" t="s">
        <v>1972</v>
      </c>
    </row>
    <row r="1520" spans="1:17" x14ac:dyDescent="0.3">
      <c r="A1520" s="61" t="s">
        <v>2216</v>
      </c>
      <c r="B1520" s="62" t="s">
        <v>1408</v>
      </c>
      <c r="C1520" s="62" t="s">
        <v>1409</v>
      </c>
      <c r="D1520" s="63">
        <v>45542</v>
      </c>
      <c r="E1520" s="63">
        <v>46083</v>
      </c>
      <c r="F1520" s="62" t="s">
        <v>1935</v>
      </c>
      <c r="G1520" s="62" t="s">
        <v>1375</v>
      </c>
      <c r="H1520" s="62" t="s">
        <v>443</v>
      </c>
      <c r="I1520" s="64">
        <v>161453.95499999999</v>
      </c>
      <c r="J1520" s="62" t="s">
        <v>939</v>
      </c>
      <c r="K1520" s="62" t="s">
        <v>377</v>
      </c>
      <c r="L1520" s="65"/>
      <c r="M1520" s="62" t="s">
        <v>825</v>
      </c>
      <c r="N1520" s="62" t="s">
        <v>938</v>
      </c>
      <c r="O1520" s="62" t="s">
        <v>371</v>
      </c>
      <c r="P1520" s="62" t="s">
        <v>2421</v>
      </c>
      <c r="Q1520" s="66" t="s">
        <v>1972</v>
      </c>
    </row>
    <row r="1521" spans="1:17" x14ac:dyDescent="0.3">
      <c r="A1521" s="61" t="s">
        <v>2217</v>
      </c>
      <c r="B1521" s="62" t="s">
        <v>1410</v>
      </c>
      <c r="C1521" s="62" t="s">
        <v>1411</v>
      </c>
      <c r="D1521" s="63">
        <v>45672</v>
      </c>
      <c r="E1521" s="63">
        <v>46767</v>
      </c>
      <c r="F1521" s="62" t="s">
        <v>284</v>
      </c>
      <c r="G1521" s="62" t="s">
        <v>1350</v>
      </c>
      <c r="H1521" s="62" t="s">
        <v>373</v>
      </c>
      <c r="I1521" s="64">
        <v>103054.9</v>
      </c>
      <c r="J1521" s="62" t="s">
        <v>373</v>
      </c>
      <c r="K1521" s="62" t="s">
        <v>1693</v>
      </c>
      <c r="L1521" s="65"/>
      <c r="M1521" s="62" t="s">
        <v>1518</v>
      </c>
      <c r="N1521" s="62" t="s">
        <v>416</v>
      </c>
      <c r="O1521" s="62" t="s">
        <v>417</v>
      </c>
      <c r="P1521" s="62" t="s">
        <v>2421</v>
      </c>
      <c r="Q1521" s="66" t="s">
        <v>1989</v>
      </c>
    </row>
    <row r="1522" spans="1:17" x14ac:dyDescent="0.3">
      <c r="A1522" s="61" t="s">
        <v>2217</v>
      </c>
      <c r="B1522" s="62" t="s">
        <v>1410</v>
      </c>
      <c r="C1522" s="62" t="s">
        <v>1411</v>
      </c>
      <c r="D1522" s="63">
        <v>45672</v>
      </c>
      <c r="E1522" s="63">
        <v>46767</v>
      </c>
      <c r="F1522" s="62" t="s">
        <v>284</v>
      </c>
      <c r="G1522" s="62" t="s">
        <v>1412</v>
      </c>
      <c r="H1522" s="62" t="s">
        <v>373</v>
      </c>
      <c r="I1522" s="64">
        <v>103054.9</v>
      </c>
      <c r="J1522" s="62" t="s">
        <v>373</v>
      </c>
      <c r="K1522" s="62" t="s">
        <v>1693</v>
      </c>
      <c r="L1522" s="65"/>
      <c r="M1522" s="62" t="s">
        <v>1518</v>
      </c>
      <c r="N1522" s="62" t="s">
        <v>416</v>
      </c>
      <c r="O1522" s="62" t="s">
        <v>417</v>
      </c>
      <c r="P1522" s="62" t="s">
        <v>2421</v>
      </c>
      <c r="Q1522" s="66" t="s">
        <v>1989</v>
      </c>
    </row>
    <row r="1523" spans="1:17" x14ac:dyDescent="0.3">
      <c r="A1523" s="61" t="s">
        <v>2217</v>
      </c>
      <c r="B1523" s="62" t="s">
        <v>1410</v>
      </c>
      <c r="C1523" s="62" t="s">
        <v>1411</v>
      </c>
      <c r="D1523" s="63">
        <v>45672</v>
      </c>
      <c r="E1523" s="63">
        <v>46767</v>
      </c>
      <c r="F1523" s="62" t="s">
        <v>284</v>
      </c>
      <c r="G1523" s="62" t="s">
        <v>1413</v>
      </c>
      <c r="H1523" s="62" t="s">
        <v>373</v>
      </c>
      <c r="I1523" s="64">
        <v>103054.9</v>
      </c>
      <c r="J1523" s="62" t="s">
        <v>373</v>
      </c>
      <c r="K1523" s="62" t="s">
        <v>1693</v>
      </c>
      <c r="L1523" s="65"/>
      <c r="M1523" s="62" t="s">
        <v>1518</v>
      </c>
      <c r="N1523" s="62" t="s">
        <v>416</v>
      </c>
      <c r="O1523" s="62" t="s">
        <v>417</v>
      </c>
      <c r="P1523" s="62" t="s">
        <v>2421</v>
      </c>
      <c r="Q1523" s="66" t="s">
        <v>1989</v>
      </c>
    </row>
    <row r="1524" spans="1:17" x14ac:dyDescent="0.3">
      <c r="A1524" s="61" t="s">
        <v>2217</v>
      </c>
      <c r="B1524" s="62" t="s">
        <v>1410</v>
      </c>
      <c r="C1524" s="62" t="s">
        <v>1411</v>
      </c>
      <c r="D1524" s="63">
        <v>45672</v>
      </c>
      <c r="E1524" s="63">
        <v>46767</v>
      </c>
      <c r="F1524" s="62" t="s">
        <v>284</v>
      </c>
      <c r="G1524" s="62" t="s">
        <v>1414</v>
      </c>
      <c r="H1524" s="62" t="s">
        <v>373</v>
      </c>
      <c r="I1524" s="64">
        <v>103054.9</v>
      </c>
      <c r="J1524" s="62" t="s">
        <v>373</v>
      </c>
      <c r="K1524" s="62" t="s">
        <v>1693</v>
      </c>
      <c r="L1524" s="65"/>
      <c r="M1524" s="62" t="s">
        <v>1518</v>
      </c>
      <c r="N1524" s="62" t="s">
        <v>416</v>
      </c>
      <c r="O1524" s="62" t="s">
        <v>417</v>
      </c>
      <c r="P1524" s="62" t="s">
        <v>2421</v>
      </c>
      <c r="Q1524" s="66" t="s">
        <v>1989</v>
      </c>
    </row>
    <row r="1525" spans="1:17" x14ac:dyDescent="0.3">
      <c r="A1525" s="61" t="s">
        <v>2217</v>
      </c>
      <c r="B1525" s="62" t="s">
        <v>1410</v>
      </c>
      <c r="C1525" s="62" t="s">
        <v>1411</v>
      </c>
      <c r="D1525" s="63">
        <v>45672</v>
      </c>
      <c r="E1525" s="63">
        <v>46767</v>
      </c>
      <c r="F1525" s="62" t="s">
        <v>284</v>
      </c>
      <c r="G1525" s="62" t="s">
        <v>1415</v>
      </c>
      <c r="H1525" s="62" t="s">
        <v>373</v>
      </c>
      <c r="I1525" s="64">
        <v>103054.9</v>
      </c>
      <c r="J1525" s="62" t="s">
        <v>373</v>
      </c>
      <c r="K1525" s="62" t="s">
        <v>1693</v>
      </c>
      <c r="L1525" s="65"/>
      <c r="M1525" s="62" t="s">
        <v>1518</v>
      </c>
      <c r="N1525" s="62" t="s">
        <v>416</v>
      </c>
      <c r="O1525" s="62" t="s">
        <v>417</v>
      </c>
      <c r="P1525" s="62" t="s">
        <v>2421</v>
      </c>
      <c r="Q1525" s="66" t="s">
        <v>1989</v>
      </c>
    </row>
    <row r="1526" spans="1:17" x14ac:dyDescent="0.3">
      <c r="A1526" s="61" t="s">
        <v>2217</v>
      </c>
      <c r="B1526" s="62" t="s">
        <v>1410</v>
      </c>
      <c r="C1526" s="62" t="s">
        <v>1411</v>
      </c>
      <c r="D1526" s="63">
        <v>45672</v>
      </c>
      <c r="E1526" s="63">
        <v>46767</v>
      </c>
      <c r="F1526" s="62" t="s">
        <v>284</v>
      </c>
      <c r="G1526" s="62" t="s">
        <v>412</v>
      </c>
      <c r="H1526" s="62" t="s">
        <v>373</v>
      </c>
      <c r="I1526" s="64">
        <v>103054.9</v>
      </c>
      <c r="J1526" s="62" t="s">
        <v>373</v>
      </c>
      <c r="K1526" s="62" t="s">
        <v>1693</v>
      </c>
      <c r="L1526" s="65"/>
      <c r="M1526" s="62" t="s">
        <v>1518</v>
      </c>
      <c r="N1526" s="62" t="s">
        <v>416</v>
      </c>
      <c r="O1526" s="62" t="s">
        <v>417</v>
      </c>
      <c r="P1526" s="62" t="s">
        <v>2421</v>
      </c>
      <c r="Q1526" s="66" t="s">
        <v>1989</v>
      </c>
    </row>
    <row r="1527" spans="1:17" x14ac:dyDescent="0.3">
      <c r="A1527" s="61" t="s">
        <v>2217</v>
      </c>
      <c r="B1527" s="62" t="s">
        <v>1410</v>
      </c>
      <c r="C1527" s="62" t="s">
        <v>1411</v>
      </c>
      <c r="D1527" s="63">
        <v>45672</v>
      </c>
      <c r="E1527" s="63">
        <v>46767</v>
      </c>
      <c r="F1527" s="62" t="s">
        <v>284</v>
      </c>
      <c r="G1527" s="62" t="s">
        <v>288</v>
      </c>
      <c r="H1527" s="62" t="s">
        <v>373</v>
      </c>
      <c r="I1527" s="64">
        <v>103054.9</v>
      </c>
      <c r="J1527" s="62" t="s">
        <v>373</v>
      </c>
      <c r="K1527" s="62" t="s">
        <v>1693</v>
      </c>
      <c r="L1527" s="65"/>
      <c r="M1527" s="62" t="s">
        <v>1518</v>
      </c>
      <c r="N1527" s="62" t="s">
        <v>416</v>
      </c>
      <c r="O1527" s="62" t="s">
        <v>417</v>
      </c>
      <c r="P1527" s="62" t="s">
        <v>2421</v>
      </c>
      <c r="Q1527" s="66" t="s">
        <v>1989</v>
      </c>
    </row>
    <row r="1528" spans="1:17" x14ac:dyDescent="0.3">
      <c r="A1528" s="61" t="s">
        <v>2217</v>
      </c>
      <c r="B1528" s="62" t="s">
        <v>1410</v>
      </c>
      <c r="C1528" s="62" t="s">
        <v>1411</v>
      </c>
      <c r="D1528" s="63">
        <v>45672</v>
      </c>
      <c r="E1528" s="63">
        <v>46767</v>
      </c>
      <c r="F1528" s="62" t="s">
        <v>284</v>
      </c>
      <c r="G1528" s="62" t="s">
        <v>1416</v>
      </c>
      <c r="H1528" s="62" t="s">
        <v>373</v>
      </c>
      <c r="I1528" s="64">
        <v>103054.9</v>
      </c>
      <c r="J1528" s="62" t="s">
        <v>373</v>
      </c>
      <c r="K1528" s="62" t="s">
        <v>1693</v>
      </c>
      <c r="L1528" s="65"/>
      <c r="M1528" s="62" t="s">
        <v>1518</v>
      </c>
      <c r="N1528" s="62" t="s">
        <v>416</v>
      </c>
      <c r="O1528" s="62" t="s">
        <v>417</v>
      </c>
      <c r="P1528" s="62" t="s">
        <v>2421</v>
      </c>
      <c r="Q1528" s="66" t="s">
        <v>1989</v>
      </c>
    </row>
    <row r="1529" spans="1:17" x14ac:dyDescent="0.3">
      <c r="A1529" s="61" t="s">
        <v>2217</v>
      </c>
      <c r="B1529" s="62" t="s">
        <v>1410</v>
      </c>
      <c r="C1529" s="62" t="s">
        <v>1411</v>
      </c>
      <c r="D1529" s="63">
        <v>45672</v>
      </c>
      <c r="E1529" s="63">
        <v>46767</v>
      </c>
      <c r="F1529" s="62" t="s">
        <v>284</v>
      </c>
      <c r="G1529" s="62" t="s">
        <v>1417</v>
      </c>
      <c r="H1529" s="62" t="s">
        <v>373</v>
      </c>
      <c r="I1529" s="64">
        <v>103054.9</v>
      </c>
      <c r="J1529" s="62" t="s">
        <v>373</v>
      </c>
      <c r="K1529" s="62" t="s">
        <v>1693</v>
      </c>
      <c r="L1529" s="65"/>
      <c r="M1529" s="62" t="s">
        <v>1518</v>
      </c>
      <c r="N1529" s="62" t="s">
        <v>416</v>
      </c>
      <c r="O1529" s="62" t="s">
        <v>417</v>
      </c>
      <c r="P1529" s="62" t="s">
        <v>2421</v>
      </c>
      <c r="Q1529" s="66" t="s">
        <v>1989</v>
      </c>
    </row>
    <row r="1530" spans="1:17" x14ac:dyDescent="0.3">
      <c r="A1530" s="61" t="s">
        <v>2217</v>
      </c>
      <c r="B1530" s="62" t="s">
        <v>1410</v>
      </c>
      <c r="C1530" s="62" t="s">
        <v>1411</v>
      </c>
      <c r="D1530" s="63">
        <v>45672</v>
      </c>
      <c r="E1530" s="63">
        <v>46767</v>
      </c>
      <c r="F1530" s="62" t="s">
        <v>284</v>
      </c>
      <c r="G1530" s="62" t="s">
        <v>1418</v>
      </c>
      <c r="H1530" s="62" t="s">
        <v>373</v>
      </c>
      <c r="I1530" s="64">
        <v>103054.9</v>
      </c>
      <c r="J1530" s="62" t="s">
        <v>373</v>
      </c>
      <c r="K1530" s="62" t="s">
        <v>1693</v>
      </c>
      <c r="L1530" s="65"/>
      <c r="M1530" s="62" t="s">
        <v>1518</v>
      </c>
      <c r="N1530" s="62" t="s">
        <v>416</v>
      </c>
      <c r="O1530" s="62" t="s">
        <v>417</v>
      </c>
      <c r="P1530" s="62" t="s">
        <v>2421</v>
      </c>
      <c r="Q1530" s="66" t="s">
        <v>1989</v>
      </c>
    </row>
    <row r="1531" spans="1:17" x14ac:dyDescent="0.3">
      <c r="A1531" s="61" t="s">
        <v>2218</v>
      </c>
      <c r="B1531" s="62" t="s">
        <v>1419</v>
      </c>
      <c r="C1531" s="62" t="s">
        <v>1420</v>
      </c>
      <c r="D1531" s="63">
        <v>45474</v>
      </c>
      <c r="E1531" s="63">
        <v>46934</v>
      </c>
      <c r="F1531" s="62" t="s">
        <v>1922</v>
      </c>
      <c r="G1531" s="62" t="s">
        <v>1196</v>
      </c>
      <c r="H1531" s="62" t="s">
        <v>362</v>
      </c>
      <c r="I1531" s="64">
        <v>112027.08333333299</v>
      </c>
      <c r="J1531" s="62" t="s">
        <v>363</v>
      </c>
      <c r="K1531" s="62" t="s">
        <v>1957</v>
      </c>
      <c r="L1531" s="65"/>
      <c r="M1531" s="62" t="s">
        <v>825</v>
      </c>
      <c r="N1531" s="62" t="s">
        <v>551</v>
      </c>
      <c r="O1531" s="62" t="s">
        <v>428</v>
      </c>
      <c r="P1531" s="62" t="s">
        <v>2421</v>
      </c>
      <c r="Q1531" s="66" t="s">
        <v>2021</v>
      </c>
    </row>
    <row r="1532" spans="1:17" x14ac:dyDescent="0.3">
      <c r="A1532" s="61" t="s">
        <v>2218</v>
      </c>
      <c r="B1532" s="62" t="s">
        <v>1419</v>
      </c>
      <c r="C1532" s="62" t="s">
        <v>1420</v>
      </c>
      <c r="D1532" s="63">
        <v>45474</v>
      </c>
      <c r="E1532" s="63">
        <v>46934</v>
      </c>
      <c r="F1532" s="62" t="s">
        <v>1922</v>
      </c>
      <c r="G1532" s="62" t="s">
        <v>376</v>
      </c>
      <c r="H1532" s="62" t="s">
        <v>362</v>
      </c>
      <c r="I1532" s="64">
        <v>112027.08333333299</v>
      </c>
      <c r="J1532" s="62" t="s">
        <v>363</v>
      </c>
      <c r="K1532" s="62" t="s">
        <v>1957</v>
      </c>
      <c r="L1532" s="65"/>
      <c r="M1532" s="62" t="s">
        <v>825</v>
      </c>
      <c r="N1532" s="62" t="s">
        <v>551</v>
      </c>
      <c r="O1532" s="62" t="s">
        <v>428</v>
      </c>
      <c r="P1532" s="62" t="s">
        <v>2421</v>
      </c>
      <c r="Q1532" s="66" t="s">
        <v>2021</v>
      </c>
    </row>
    <row r="1533" spans="1:17" x14ac:dyDescent="0.3">
      <c r="A1533" s="61" t="s">
        <v>2218</v>
      </c>
      <c r="B1533" s="62" t="s">
        <v>1419</v>
      </c>
      <c r="C1533" s="62" t="s">
        <v>1420</v>
      </c>
      <c r="D1533" s="63">
        <v>45474</v>
      </c>
      <c r="E1533" s="63">
        <v>46934</v>
      </c>
      <c r="F1533" s="62" t="s">
        <v>1922</v>
      </c>
      <c r="G1533" s="62" t="s">
        <v>381</v>
      </c>
      <c r="H1533" s="62" t="s">
        <v>362</v>
      </c>
      <c r="I1533" s="64">
        <v>112027.08333333299</v>
      </c>
      <c r="J1533" s="62" t="s">
        <v>363</v>
      </c>
      <c r="K1533" s="62" t="s">
        <v>1957</v>
      </c>
      <c r="L1533" s="65"/>
      <c r="M1533" s="62" t="s">
        <v>825</v>
      </c>
      <c r="N1533" s="62" t="s">
        <v>551</v>
      </c>
      <c r="O1533" s="62" t="s">
        <v>428</v>
      </c>
      <c r="P1533" s="62" t="s">
        <v>2421</v>
      </c>
      <c r="Q1533" s="66" t="s">
        <v>2021</v>
      </c>
    </row>
    <row r="1534" spans="1:17" x14ac:dyDescent="0.3">
      <c r="A1534" s="61" t="s">
        <v>2218</v>
      </c>
      <c r="B1534" s="62" t="s">
        <v>1419</v>
      </c>
      <c r="C1534" s="62" t="s">
        <v>1420</v>
      </c>
      <c r="D1534" s="63">
        <v>45474</v>
      </c>
      <c r="E1534" s="63">
        <v>46934</v>
      </c>
      <c r="F1534" s="62" t="s">
        <v>1922</v>
      </c>
      <c r="G1534" s="62" t="s">
        <v>382</v>
      </c>
      <c r="H1534" s="62" t="s">
        <v>362</v>
      </c>
      <c r="I1534" s="64">
        <v>112027.08333333299</v>
      </c>
      <c r="J1534" s="62" t="s">
        <v>363</v>
      </c>
      <c r="K1534" s="62" t="s">
        <v>1957</v>
      </c>
      <c r="L1534" s="65"/>
      <c r="M1534" s="62" t="s">
        <v>825</v>
      </c>
      <c r="N1534" s="62" t="s">
        <v>551</v>
      </c>
      <c r="O1534" s="62" t="s">
        <v>428</v>
      </c>
      <c r="P1534" s="62" t="s">
        <v>2421</v>
      </c>
      <c r="Q1534" s="66" t="s">
        <v>2021</v>
      </c>
    </row>
    <row r="1535" spans="1:17" x14ac:dyDescent="0.3">
      <c r="A1535" s="61" t="s">
        <v>2218</v>
      </c>
      <c r="B1535" s="62" t="s">
        <v>1419</v>
      </c>
      <c r="C1535" s="62" t="s">
        <v>1420</v>
      </c>
      <c r="D1535" s="63">
        <v>45474</v>
      </c>
      <c r="E1535" s="63">
        <v>46934</v>
      </c>
      <c r="F1535" s="62" t="s">
        <v>1922</v>
      </c>
      <c r="G1535" s="62" t="s">
        <v>383</v>
      </c>
      <c r="H1535" s="62" t="s">
        <v>362</v>
      </c>
      <c r="I1535" s="64">
        <v>112027.08333333299</v>
      </c>
      <c r="J1535" s="62" t="s">
        <v>363</v>
      </c>
      <c r="K1535" s="62" t="s">
        <v>1957</v>
      </c>
      <c r="L1535" s="65"/>
      <c r="M1535" s="62" t="s">
        <v>825</v>
      </c>
      <c r="N1535" s="62" t="s">
        <v>551</v>
      </c>
      <c r="O1535" s="62" t="s">
        <v>428</v>
      </c>
      <c r="P1535" s="62" t="s">
        <v>2421</v>
      </c>
      <c r="Q1535" s="66" t="s">
        <v>2021</v>
      </c>
    </row>
    <row r="1536" spans="1:17" x14ac:dyDescent="0.3">
      <c r="A1536" s="61" t="s">
        <v>2218</v>
      </c>
      <c r="B1536" s="62" t="s">
        <v>1419</v>
      </c>
      <c r="C1536" s="62" t="s">
        <v>1420</v>
      </c>
      <c r="D1536" s="63">
        <v>45474</v>
      </c>
      <c r="E1536" s="63">
        <v>46934</v>
      </c>
      <c r="F1536" s="62" t="s">
        <v>1922</v>
      </c>
      <c r="G1536" s="62" t="s">
        <v>386</v>
      </c>
      <c r="H1536" s="62" t="s">
        <v>362</v>
      </c>
      <c r="I1536" s="64">
        <v>112027.08333333299</v>
      </c>
      <c r="J1536" s="62" t="s">
        <v>363</v>
      </c>
      <c r="K1536" s="62" t="s">
        <v>1957</v>
      </c>
      <c r="L1536" s="65"/>
      <c r="M1536" s="62" t="s">
        <v>825</v>
      </c>
      <c r="N1536" s="62" t="s">
        <v>551</v>
      </c>
      <c r="O1536" s="62" t="s">
        <v>428</v>
      </c>
      <c r="P1536" s="62" t="s">
        <v>2421</v>
      </c>
      <c r="Q1536" s="66" t="s">
        <v>2021</v>
      </c>
    </row>
    <row r="1537" spans="1:17" x14ac:dyDescent="0.3">
      <c r="A1537" s="61" t="s">
        <v>2218</v>
      </c>
      <c r="B1537" s="62" t="s">
        <v>1419</v>
      </c>
      <c r="C1537" s="62" t="s">
        <v>1420</v>
      </c>
      <c r="D1537" s="63">
        <v>45474</v>
      </c>
      <c r="E1537" s="63">
        <v>46934</v>
      </c>
      <c r="F1537" s="62" t="s">
        <v>1959</v>
      </c>
      <c r="G1537" s="62" t="s">
        <v>466</v>
      </c>
      <c r="H1537" s="62" t="s">
        <v>362</v>
      </c>
      <c r="I1537" s="64">
        <v>168040.625</v>
      </c>
      <c r="J1537" s="62" t="s">
        <v>363</v>
      </c>
      <c r="K1537" s="62" t="s">
        <v>1957</v>
      </c>
      <c r="L1537" s="65"/>
      <c r="M1537" s="62" t="s">
        <v>825</v>
      </c>
      <c r="N1537" s="62" t="s">
        <v>551</v>
      </c>
      <c r="O1537" s="62" t="s">
        <v>428</v>
      </c>
      <c r="P1537" s="62" t="s">
        <v>2421</v>
      </c>
      <c r="Q1537" s="66" t="s">
        <v>2021</v>
      </c>
    </row>
    <row r="1538" spans="1:17" x14ac:dyDescent="0.3">
      <c r="A1538" s="61" t="s">
        <v>2218</v>
      </c>
      <c r="B1538" s="62" t="s">
        <v>1419</v>
      </c>
      <c r="C1538" s="62" t="s">
        <v>1420</v>
      </c>
      <c r="D1538" s="63">
        <v>45474</v>
      </c>
      <c r="E1538" s="63">
        <v>46934</v>
      </c>
      <c r="F1538" s="62" t="s">
        <v>1959</v>
      </c>
      <c r="G1538" s="62" t="s">
        <v>668</v>
      </c>
      <c r="H1538" s="62" t="s">
        <v>362</v>
      </c>
      <c r="I1538" s="64">
        <v>168040.625</v>
      </c>
      <c r="J1538" s="62" t="s">
        <v>363</v>
      </c>
      <c r="K1538" s="62" t="s">
        <v>1957</v>
      </c>
      <c r="L1538" s="65"/>
      <c r="M1538" s="62" t="s">
        <v>825</v>
      </c>
      <c r="N1538" s="62" t="s">
        <v>551</v>
      </c>
      <c r="O1538" s="62" t="s">
        <v>428</v>
      </c>
      <c r="P1538" s="62" t="s">
        <v>2421</v>
      </c>
      <c r="Q1538" s="66" t="s">
        <v>2021</v>
      </c>
    </row>
    <row r="1539" spans="1:17" x14ac:dyDescent="0.3">
      <c r="A1539" s="61" t="s">
        <v>2218</v>
      </c>
      <c r="B1539" s="62" t="s">
        <v>1419</v>
      </c>
      <c r="C1539" s="62" t="s">
        <v>1420</v>
      </c>
      <c r="D1539" s="63">
        <v>45474</v>
      </c>
      <c r="E1539" s="63">
        <v>46934</v>
      </c>
      <c r="F1539" s="62" t="s">
        <v>1959</v>
      </c>
      <c r="G1539" s="62" t="s">
        <v>475</v>
      </c>
      <c r="H1539" s="62" t="s">
        <v>362</v>
      </c>
      <c r="I1539" s="64">
        <v>168040.625</v>
      </c>
      <c r="J1539" s="62" t="s">
        <v>363</v>
      </c>
      <c r="K1539" s="62" t="s">
        <v>1957</v>
      </c>
      <c r="L1539" s="65"/>
      <c r="M1539" s="62" t="s">
        <v>825</v>
      </c>
      <c r="N1539" s="62" t="s">
        <v>551</v>
      </c>
      <c r="O1539" s="62" t="s">
        <v>428</v>
      </c>
      <c r="P1539" s="62" t="s">
        <v>2421</v>
      </c>
      <c r="Q1539" s="66" t="s">
        <v>2021</v>
      </c>
    </row>
    <row r="1540" spans="1:17" x14ac:dyDescent="0.3">
      <c r="A1540" s="61" t="s">
        <v>2218</v>
      </c>
      <c r="B1540" s="62" t="s">
        <v>1419</v>
      </c>
      <c r="C1540" s="62" t="s">
        <v>1420</v>
      </c>
      <c r="D1540" s="63">
        <v>45474</v>
      </c>
      <c r="E1540" s="63">
        <v>46934</v>
      </c>
      <c r="F1540" s="62" t="s">
        <v>1959</v>
      </c>
      <c r="G1540" s="62" t="s">
        <v>808</v>
      </c>
      <c r="H1540" s="62" t="s">
        <v>362</v>
      </c>
      <c r="I1540" s="64">
        <v>168040.625</v>
      </c>
      <c r="J1540" s="62" t="s">
        <v>363</v>
      </c>
      <c r="K1540" s="62" t="s">
        <v>1957</v>
      </c>
      <c r="L1540" s="65"/>
      <c r="M1540" s="62" t="s">
        <v>825</v>
      </c>
      <c r="N1540" s="62" t="s">
        <v>551</v>
      </c>
      <c r="O1540" s="62" t="s">
        <v>428</v>
      </c>
      <c r="P1540" s="62" t="s">
        <v>2421</v>
      </c>
      <c r="Q1540" s="66" t="s">
        <v>2021</v>
      </c>
    </row>
    <row r="1541" spans="1:17" x14ac:dyDescent="0.3">
      <c r="A1541" s="61" t="s">
        <v>2219</v>
      </c>
      <c r="B1541" s="62" t="s">
        <v>1422</v>
      </c>
      <c r="C1541" s="62" t="s">
        <v>1423</v>
      </c>
      <c r="D1541" s="63">
        <v>44369</v>
      </c>
      <c r="E1541" s="63">
        <v>46740</v>
      </c>
      <c r="F1541" s="62" t="s">
        <v>1939</v>
      </c>
      <c r="G1541" s="62" t="s">
        <v>304</v>
      </c>
      <c r="H1541" s="62" t="s">
        <v>521</v>
      </c>
      <c r="I1541" s="64">
        <v>2975003</v>
      </c>
      <c r="J1541" s="62" t="s">
        <v>522</v>
      </c>
      <c r="K1541" s="62" t="s">
        <v>521</v>
      </c>
      <c r="L1541" s="65"/>
      <c r="M1541" s="62" t="s">
        <v>313</v>
      </c>
      <c r="N1541" s="62" t="s">
        <v>374</v>
      </c>
      <c r="O1541" s="62" t="s">
        <v>375</v>
      </c>
      <c r="P1541" s="62" t="s">
        <v>2421</v>
      </c>
      <c r="Q1541" s="66" t="s">
        <v>1969</v>
      </c>
    </row>
    <row r="1542" spans="1:17" x14ac:dyDescent="0.3">
      <c r="A1542" s="61" t="s">
        <v>2219</v>
      </c>
      <c r="B1542" s="62" t="s">
        <v>1422</v>
      </c>
      <c r="C1542" s="62" t="s">
        <v>1423</v>
      </c>
      <c r="D1542" s="63">
        <v>44369</v>
      </c>
      <c r="E1542" s="63">
        <v>46740</v>
      </c>
      <c r="F1542" s="62" t="s">
        <v>1944</v>
      </c>
      <c r="G1542" s="62" t="s">
        <v>304</v>
      </c>
      <c r="H1542" s="62" t="s">
        <v>521</v>
      </c>
      <c r="I1542" s="64">
        <v>2975003</v>
      </c>
      <c r="J1542" s="62" t="s">
        <v>522</v>
      </c>
      <c r="K1542" s="62" t="s">
        <v>521</v>
      </c>
      <c r="L1542" s="65"/>
      <c r="M1542" s="62" t="s">
        <v>313</v>
      </c>
      <c r="N1542" s="62" t="s">
        <v>374</v>
      </c>
      <c r="O1542" s="62" t="s">
        <v>375</v>
      </c>
      <c r="P1542" s="62" t="s">
        <v>2421</v>
      </c>
      <c r="Q1542" s="66" t="s">
        <v>1969</v>
      </c>
    </row>
    <row r="1543" spans="1:17" x14ac:dyDescent="0.3">
      <c r="A1543" s="61" t="s">
        <v>2219</v>
      </c>
      <c r="B1543" s="62" t="s">
        <v>1422</v>
      </c>
      <c r="C1543" s="62" t="s">
        <v>1423</v>
      </c>
      <c r="D1543" s="63">
        <v>44369</v>
      </c>
      <c r="E1543" s="63">
        <v>46740</v>
      </c>
      <c r="F1543" s="62" t="s">
        <v>280</v>
      </c>
      <c r="G1543" s="62" t="s">
        <v>304</v>
      </c>
      <c r="H1543" s="62" t="s">
        <v>521</v>
      </c>
      <c r="I1543" s="64">
        <v>2975003</v>
      </c>
      <c r="J1543" s="62" t="s">
        <v>522</v>
      </c>
      <c r="K1543" s="62" t="s">
        <v>521</v>
      </c>
      <c r="L1543" s="65"/>
      <c r="M1543" s="62" t="s">
        <v>313</v>
      </c>
      <c r="N1543" s="62" t="s">
        <v>374</v>
      </c>
      <c r="O1543" s="62" t="s">
        <v>375</v>
      </c>
      <c r="P1543" s="62" t="s">
        <v>2421</v>
      </c>
      <c r="Q1543" s="66" t="s">
        <v>1969</v>
      </c>
    </row>
    <row r="1544" spans="1:17" x14ac:dyDescent="0.3">
      <c r="A1544" s="61" t="s">
        <v>2220</v>
      </c>
      <c r="B1544" s="62" t="s">
        <v>1424</v>
      </c>
      <c r="C1544" s="62" t="s">
        <v>1425</v>
      </c>
      <c r="D1544" s="63">
        <v>45658</v>
      </c>
      <c r="E1544" s="63">
        <v>46203</v>
      </c>
      <c r="F1544" s="62" t="s">
        <v>350</v>
      </c>
      <c r="G1544" s="62" t="s">
        <v>304</v>
      </c>
      <c r="H1544" s="62" t="s">
        <v>373</v>
      </c>
      <c r="I1544" s="64">
        <v>517514</v>
      </c>
      <c r="J1544" s="62" t="s">
        <v>373</v>
      </c>
      <c r="K1544" s="62" t="s">
        <v>1693</v>
      </c>
      <c r="L1544" s="65"/>
      <c r="M1544" s="62" t="s">
        <v>1518</v>
      </c>
      <c r="N1544" s="62" t="s">
        <v>355</v>
      </c>
      <c r="O1544" s="62" t="s">
        <v>309</v>
      </c>
      <c r="P1544" s="62" t="s">
        <v>2421</v>
      </c>
      <c r="Q1544" s="66" t="s">
        <v>1972</v>
      </c>
    </row>
    <row r="1545" spans="1:17" x14ac:dyDescent="0.3">
      <c r="A1545" s="61" t="s">
        <v>2221</v>
      </c>
      <c r="B1545" s="62" t="s">
        <v>1426</v>
      </c>
      <c r="C1545" s="62" t="s">
        <v>1427</v>
      </c>
      <c r="D1545" s="63">
        <v>45597</v>
      </c>
      <c r="E1545" s="63">
        <v>46142</v>
      </c>
      <c r="F1545" s="62" t="s">
        <v>1940</v>
      </c>
      <c r="G1545" s="62" t="s">
        <v>304</v>
      </c>
      <c r="H1545" s="62" t="s">
        <v>2427</v>
      </c>
      <c r="I1545" s="64">
        <v>6509.2</v>
      </c>
      <c r="J1545" s="62" t="s">
        <v>2485</v>
      </c>
      <c r="K1545" s="62" t="s">
        <v>2433</v>
      </c>
      <c r="L1545" s="65"/>
      <c r="M1545" s="62" t="s">
        <v>2443</v>
      </c>
      <c r="N1545" s="62" t="s">
        <v>314</v>
      </c>
      <c r="O1545" s="62" t="s">
        <v>315</v>
      </c>
      <c r="P1545" s="62" t="s">
        <v>2421</v>
      </c>
      <c r="Q1545" s="66" t="s">
        <v>1969</v>
      </c>
    </row>
    <row r="1546" spans="1:17" x14ac:dyDescent="0.3">
      <c r="A1546" s="61" t="s">
        <v>2221</v>
      </c>
      <c r="B1546" s="62" t="s">
        <v>1426</v>
      </c>
      <c r="C1546" s="62" t="s">
        <v>1427</v>
      </c>
      <c r="D1546" s="63">
        <v>45597</v>
      </c>
      <c r="E1546" s="63">
        <v>46142</v>
      </c>
      <c r="F1546" s="62" t="s">
        <v>1933</v>
      </c>
      <c r="G1546" s="62" t="s">
        <v>304</v>
      </c>
      <c r="H1546" s="62" t="s">
        <v>2427</v>
      </c>
      <c r="I1546" s="64">
        <v>6509.2</v>
      </c>
      <c r="J1546" s="62" t="s">
        <v>2485</v>
      </c>
      <c r="K1546" s="62" t="s">
        <v>2433</v>
      </c>
      <c r="L1546" s="65"/>
      <c r="M1546" s="62" t="s">
        <v>2443</v>
      </c>
      <c r="N1546" s="62" t="s">
        <v>314</v>
      </c>
      <c r="O1546" s="62" t="s">
        <v>315</v>
      </c>
      <c r="P1546" s="62" t="s">
        <v>2421</v>
      </c>
      <c r="Q1546" s="66" t="s">
        <v>1969</v>
      </c>
    </row>
    <row r="1547" spans="1:17" x14ac:dyDescent="0.3">
      <c r="A1547" s="61" t="s">
        <v>2221</v>
      </c>
      <c r="B1547" s="62" t="s">
        <v>1426</v>
      </c>
      <c r="C1547" s="62" t="s">
        <v>1427</v>
      </c>
      <c r="D1547" s="63">
        <v>45597</v>
      </c>
      <c r="E1547" s="63">
        <v>46142</v>
      </c>
      <c r="F1547" s="62" t="s">
        <v>1934</v>
      </c>
      <c r="G1547" s="62" t="s">
        <v>304</v>
      </c>
      <c r="H1547" s="62" t="s">
        <v>2427</v>
      </c>
      <c r="I1547" s="64">
        <v>6509.2</v>
      </c>
      <c r="J1547" s="62" t="s">
        <v>2485</v>
      </c>
      <c r="K1547" s="62" t="s">
        <v>2433</v>
      </c>
      <c r="L1547" s="65"/>
      <c r="M1547" s="62" t="s">
        <v>2443</v>
      </c>
      <c r="N1547" s="62" t="s">
        <v>314</v>
      </c>
      <c r="O1547" s="62" t="s">
        <v>315</v>
      </c>
      <c r="P1547" s="62" t="s">
        <v>2421</v>
      </c>
      <c r="Q1547" s="66" t="s">
        <v>1969</v>
      </c>
    </row>
    <row r="1548" spans="1:17" x14ac:dyDescent="0.3">
      <c r="A1548" s="61" t="s">
        <v>2221</v>
      </c>
      <c r="B1548" s="62" t="s">
        <v>1426</v>
      </c>
      <c r="C1548" s="62" t="s">
        <v>1427</v>
      </c>
      <c r="D1548" s="63">
        <v>45597</v>
      </c>
      <c r="E1548" s="63">
        <v>46142</v>
      </c>
      <c r="F1548" s="62" t="s">
        <v>280</v>
      </c>
      <c r="G1548" s="62" t="s">
        <v>304</v>
      </c>
      <c r="H1548" s="62" t="s">
        <v>2427</v>
      </c>
      <c r="I1548" s="64">
        <v>6509.2</v>
      </c>
      <c r="J1548" s="62" t="s">
        <v>2485</v>
      </c>
      <c r="K1548" s="62" t="s">
        <v>2433</v>
      </c>
      <c r="L1548" s="65"/>
      <c r="M1548" s="62" t="s">
        <v>2443</v>
      </c>
      <c r="N1548" s="62" t="s">
        <v>314</v>
      </c>
      <c r="O1548" s="62" t="s">
        <v>315</v>
      </c>
      <c r="P1548" s="62" t="s">
        <v>2421</v>
      </c>
      <c r="Q1548" s="66" t="s">
        <v>1969</v>
      </c>
    </row>
    <row r="1549" spans="1:17" x14ac:dyDescent="0.3">
      <c r="A1549" s="61" t="s">
        <v>2221</v>
      </c>
      <c r="B1549" s="62" t="s">
        <v>1426</v>
      </c>
      <c r="C1549" s="62" t="s">
        <v>1427</v>
      </c>
      <c r="D1549" s="63">
        <v>45597</v>
      </c>
      <c r="E1549" s="63">
        <v>46142</v>
      </c>
      <c r="F1549" s="62" t="s">
        <v>1941</v>
      </c>
      <c r="G1549" s="62" t="s">
        <v>304</v>
      </c>
      <c r="H1549" s="62" t="s">
        <v>2427</v>
      </c>
      <c r="I1549" s="64">
        <v>6509.2</v>
      </c>
      <c r="J1549" s="62" t="s">
        <v>2485</v>
      </c>
      <c r="K1549" s="62" t="s">
        <v>2433</v>
      </c>
      <c r="L1549" s="65"/>
      <c r="M1549" s="62" t="s">
        <v>2443</v>
      </c>
      <c r="N1549" s="62" t="s">
        <v>314</v>
      </c>
      <c r="O1549" s="62" t="s">
        <v>315</v>
      </c>
      <c r="P1549" s="62" t="s">
        <v>2421</v>
      </c>
      <c r="Q1549" s="66" t="s">
        <v>1969</v>
      </c>
    </row>
    <row r="1550" spans="1:17" x14ac:dyDescent="0.3">
      <c r="A1550" s="61" t="s">
        <v>2221</v>
      </c>
      <c r="B1550" s="62" t="s">
        <v>1426</v>
      </c>
      <c r="C1550" s="62" t="s">
        <v>1427</v>
      </c>
      <c r="D1550" s="63">
        <v>45597</v>
      </c>
      <c r="E1550" s="63">
        <v>46142</v>
      </c>
      <c r="F1550" s="62" t="s">
        <v>1940</v>
      </c>
      <c r="G1550" s="62" t="s">
        <v>304</v>
      </c>
      <c r="H1550" s="62" t="s">
        <v>2427</v>
      </c>
      <c r="I1550" s="64">
        <v>9764</v>
      </c>
      <c r="J1550" s="62" t="s">
        <v>2486</v>
      </c>
      <c r="K1550" s="62" t="s">
        <v>2433</v>
      </c>
      <c r="L1550" s="65"/>
      <c r="M1550" s="62" t="s">
        <v>2443</v>
      </c>
      <c r="N1550" s="62" t="s">
        <v>314</v>
      </c>
      <c r="O1550" s="62" t="s">
        <v>315</v>
      </c>
      <c r="P1550" s="62" t="s">
        <v>2421</v>
      </c>
      <c r="Q1550" s="66" t="s">
        <v>1969</v>
      </c>
    </row>
    <row r="1551" spans="1:17" x14ac:dyDescent="0.3">
      <c r="A1551" s="61" t="s">
        <v>2221</v>
      </c>
      <c r="B1551" s="62" t="s">
        <v>1426</v>
      </c>
      <c r="C1551" s="62" t="s">
        <v>1427</v>
      </c>
      <c r="D1551" s="63">
        <v>45597</v>
      </c>
      <c r="E1551" s="63">
        <v>46142</v>
      </c>
      <c r="F1551" s="62" t="s">
        <v>1933</v>
      </c>
      <c r="G1551" s="62" t="s">
        <v>304</v>
      </c>
      <c r="H1551" s="62" t="s">
        <v>2427</v>
      </c>
      <c r="I1551" s="64">
        <v>9764</v>
      </c>
      <c r="J1551" s="62" t="s">
        <v>2486</v>
      </c>
      <c r="K1551" s="62" t="s">
        <v>2433</v>
      </c>
      <c r="L1551" s="65"/>
      <c r="M1551" s="62" t="s">
        <v>2443</v>
      </c>
      <c r="N1551" s="62" t="s">
        <v>314</v>
      </c>
      <c r="O1551" s="62" t="s">
        <v>315</v>
      </c>
      <c r="P1551" s="62" t="s">
        <v>2421</v>
      </c>
      <c r="Q1551" s="66" t="s">
        <v>1969</v>
      </c>
    </row>
    <row r="1552" spans="1:17" x14ac:dyDescent="0.3">
      <c r="A1552" s="61" t="s">
        <v>2221</v>
      </c>
      <c r="B1552" s="62" t="s">
        <v>1426</v>
      </c>
      <c r="C1552" s="62" t="s">
        <v>1427</v>
      </c>
      <c r="D1552" s="63">
        <v>45597</v>
      </c>
      <c r="E1552" s="63">
        <v>46142</v>
      </c>
      <c r="F1552" s="62" t="s">
        <v>1934</v>
      </c>
      <c r="G1552" s="62" t="s">
        <v>304</v>
      </c>
      <c r="H1552" s="62" t="s">
        <v>2427</v>
      </c>
      <c r="I1552" s="64">
        <v>9764</v>
      </c>
      <c r="J1552" s="62" t="s">
        <v>2486</v>
      </c>
      <c r="K1552" s="62" t="s">
        <v>2433</v>
      </c>
      <c r="L1552" s="65"/>
      <c r="M1552" s="62" t="s">
        <v>2443</v>
      </c>
      <c r="N1552" s="62" t="s">
        <v>314</v>
      </c>
      <c r="O1552" s="62" t="s">
        <v>315</v>
      </c>
      <c r="P1552" s="62" t="s">
        <v>2421</v>
      </c>
      <c r="Q1552" s="66" t="s">
        <v>1969</v>
      </c>
    </row>
    <row r="1553" spans="1:17" x14ac:dyDescent="0.3">
      <c r="A1553" s="61" t="s">
        <v>2221</v>
      </c>
      <c r="B1553" s="62" t="s">
        <v>1426</v>
      </c>
      <c r="C1553" s="62" t="s">
        <v>1427</v>
      </c>
      <c r="D1553" s="63">
        <v>45597</v>
      </c>
      <c r="E1553" s="63">
        <v>46142</v>
      </c>
      <c r="F1553" s="62" t="s">
        <v>280</v>
      </c>
      <c r="G1553" s="62" t="s">
        <v>304</v>
      </c>
      <c r="H1553" s="62" t="s">
        <v>2427</v>
      </c>
      <c r="I1553" s="64">
        <v>9764</v>
      </c>
      <c r="J1553" s="62" t="s">
        <v>2486</v>
      </c>
      <c r="K1553" s="62" t="s">
        <v>2433</v>
      </c>
      <c r="L1553" s="65"/>
      <c r="M1553" s="62" t="s">
        <v>2443</v>
      </c>
      <c r="N1553" s="62" t="s">
        <v>314</v>
      </c>
      <c r="O1553" s="62" t="s">
        <v>315</v>
      </c>
      <c r="P1553" s="62" t="s">
        <v>2421</v>
      </c>
      <c r="Q1553" s="66" t="s">
        <v>1969</v>
      </c>
    </row>
    <row r="1554" spans="1:17" x14ac:dyDescent="0.3">
      <c r="A1554" s="61" t="s">
        <v>2221</v>
      </c>
      <c r="B1554" s="62" t="s">
        <v>1426</v>
      </c>
      <c r="C1554" s="62" t="s">
        <v>1427</v>
      </c>
      <c r="D1554" s="63">
        <v>45597</v>
      </c>
      <c r="E1554" s="63">
        <v>46142</v>
      </c>
      <c r="F1554" s="62" t="s">
        <v>1941</v>
      </c>
      <c r="G1554" s="62" t="s">
        <v>304</v>
      </c>
      <c r="H1554" s="62" t="s">
        <v>2427</v>
      </c>
      <c r="I1554" s="64">
        <v>9764</v>
      </c>
      <c r="J1554" s="62" t="s">
        <v>2486</v>
      </c>
      <c r="K1554" s="62" t="s">
        <v>2433</v>
      </c>
      <c r="L1554" s="65"/>
      <c r="M1554" s="62" t="s">
        <v>2443</v>
      </c>
      <c r="N1554" s="62" t="s">
        <v>314</v>
      </c>
      <c r="O1554" s="62" t="s">
        <v>315</v>
      </c>
      <c r="P1554" s="62" t="s">
        <v>2421</v>
      </c>
      <c r="Q1554" s="66" t="s">
        <v>1969</v>
      </c>
    </row>
    <row r="1555" spans="1:17" x14ac:dyDescent="0.3">
      <c r="A1555" s="61" t="s">
        <v>2221</v>
      </c>
      <c r="B1555" s="62" t="s">
        <v>1426</v>
      </c>
      <c r="C1555" s="62" t="s">
        <v>1427</v>
      </c>
      <c r="D1555" s="63">
        <v>45597</v>
      </c>
      <c r="E1555" s="63">
        <v>46142</v>
      </c>
      <c r="F1555" s="62" t="s">
        <v>1940</v>
      </c>
      <c r="G1555" s="62" t="s">
        <v>304</v>
      </c>
      <c r="H1555" s="62" t="s">
        <v>373</v>
      </c>
      <c r="I1555" s="64">
        <v>65093.8</v>
      </c>
      <c r="J1555" s="62" t="s">
        <v>373</v>
      </c>
      <c r="K1555" s="62" t="s">
        <v>2433</v>
      </c>
      <c r="L1555" s="65"/>
      <c r="M1555" s="62" t="s">
        <v>2443</v>
      </c>
      <c r="N1555" s="62" t="s">
        <v>314</v>
      </c>
      <c r="O1555" s="62" t="s">
        <v>315</v>
      </c>
      <c r="P1555" s="62" t="s">
        <v>2421</v>
      </c>
      <c r="Q1555" s="66" t="s">
        <v>1969</v>
      </c>
    </row>
    <row r="1556" spans="1:17" x14ac:dyDescent="0.3">
      <c r="A1556" s="61" t="s">
        <v>2221</v>
      </c>
      <c r="B1556" s="62" t="s">
        <v>1426</v>
      </c>
      <c r="C1556" s="62" t="s">
        <v>1427</v>
      </c>
      <c r="D1556" s="63">
        <v>45597</v>
      </c>
      <c r="E1556" s="63">
        <v>46142</v>
      </c>
      <c r="F1556" s="62" t="s">
        <v>1933</v>
      </c>
      <c r="G1556" s="62" t="s">
        <v>304</v>
      </c>
      <c r="H1556" s="62" t="s">
        <v>373</v>
      </c>
      <c r="I1556" s="64">
        <v>65093.8</v>
      </c>
      <c r="J1556" s="62" t="s">
        <v>373</v>
      </c>
      <c r="K1556" s="62" t="s">
        <v>2433</v>
      </c>
      <c r="L1556" s="65"/>
      <c r="M1556" s="62" t="s">
        <v>2443</v>
      </c>
      <c r="N1556" s="62" t="s">
        <v>314</v>
      </c>
      <c r="O1556" s="62" t="s">
        <v>315</v>
      </c>
      <c r="P1556" s="62" t="s">
        <v>2421</v>
      </c>
      <c r="Q1556" s="66" t="s">
        <v>1969</v>
      </c>
    </row>
    <row r="1557" spans="1:17" x14ac:dyDescent="0.3">
      <c r="A1557" s="61" t="s">
        <v>2221</v>
      </c>
      <c r="B1557" s="62" t="s">
        <v>1426</v>
      </c>
      <c r="C1557" s="62" t="s">
        <v>1427</v>
      </c>
      <c r="D1557" s="63">
        <v>45597</v>
      </c>
      <c r="E1557" s="63">
        <v>46142</v>
      </c>
      <c r="F1557" s="62" t="s">
        <v>1934</v>
      </c>
      <c r="G1557" s="62" t="s">
        <v>304</v>
      </c>
      <c r="H1557" s="62" t="s">
        <v>373</v>
      </c>
      <c r="I1557" s="64">
        <v>65093.8</v>
      </c>
      <c r="J1557" s="62" t="s">
        <v>373</v>
      </c>
      <c r="K1557" s="62" t="s">
        <v>2433</v>
      </c>
      <c r="L1557" s="65"/>
      <c r="M1557" s="62" t="s">
        <v>2443</v>
      </c>
      <c r="N1557" s="62" t="s">
        <v>314</v>
      </c>
      <c r="O1557" s="62" t="s">
        <v>315</v>
      </c>
      <c r="P1557" s="62" t="s">
        <v>2421</v>
      </c>
      <c r="Q1557" s="66" t="s">
        <v>1969</v>
      </c>
    </row>
    <row r="1558" spans="1:17" x14ac:dyDescent="0.3">
      <c r="A1558" s="61" t="s">
        <v>2221</v>
      </c>
      <c r="B1558" s="62" t="s">
        <v>1426</v>
      </c>
      <c r="C1558" s="62" t="s">
        <v>1427</v>
      </c>
      <c r="D1558" s="63">
        <v>45597</v>
      </c>
      <c r="E1558" s="63">
        <v>46142</v>
      </c>
      <c r="F1558" s="62" t="s">
        <v>280</v>
      </c>
      <c r="G1558" s="62" t="s">
        <v>304</v>
      </c>
      <c r="H1558" s="62" t="s">
        <v>373</v>
      </c>
      <c r="I1558" s="64">
        <v>65093.8</v>
      </c>
      <c r="J1558" s="62" t="s">
        <v>373</v>
      </c>
      <c r="K1558" s="62" t="s">
        <v>2433</v>
      </c>
      <c r="L1558" s="65"/>
      <c r="M1558" s="62" t="s">
        <v>2443</v>
      </c>
      <c r="N1558" s="62" t="s">
        <v>314</v>
      </c>
      <c r="O1558" s="62" t="s">
        <v>315</v>
      </c>
      <c r="P1558" s="62" t="s">
        <v>2421</v>
      </c>
      <c r="Q1558" s="66" t="s">
        <v>1969</v>
      </c>
    </row>
    <row r="1559" spans="1:17" x14ac:dyDescent="0.3">
      <c r="A1559" s="61" t="s">
        <v>2221</v>
      </c>
      <c r="B1559" s="62" t="s">
        <v>1426</v>
      </c>
      <c r="C1559" s="62" t="s">
        <v>1427</v>
      </c>
      <c r="D1559" s="63">
        <v>45597</v>
      </c>
      <c r="E1559" s="63">
        <v>46142</v>
      </c>
      <c r="F1559" s="62" t="s">
        <v>1941</v>
      </c>
      <c r="G1559" s="62" t="s">
        <v>304</v>
      </c>
      <c r="H1559" s="62" t="s">
        <v>373</v>
      </c>
      <c r="I1559" s="64">
        <v>65093.8</v>
      </c>
      <c r="J1559" s="62" t="s">
        <v>373</v>
      </c>
      <c r="K1559" s="62" t="s">
        <v>2433</v>
      </c>
      <c r="L1559" s="65"/>
      <c r="M1559" s="62" t="s">
        <v>2443</v>
      </c>
      <c r="N1559" s="62" t="s">
        <v>314</v>
      </c>
      <c r="O1559" s="62" t="s">
        <v>315</v>
      </c>
      <c r="P1559" s="62" t="s">
        <v>2421</v>
      </c>
      <c r="Q1559" s="66" t="s">
        <v>1969</v>
      </c>
    </row>
    <row r="1560" spans="1:17" x14ac:dyDescent="0.3">
      <c r="A1560" s="61" t="s">
        <v>2222</v>
      </c>
      <c r="B1560" s="62" t="s">
        <v>1428</v>
      </c>
      <c r="C1560" s="62" t="s">
        <v>1429</v>
      </c>
      <c r="D1560" s="63">
        <v>45658</v>
      </c>
      <c r="E1560" s="63">
        <v>46356</v>
      </c>
      <c r="F1560" s="62" t="s">
        <v>350</v>
      </c>
      <c r="G1560" s="62" t="s">
        <v>350</v>
      </c>
      <c r="H1560" s="62" t="s">
        <v>2427</v>
      </c>
      <c r="I1560" s="64">
        <v>1246000</v>
      </c>
      <c r="J1560" s="62" t="s">
        <v>1430</v>
      </c>
      <c r="K1560" s="62" t="s">
        <v>377</v>
      </c>
      <c r="L1560" s="65"/>
      <c r="M1560" s="62" t="s">
        <v>424</v>
      </c>
      <c r="N1560" s="62" t="s">
        <v>663</v>
      </c>
      <c r="O1560" s="62" t="s">
        <v>371</v>
      </c>
      <c r="P1560" s="62" t="s">
        <v>2421</v>
      </c>
      <c r="Q1560" s="66" t="s">
        <v>2016</v>
      </c>
    </row>
    <row r="1561" spans="1:17" x14ac:dyDescent="0.3">
      <c r="A1561" s="61" t="s">
        <v>2223</v>
      </c>
      <c r="B1561" s="62" t="s">
        <v>1431</v>
      </c>
      <c r="C1561" s="62" t="s">
        <v>1432</v>
      </c>
      <c r="D1561" s="63">
        <v>45519</v>
      </c>
      <c r="E1561" s="63">
        <v>46418</v>
      </c>
      <c r="F1561" s="62" t="s">
        <v>282</v>
      </c>
      <c r="G1561" s="62" t="s">
        <v>304</v>
      </c>
      <c r="H1561" s="62" t="s">
        <v>351</v>
      </c>
      <c r="I1561" s="64">
        <v>118788.08333333299</v>
      </c>
      <c r="J1561" s="62" t="s">
        <v>1434</v>
      </c>
      <c r="K1561" s="62" t="s">
        <v>1433</v>
      </c>
      <c r="L1561" s="65"/>
      <c r="M1561" s="62" t="s">
        <v>2443</v>
      </c>
      <c r="N1561" s="62" t="s">
        <v>950</v>
      </c>
      <c r="O1561" s="62" t="s">
        <v>637</v>
      </c>
      <c r="P1561" s="62" t="s">
        <v>2421</v>
      </c>
      <c r="Q1561" s="66" t="s">
        <v>1969</v>
      </c>
    </row>
    <row r="1562" spans="1:17" x14ac:dyDescent="0.3">
      <c r="A1562" s="61" t="s">
        <v>2223</v>
      </c>
      <c r="B1562" s="62" t="s">
        <v>1431</v>
      </c>
      <c r="C1562" s="62" t="s">
        <v>1432</v>
      </c>
      <c r="D1562" s="63">
        <v>45519</v>
      </c>
      <c r="E1562" s="63">
        <v>46418</v>
      </c>
      <c r="F1562" s="62" t="s">
        <v>1935</v>
      </c>
      <c r="G1562" s="62" t="s">
        <v>304</v>
      </c>
      <c r="H1562" s="62" t="s">
        <v>351</v>
      </c>
      <c r="I1562" s="64">
        <v>118788.08333333299</v>
      </c>
      <c r="J1562" s="62" t="s">
        <v>1434</v>
      </c>
      <c r="K1562" s="62" t="s">
        <v>1433</v>
      </c>
      <c r="L1562" s="65"/>
      <c r="M1562" s="62" t="s">
        <v>2443</v>
      </c>
      <c r="N1562" s="62" t="s">
        <v>950</v>
      </c>
      <c r="O1562" s="62" t="s">
        <v>637</v>
      </c>
      <c r="P1562" s="62" t="s">
        <v>2421</v>
      </c>
      <c r="Q1562" s="66" t="s">
        <v>1969</v>
      </c>
    </row>
    <row r="1563" spans="1:17" x14ac:dyDescent="0.3">
      <c r="A1563" s="61" t="s">
        <v>2223</v>
      </c>
      <c r="B1563" s="62" t="s">
        <v>1431</v>
      </c>
      <c r="C1563" s="62" t="s">
        <v>1432</v>
      </c>
      <c r="D1563" s="63">
        <v>45519</v>
      </c>
      <c r="E1563" s="63">
        <v>46418</v>
      </c>
      <c r="F1563" s="62" t="s">
        <v>286</v>
      </c>
      <c r="G1563" s="62" t="s">
        <v>304</v>
      </c>
      <c r="H1563" s="62" t="s">
        <v>351</v>
      </c>
      <c r="I1563" s="64">
        <v>118788.08333333299</v>
      </c>
      <c r="J1563" s="62" t="s">
        <v>1434</v>
      </c>
      <c r="K1563" s="62" t="s">
        <v>1433</v>
      </c>
      <c r="L1563" s="65"/>
      <c r="M1563" s="62" t="s">
        <v>2443</v>
      </c>
      <c r="N1563" s="62" t="s">
        <v>950</v>
      </c>
      <c r="O1563" s="62" t="s">
        <v>637</v>
      </c>
      <c r="P1563" s="62" t="s">
        <v>2421</v>
      </c>
      <c r="Q1563" s="66" t="s">
        <v>1969</v>
      </c>
    </row>
    <row r="1564" spans="1:17" x14ac:dyDescent="0.3">
      <c r="A1564" s="61" t="s">
        <v>2223</v>
      </c>
      <c r="B1564" s="62" t="s">
        <v>1431</v>
      </c>
      <c r="C1564" s="62" t="s">
        <v>1432</v>
      </c>
      <c r="D1564" s="63">
        <v>45519</v>
      </c>
      <c r="E1564" s="63">
        <v>46418</v>
      </c>
      <c r="F1564" s="62" t="s">
        <v>1940</v>
      </c>
      <c r="G1564" s="62" t="s">
        <v>304</v>
      </c>
      <c r="H1564" s="62" t="s">
        <v>351</v>
      </c>
      <c r="I1564" s="64">
        <v>118788.08333333299</v>
      </c>
      <c r="J1564" s="62" t="s">
        <v>1434</v>
      </c>
      <c r="K1564" s="62" t="s">
        <v>1433</v>
      </c>
      <c r="L1564" s="65"/>
      <c r="M1564" s="62" t="s">
        <v>2443</v>
      </c>
      <c r="N1564" s="62" t="s">
        <v>950</v>
      </c>
      <c r="O1564" s="62" t="s">
        <v>637</v>
      </c>
      <c r="P1564" s="62" t="s">
        <v>2421</v>
      </c>
      <c r="Q1564" s="66" t="s">
        <v>1969</v>
      </c>
    </row>
    <row r="1565" spans="1:17" x14ac:dyDescent="0.3">
      <c r="A1565" s="61" t="s">
        <v>2223</v>
      </c>
      <c r="B1565" s="62" t="s">
        <v>1431</v>
      </c>
      <c r="C1565" s="62" t="s">
        <v>1432</v>
      </c>
      <c r="D1565" s="63">
        <v>45519</v>
      </c>
      <c r="E1565" s="63">
        <v>46418</v>
      </c>
      <c r="F1565" s="62" t="s">
        <v>289</v>
      </c>
      <c r="G1565" s="62" t="s">
        <v>304</v>
      </c>
      <c r="H1565" s="62" t="s">
        <v>351</v>
      </c>
      <c r="I1565" s="64">
        <v>118788.08333333299</v>
      </c>
      <c r="J1565" s="62" t="s">
        <v>1434</v>
      </c>
      <c r="K1565" s="62" t="s">
        <v>1433</v>
      </c>
      <c r="L1565" s="65"/>
      <c r="M1565" s="62" t="s">
        <v>2443</v>
      </c>
      <c r="N1565" s="62" t="s">
        <v>950</v>
      </c>
      <c r="O1565" s="62" t="s">
        <v>637</v>
      </c>
      <c r="P1565" s="62" t="s">
        <v>2421</v>
      </c>
      <c r="Q1565" s="66" t="s">
        <v>1969</v>
      </c>
    </row>
    <row r="1566" spans="1:17" x14ac:dyDescent="0.3">
      <c r="A1566" s="61" t="s">
        <v>2223</v>
      </c>
      <c r="B1566" s="62" t="s">
        <v>1431</v>
      </c>
      <c r="C1566" s="62" t="s">
        <v>1432</v>
      </c>
      <c r="D1566" s="63">
        <v>45519</v>
      </c>
      <c r="E1566" s="63">
        <v>46418</v>
      </c>
      <c r="F1566" s="62" t="s">
        <v>1922</v>
      </c>
      <c r="G1566" s="62" t="s">
        <v>304</v>
      </c>
      <c r="H1566" s="62" t="s">
        <v>351</v>
      </c>
      <c r="I1566" s="64">
        <v>118788.08333333299</v>
      </c>
      <c r="J1566" s="62" t="s">
        <v>1434</v>
      </c>
      <c r="K1566" s="62" t="s">
        <v>1433</v>
      </c>
      <c r="L1566" s="65"/>
      <c r="M1566" s="62" t="s">
        <v>2443</v>
      </c>
      <c r="N1566" s="62" t="s">
        <v>950</v>
      </c>
      <c r="O1566" s="62" t="s">
        <v>637</v>
      </c>
      <c r="P1566" s="62" t="s">
        <v>2421</v>
      </c>
      <c r="Q1566" s="66" t="s">
        <v>1969</v>
      </c>
    </row>
    <row r="1567" spans="1:17" x14ac:dyDescent="0.3">
      <c r="A1567" s="61" t="s">
        <v>2223</v>
      </c>
      <c r="B1567" s="62" t="s">
        <v>1431</v>
      </c>
      <c r="C1567" s="62" t="s">
        <v>1432</v>
      </c>
      <c r="D1567" s="63">
        <v>45519</v>
      </c>
      <c r="E1567" s="63">
        <v>46418</v>
      </c>
      <c r="F1567" s="62" t="s">
        <v>1943</v>
      </c>
      <c r="G1567" s="62" t="s">
        <v>304</v>
      </c>
      <c r="H1567" s="62" t="s">
        <v>351</v>
      </c>
      <c r="I1567" s="64">
        <v>118788.08333333299</v>
      </c>
      <c r="J1567" s="62" t="s">
        <v>1434</v>
      </c>
      <c r="K1567" s="62" t="s">
        <v>1433</v>
      </c>
      <c r="L1567" s="65"/>
      <c r="M1567" s="62" t="s">
        <v>2443</v>
      </c>
      <c r="N1567" s="62" t="s">
        <v>950</v>
      </c>
      <c r="O1567" s="62" t="s">
        <v>637</v>
      </c>
      <c r="P1567" s="62" t="s">
        <v>2421</v>
      </c>
      <c r="Q1567" s="66" t="s">
        <v>1969</v>
      </c>
    </row>
    <row r="1568" spans="1:17" x14ac:dyDescent="0.3">
      <c r="A1568" s="61" t="s">
        <v>2223</v>
      </c>
      <c r="B1568" s="62" t="s">
        <v>1431</v>
      </c>
      <c r="C1568" s="62" t="s">
        <v>1432</v>
      </c>
      <c r="D1568" s="63">
        <v>45519</v>
      </c>
      <c r="E1568" s="63">
        <v>46418</v>
      </c>
      <c r="F1568" s="62" t="s">
        <v>1958</v>
      </c>
      <c r="G1568" s="62" t="s">
        <v>304</v>
      </c>
      <c r="H1568" s="62" t="s">
        <v>351</v>
      </c>
      <c r="I1568" s="64">
        <v>118788.08333333299</v>
      </c>
      <c r="J1568" s="62" t="s">
        <v>1434</v>
      </c>
      <c r="K1568" s="62" t="s">
        <v>1433</v>
      </c>
      <c r="L1568" s="65"/>
      <c r="M1568" s="62" t="s">
        <v>2443</v>
      </c>
      <c r="N1568" s="62" t="s">
        <v>950</v>
      </c>
      <c r="O1568" s="62" t="s">
        <v>637</v>
      </c>
      <c r="P1568" s="62" t="s">
        <v>2421</v>
      </c>
      <c r="Q1568" s="66" t="s">
        <v>1969</v>
      </c>
    </row>
    <row r="1569" spans="1:17" x14ac:dyDescent="0.3">
      <c r="A1569" s="61" t="s">
        <v>2223</v>
      </c>
      <c r="B1569" s="62" t="s">
        <v>1431</v>
      </c>
      <c r="C1569" s="62" t="s">
        <v>1432</v>
      </c>
      <c r="D1569" s="63">
        <v>45519</v>
      </c>
      <c r="E1569" s="63">
        <v>46418</v>
      </c>
      <c r="F1569" s="62" t="s">
        <v>1930</v>
      </c>
      <c r="G1569" s="62" t="s">
        <v>304</v>
      </c>
      <c r="H1569" s="62" t="s">
        <v>351</v>
      </c>
      <c r="I1569" s="64">
        <v>118788.08333333299</v>
      </c>
      <c r="J1569" s="62" t="s">
        <v>1434</v>
      </c>
      <c r="K1569" s="62" t="s">
        <v>1433</v>
      </c>
      <c r="L1569" s="65"/>
      <c r="M1569" s="62" t="s">
        <v>2443</v>
      </c>
      <c r="N1569" s="62" t="s">
        <v>950</v>
      </c>
      <c r="O1569" s="62" t="s">
        <v>637</v>
      </c>
      <c r="P1569" s="62" t="s">
        <v>2421</v>
      </c>
      <c r="Q1569" s="66" t="s">
        <v>1969</v>
      </c>
    </row>
    <row r="1570" spans="1:17" x14ac:dyDescent="0.3">
      <c r="A1570" s="61" t="s">
        <v>2223</v>
      </c>
      <c r="B1570" s="62" t="s">
        <v>1431</v>
      </c>
      <c r="C1570" s="62" t="s">
        <v>1432</v>
      </c>
      <c r="D1570" s="63">
        <v>45519</v>
      </c>
      <c r="E1570" s="63">
        <v>46418</v>
      </c>
      <c r="F1570" s="62" t="s">
        <v>280</v>
      </c>
      <c r="G1570" s="62" t="s">
        <v>304</v>
      </c>
      <c r="H1570" s="62" t="s">
        <v>351</v>
      </c>
      <c r="I1570" s="64">
        <v>118788.08333333299</v>
      </c>
      <c r="J1570" s="62" t="s">
        <v>1434</v>
      </c>
      <c r="K1570" s="62" t="s">
        <v>1433</v>
      </c>
      <c r="L1570" s="65"/>
      <c r="M1570" s="62" t="s">
        <v>2443</v>
      </c>
      <c r="N1570" s="62" t="s">
        <v>950</v>
      </c>
      <c r="O1570" s="62" t="s">
        <v>637</v>
      </c>
      <c r="P1570" s="62" t="s">
        <v>2421</v>
      </c>
      <c r="Q1570" s="66" t="s">
        <v>1969</v>
      </c>
    </row>
    <row r="1571" spans="1:17" x14ac:dyDescent="0.3">
      <c r="A1571" s="61" t="s">
        <v>2223</v>
      </c>
      <c r="B1571" s="62" t="s">
        <v>1431</v>
      </c>
      <c r="C1571" s="62" t="s">
        <v>1432</v>
      </c>
      <c r="D1571" s="63">
        <v>45519</v>
      </c>
      <c r="E1571" s="63">
        <v>46418</v>
      </c>
      <c r="F1571" s="62" t="s">
        <v>1960</v>
      </c>
      <c r="G1571" s="62" t="s">
        <v>304</v>
      </c>
      <c r="H1571" s="62" t="s">
        <v>351</v>
      </c>
      <c r="I1571" s="64">
        <v>118788.08333333299</v>
      </c>
      <c r="J1571" s="62" t="s">
        <v>1434</v>
      </c>
      <c r="K1571" s="62" t="s">
        <v>1433</v>
      </c>
      <c r="L1571" s="65"/>
      <c r="M1571" s="62" t="s">
        <v>2443</v>
      </c>
      <c r="N1571" s="62" t="s">
        <v>950</v>
      </c>
      <c r="O1571" s="62" t="s">
        <v>637</v>
      </c>
      <c r="P1571" s="62" t="s">
        <v>2421</v>
      </c>
      <c r="Q1571" s="66" t="s">
        <v>1969</v>
      </c>
    </row>
    <row r="1572" spans="1:17" x14ac:dyDescent="0.3">
      <c r="A1572" s="61" t="s">
        <v>2223</v>
      </c>
      <c r="B1572" s="62" t="s">
        <v>1431</v>
      </c>
      <c r="C1572" s="62" t="s">
        <v>1432</v>
      </c>
      <c r="D1572" s="63">
        <v>45519</v>
      </c>
      <c r="E1572" s="63">
        <v>46418</v>
      </c>
      <c r="F1572" s="62" t="s">
        <v>1941</v>
      </c>
      <c r="G1572" s="62" t="s">
        <v>304</v>
      </c>
      <c r="H1572" s="62" t="s">
        <v>351</v>
      </c>
      <c r="I1572" s="64">
        <v>118788.08333333299</v>
      </c>
      <c r="J1572" s="62" t="s">
        <v>1434</v>
      </c>
      <c r="K1572" s="62" t="s">
        <v>1433</v>
      </c>
      <c r="L1572" s="65"/>
      <c r="M1572" s="62" t="s">
        <v>2443</v>
      </c>
      <c r="N1572" s="62" t="s">
        <v>950</v>
      </c>
      <c r="O1572" s="62" t="s">
        <v>637</v>
      </c>
      <c r="P1572" s="62" t="s">
        <v>2421</v>
      </c>
      <c r="Q1572" s="66" t="s">
        <v>1969</v>
      </c>
    </row>
    <row r="1573" spans="1:17" x14ac:dyDescent="0.3">
      <c r="A1573" s="61" t="s">
        <v>2224</v>
      </c>
      <c r="B1573" s="62" t="s">
        <v>1435</v>
      </c>
      <c r="C1573" s="62" t="s">
        <v>1436</v>
      </c>
      <c r="D1573" s="63">
        <v>45623</v>
      </c>
      <c r="E1573" s="63">
        <v>46353</v>
      </c>
      <c r="F1573" s="62" t="s">
        <v>288</v>
      </c>
      <c r="G1573" s="62" t="s">
        <v>683</v>
      </c>
      <c r="H1573" s="62" t="s">
        <v>467</v>
      </c>
      <c r="I1573" s="64">
        <v>17619.111111111099</v>
      </c>
      <c r="J1573" s="62" t="s">
        <v>468</v>
      </c>
      <c r="K1573" s="62" t="s">
        <v>467</v>
      </c>
      <c r="L1573" s="65"/>
      <c r="M1573" s="62" t="s">
        <v>825</v>
      </c>
      <c r="N1573" s="62" t="s">
        <v>994</v>
      </c>
      <c r="O1573" s="62" t="s">
        <v>428</v>
      </c>
      <c r="P1573" s="62" t="s">
        <v>2421</v>
      </c>
      <c r="Q1573" s="66" t="s">
        <v>1970</v>
      </c>
    </row>
    <row r="1574" spans="1:17" x14ac:dyDescent="0.3">
      <c r="A1574" s="61" t="s">
        <v>2224</v>
      </c>
      <c r="B1574" s="62" t="s">
        <v>1435</v>
      </c>
      <c r="C1574" s="62" t="s">
        <v>1436</v>
      </c>
      <c r="D1574" s="63">
        <v>45623</v>
      </c>
      <c r="E1574" s="63">
        <v>46353</v>
      </c>
      <c r="F1574" s="62" t="s">
        <v>288</v>
      </c>
      <c r="G1574" s="62" t="s">
        <v>1263</v>
      </c>
      <c r="H1574" s="62" t="s">
        <v>467</v>
      </c>
      <c r="I1574" s="64">
        <v>17619.111111111099</v>
      </c>
      <c r="J1574" s="62" t="s">
        <v>468</v>
      </c>
      <c r="K1574" s="62" t="s">
        <v>467</v>
      </c>
      <c r="L1574" s="65"/>
      <c r="M1574" s="62" t="s">
        <v>825</v>
      </c>
      <c r="N1574" s="62" t="s">
        <v>994</v>
      </c>
      <c r="O1574" s="62" t="s">
        <v>428</v>
      </c>
      <c r="P1574" s="62" t="s">
        <v>2421</v>
      </c>
      <c r="Q1574" s="66" t="s">
        <v>1970</v>
      </c>
    </row>
    <row r="1575" spans="1:17" x14ac:dyDescent="0.3">
      <c r="A1575" s="61" t="s">
        <v>2224</v>
      </c>
      <c r="B1575" s="62" t="s">
        <v>1435</v>
      </c>
      <c r="C1575" s="62" t="s">
        <v>1436</v>
      </c>
      <c r="D1575" s="63">
        <v>45623</v>
      </c>
      <c r="E1575" s="63">
        <v>46353</v>
      </c>
      <c r="F1575" s="62" t="s">
        <v>288</v>
      </c>
      <c r="G1575" s="62" t="s">
        <v>826</v>
      </c>
      <c r="H1575" s="62" t="s">
        <v>467</v>
      </c>
      <c r="I1575" s="64">
        <v>17619.111111111099</v>
      </c>
      <c r="J1575" s="62" t="s">
        <v>468</v>
      </c>
      <c r="K1575" s="62" t="s">
        <v>467</v>
      </c>
      <c r="L1575" s="65"/>
      <c r="M1575" s="62" t="s">
        <v>825</v>
      </c>
      <c r="N1575" s="62" t="s">
        <v>994</v>
      </c>
      <c r="O1575" s="62" t="s">
        <v>428</v>
      </c>
      <c r="P1575" s="62" t="s">
        <v>2421</v>
      </c>
      <c r="Q1575" s="66" t="s">
        <v>1970</v>
      </c>
    </row>
    <row r="1576" spans="1:17" x14ac:dyDescent="0.3">
      <c r="A1576" s="61" t="s">
        <v>2224</v>
      </c>
      <c r="B1576" s="62" t="s">
        <v>1435</v>
      </c>
      <c r="C1576" s="62" t="s">
        <v>1436</v>
      </c>
      <c r="D1576" s="63">
        <v>45623</v>
      </c>
      <c r="E1576" s="63">
        <v>46353</v>
      </c>
      <c r="F1576" s="62" t="s">
        <v>1921</v>
      </c>
      <c r="G1576" s="62" t="s">
        <v>713</v>
      </c>
      <c r="H1576" s="62" t="s">
        <v>467</v>
      </c>
      <c r="I1576" s="64">
        <v>26428.666666666701</v>
      </c>
      <c r="J1576" s="62" t="s">
        <v>468</v>
      </c>
      <c r="K1576" s="62" t="s">
        <v>467</v>
      </c>
      <c r="L1576" s="65"/>
      <c r="M1576" s="62" t="s">
        <v>825</v>
      </c>
      <c r="N1576" s="62" t="s">
        <v>994</v>
      </c>
      <c r="O1576" s="62" t="s">
        <v>428</v>
      </c>
      <c r="P1576" s="62" t="s">
        <v>2421</v>
      </c>
      <c r="Q1576" s="66" t="s">
        <v>1970</v>
      </c>
    </row>
    <row r="1577" spans="1:17" x14ac:dyDescent="0.3">
      <c r="A1577" s="61" t="s">
        <v>2224</v>
      </c>
      <c r="B1577" s="62" t="s">
        <v>1435</v>
      </c>
      <c r="C1577" s="62" t="s">
        <v>1436</v>
      </c>
      <c r="D1577" s="63">
        <v>45623</v>
      </c>
      <c r="E1577" s="63">
        <v>46353</v>
      </c>
      <c r="F1577" s="62" t="s">
        <v>1921</v>
      </c>
      <c r="G1577" s="62" t="s">
        <v>714</v>
      </c>
      <c r="H1577" s="62" t="s">
        <v>467</v>
      </c>
      <c r="I1577" s="64">
        <v>26428.666666666701</v>
      </c>
      <c r="J1577" s="62" t="s">
        <v>468</v>
      </c>
      <c r="K1577" s="62" t="s">
        <v>467</v>
      </c>
      <c r="L1577" s="65"/>
      <c r="M1577" s="62" t="s">
        <v>825</v>
      </c>
      <c r="N1577" s="62" t="s">
        <v>994</v>
      </c>
      <c r="O1577" s="62" t="s">
        <v>428</v>
      </c>
      <c r="P1577" s="62" t="s">
        <v>2421</v>
      </c>
      <c r="Q1577" s="66" t="s">
        <v>1970</v>
      </c>
    </row>
    <row r="1578" spans="1:17" x14ac:dyDescent="0.3">
      <c r="A1578" s="61" t="s">
        <v>2224</v>
      </c>
      <c r="B1578" s="62" t="s">
        <v>1435</v>
      </c>
      <c r="C1578" s="62" t="s">
        <v>1436</v>
      </c>
      <c r="D1578" s="63">
        <v>45623</v>
      </c>
      <c r="E1578" s="63">
        <v>46353</v>
      </c>
      <c r="F1578" s="62" t="s">
        <v>1936</v>
      </c>
      <c r="G1578" s="62" t="s">
        <v>304</v>
      </c>
      <c r="H1578" s="62" t="s">
        <v>467</v>
      </c>
      <c r="I1578" s="64">
        <v>52857.333333333299</v>
      </c>
      <c r="J1578" s="62" t="s">
        <v>468</v>
      </c>
      <c r="K1578" s="62" t="s">
        <v>467</v>
      </c>
      <c r="L1578" s="65"/>
      <c r="M1578" s="62" t="s">
        <v>825</v>
      </c>
      <c r="N1578" s="62" t="s">
        <v>994</v>
      </c>
      <c r="O1578" s="62" t="s">
        <v>428</v>
      </c>
      <c r="P1578" s="62" t="s">
        <v>2421</v>
      </c>
      <c r="Q1578" s="66" t="s">
        <v>1970</v>
      </c>
    </row>
    <row r="1579" spans="1:17" x14ac:dyDescent="0.3">
      <c r="A1579" s="61" t="s">
        <v>2225</v>
      </c>
      <c r="B1579" s="62" t="s">
        <v>1437</v>
      </c>
      <c r="C1579" s="62" t="s">
        <v>1438</v>
      </c>
      <c r="D1579" s="63">
        <v>45608</v>
      </c>
      <c r="E1579" s="63">
        <v>46519</v>
      </c>
      <c r="F1579" s="62" t="s">
        <v>1959</v>
      </c>
      <c r="G1579" s="62" t="s">
        <v>679</v>
      </c>
      <c r="H1579" s="62" t="s">
        <v>467</v>
      </c>
      <c r="I1579" s="64">
        <v>115209</v>
      </c>
      <c r="J1579" s="62" t="s">
        <v>468</v>
      </c>
      <c r="K1579" s="62" t="s">
        <v>467</v>
      </c>
      <c r="L1579" s="65"/>
      <c r="M1579" s="62" t="s">
        <v>1518</v>
      </c>
      <c r="N1579" s="62" t="s">
        <v>671</v>
      </c>
      <c r="O1579" s="62" t="s">
        <v>426</v>
      </c>
      <c r="P1579" s="62" t="s">
        <v>2421</v>
      </c>
      <c r="Q1579" s="66" t="s">
        <v>1969</v>
      </c>
    </row>
    <row r="1580" spans="1:17" x14ac:dyDescent="0.3">
      <c r="A1580" s="61" t="s">
        <v>2225</v>
      </c>
      <c r="B1580" s="62" t="s">
        <v>1437</v>
      </c>
      <c r="C1580" s="62" t="s">
        <v>1438</v>
      </c>
      <c r="D1580" s="63">
        <v>45608</v>
      </c>
      <c r="E1580" s="63">
        <v>46519</v>
      </c>
      <c r="F1580" s="62" t="s">
        <v>1959</v>
      </c>
      <c r="G1580" s="62" t="s">
        <v>583</v>
      </c>
      <c r="H1580" s="62" t="s">
        <v>467</v>
      </c>
      <c r="I1580" s="64">
        <v>115209</v>
      </c>
      <c r="J1580" s="62" t="s">
        <v>468</v>
      </c>
      <c r="K1580" s="62" t="s">
        <v>467</v>
      </c>
      <c r="L1580" s="65"/>
      <c r="M1580" s="62" t="s">
        <v>1518</v>
      </c>
      <c r="N1580" s="62" t="s">
        <v>671</v>
      </c>
      <c r="O1580" s="62" t="s">
        <v>426</v>
      </c>
      <c r="P1580" s="62" t="s">
        <v>2421</v>
      </c>
      <c r="Q1580" s="66" t="s">
        <v>1969</v>
      </c>
    </row>
    <row r="1581" spans="1:17" x14ac:dyDescent="0.3">
      <c r="A1581" s="61" t="s">
        <v>2225</v>
      </c>
      <c r="B1581" s="62" t="s">
        <v>1437</v>
      </c>
      <c r="C1581" s="62" t="s">
        <v>1438</v>
      </c>
      <c r="D1581" s="63">
        <v>45608</v>
      </c>
      <c r="E1581" s="63">
        <v>46519</v>
      </c>
      <c r="F1581" s="62" t="s">
        <v>1959</v>
      </c>
      <c r="G1581" s="62" t="s">
        <v>794</v>
      </c>
      <c r="H1581" s="62" t="s">
        <v>467</v>
      </c>
      <c r="I1581" s="64">
        <v>115209</v>
      </c>
      <c r="J1581" s="62" t="s">
        <v>468</v>
      </c>
      <c r="K1581" s="62" t="s">
        <v>467</v>
      </c>
      <c r="L1581" s="65"/>
      <c r="M1581" s="62" t="s">
        <v>1518</v>
      </c>
      <c r="N1581" s="62" t="s">
        <v>671</v>
      </c>
      <c r="O1581" s="62" t="s">
        <v>426</v>
      </c>
      <c r="P1581" s="62" t="s">
        <v>2421</v>
      </c>
      <c r="Q1581" s="66" t="s">
        <v>1969</v>
      </c>
    </row>
    <row r="1582" spans="1:17" x14ac:dyDescent="0.3">
      <c r="A1582" s="61" t="s">
        <v>2225</v>
      </c>
      <c r="B1582" s="62" t="s">
        <v>1437</v>
      </c>
      <c r="C1582" s="62" t="s">
        <v>1438</v>
      </c>
      <c r="D1582" s="63">
        <v>45608</v>
      </c>
      <c r="E1582" s="63">
        <v>46519</v>
      </c>
      <c r="F1582" s="62" t="s">
        <v>1959</v>
      </c>
      <c r="G1582" s="62" t="s">
        <v>587</v>
      </c>
      <c r="H1582" s="62" t="s">
        <v>467</v>
      </c>
      <c r="I1582" s="64">
        <v>115209</v>
      </c>
      <c r="J1582" s="62" t="s">
        <v>468</v>
      </c>
      <c r="K1582" s="62" t="s">
        <v>467</v>
      </c>
      <c r="L1582" s="65"/>
      <c r="M1582" s="62" t="s">
        <v>1518</v>
      </c>
      <c r="N1582" s="62" t="s">
        <v>671</v>
      </c>
      <c r="O1582" s="62" t="s">
        <v>426</v>
      </c>
      <c r="P1582" s="62" t="s">
        <v>2421</v>
      </c>
      <c r="Q1582" s="66" t="s">
        <v>1969</v>
      </c>
    </row>
    <row r="1583" spans="1:17" x14ac:dyDescent="0.3">
      <c r="A1583" s="61" t="s">
        <v>2225</v>
      </c>
      <c r="B1583" s="62" t="s">
        <v>1437</v>
      </c>
      <c r="C1583" s="62" t="s">
        <v>1438</v>
      </c>
      <c r="D1583" s="63">
        <v>45608</v>
      </c>
      <c r="E1583" s="63">
        <v>46519</v>
      </c>
      <c r="F1583" s="62" t="s">
        <v>1959</v>
      </c>
      <c r="G1583" s="62" t="s">
        <v>805</v>
      </c>
      <c r="H1583" s="62" t="s">
        <v>467</v>
      </c>
      <c r="I1583" s="64">
        <v>115209</v>
      </c>
      <c r="J1583" s="62" t="s">
        <v>468</v>
      </c>
      <c r="K1583" s="62" t="s">
        <v>467</v>
      </c>
      <c r="L1583" s="65"/>
      <c r="M1583" s="62" t="s">
        <v>1518</v>
      </c>
      <c r="N1583" s="62" t="s">
        <v>671</v>
      </c>
      <c r="O1583" s="62" t="s">
        <v>426</v>
      </c>
      <c r="P1583" s="62" t="s">
        <v>2421</v>
      </c>
      <c r="Q1583" s="66" t="s">
        <v>1969</v>
      </c>
    </row>
    <row r="1584" spans="1:17" x14ac:dyDescent="0.3">
      <c r="A1584" s="61" t="s">
        <v>2226</v>
      </c>
      <c r="B1584" s="62" t="s">
        <v>1439</v>
      </c>
      <c r="C1584" s="62" t="s">
        <v>1440</v>
      </c>
      <c r="D1584" s="63">
        <v>45383</v>
      </c>
      <c r="E1584" s="63">
        <v>46843</v>
      </c>
      <c r="F1584" s="62" t="s">
        <v>286</v>
      </c>
      <c r="G1584" s="62" t="s">
        <v>674</v>
      </c>
      <c r="H1584" s="62" t="s">
        <v>2427</v>
      </c>
      <c r="I1584" s="64">
        <v>248768.5</v>
      </c>
      <c r="J1584" s="62" t="s">
        <v>661</v>
      </c>
      <c r="K1584" s="62" t="s">
        <v>489</v>
      </c>
      <c r="L1584" s="65"/>
      <c r="M1584" s="62" t="s">
        <v>825</v>
      </c>
      <c r="N1584" s="62" t="s">
        <v>639</v>
      </c>
      <c r="O1584" s="62" t="s">
        <v>371</v>
      </c>
      <c r="P1584" s="62" t="s">
        <v>2421</v>
      </c>
      <c r="Q1584" s="66" t="s">
        <v>1970</v>
      </c>
    </row>
    <row r="1585" spans="1:17" x14ac:dyDescent="0.3">
      <c r="A1585" s="61" t="s">
        <v>2226</v>
      </c>
      <c r="B1585" s="62" t="s">
        <v>1439</v>
      </c>
      <c r="C1585" s="62" t="s">
        <v>1440</v>
      </c>
      <c r="D1585" s="63">
        <v>45383</v>
      </c>
      <c r="E1585" s="63">
        <v>46843</v>
      </c>
      <c r="F1585" s="62" t="s">
        <v>286</v>
      </c>
      <c r="G1585" s="62" t="s">
        <v>474</v>
      </c>
      <c r="H1585" s="62" t="s">
        <v>2427</v>
      </c>
      <c r="I1585" s="64">
        <v>248768.5</v>
      </c>
      <c r="J1585" s="62" t="s">
        <v>661</v>
      </c>
      <c r="K1585" s="62" t="s">
        <v>489</v>
      </c>
      <c r="L1585" s="65"/>
      <c r="M1585" s="62" t="s">
        <v>825</v>
      </c>
      <c r="N1585" s="62" t="s">
        <v>639</v>
      </c>
      <c r="O1585" s="62" t="s">
        <v>371</v>
      </c>
      <c r="P1585" s="62" t="s">
        <v>2421</v>
      </c>
      <c r="Q1585" s="66" t="s">
        <v>1970</v>
      </c>
    </row>
    <row r="1586" spans="1:17" x14ac:dyDescent="0.3">
      <c r="A1586" s="61" t="s">
        <v>2227</v>
      </c>
      <c r="B1586" s="62" t="s">
        <v>1441</v>
      </c>
      <c r="C1586" s="62" t="s">
        <v>1442</v>
      </c>
      <c r="D1586" s="63">
        <v>45538</v>
      </c>
      <c r="E1586" s="63">
        <v>47363</v>
      </c>
      <c r="F1586" s="62" t="s">
        <v>350</v>
      </c>
      <c r="G1586" s="62" t="s">
        <v>304</v>
      </c>
      <c r="H1586" s="62" t="s">
        <v>311</v>
      </c>
      <c r="I1586" s="64">
        <v>3402786.55</v>
      </c>
      <c r="J1586" s="62" t="s">
        <v>312</v>
      </c>
      <c r="K1586" s="62" t="s">
        <v>311</v>
      </c>
      <c r="L1586" s="65"/>
      <c r="M1586" s="62" t="s">
        <v>2465</v>
      </c>
      <c r="N1586" s="62" t="s">
        <v>1227</v>
      </c>
      <c r="O1586" s="62" t="s">
        <v>596</v>
      </c>
      <c r="P1586" s="62" t="s">
        <v>2421</v>
      </c>
      <c r="Q1586" s="66" t="s">
        <v>1985</v>
      </c>
    </row>
    <row r="1587" spans="1:17" x14ac:dyDescent="0.3">
      <c r="A1587" s="61" t="s">
        <v>2228</v>
      </c>
      <c r="B1587" s="62" t="s">
        <v>1443</v>
      </c>
      <c r="C1587" s="62" t="s">
        <v>1444</v>
      </c>
      <c r="D1587" s="63">
        <v>45352</v>
      </c>
      <c r="E1587" s="63">
        <v>46203</v>
      </c>
      <c r="F1587" s="62" t="s">
        <v>350</v>
      </c>
      <c r="G1587" s="62" t="s">
        <v>304</v>
      </c>
      <c r="H1587" s="62" t="s">
        <v>362</v>
      </c>
      <c r="I1587" s="64">
        <v>541849</v>
      </c>
      <c r="J1587" s="62" t="s">
        <v>363</v>
      </c>
      <c r="K1587" s="62" t="s">
        <v>362</v>
      </c>
      <c r="L1587" s="65"/>
      <c r="M1587" s="62" t="s">
        <v>1518</v>
      </c>
      <c r="N1587" s="62" t="s">
        <v>364</v>
      </c>
      <c r="O1587" s="62" t="s">
        <v>365</v>
      </c>
      <c r="P1587" s="62" t="s">
        <v>2421</v>
      </c>
      <c r="Q1587" s="66" t="s">
        <v>1974</v>
      </c>
    </row>
    <row r="1588" spans="1:17" x14ac:dyDescent="0.3">
      <c r="A1588" s="61" t="s">
        <v>2229</v>
      </c>
      <c r="B1588" s="62" t="s">
        <v>1445</v>
      </c>
      <c r="C1588" s="62" t="s">
        <v>1446</v>
      </c>
      <c r="D1588" s="63">
        <v>45660</v>
      </c>
      <c r="E1588" s="63">
        <v>47486</v>
      </c>
      <c r="F1588" s="62" t="s">
        <v>1931</v>
      </c>
      <c r="G1588" s="62" t="s">
        <v>304</v>
      </c>
      <c r="H1588" s="62" t="s">
        <v>2452</v>
      </c>
      <c r="I1588" s="64">
        <v>2040928.66666667</v>
      </c>
      <c r="J1588" s="62" t="s">
        <v>2453</v>
      </c>
      <c r="K1588" s="62" t="s">
        <v>1957</v>
      </c>
      <c r="L1588" s="65"/>
      <c r="M1588" s="62" t="s">
        <v>1518</v>
      </c>
      <c r="N1588" s="62" t="s">
        <v>947</v>
      </c>
      <c r="O1588" s="62" t="s">
        <v>646</v>
      </c>
      <c r="P1588" s="62" t="s">
        <v>2421</v>
      </c>
      <c r="Q1588" s="66" t="s">
        <v>1971</v>
      </c>
    </row>
    <row r="1589" spans="1:17" x14ac:dyDescent="0.3">
      <c r="A1589" s="61" t="s">
        <v>2229</v>
      </c>
      <c r="B1589" s="62" t="s">
        <v>1445</v>
      </c>
      <c r="C1589" s="62" t="s">
        <v>1446</v>
      </c>
      <c r="D1589" s="63">
        <v>45660</v>
      </c>
      <c r="E1589" s="63">
        <v>47486</v>
      </c>
      <c r="F1589" s="62" t="s">
        <v>287</v>
      </c>
      <c r="G1589" s="62" t="s">
        <v>304</v>
      </c>
      <c r="H1589" s="62" t="s">
        <v>2452</v>
      </c>
      <c r="I1589" s="64">
        <v>2040928.66666667</v>
      </c>
      <c r="J1589" s="62" t="s">
        <v>2453</v>
      </c>
      <c r="K1589" s="62" t="s">
        <v>1957</v>
      </c>
      <c r="L1589" s="65"/>
      <c r="M1589" s="62" t="s">
        <v>1518</v>
      </c>
      <c r="N1589" s="62" t="s">
        <v>947</v>
      </c>
      <c r="O1589" s="62" t="s">
        <v>646</v>
      </c>
      <c r="P1589" s="62" t="s">
        <v>2421</v>
      </c>
      <c r="Q1589" s="66" t="s">
        <v>1971</v>
      </c>
    </row>
    <row r="1590" spans="1:17" x14ac:dyDescent="0.3">
      <c r="A1590" s="61" t="s">
        <v>2229</v>
      </c>
      <c r="B1590" s="62" t="s">
        <v>1445</v>
      </c>
      <c r="C1590" s="62" t="s">
        <v>1446</v>
      </c>
      <c r="D1590" s="63">
        <v>45660</v>
      </c>
      <c r="E1590" s="63">
        <v>47486</v>
      </c>
      <c r="F1590" s="62" t="s">
        <v>1945</v>
      </c>
      <c r="G1590" s="62" t="s">
        <v>304</v>
      </c>
      <c r="H1590" s="62" t="s">
        <v>2452</v>
      </c>
      <c r="I1590" s="64">
        <v>2040928.66666667</v>
      </c>
      <c r="J1590" s="62" t="s">
        <v>2453</v>
      </c>
      <c r="K1590" s="62" t="s">
        <v>1957</v>
      </c>
      <c r="L1590" s="65"/>
      <c r="M1590" s="62" t="s">
        <v>1518</v>
      </c>
      <c r="N1590" s="62" t="s">
        <v>947</v>
      </c>
      <c r="O1590" s="62" t="s">
        <v>646</v>
      </c>
      <c r="P1590" s="62" t="s">
        <v>2421</v>
      </c>
      <c r="Q1590" s="66" t="s">
        <v>1971</v>
      </c>
    </row>
    <row r="1591" spans="1:17" x14ac:dyDescent="0.3">
      <c r="A1591" s="61" t="s">
        <v>2230</v>
      </c>
      <c r="B1591" s="62" t="s">
        <v>1447</v>
      </c>
      <c r="C1591" s="62" t="s">
        <v>1448</v>
      </c>
      <c r="D1591" s="63">
        <v>45702</v>
      </c>
      <c r="E1591" s="63">
        <v>46067</v>
      </c>
      <c r="F1591" s="62" t="s">
        <v>1945</v>
      </c>
      <c r="G1591" s="62" t="s">
        <v>555</v>
      </c>
      <c r="H1591" s="62" t="s">
        <v>608</v>
      </c>
      <c r="I1591" s="64">
        <v>55225</v>
      </c>
      <c r="J1591" s="62" t="s">
        <v>1110</v>
      </c>
      <c r="K1591" s="62" t="s">
        <v>1957</v>
      </c>
      <c r="L1591" s="65"/>
      <c r="M1591" s="62" t="s">
        <v>1518</v>
      </c>
      <c r="N1591" s="62" t="s">
        <v>1111</v>
      </c>
      <c r="O1591" s="62" t="s">
        <v>571</v>
      </c>
      <c r="P1591" s="62" t="s">
        <v>2421</v>
      </c>
      <c r="Q1591" s="66" t="s">
        <v>1966</v>
      </c>
    </row>
    <row r="1592" spans="1:17" x14ac:dyDescent="0.3">
      <c r="A1592" s="61" t="s">
        <v>2231</v>
      </c>
      <c r="B1592" s="62" t="s">
        <v>1449</v>
      </c>
      <c r="C1592" s="62" t="s">
        <v>1450</v>
      </c>
      <c r="D1592" s="63">
        <v>45689</v>
      </c>
      <c r="E1592" s="63">
        <v>46784</v>
      </c>
      <c r="F1592" s="62" t="s">
        <v>1945</v>
      </c>
      <c r="G1592" s="62" t="s">
        <v>400</v>
      </c>
      <c r="H1592" s="62" t="s">
        <v>2427</v>
      </c>
      <c r="I1592" s="64">
        <v>89368.25</v>
      </c>
      <c r="J1592" s="62" t="s">
        <v>372</v>
      </c>
      <c r="K1592" s="62" t="s">
        <v>521</v>
      </c>
      <c r="L1592" s="65"/>
      <c r="M1592" s="62" t="s">
        <v>825</v>
      </c>
      <c r="N1592" s="62" t="s">
        <v>416</v>
      </c>
      <c r="O1592" s="62" t="s">
        <v>417</v>
      </c>
      <c r="P1592" s="62" t="s">
        <v>2421</v>
      </c>
      <c r="Q1592" s="66" t="s">
        <v>2021</v>
      </c>
    </row>
    <row r="1593" spans="1:17" x14ac:dyDescent="0.3">
      <c r="A1593" s="61" t="s">
        <v>2231</v>
      </c>
      <c r="B1593" s="62" t="s">
        <v>1449</v>
      </c>
      <c r="C1593" s="62" t="s">
        <v>1450</v>
      </c>
      <c r="D1593" s="63">
        <v>45689</v>
      </c>
      <c r="E1593" s="63">
        <v>46784</v>
      </c>
      <c r="F1593" s="62" t="s">
        <v>1945</v>
      </c>
      <c r="G1593" s="62" t="s">
        <v>555</v>
      </c>
      <c r="H1593" s="62" t="s">
        <v>2427</v>
      </c>
      <c r="I1593" s="64">
        <v>89368.25</v>
      </c>
      <c r="J1593" s="62" t="s">
        <v>372</v>
      </c>
      <c r="K1593" s="62" t="s">
        <v>521</v>
      </c>
      <c r="L1593" s="65"/>
      <c r="M1593" s="62" t="s">
        <v>825</v>
      </c>
      <c r="N1593" s="62" t="s">
        <v>416</v>
      </c>
      <c r="O1593" s="62" t="s">
        <v>417</v>
      </c>
      <c r="P1593" s="62" t="s">
        <v>2421</v>
      </c>
      <c r="Q1593" s="66" t="s">
        <v>2021</v>
      </c>
    </row>
    <row r="1594" spans="1:17" x14ac:dyDescent="0.3">
      <c r="A1594" s="61" t="s">
        <v>2231</v>
      </c>
      <c r="B1594" s="62" t="s">
        <v>1449</v>
      </c>
      <c r="C1594" s="62" t="s">
        <v>1450</v>
      </c>
      <c r="D1594" s="63">
        <v>45689</v>
      </c>
      <c r="E1594" s="63">
        <v>46784</v>
      </c>
      <c r="F1594" s="62" t="s">
        <v>1936</v>
      </c>
      <c r="G1594" s="62" t="s">
        <v>411</v>
      </c>
      <c r="H1594" s="62" t="s">
        <v>2427</v>
      </c>
      <c r="I1594" s="64">
        <v>178736.5</v>
      </c>
      <c r="J1594" s="62" t="s">
        <v>372</v>
      </c>
      <c r="K1594" s="62" t="s">
        <v>521</v>
      </c>
      <c r="L1594" s="65"/>
      <c r="M1594" s="62" t="s">
        <v>825</v>
      </c>
      <c r="N1594" s="62" t="s">
        <v>416</v>
      </c>
      <c r="O1594" s="62" t="s">
        <v>417</v>
      </c>
      <c r="P1594" s="62" t="s">
        <v>2421</v>
      </c>
      <c r="Q1594" s="66" t="s">
        <v>2021</v>
      </c>
    </row>
    <row r="1595" spans="1:17" x14ac:dyDescent="0.3">
      <c r="A1595" s="61" t="s">
        <v>2231</v>
      </c>
      <c r="B1595" s="62" t="s">
        <v>1449</v>
      </c>
      <c r="C1595" s="62" t="s">
        <v>1450</v>
      </c>
      <c r="D1595" s="63">
        <v>45689</v>
      </c>
      <c r="E1595" s="63">
        <v>46784</v>
      </c>
      <c r="F1595" s="62" t="s">
        <v>1945</v>
      </c>
      <c r="G1595" s="62" t="s">
        <v>400</v>
      </c>
      <c r="H1595" s="62" t="s">
        <v>373</v>
      </c>
      <c r="I1595" s="64">
        <v>259494</v>
      </c>
      <c r="J1595" s="62" t="s">
        <v>373</v>
      </c>
      <c r="K1595" s="62" t="s">
        <v>521</v>
      </c>
      <c r="L1595" s="65"/>
      <c r="M1595" s="62" t="s">
        <v>825</v>
      </c>
      <c r="N1595" s="62" t="s">
        <v>416</v>
      </c>
      <c r="O1595" s="62" t="s">
        <v>417</v>
      </c>
      <c r="P1595" s="62" t="s">
        <v>2421</v>
      </c>
      <c r="Q1595" s="66" t="s">
        <v>2021</v>
      </c>
    </row>
    <row r="1596" spans="1:17" x14ac:dyDescent="0.3">
      <c r="A1596" s="61" t="s">
        <v>2231</v>
      </c>
      <c r="B1596" s="62" t="s">
        <v>1449</v>
      </c>
      <c r="C1596" s="62" t="s">
        <v>1450</v>
      </c>
      <c r="D1596" s="63">
        <v>45689</v>
      </c>
      <c r="E1596" s="63">
        <v>46784</v>
      </c>
      <c r="F1596" s="62" t="s">
        <v>1945</v>
      </c>
      <c r="G1596" s="62" t="s">
        <v>555</v>
      </c>
      <c r="H1596" s="62" t="s">
        <v>373</v>
      </c>
      <c r="I1596" s="64">
        <v>259494</v>
      </c>
      <c r="J1596" s="62" t="s">
        <v>373</v>
      </c>
      <c r="K1596" s="62" t="s">
        <v>521</v>
      </c>
      <c r="L1596" s="65"/>
      <c r="M1596" s="62" t="s">
        <v>825</v>
      </c>
      <c r="N1596" s="62" t="s">
        <v>416</v>
      </c>
      <c r="O1596" s="62" t="s">
        <v>417</v>
      </c>
      <c r="P1596" s="62" t="s">
        <v>2421</v>
      </c>
      <c r="Q1596" s="66" t="s">
        <v>2021</v>
      </c>
    </row>
    <row r="1597" spans="1:17" x14ac:dyDescent="0.3">
      <c r="A1597" s="61" t="s">
        <v>2231</v>
      </c>
      <c r="B1597" s="62" t="s">
        <v>1449</v>
      </c>
      <c r="C1597" s="62" t="s">
        <v>1450</v>
      </c>
      <c r="D1597" s="63">
        <v>45689</v>
      </c>
      <c r="E1597" s="63">
        <v>46784</v>
      </c>
      <c r="F1597" s="62" t="s">
        <v>1936</v>
      </c>
      <c r="G1597" s="62" t="s">
        <v>411</v>
      </c>
      <c r="H1597" s="62" t="s">
        <v>373</v>
      </c>
      <c r="I1597" s="64">
        <v>518988</v>
      </c>
      <c r="J1597" s="62" t="s">
        <v>373</v>
      </c>
      <c r="K1597" s="62" t="s">
        <v>521</v>
      </c>
      <c r="L1597" s="65"/>
      <c r="M1597" s="62" t="s">
        <v>825</v>
      </c>
      <c r="N1597" s="62" t="s">
        <v>416</v>
      </c>
      <c r="O1597" s="62" t="s">
        <v>417</v>
      </c>
      <c r="P1597" s="62" t="s">
        <v>2421</v>
      </c>
      <c r="Q1597" s="66" t="s">
        <v>2021</v>
      </c>
    </row>
    <row r="1598" spans="1:17" x14ac:dyDescent="0.3">
      <c r="A1598" s="61" t="s">
        <v>2232</v>
      </c>
      <c r="B1598" s="62" t="s">
        <v>1451</v>
      </c>
      <c r="C1598" s="62" t="s">
        <v>1452</v>
      </c>
      <c r="D1598" s="63">
        <v>45629</v>
      </c>
      <c r="E1598" s="63">
        <v>46907</v>
      </c>
      <c r="F1598" s="62" t="s">
        <v>1922</v>
      </c>
      <c r="G1598" s="62" t="s">
        <v>304</v>
      </c>
      <c r="H1598" s="62" t="s">
        <v>467</v>
      </c>
      <c r="I1598" s="64">
        <v>1404083</v>
      </c>
      <c r="J1598" s="62" t="s">
        <v>468</v>
      </c>
      <c r="K1598" s="62" t="s">
        <v>467</v>
      </c>
      <c r="L1598" s="65"/>
      <c r="M1598" s="62" t="s">
        <v>2443</v>
      </c>
      <c r="N1598" s="62" t="s">
        <v>374</v>
      </c>
      <c r="O1598" s="62" t="s">
        <v>375</v>
      </c>
      <c r="P1598" s="62" t="s">
        <v>2421</v>
      </c>
      <c r="Q1598" s="66" t="s">
        <v>1967</v>
      </c>
    </row>
    <row r="1599" spans="1:17" x14ac:dyDescent="0.3">
      <c r="A1599" s="61" t="s">
        <v>2233</v>
      </c>
      <c r="B1599" s="62" t="s">
        <v>1453</v>
      </c>
      <c r="C1599" s="62" t="s">
        <v>1454</v>
      </c>
      <c r="D1599" s="63">
        <v>45555</v>
      </c>
      <c r="E1599" s="63">
        <v>46407</v>
      </c>
      <c r="F1599" s="62" t="s">
        <v>350</v>
      </c>
      <c r="G1599" s="62" t="s">
        <v>350</v>
      </c>
      <c r="H1599" s="62" t="s">
        <v>373</v>
      </c>
      <c r="I1599" s="64">
        <v>1114399</v>
      </c>
      <c r="J1599" s="62" t="s">
        <v>373</v>
      </c>
      <c r="K1599" s="62" t="s">
        <v>1693</v>
      </c>
      <c r="L1599" s="65"/>
      <c r="M1599" s="62" t="s">
        <v>825</v>
      </c>
      <c r="N1599" s="62" t="s">
        <v>416</v>
      </c>
      <c r="O1599" s="62" t="s">
        <v>417</v>
      </c>
      <c r="P1599" s="62" t="s">
        <v>2421</v>
      </c>
      <c r="Q1599" s="66" t="s">
        <v>1989</v>
      </c>
    </row>
    <row r="1600" spans="1:17" x14ac:dyDescent="0.3">
      <c r="A1600" s="61" t="s">
        <v>2234</v>
      </c>
      <c r="B1600" s="62" t="s">
        <v>1455</v>
      </c>
      <c r="C1600" s="62" t="s">
        <v>1456</v>
      </c>
      <c r="D1600" s="63">
        <v>45444</v>
      </c>
      <c r="E1600" s="63">
        <v>46173</v>
      </c>
      <c r="F1600" s="62" t="s">
        <v>1922</v>
      </c>
      <c r="G1600" s="62" t="s">
        <v>643</v>
      </c>
      <c r="H1600" s="62" t="s">
        <v>373</v>
      </c>
      <c r="I1600" s="64">
        <v>235235.5</v>
      </c>
      <c r="J1600" s="62" t="s">
        <v>373</v>
      </c>
      <c r="K1600" s="62" t="s">
        <v>1693</v>
      </c>
      <c r="L1600" s="65"/>
      <c r="M1600" s="62" t="s">
        <v>825</v>
      </c>
      <c r="N1600" s="62" t="s">
        <v>935</v>
      </c>
      <c r="O1600" s="62" t="s">
        <v>347</v>
      </c>
      <c r="P1600" s="62" t="s">
        <v>2421</v>
      </c>
      <c r="Q1600" s="66" t="s">
        <v>1965</v>
      </c>
    </row>
    <row r="1601" spans="1:17" x14ac:dyDescent="0.3">
      <c r="A1601" s="61" t="s">
        <v>2234</v>
      </c>
      <c r="B1601" s="62" t="s">
        <v>1455</v>
      </c>
      <c r="C1601" s="62" t="s">
        <v>1456</v>
      </c>
      <c r="D1601" s="63">
        <v>45444</v>
      </c>
      <c r="E1601" s="63">
        <v>46173</v>
      </c>
      <c r="F1601" s="62" t="s">
        <v>1922</v>
      </c>
      <c r="G1601" s="62" t="s">
        <v>889</v>
      </c>
      <c r="H1601" s="62" t="s">
        <v>373</v>
      </c>
      <c r="I1601" s="64">
        <v>235235.5</v>
      </c>
      <c r="J1601" s="62" t="s">
        <v>373</v>
      </c>
      <c r="K1601" s="62" t="s">
        <v>1693</v>
      </c>
      <c r="L1601" s="65"/>
      <c r="M1601" s="62" t="s">
        <v>825</v>
      </c>
      <c r="N1601" s="62" t="s">
        <v>935</v>
      </c>
      <c r="O1601" s="62" t="s">
        <v>347</v>
      </c>
      <c r="P1601" s="62" t="s">
        <v>2421</v>
      </c>
      <c r="Q1601" s="66" t="s">
        <v>1965</v>
      </c>
    </row>
    <row r="1602" spans="1:17" x14ac:dyDescent="0.3">
      <c r="A1602" s="61" t="s">
        <v>2234</v>
      </c>
      <c r="B1602" s="62" t="s">
        <v>1455</v>
      </c>
      <c r="C1602" s="62" t="s">
        <v>1456</v>
      </c>
      <c r="D1602" s="63">
        <v>45444</v>
      </c>
      <c r="E1602" s="63">
        <v>46173</v>
      </c>
      <c r="F1602" s="62" t="s">
        <v>1922</v>
      </c>
      <c r="G1602" s="62" t="s">
        <v>553</v>
      </c>
      <c r="H1602" s="62" t="s">
        <v>373</v>
      </c>
      <c r="I1602" s="64">
        <v>235235.5</v>
      </c>
      <c r="J1602" s="62" t="s">
        <v>373</v>
      </c>
      <c r="K1602" s="62" t="s">
        <v>1693</v>
      </c>
      <c r="L1602" s="65"/>
      <c r="M1602" s="62" t="s">
        <v>825</v>
      </c>
      <c r="N1602" s="62" t="s">
        <v>935</v>
      </c>
      <c r="O1602" s="62" t="s">
        <v>347</v>
      </c>
      <c r="P1602" s="62" t="s">
        <v>2421</v>
      </c>
      <c r="Q1602" s="66" t="s">
        <v>1965</v>
      </c>
    </row>
    <row r="1603" spans="1:17" x14ac:dyDescent="0.3">
      <c r="A1603" s="61" t="s">
        <v>2234</v>
      </c>
      <c r="B1603" s="62" t="s">
        <v>1455</v>
      </c>
      <c r="C1603" s="62" t="s">
        <v>1456</v>
      </c>
      <c r="D1603" s="63">
        <v>45444</v>
      </c>
      <c r="E1603" s="63">
        <v>46173</v>
      </c>
      <c r="F1603" s="62" t="s">
        <v>287</v>
      </c>
      <c r="G1603" s="62" t="s">
        <v>390</v>
      </c>
      <c r="H1603" s="62" t="s">
        <v>373</v>
      </c>
      <c r="I1603" s="64">
        <v>705706.5</v>
      </c>
      <c r="J1603" s="62" t="s">
        <v>373</v>
      </c>
      <c r="K1603" s="62" t="s">
        <v>1693</v>
      </c>
      <c r="L1603" s="65"/>
      <c r="M1603" s="62" t="s">
        <v>825</v>
      </c>
      <c r="N1603" s="62" t="s">
        <v>935</v>
      </c>
      <c r="O1603" s="62" t="s">
        <v>347</v>
      </c>
      <c r="P1603" s="62" t="s">
        <v>2421</v>
      </c>
      <c r="Q1603" s="66" t="s">
        <v>1965</v>
      </c>
    </row>
    <row r="1604" spans="1:17" x14ac:dyDescent="0.3">
      <c r="A1604" s="61" t="s">
        <v>2235</v>
      </c>
      <c r="B1604" s="62" t="s">
        <v>1457</v>
      </c>
      <c r="C1604" s="62" t="s">
        <v>1458</v>
      </c>
      <c r="D1604" s="63">
        <v>45670</v>
      </c>
      <c r="E1604" s="63">
        <v>46764</v>
      </c>
      <c r="F1604" s="62" t="s">
        <v>1945</v>
      </c>
      <c r="G1604" s="62" t="s">
        <v>555</v>
      </c>
      <c r="H1604" s="62" t="s">
        <v>373</v>
      </c>
      <c r="I1604" s="64">
        <v>254924.33333333299</v>
      </c>
      <c r="J1604" s="62" t="s">
        <v>373</v>
      </c>
      <c r="K1604" s="62" t="s">
        <v>1693</v>
      </c>
      <c r="L1604" s="65"/>
      <c r="M1604" s="62" t="s">
        <v>424</v>
      </c>
      <c r="N1604" s="62" t="s">
        <v>652</v>
      </c>
      <c r="O1604" s="62" t="s">
        <v>571</v>
      </c>
      <c r="P1604" s="62" t="s">
        <v>2421</v>
      </c>
      <c r="Q1604" s="66" t="s">
        <v>1975</v>
      </c>
    </row>
    <row r="1605" spans="1:17" x14ac:dyDescent="0.3">
      <c r="A1605" s="61" t="s">
        <v>2235</v>
      </c>
      <c r="B1605" s="62" t="s">
        <v>1457</v>
      </c>
      <c r="C1605" s="62" t="s">
        <v>1458</v>
      </c>
      <c r="D1605" s="63">
        <v>45670</v>
      </c>
      <c r="E1605" s="63">
        <v>46764</v>
      </c>
      <c r="F1605" s="62" t="s">
        <v>1945</v>
      </c>
      <c r="G1605" s="62" t="s">
        <v>1139</v>
      </c>
      <c r="H1605" s="62" t="s">
        <v>373</v>
      </c>
      <c r="I1605" s="64">
        <v>254924.33333333299</v>
      </c>
      <c r="J1605" s="62" t="s">
        <v>373</v>
      </c>
      <c r="K1605" s="62" t="s">
        <v>1693</v>
      </c>
      <c r="L1605" s="65"/>
      <c r="M1605" s="62" t="s">
        <v>424</v>
      </c>
      <c r="N1605" s="62" t="s">
        <v>652</v>
      </c>
      <c r="O1605" s="62" t="s">
        <v>571</v>
      </c>
      <c r="P1605" s="62" t="s">
        <v>2421</v>
      </c>
      <c r="Q1605" s="66" t="s">
        <v>1975</v>
      </c>
    </row>
    <row r="1606" spans="1:17" x14ac:dyDescent="0.3">
      <c r="A1606" s="61" t="s">
        <v>2235</v>
      </c>
      <c r="B1606" s="62" t="s">
        <v>1457</v>
      </c>
      <c r="C1606" s="62" t="s">
        <v>1458</v>
      </c>
      <c r="D1606" s="63">
        <v>45670</v>
      </c>
      <c r="E1606" s="63">
        <v>46764</v>
      </c>
      <c r="F1606" s="62" t="s">
        <v>1945</v>
      </c>
      <c r="G1606" s="62" t="s">
        <v>404</v>
      </c>
      <c r="H1606" s="62" t="s">
        <v>373</v>
      </c>
      <c r="I1606" s="64">
        <v>254924.33333333299</v>
      </c>
      <c r="J1606" s="62" t="s">
        <v>373</v>
      </c>
      <c r="K1606" s="62" t="s">
        <v>1693</v>
      </c>
      <c r="L1606" s="65"/>
      <c r="M1606" s="62" t="s">
        <v>424</v>
      </c>
      <c r="N1606" s="62" t="s">
        <v>652</v>
      </c>
      <c r="O1606" s="62" t="s">
        <v>571</v>
      </c>
      <c r="P1606" s="62" t="s">
        <v>2421</v>
      </c>
      <c r="Q1606" s="66" t="s">
        <v>1975</v>
      </c>
    </row>
    <row r="1607" spans="1:17" x14ac:dyDescent="0.3">
      <c r="A1607" s="61" t="s">
        <v>2236</v>
      </c>
      <c r="B1607" s="62" t="s">
        <v>1459</v>
      </c>
      <c r="C1607" s="62" t="s">
        <v>1460</v>
      </c>
      <c r="D1607" s="63">
        <v>45639</v>
      </c>
      <c r="E1607" s="63">
        <v>46186</v>
      </c>
      <c r="F1607" s="62" t="s">
        <v>1936</v>
      </c>
      <c r="G1607" s="62" t="s">
        <v>730</v>
      </c>
      <c r="H1607" s="62" t="s">
        <v>2420</v>
      </c>
      <c r="I1607" s="64">
        <v>300000</v>
      </c>
      <c r="J1607" s="62" t="s">
        <v>2453</v>
      </c>
      <c r="K1607" s="62" t="s">
        <v>1962</v>
      </c>
      <c r="L1607" s="65"/>
      <c r="M1607" s="62" t="s">
        <v>2443</v>
      </c>
      <c r="N1607" s="62" t="s">
        <v>1461</v>
      </c>
      <c r="O1607" s="62" t="s">
        <v>371</v>
      </c>
      <c r="P1607" s="62" t="s">
        <v>2421</v>
      </c>
      <c r="Q1607" s="66" t="s">
        <v>1985</v>
      </c>
    </row>
    <row r="1608" spans="1:17" x14ac:dyDescent="0.3">
      <c r="A1608" s="61" t="s">
        <v>2236</v>
      </c>
      <c r="B1608" s="62" t="s">
        <v>1459</v>
      </c>
      <c r="C1608" s="62" t="s">
        <v>1460</v>
      </c>
      <c r="D1608" s="63">
        <v>45639</v>
      </c>
      <c r="E1608" s="63">
        <v>46186</v>
      </c>
      <c r="F1608" s="62" t="s">
        <v>1936</v>
      </c>
      <c r="G1608" s="62" t="s">
        <v>747</v>
      </c>
      <c r="H1608" s="62" t="s">
        <v>2420</v>
      </c>
      <c r="I1608" s="64">
        <v>300000</v>
      </c>
      <c r="J1608" s="62" t="s">
        <v>2453</v>
      </c>
      <c r="K1608" s="62" t="s">
        <v>1962</v>
      </c>
      <c r="L1608" s="65"/>
      <c r="M1608" s="62" t="s">
        <v>2443</v>
      </c>
      <c r="N1608" s="62" t="s">
        <v>1461</v>
      </c>
      <c r="O1608" s="62" t="s">
        <v>371</v>
      </c>
      <c r="P1608" s="62" t="s">
        <v>2421</v>
      </c>
      <c r="Q1608" s="66" t="s">
        <v>1985</v>
      </c>
    </row>
    <row r="1609" spans="1:17" x14ac:dyDescent="0.3">
      <c r="A1609" s="61" t="s">
        <v>2236</v>
      </c>
      <c r="B1609" s="62" t="s">
        <v>1459</v>
      </c>
      <c r="C1609" s="62" t="s">
        <v>1460</v>
      </c>
      <c r="D1609" s="63">
        <v>45639</v>
      </c>
      <c r="E1609" s="63">
        <v>46186</v>
      </c>
      <c r="F1609" s="62" t="s">
        <v>1921</v>
      </c>
      <c r="G1609" s="62" t="s">
        <v>559</v>
      </c>
      <c r="H1609" s="62" t="s">
        <v>2420</v>
      </c>
      <c r="I1609" s="64">
        <v>600000</v>
      </c>
      <c r="J1609" s="62" t="s">
        <v>2453</v>
      </c>
      <c r="K1609" s="62" t="s">
        <v>1962</v>
      </c>
      <c r="L1609" s="65"/>
      <c r="M1609" s="62" t="s">
        <v>2443</v>
      </c>
      <c r="N1609" s="62" t="s">
        <v>1461</v>
      </c>
      <c r="O1609" s="62" t="s">
        <v>371</v>
      </c>
      <c r="P1609" s="62" t="s">
        <v>2421</v>
      </c>
      <c r="Q1609" s="66" t="s">
        <v>1985</v>
      </c>
    </row>
    <row r="1610" spans="1:17" x14ac:dyDescent="0.3">
      <c r="A1610" s="61" t="s">
        <v>2236</v>
      </c>
      <c r="B1610" s="62" t="s">
        <v>1459</v>
      </c>
      <c r="C1610" s="62" t="s">
        <v>1460</v>
      </c>
      <c r="D1610" s="63">
        <v>45639</v>
      </c>
      <c r="E1610" s="63">
        <v>46186</v>
      </c>
      <c r="F1610" s="62" t="s">
        <v>1916</v>
      </c>
      <c r="G1610" s="62" t="s">
        <v>630</v>
      </c>
      <c r="H1610" s="62" t="s">
        <v>2420</v>
      </c>
      <c r="I1610" s="64">
        <v>600000</v>
      </c>
      <c r="J1610" s="62" t="s">
        <v>2453</v>
      </c>
      <c r="K1610" s="62" t="s">
        <v>1962</v>
      </c>
      <c r="L1610" s="65"/>
      <c r="M1610" s="62" t="s">
        <v>2443</v>
      </c>
      <c r="N1610" s="62" t="s">
        <v>1461</v>
      </c>
      <c r="O1610" s="62" t="s">
        <v>371</v>
      </c>
      <c r="P1610" s="62" t="s">
        <v>2421</v>
      </c>
      <c r="Q1610" s="66" t="s">
        <v>1985</v>
      </c>
    </row>
    <row r="1611" spans="1:17" x14ac:dyDescent="0.3">
      <c r="A1611" s="61" t="s">
        <v>2236</v>
      </c>
      <c r="B1611" s="62" t="s">
        <v>1459</v>
      </c>
      <c r="C1611" s="62" t="s">
        <v>1460</v>
      </c>
      <c r="D1611" s="63">
        <v>45639</v>
      </c>
      <c r="E1611" s="63">
        <v>46186</v>
      </c>
      <c r="F1611" s="62" t="s">
        <v>280</v>
      </c>
      <c r="G1611" s="62" t="s">
        <v>280</v>
      </c>
      <c r="H1611" s="62" t="s">
        <v>2420</v>
      </c>
      <c r="I1611" s="64">
        <v>600000</v>
      </c>
      <c r="J1611" s="62" t="s">
        <v>2453</v>
      </c>
      <c r="K1611" s="62" t="s">
        <v>1962</v>
      </c>
      <c r="L1611" s="65"/>
      <c r="M1611" s="62" t="s">
        <v>2443</v>
      </c>
      <c r="N1611" s="62" t="s">
        <v>1461</v>
      </c>
      <c r="O1611" s="62" t="s">
        <v>371</v>
      </c>
      <c r="P1611" s="62" t="s">
        <v>2421</v>
      </c>
      <c r="Q1611" s="66" t="s">
        <v>1985</v>
      </c>
    </row>
    <row r="1612" spans="1:17" x14ac:dyDescent="0.3">
      <c r="A1612" s="61" t="s">
        <v>2236</v>
      </c>
      <c r="B1612" s="62" t="s">
        <v>1459</v>
      </c>
      <c r="C1612" s="62" t="s">
        <v>1460</v>
      </c>
      <c r="D1612" s="63">
        <v>45639</v>
      </c>
      <c r="E1612" s="63">
        <v>46186</v>
      </c>
      <c r="F1612" s="62" t="s">
        <v>1948</v>
      </c>
      <c r="G1612" s="62" t="s">
        <v>369</v>
      </c>
      <c r="H1612" s="62" t="s">
        <v>2420</v>
      </c>
      <c r="I1612" s="64">
        <v>600000</v>
      </c>
      <c r="J1612" s="62" t="s">
        <v>2453</v>
      </c>
      <c r="K1612" s="62" t="s">
        <v>1962</v>
      </c>
      <c r="L1612" s="65"/>
      <c r="M1612" s="62" t="s">
        <v>2443</v>
      </c>
      <c r="N1612" s="62" t="s">
        <v>1461</v>
      </c>
      <c r="O1612" s="62" t="s">
        <v>371</v>
      </c>
      <c r="P1612" s="62" t="s">
        <v>2421</v>
      </c>
      <c r="Q1612" s="66" t="s">
        <v>1985</v>
      </c>
    </row>
    <row r="1613" spans="1:17" x14ac:dyDescent="0.3">
      <c r="A1613" s="61" t="s">
        <v>2237</v>
      </c>
      <c r="B1613" s="62" t="s">
        <v>1462</v>
      </c>
      <c r="C1613" s="62" t="s">
        <v>1463</v>
      </c>
      <c r="D1613" s="63">
        <v>45673</v>
      </c>
      <c r="E1613" s="63">
        <v>47134</v>
      </c>
      <c r="F1613" s="62" t="s">
        <v>1940</v>
      </c>
      <c r="G1613" s="62" t="s">
        <v>304</v>
      </c>
      <c r="H1613" s="62" t="s">
        <v>2427</v>
      </c>
      <c r="I1613" s="64">
        <v>8890.5</v>
      </c>
      <c r="J1613" s="62" t="s">
        <v>2487</v>
      </c>
      <c r="K1613" s="62" t="s">
        <v>2433</v>
      </c>
      <c r="L1613" s="65"/>
      <c r="M1613" s="62" t="s">
        <v>825</v>
      </c>
      <c r="N1613" s="62" t="s">
        <v>617</v>
      </c>
      <c r="O1613" s="62" t="s">
        <v>596</v>
      </c>
      <c r="P1613" s="62" t="s">
        <v>2421</v>
      </c>
      <c r="Q1613" s="66" t="s">
        <v>1970</v>
      </c>
    </row>
    <row r="1614" spans="1:17" x14ac:dyDescent="0.3">
      <c r="A1614" s="61" t="s">
        <v>2237</v>
      </c>
      <c r="B1614" s="62" t="s">
        <v>1462</v>
      </c>
      <c r="C1614" s="62" t="s">
        <v>1463</v>
      </c>
      <c r="D1614" s="63">
        <v>45673</v>
      </c>
      <c r="E1614" s="63">
        <v>47134</v>
      </c>
      <c r="F1614" s="62" t="s">
        <v>1922</v>
      </c>
      <c r="G1614" s="62" t="s">
        <v>304</v>
      </c>
      <c r="H1614" s="62" t="s">
        <v>2427</v>
      </c>
      <c r="I1614" s="64">
        <v>8890.5</v>
      </c>
      <c r="J1614" s="62" t="s">
        <v>2487</v>
      </c>
      <c r="K1614" s="62" t="s">
        <v>2433</v>
      </c>
      <c r="L1614" s="65"/>
      <c r="M1614" s="62" t="s">
        <v>825</v>
      </c>
      <c r="N1614" s="62" t="s">
        <v>617</v>
      </c>
      <c r="O1614" s="62" t="s">
        <v>596</v>
      </c>
      <c r="P1614" s="62" t="s">
        <v>2421</v>
      </c>
      <c r="Q1614" s="66" t="s">
        <v>1970</v>
      </c>
    </row>
    <row r="1615" spans="1:17" x14ac:dyDescent="0.3">
      <c r="A1615" s="61" t="s">
        <v>2237</v>
      </c>
      <c r="B1615" s="62" t="s">
        <v>1462</v>
      </c>
      <c r="C1615" s="62" t="s">
        <v>1463</v>
      </c>
      <c r="D1615" s="63">
        <v>45673</v>
      </c>
      <c r="E1615" s="63">
        <v>47134</v>
      </c>
      <c r="F1615" s="62" t="s">
        <v>1934</v>
      </c>
      <c r="G1615" s="62" t="s">
        <v>304</v>
      </c>
      <c r="H1615" s="62" t="s">
        <v>2427</v>
      </c>
      <c r="I1615" s="64">
        <v>8890.5</v>
      </c>
      <c r="J1615" s="62" t="s">
        <v>2487</v>
      </c>
      <c r="K1615" s="62" t="s">
        <v>2433</v>
      </c>
      <c r="L1615" s="65"/>
      <c r="M1615" s="62" t="s">
        <v>825</v>
      </c>
      <c r="N1615" s="62" t="s">
        <v>617</v>
      </c>
      <c r="O1615" s="62" t="s">
        <v>596</v>
      </c>
      <c r="P1615" s="62" t="s">
        <v>2421</v>
      </c>
      <c r="Q1615" s="66" t="s">
        <v>1970</v>
      </c>
    </row>
    <row r="1616" spans="1:17" x14ac:dyDescent="0.3">
      <c r="A1616" s="61" t="s">
        <v>2237</v>
      </c>
      <c r="B1616" s="62" t="s">
        <v>1462</v>
      </c>
      <c r="C1616" s="62" t="s">
        <v>1463</v>
      </c>
      <c r="D1616" s="63">
        <v>45673</v>
      </c>
      <c r="E1616" s="63">
        <v>47134</v>
      </c>
      <c r="F1616" s="62" t="s">
        <v>1939</v>
      </c>
      <c r="G1616" s="62" t="s">
        <v>304</v>
      </c>
      <c r="H1616" s="62" t="s">
        <v>2427</v>
      </c>
      <c r="I1616" s="64">
        <v>8890.5</v>
      </c>
      <c r="J1616" s="62" t="s">
        <v>2487</v>
      </c>
      <c r="K1616" s="62" t="s">
        <v>2433</v>
      </c>
      <c r="L1616" s="65"/>
      <c r="M1616" s="62" t="s">
        <v>825</v>
      </c>
      <c r="N1616" s="62" t="s">
        <v>617</v>
      </c>
      <c r="O1616" s="62" t="s">
        <v>596</v>
      </c>
      <c r="P1616" s="62" t="s">
        <v>2421</v>
      </c>
      <c r="Q1616" s="66" t="s">
        <v>1970</v>
      </c>
    </row>
    <row r="1617" spans="1:17" x14ac:dyDescent="0.3">
      <c r="A1617" s="61" t="s">
        <v>2237</v>
      </c>
      <c r="B1617" s="62" t="s">
        <v>1462</v>
      </c>
      <c r="C1617" s="62" t="s">
        <v>1463</v>
      </c>
      <c r="D1617" s="63">
        <v>45673</v>
      </c>
      <c r="E1617" s="63">
        <v>47134</v>
      </c>
      <c r="F1617" s="62" t="s">
        <v>1958</v>
      </c>
      <c r="G1617" s="62" t="s">
        <v>304</v>
      </c>
      <c r="H1617" s="62" t="s">
        <v>2427</v>
      </c>
      <c r="I1617" s="64">
        <v>8890.5</v>
      </c>
      <c r="J1617" s="62" t="s">
        <v>2487</v>
      </c>
      <c r="K1617" s="62" t="s">
        <v>2433</v>
      </c>
      <c r="L1617" s="65"/>
      <c r="M1617" s="62" t="s">
        <v>825</v>
      </c>
      <c r="N1617" s="62" t="s">
        <v>617</v>
      </c>
      <c r="O1617" s="62" t="s">
        <v>596</v>
      </c>
      <c r="P1617" s="62" t="s">
        <v>2421</v>
      </c>
      <c r="Q1617" s="66" t="s">
        <v>1970</v>
      </c>
    </row>
    <row r="1618" spans="1:17" x14ac:dyDescent="0.3">
      <c r="A1618" s="61" t="s">
        <v>2237</v>
      </c>
      <c r="B1618" s="62" t="s">
        <v>1462</v>
      </c>
      <c r="C1618" s="62" t="s">
        <v>1463</v>
      </c>
      <c r="D1618" s="63">
        <v>45673</v>
      </c>
      <c r="E1618" s="63">
        <v>47134</v>
      </c>
      <c r="F1618" s="62" t="s">
        <v>1930</v>
      </c>
      <c r="G1618" s="62" t="s">
        <v>304</v>
      </c>
      <c r="H1618" s="62" t="s">
        <v>2427</v>
      </c>
      <c r="I1618" s="64">
        <v>8890.5</v>
      </c>
      <c r="J1618" s="62" t="s">
        <v>2487</v>
      </c>
      <c r="K1618" s="62" t="s">
        <v>2433</v>
      </c>
      <c r="L1618" s="65"/>
      <c r="M1618" s="62" t="s">
        <v>825</v>
      </c>
      <c r="N1618" s="62" t="s">
        <v>617</v>
      </c>
      <c r="O1618" s="62" t="s">
        <v>596</v>
      </c>
      <c r="P1618" s="62" t="s">
        <v>2421</v>
      </c>
      <c r="Q1618" s="66" t="s">
        <v>1970</v>
      </c>
    </row>
    <row r="1619" spans="1:17" x14ac:dyDescent="0.3">
      <c r="A1619" s="61" t="s">
        <v>2237</v>
      </c>
      <c r="B1619" s="62" t="s">
        <v>1462</v>
      </c>
      <c r="C1619" s="62" t="s">
        <v>1463</v>
      </c>
      <c r="D1619" s="63">
        <v>45673</v>
      </c>
      <c r="E1619" s="63">
        <v>47134</v>
      </c>
      <c r="F1619" s="62" t="s">
        <v>280</v>
      </c>
      <c r="G1619" s="62" t="s">
        <v>304</v>
      </c>
      <c r="H1619" s="62" t="s">
        <v>2427</v>
      </c>
      <c r="I1619" s="64">
        <v>8890.5</v>
      </c>
      <c r="J1619" s="62" t="s">
        <v>2487</v>
      </c>
      <c r="K1619" s="62" t="s">
        <v>2433</v>
      </c>
      <c r="L1619" s="65"/>
      <c r="M1619" s="62" t="s">
        <v>825</v>
      </c>
      <c r="N1619" s="62" t="s">
        <v>617</v>
      </c>
      <c r="O1619" s="62" t="s">
        <v>596</v>
      </c>
      <c r="P1619" s="62" t="s">
        <v>2421</v>
      </c>
      <c r="Q1619" s="66" t="s">
        <v>1970</v>
      </c>
    </row>
    <row r="1620" spans="1:17" x14ac:dyDescent="0.3">
      <c r="A1620" s="61" t="s">
        <v>2237</v>
      </c>
      <c r="B1620" s="62" t="s">
        <v>1462</v>
      </c>
      <c r="C1620" s="62" t="s">
        <v>1463</v>
      </c>
      <c r="D1620" s="63">
        <v>45673</v>
      </c>
      <c r="E1620" s="63">
        <v>47134</v>
      </c>
      <c r="F1620" s="62" t="s">
        <v>1959</v>
      </c>
      <c r="G1620" s="62" t="s">
        <v>304</v>
      </c>
      <c r="H1620" s="62" t="s">
        <v>2427</v>
      </c>
      <c r="I1620" s="64">
        <v>8890.5</v>
      </c>
      <c r="J1620" s="62" t="s">
        <v>2487</v>
      </c>
      <c r="K1620" s="62" t="s">
        <v>2433</v>
      </c>
      <c r="L1620" s="65"/>
      <c r="M1620" s="62" t="s">
        <v>825</v>
      </c>
      <c r="N1620" s="62" t="s">
        <v>617</v>
      </c>
      <c r="O1620" s="62" t="s">
        <v>596</v>
      </c>
      <c r="P1620" s="62" t="s">
        <v>2421</v>
      </c>
      <c r="Q1620" s="66" t="s">
        <v>1970</v>
      </c>
    </row>
    <row r="1621" spans="1:17" x14ac:dyDescent="0.3">
      <c r="A1621" s="61" t="s">
        <v>2237</v>
      </c>
      <c r="B1621" s="62" t="s">
        <v>1462</v>
      </c>
      <c r="C1621" s="62" t="s">
        <v>1463</v>
      </c>
      <c r="D1621" s="63">
        <v>45673</v>
      </c>
      <c r="E1621" s="63">
        <v>47134</v>
      </c>
      <c r="F1621" s="62" t="s">
        <v>1940</v>
      </c>
      <c r="G1621" s="62" t="s">
        <v>304</v>
      </c>
      <c r="H1621" s="62" t="s">
        <v>2427</v>
      </c>
      <c r="I1621" s="64">
        <v>4933</v>
      </c>
      <c r="J1621" s="62" t="s">
        <v>1464</v>
      </c>
      <c r="K1621" s="62" t="s">
        <v>2433</v>
      </c>
      <c r="L1621" s="65"/>
      <c r="M1621" s="62" t="s">
        <v>825</v>
      </c>
      <c r="N1621" s="62" t="s">
        <v>617</v>
      </c>
      <c r="O1621" s="62" t="s">
        <v>596</v>
      </c>
      <c r="P1621" s="62" t="s">
        <v>2421</v>
      </c>
      <c r="Q1621" s="66" t="s">
        <v>1970</v>
      </c>
    </row>
    <row r="1622" spans="1:17" x14ac:dyDescent="0.3">
      <c r="A1622" s="61" t="s">
        <v>2237</v>
      </c>
      <c r="B1622" s="62" t="s">
        <v>1462</v>
      </c>
      <c r="C1622" s="62" t="s">
        <v>1463</v>
      </c>
      <c r="D1622" s="63">
        <v>45673</v>
      </c>
      <c r="E1622" s="63">
        <v>47134</v>
      </c>
      <c r="F1622" s="62" t="s">
        <v>1922</v>
      </c>
      <c r="G1622" s="62" t="s">
        <v>304</v>
      </c>
      <c r="H1622" s="62" t="s">
        <v>2427</v>
      </c>
      <c r="I1622" s="64">
        <v>4933</v>
      </c>
      <c r="J1622" s="62" t="s">
        <v>1464</v>
      </c>
      <c r="K1622" s="62" t="s">
        <v>2433</v>
      </c>
      <c r="L1622" s="65"/>
      <c r="M1622" s="62" t="s">
        <v>825</v>
      </c>
      <c r="N1622" s="62" t="s">
        <v>617</v>
      </c>
      <c r="O1622" s="62" t="s">
        <v>596</v>
      </c>
      <c r="P1622" s="62" t="s">
        <v>2421</v>
      </c>
      <c r="Q1622" s="66" t="s">
        <v>1970</v>
      </c>
    </row>
    <row r="1623" spans="1:17" x14ac:dyDescent="0.3">
      <c r="A1623" s="61" t="s">
        <v>2237</v>
      </c>
      <c r="B1623" s="62" t="s">
        <v>1462</v>
      </c>
      <c r="C1623" s="62" t="s">
        <v>1463</v>
      </c>
      <c r="D1623" s="63">
        <v>45673</v>
      </c>
      <c r="E1623" s="63">
        <v>47134</v>
      </c>
      <c r="F1623" s="62" t="s">
        <v>1934</v>
      </c>
      <c r="G1623" s="62" t="s">
        <v>304</v>
      </c>
      <c r="H1623" s="62" t="s">
        <v>2427</v>
      </c>
      <c r="I1623" s="64">
        <v>4933</v>
      </c>
      <c r="J1623" s="62" t="s">
        <v>1464</v>
      </c>
      <c r="K1623" s="62" t="s">
        <v>2433</v>
      </c>
      <c r="L1623" s="65"/>
      <c r="M1623" s="62" t="s">
        <v>825</v>
      </c>
      <c r="N1623" s="62" t="s">
        <v>617</v>
      </c>
      <c r="O1623" s="62" t="s">
        <v>596</v>
      </c>
      <c r="P1623" s="62" t="s">
        <v>2421</v>
      </c>
      <c r="Q1623" s="66" t="s">
        <v>1970</v>
      </c>
    </row>
    <row r="1624" spans="1:17" x14ac:dyDescent="0.3">
      <c r="A1624" s="61" t="s">
        <v>2237</v>
      </c>
      <c r="B1624" s="62" t="s">
        <v>1462</v>
      </c>
      <c r="C1624" s="62" t="s">
        <v>1463</v>
      </c>
      <c r="D1624" s="63">
        <v>45673</v>
      </c>
      <c r="E1624" s="63">
        <v>47134</v>
      </c>
      <c r="F1624" s="62" t="s">
        <v>1939</v>
      </c>
      <c r="G1624" s="62" t="s">
        <v>304</v>
      </c>
      <c r="H1624" s="62" t="s">
        <v>2427</v>
      </c>
      <c r="I1624" s="64">
        <v>4933</v>
      </c>
      <c r="J1624" s="62" t="s">
        <v>1464</v>
      </c>
      <c r="K1624" s="62" t="s">
        <v>2433</v>
      </c>
      <c r="L1624" s="65"/>
      <c r="M1624" s="62" t="s">
        <v>825</v>
      </c>
      <c r="N1624" s="62" t="s">
        <v>617</v>
      </c>
      <c r="O1624" s="62" t="s">
        <v>596</v>
      </c>
      <c r="P1624" s="62" t="s">
        <v>2421</v>
      </c>
      <c r="Q1624" s="66" t="s">
        <v>1970</v>
      </c>
    </row>
    <row r="1625" spans="1:17" x14ac:dyDescent="0.3">
      <c r="A1625" s="61" t="s">
        <v>2237</v>
      </c>
      <c r="B1625" s="62" t="s">
        <v>1462</v>
      </c>
      <c r="C1625" s="62" t="s">
        <v>1463</v>
      </c>
      <c r="D1625" s="63">
        <v>45673</v>
      </c>
      <c r="E1625" s="63">
        <v>47134</v>
      </c>
      <c r="F1625" s="62" t="s">
        <v>1958</v>
      </c>
      <c r="G1625" s="62" t="s">
        <v>304</v>
      </c>
      <c r="H1625" s="62" t="s">
        <v>2427</v>
      </c>
      <c r="I1625" s="64">
        <v>4933</v>
      </c>
      <c r="J1625" s="62" t="s">
        <v>1464</v>
      </c>
      <c r="K1625" s="62" t="s">
        <v>2433</v>
      </c>
      <c r="L1625" s="65"/>
      <c r="M1625" s="62" t="s">
        <v>825</v>
      </c>
      <c r="N1625" s="62" t="s">
        <v>617</v>
      </c>
      <c r="O1625" s="62" t="s">
        <v>596</v>
      </c>
      <c r="P1625" s="62" t="s">
        <v>2421</v>
      </c>
      <c r="Q1625" s="66" t="s">
        <v>1970</v>
      </c>
    </row>
    <row r="1626" spans="1:17" x14ac:dyDescent="0.3">
      <c r="A1626" s="61" t="s">
        <v>2237</v>
      </c>
      <c r="B1626" s="62" t="s">
        <v>1462</v>
      </c>
      <c r="C1626" s="62" t="s">
        <v>1463</v>
      </c>
      <c r="D1626" s="63">
        <v>45673</v>
      </c>
      <c r="E1626" s="63">
        <v>47134</v>
      </c>
      <c r="F1626" s="62" t="s">
        <v>1930</v>
      </c>
      <c r="G1626" s="62" t="s">
        <v>304</v>
      </c>
      <c r="H1626" s="62" t="s">
        <v>2427</v>
      </c>
      <c r="I1626" s="64">
        <v>4933</v>
      </c>
      <c r="J1626" s="62" t="s">
        <v>1464</v>
      </c>
      <c r="K1626" s="62" t="s">
        <v>2433</v>
      </c>
      <c r="L1626" s="65"/>
      <c r="M1626" s="62" t="s">
        <v>825</v>
      </c>
      <c r="N1626" s="62" t="s">
        <v>617</v>
      </c>
      <c r="O1626" s="62" t="s">
        <v>596</v>
      </c>
      <c r="P1626" s="62" t="s">
        <v>2421</v>
      </c>
      <c r="Q1626" s="66" t="s">
        <v>1970</v>
      </c>
    </row>
    <row r="1627" spans="1:17" x14ac:dyDescent="0.3">
      <c r="A1627" s="61" t="s">
        <v>2237</v>
      </c>
      <c r="B1627" s="62" t="s">
        <v>1462</v>
      </c>
      <c r="C1627" s="62" t="s">
        <v>1463</v>
      </c>
      <c r="D1627" s="63">
        <v>45673</v>
      </c>
      <c r="E1627" s="63">
        <v>47134</v>
      </c>
      <c r="F1627" s="62" t="s">
        <v>280</v>
      </c>
      <c r="G1627" s="62" t="s">
        <v>304</v>
      </c>
      <c r="H1627" s="62" t="s">
        <v>2427</v>
      </c>
      <c r="I1627" s="64">
        <v>4933</v>
      </c>
      <c r="J1627" s="62" t="s">
        <v>1464</v>
      </c>
      <c r="K1627" s="62" t="s">
        <v>2433</v>
      </c>
      <c r="L1627" s="65"/>
      <c r="M1627" s="62" t="s">
        <v>825</v>
      </c>
      <c r="N1627" s="62" t="s">
        <v>617</v>
      </c>
      <c r="O1627" s="62" t="s">
        <v>596</v>
      </c>
      <c r="P1627" s="62" t="s">
        <v>2421</v>
      </c>
      <c r="Q1627" s="66" t="s">
        <v>1970</v>
      </c>
    </row>
    <row r="1628" spans="1:17" x14ac:dyDescent="0.3">
      <c r="A1628" s="61" t="s">
        <v>2237</v>
      </c>
      <c r="B1628" s="62" t="s">
        <v>1462</v>
      </c>
      <c r="C1628" s="62" t="s">
        <v>1463</v>
      </c>
      <c r="D1628" s="63">
        <v>45673</v>
      </c>
      <c r="E1628" s="63">
        <v>47134</v>
      </c>
      <c r="F1628" s="62" t="s">
        <v>1959</v>
      </c>
      <c r="G1628" s="62" t="s">
        <v>304</v>
      </c>
      <c r="H1628" s="62" t="s">
        <v>2427</v>
      </c>
      <c r="I1628" s="64">
        <v>4933</v>
      </c>
      <c r="J1628" s="62" t="s">
        <v>1464</v>
      </c>
      <c r="K1628" s="62" t="s">
        <v>2433</v>
      </c>
      <c r="L1628" s="65"/>
      <c r="M1628" s="62" t="s">
        <v>825</v>
      </c>
      <c r="N1628" s="62" t="s">
        <v>617</v>
      </c>
      <c r="O1628" s="62" t="s">
        <v>596</v>
      </c>
      <c r="P1628" s="62" t="s">
        <v>2421</v>
      </c>
      <c r="Q1628" s="66" t="s">
        <v>1970</v>
      </c>
    </row>
    <row r="1629" spans="1:17" x14ac:dyDescent="0.3">
      <c r="A1629" s="61" t="s">
        <v>2237</v>
      </c>
      <c r="B1629" s="62" t="s">
        <v>1462</v>
      </c>
      <c r="C1629" s="62" t="s">
        <v>1463</v>
      </c>
      <c r="D1629" s="63">
        <v>45673</v>
      </c>
      <c r="E1629" s="63">
        <v>47134</v>
      </c>
      <c r="F1629" s="62" t="s">
        <v>1940</v>
      </c>
      <c r="G1629" s="62" t="s">
        <v>304</v>
      </c>
      <c r="H1629" s="62" t="s">
        <v>2427</v>
      </c>
      <c r="I1629" s="64">
        <v>7012.5</v>
      </c>
      <c r="J1629" s="62" t="s">
        <v>2488</v>
      </c>
      <c r="K1629" s="62" t="s">
        <v>2433</v>
      </c>
      <c r="L1629" s="65"/>
      <c r="M1629" s="62" t="s">
        <v>825</v>
      </c>
      <c r="N1629" s="62" t="s">
        <v>617</v>
      </c>
      <c r="O1629" s="62" t="s">
        <v>596</v>
      </c>
      <c r="P1629" s="62" t="s">
        <v>2421</v>
      </c>
      <c r="Q1629" s="66" t="s">
        <v>1970</v>
      </c>
    </row>
    <row r="1630" spans="1:17" x14ac:dyDescent="0.3">
      <c r="A1630" s="61" t="s">
        <v>2237</v>
      </c>
      <c r="B1630" s="62" t="s">
        <v>1462</v>
      </c>
      <c r="C1630" s="62" t="s">
        <v>1463</v>
      </c>
      <c r="D1630" s="63">
        <v>45673</v>
      </c>
      <c r="E1630" s="63">
        <v>47134</v>
      </c>
      <c r="F1630" s="62" t="s">
        <v>1922</v>
      </c>
      <c r="G1630" s="62" t="s">
        <v>304</v>
      </c>
      <c r="H1630" s="62" t="s">
        <v>2427</v>
      </c>
      <c r="I1630" s="64">
        <v>7012.5</v>
      </c>
      <c r="J1630" s="62" t="s">
        <v>2488</v>
      </c>
      <c r="K1630" s="62" t="s">
        <v>2433</v>
      </c>
      <c r="L1630" s="65"/>
      <c r="M1630" s="62" t="s">
        <v>825</v>
      </c>
      <c r="N1630" s="62" t="s">
        <v>617</v>
      </c>
      <c r="O1630" s="62" t="s">
        <v>596</v>
      </c>
      <c r="P1630" s="62" t="s">
        <v>2421</v>
      </c>
      <c r="Q1630" s="66" t="s">
        <v>1970</v>
      </c>
    </row>
    <row r="1631" spans="1:17" x14ac:dyDescent="0.3">
      <c r="A1631" s="61" t="s">
        <v>2237</v>
      </c>
      <c r="B1631" s="62" t="s">
        <v>1462</v>
      </c>
      <c r="C1631" s="62" t="s">
        <v>1463</v>
      </c>
      <c r="D1631" s="63">
        <v>45673</v>
      </c>
      <c r="E1631" s="63">
        <v>47134</v>
      </c>
      <c r="F1631" s="62" t="s">
        <v>1934</v>
      </c>
      <c r="G1631" s="62" t="s">
        <v>304</v>
      </c>
      <c r="H1631" s="62" t="s">
        <v>2427</v>
      </c>
      <c r="I1631" s="64">
        <v>7012.5</v>
      </c>
      <c r="J1631" s="62" t="s">
        <v>2488</v>
      </c>
      <c r="K1631" s="62" t="s">
        <v>2433</v>
      </c>
      <c r="L1631" s="65"/>
      <c r="M1631" s="62" t="s">
        <v>825</v>
      </c>
      <c r="N1631" s="62" t="s">
        <v>617</v>
      </c>
      <c r="O1631" s="62" t="s">
        <v>596</v>
      </c>
      <c r="P1631" s="62" t="s">
        <v>2421</v>
      </c>
      <c r="Q1631" s="66" t="s">
        <v>1970</v>
      </c>
    </row>
    <row r="1632" spans="1:17" x14ac:dyDescent="0.3">
      <c r="A1632" s="61" t="s">
        <v>2237</v>
      </c>
      <c r="B1632" s="62" t="s">
        <v>1462</v>
      </c>
      <c r="C1632" s="62" t="s">
        <v>1463</v>
      </c>
      <c r="D1632" s="63">
        <v>45673</v>
      </c>
      <c r="E1632" s="63">
        <v>47134</v>
      </c>
      <c r="F1632" s="62" t="s">
        <v>1939</v>
      </c>
      <c r="G1632" s="62" t="s">
        <v>304</v>
      </c>
      <c r="H1632" s="62" t="s">
        <v>2427</v>
      </c>
      <c r="I1632" s="64">
        <v>7012.5</v>
      </c>
      <c r="J1632" s="62" t="s">
        <v>2488</v>
      </c>
      <c r="K1632" s="62" t="s">
        <v>2433</v>
      </c>
      <c r="L1632" s="65"/>
      <c r="M1632" s="62" t="s">
        <v>825</v>
      </c>
      <c r="N1632" s="62" t="s">
        <v>617</v>
      </c>
      <c r="O1632" s="62" t="s">
        <v>596</v>
      </c>
      <c r="P1632" s="62" t="s">
        <v>2421</v>
      </c>
      <c r="Q1632" s="66" t="s">
        <v>1970</v>
      </c>
    </row>
    <row r="1633" spans="1:17" x14ac:dyDescent="0.3">
      <c r="A1633" s="61" t="s">
        <v>2237</v>
      </c>
      <c r="B1633" s="62" t="s">
        <v>1462</v>
      </c>
      <c r="C1633" s="62" t="s">
        <v>1463</v>
      </c>
      <c r="D1633" s="63">
        <v>45673</v>
      </c>
      <c r="E1633" s="63">
        <v>47134</v>
      </c>
      <c r="F1633" s="62" t="s">
        <v>1958</v>
      </c>
      <c r="G1633" s="62" t="s">
        <v>304</v>
      </c>
      <c r="H1633" s="62" t="s">
        <v>2427</v>
      </c>
      <c r="I1633" s="64">
        <v>7012.5</v>
      </c>
      <c r="J1633" s="62" t="s">
        <v>2488</v>
      </c>
      <c r="K1633" s="62" t="s">
        <v>2433</v>
      </c>
      <c r="L1633" s="65"/>
      <c r="M1633" s="62" t="s">
        <v>825</v>
      </c>
      <c r="N1633" s="62" t="s">
        <v>617</v>
      </c>
      <c r="O1633" s="62" t="s">
        <v>596</v>
      </c>
      <c r="P1633" s="62" t="s">
        <v>2421</v>
      </c>
      <c r="Q1633" s="66" t="s">
        <v>1970</v>
      </c>
    </row>
    <row r="1634" spans="1:17" x14ac:dyDescent="0.3">
      <c r="A1634" s="61" t="s">
        <v>2237</v>
      </c>
      <c r="B1634" s="62" t="s">
        <v>1462</v>
      </c>
      <c r="C1634" s="62" t="s">
        <v>1463</v>
      </c>
      <c r="D1634" s="63">
        <v>45673</v>
      </c>
      <c r="E1634" s="63">
        <v>47134</v>
      </c>
      <c r="F1634" s="62" t="s">
        <v>1930</v>
      </c>
      <c r="G1634" s="62" t="s">
        <v>304</v>
      </c>
      <c r="H1634" s="62" t="s">
        <v>2427</v>
      </c>
      <c r="I1634" s="64">
        <v>7012.5</v>
      </c>
      <c r="J1634" s="62" t="s">
        <v>2488</v>
      </c>
      <c r="K1634" s="62" t="s">
        <v>2433</v>
      </c>
      <c r="L1634" s="65"/>
      <c r="M1634" s="62" t="s">
        <v>825</v>
      </c>
      <c r="N1634" s="62" t="s">
        <v>617</v>
      </c>
      <c r="O1634" s="62" t="s">
        <v>596</v>
      </c>
      <c r="P1634" s="62" t="s">
        <v>2421</v>
      </c>
      <c r="Q1634" s="66" t="s">
        <v>1970</v>
      </c>
    </row>
    <row r="1635" spans="1:17" x14ac:dyDescent="0.3">
      <c r="A1635" s="61" t="s">
        <v>2237</v>
      </c>
      <c r="B1635" s="62" t="s">
        <v>1462</v>
      </c>
      <c r="C1635" s="62" t="s">
        <v>1463</v>
      </c>
      <c r="D1635" s="63">
        <v>45673</v>
      </c>
      <c r="E1635" s="63">
        <v>47134</v>
      </c>
      <c r="F1635" s="62" t="s">
        <v>280</v>
      </c>
      <c r="G1635" s="62" t="s">
        <v>304</v>
      </c>
      <c r="H1635" s="62" t="s">
        <v>2427</v>
      </c>
      <c r="I1635" s="64">
        <v>7012.5</v>
      </c>
      <c r="J1635" s="62" t="s">
        <v>2488</v>
      </c>
      <c r="K1635" s="62" t="s">
        <v>2433</v>
      </c>
      <c r="L1635" s="65"/>
      <c r="M1635" s="62" t="s">
        <v>825</v>
      </c>
      <c r="N1635" s="62" t="s">
        <v>617</v>
      </c>
      <c r="O1635" s="62" t="s">
        <v>596</v>
      </c>
      <c r="P1635" s="62" t="s">
        <v>2421</v>
      </c>
      <c r="Q1635" s="66" t="s">
        <v>1970</v>
      </c>
    </row>
    <row r="1636" spans="1:17" x14ac:dyDescent="0.3">
      <c r="A1636" s="61" t="s">
        <v>2237</v>
      </c>
      <c r="B1636" s="62" t="s">
        <v>1462</v>
      </c>
      <c r="C1636" s="62" t="s">
        <v>1463</v>
      </c>
      <c r="D1636" s="63">
        <v>45673</v>
      </c>
      <c r="E1636" s="63">
        <v>47134</v>
      </c>
      <c r="F1636" s="62" t="s">
        <v>1959</v>
      </c>
      <c r="G1636" s="62" t="s">
        <v>304</v>
      </c>
      <c r="H1636" s="62" t="s">
        <v>2427</v>
      </c>
      <c r="I1636" s="64">
        <v>7012.5</v>
      </c>
      <c r="J1636" s="62" t="s">
        <v>2488</v>
      </c>
      <c r="K1636" s="62" t="s">
        <v>2433</v>
      </c>
      <c r="L1636" s="65"/>
      <c r="M1636" s="62" t="s">
        <v>825</v>
      </c>
      <c r="N1636" s="62" t="s">
        <v>617</v>
      </c>
      <c r="O1636" s="62" t="s">
        <v>596</v>
      </c>
      <c r="P1636" s="62" t="s">
        <v>2421</v>
      </c>
      <c r="Q1636" s="66" t="s">
        <v>1970</v>
      </c>
    </row>
    <row r="1637" spans="1:17" x14ac:dyDescent="0.3">
      <c r="A1637" s="61" t="s">
        <v>2237</v>
      </c>
      <c r="B1637" s="62" t="s">
        <v>1462</v>
      </c>
      <c r="C1637" s="62" t="s">
        <v>1463</v>
      </c>
      <c r="D1637" s="63">
        <v>45673</v>
      </c>
      <c r="E1637" s="63">
        <v>47134</v>
      </c>
      <c r="F1637" s="62" t="s">
        <v>1940</v>
      </c>
      <c r="G1637" s="62" t="s">
        <v>304</v>
      </c>
      <c r="H1637" s="62" t="s">
        <v>373</v>
      </c>
      <c r="I1637" s="64">
        <v>276825.375</v>
      </c>
      <c r="J1637" s="62" t="s">
        <v>373</v>
      </c>
      <c r="K1637" s="62" t="s">
        <v>2433</v>
      </c>
      <c r="L1637" s="65"/>
      <c r="M1637" s="62" t="s">
        <v>825</v>
      </c>
      <c r="N1637" s="62" t="s">
        <v>617</v>
      </c>
      <c r="O1637" s="62" t="s">
        <v>596</v>
      </c>
      <c r="P1637" s="62" t="s">
        <v>2421</v>
      </c>
      <c r="Q1637" s="66" t="s">
        <v>1970</v>
      </c>
    </row>
    <row r="1638" spans="1:17" x14ac:dyDescent="0.3">
      <c r="A1638" s="61" t="s">
        <v>2237</v>
      </c>
      <c r="B1638" s="62" t="s">
        <v>1462</v>
      </c>
      <c r="C1638" s="62" t="s">
        <v>1463</v>
      </c>
      <c r="D1638" s="63">
        <v>45673</v>
      </c>
      <c r="E1638" s="63">
        <v>47134</v>
      </c>
      <c r="F1638" s="62" t="s">
        <v>1922</v>
      </c>
      <c r="G1638" s="62" t="s">
        <v>304</v>
      </c>
      <c r="H1638" s="62" t="s">
        <v>373</v>
      </c>
      <c r="I1638" s="64">
        <v>276825.375</v>
      </c>
      <c r="J1638" s="62" t="s">
        <v>373</v>
      </c>
      <c r="K1638" s="62" t="s">
        <v>2433</v>
      </c>
      <c r="L1638" s="65"/>
      <c r="M1638" s="62" t="s">
        <v>825</v>
      </c>
      <c r="N1638" s="62" t="s">
        <v>617</v>
      </c>
      <c r="O1638" s="62" t="s">
        <v>596</v>
      </c>
      <c r="P1638" s="62" t="s">
        <v>2421</v>
      </c>
      <c r="Q1638" s="66" t="s">
        <v>1970</v>
      </c>
    </row>
    <row r="1639" spans="1:17" x14ac:dyDescent="0.3">
      <c r="A1639" s="61" t="s">
        <v>2237</v>
      </c>
      <c r="B1639" s="62" t="s">
        <v>1462</v>
      </c>
      <c r="C1639" s="62" t="s">
        <v>1463</v>
      </c>
      <c r="D1639" s="63">
        <v>45673</v>
      </c>
      <c r="E1639" s="63">
        <v>47134</v>
      </c>
      <c r="F1639" s="62" t="s">
        <v>1934</v>
      </c>
      <c r="G1639" s="62" t="s">
        <v>304</v>
      </c>
      <c r="H1639" s="62" t="s">
        <v>373</v>
      </c>
      <c r="I1639" s="64">
        <v>276825.375</v>
      </c>
      <c r="J1639" s="62" t="s">
        <v>373</v>
      </c>
      <c r="K1639" s="62" t="s">
        <v>2433</v>
      </c>
      <c r="L1639" s="65"/>
      <c r="M1639" s="62" t="s">
        <v>825</v>
      </c>
      <c r="N1639" s="62" t="s">
        <v>617</v>
      </c>
      <c r="O1639" s="62" t="s">
        <v>596</v>
      </c>
      <c r="P1639" s="62" t="s">
        <v>2421</v>
      </c>
      <c r="Q1639" s="66" t="s">
        <v>1970</v>
      </c>
    </row>
    <row r="1640" spans="1:17" x14ac:dyDescent="0.3">
      <c r="A1640" s="61" t="s">
        <v>2237</v>
      </c>
      <c r="B1640" s="62" t="s">
        <v>1462</v>
      </c>
      <c r="C1640" s="62" t="s">
        <v>1463</v>
      </c>
      <c r="D1640" s="63">
        <v>45673</v>
      </c>
      <c r="E1640" s="63">
        <v>47134</v>
      </c>
      <c r="F1640" s="62" t="s">
        <v>1939</v>
      </c>
      <c r="G1640" s="62" t="s">
        <v>304</v>
      </c>
      <c r="H1640" s="62" t="s">
        <v>373</v>
      </c>
      <c r="I1640" s="64">
        <v>276825.375</v>
      </c>
      <c r="J1640" s="62" t="s">
        <v>373</v>
      </c>
      <c r="K1640" s="62" t="s">
        <v>2433</v>
      </c>
      <c r="L1640" s="65"/>
      <c r="M1640" s="62" t="s">
        <v>825</v>
      </c>
      <c r="N1640" s="62" t="s">
        <v>617</v>
      </c>
      <c r="O1640" s="62" t="s">
        <v>596</v>
      </c>
      <c r="P1640" s="62" t="s">
        <v>2421</v>
      </c>
      <c r="Q1640" s="66" t="s">
        <v>1970</v>
      </c>
    </row>
    <row r="1641" spans="1:17" x14ac:dyDescent="0.3">
      <c r="A1641" s="61" t="s">
        <v>2237</v>
      </c>
      <c r="B1641" s="62" t="s">
        <v>1462</v>
      </c>
      <c r="C1641" s="62" t="s">
        <v>1463</v>
      </c>
      <c r="D1641" s="63">
        <v>45673</v>
      </c>
      <c r="E1641" s="63">
        <v>47134</v>
      </c>
      <c r="F1641" s="62" t="s">
        <v>1958</v>
      </c>
      <c r="G1641" s="62" t="s">
        <v>304</v>
      </c>
      <c r="H1641" s="62" t="s">
        <v>373</v>
      </c>
      <c r="I1641" s="64">
        <v>276825.375</v>
      </c>
      <c r="J1641" s="62" t="s">
        <v>373</v>
      </c>
      <c r="K1641" s="62" t="s">
        <v>2433</v>
      </c>
      <c r="L1641" s="65"/>
      <c r="M1641" s="62" t="s">
        <v>825</v>
      </c>
      <c r="N1641" s="62" t="s">
        <v>617</v>
      </c>
      <c r="O1641" s="62" t="s">
        <v>596</v>
      </c>
      <c r="P1641" s="62" t="s">
        <v>2421</v>
      </c>
      <c r="Q1641" s="66" t="s">
        <v>1970</v>
      </c>
    </row>
    <row r="1642" spans="1:17" x14ac:dyDescent="0.3">
      <c r="A1642" s="61" t="s">
        <v>2237</v>
      </c>
      <c r="B1642" s="62" t="s">
        <v>1462</v>
      </c>
      <c r="C1642" s="62" t="s">
        <v>1463</v>
      </c>
      <c r="D1642" s="63">
        <v>45673</v>
      </c>
      <c r="E1642" s="63">
        <v>47134</v>
      </c>
      <c r="F1642" s="62" t="s">
        <v>1930</v>
      </c>
      <c r="G1642" s="62" t="s">
        <v>304</v>
      </c>
      <c r="H1642" s="62" t="s">
        <v>373</v>
      </c>
      <c r="I1642" s="64">
        <v>276825.375</v>
      </c>
      <c r="J1642" s="62" t="s">
        <v>373</v>
      </c>
      <c r="K1642" s="62" t="s">
        <v>2433</v>
      </c>
      <c r="L1642" s="65"/>
      <c r="M1642" s="62" t="s">
        <v>825</v>
      </c>
      <c r="N1642" s="62" t="s">
        <v>617</v>
      </c>
      <c r="O1642" s="62" t="s">
        <v>596</v>
      </c>
      <c r="P1642" s="62" t="s">
        <v>2421</v>
      </c>
      <c r="Q1642" s="66" t="s">
        <v>1970</v>
      </c>
    </row>
    <row r="1643" spans="1:17" x14ac:dyDescent="0.3">
      <c r="A1643" s="61" t="s">
        <v>2237</v>
      </c>
      <c r="B1643" s="62" t="s">
        <v>1462</v>
      </c>
      <c r="C1643" s="62" t="s">
        <v>1463</v>
      </c>
      <c r="D1643" s="63">
        <v>45673</v>
      </c>
      <c r="E1643" s="63">
        <v>47134</v>
      </c>
      <c r="F1643" s="62" t="s">
        <v>280</v>
      </c>
      <c r="G1643" s="62" t="s">
        <v>304</v>
      </c>
      <c r="H1643" s="62" t="s">
        <v>373</v>
      </c>
      <c r="I1643" s="64">
        <v>276825.375</v>
      </c>
      <c r="J1643" s="62" t="s">
        <v>373</v>
      </c>
      <c r="K1643" s="62" t="s">
        <v>2433</v>
      </c>
      <c r="L1643" s="65"/>
      <c r="M1643" s="62" t="s">
        <v>825</v>
      </c>
      <c r="N1643" s="62" t="s">
        <v>617</v>
      </c>
      <c r="O1643" s="62" t="s">
        <v>596</v>
      </c>
      <c r="P1643" s="62" t="s">
        <v>2421</v>
      </c>
      <c r="Q1643" s="66" t="s">
        <v>1970</v>
      </c>
    </row>
    <row r="1644" spans="1:17" x14ac:dyDescent="0.3">
      <c r="A1644" s="61" t="s">
        <v>2237</v>
      </c>
      <c r="B1644" s="62" t="s">
        <v>1462</v>
      </c>
      <c r="C1644" s="62" t="s">
        <v>1463</v>
      </c>
      <c r="D1644" s="63">
        <v>45673</v>
      </c>
      <c r="E1644" s="63">
        <v>47134</v>
      </c>
      <c r="F1644" s="62" t="s">
        <v>1959</v>
      </c>
      <c r="G1644" s="62" t="s">
        <v>304</v>
      </c>
      <c r="H1644" s="62" t="s">
        <v>373</v>
      </c>
      <c r="I1644" s="64">
        <v>276825.375</v>
      </c>
      <c r="J1644" s="62" t="s">
        <v>373</v>
      </c>
      <c r="K1644" s="62" t="s">
        <v>2433</v>
      </c>
      <c r="L1644" s="65"/>
      <c r="M1644" s="62" t="s">
        <v>825</v>
      </c>
      <c r="N1644" s="62" t="s">
        <v>617</v>
      </c>
      <c r="O1644" s="62" t="s">
        <v>596</v>
      </c>
      <c r="P1644" s="62" t="s">
        <v>2421</v>
      </c>
      <c r="Q1644" s="66" t="s">
        <v>1970</v>
      </c>
    </row>
    <row r="1645" spans="1:17" x14ac:dyDescent="0.3">
      <c r="A1645" s="61" t="s">
        <v>2238</v>
      </c>
      <c r="B1645" s="62" t="s">
        <v>1465</v>
      </c>
      <c r="C1645" s="62" t="s">
        <v>1466</v>
      </c>
      <c r="D1645" s="63">
        <v>45613</v>
      </c>
      <c r="E1645" s="63">
        <v>46343</v>
      </c>
      <c r="F1645" s="62" t="s">
        <v>1945</v>
      </c>
      <c r="G1645" s="62" t="s">
        <v>304</v>
      </c>
      <c r="H1645" s="62" t="s">
        <v>2420</v>
      </c>
      <c r="I1645" s="64">
        <v>400000</v>
      </c>
      <c r="J1645" s="62" t="s">
        <v>2453</v>
      </c>
      <c r="K1645" s="62" t="s">
        <v>1962</v>
      </c>
      <c r="L1645" s="65"/>
      <c r="M1645" s="62" t="s">
        <v>2443</v>
      </c>
      <c r="N1645" s="62" t="s">
        <v>2489</v>
      </c>
      <c r="O1645" s="62" t="s">
        <v>315</v>
      </c>
      <c r="P1645" s="62" t="s">
        <v>2421</v>
      </c>
      <c r="Q1645" s="66" t="s">
        <v>1965</v>
      </c>
    </row>
    <row r="1646" spans="1:17" x14ac:dyDescent="0.3">
      <c r="A1646" s="61" t="s">
        <v>2239</v>
      </c>
      <c r="B1646" s="62" t="s">
        <v>1467</v>
      </c>
      <c r="C1646" s="62" t="s">
        <v>946</v>
      </c>
      <c r="D1646" s="63">
        <v>45638</v>
      </c>
      <c r="E1646" s="63">
        <v>46142</v>
      </c>
      <c r="F1646" s="62" t="s">
        <v>287</v>
      </c>
      <c r="G1646" s="62" t="s">
        <v>589</v>
      </c>
      <c r="H1646" s="62" t="s">
        <v>373</v>
      </c>
      <c r="I1646" s="64">
        <v>75645.5</v>
      </c>
      <c r="J1646" s="62" t="s">
        <v>373</v>
      </c>
      <c r="K1646" s="62" t="s">
        <v>1693</v>
      </c>
      <c r="L1646" s="65"/>
      <c r="M1646" s="62" t="s">
        <v>825</v>
      </c>
      <c r="N1646" s="62" t="s">
        <v>640</v>
      </c>
      <c r="O1646" s="62" t="s">
        <v>417</v>
      </c>
      <c r="P1646" s="62" t="s">
        <v>2421</v>
      </c>
      <c r="Q1646" s="66" t="s">
        <v>1972</v>
      </c>
    </row>
    <row r="1647" spans="1:17" x14ac:dyDescent="0.3">
      <c r="A1647" s="61" t="s">
        <v>2239</v>
      </c>
      <c r="B1647" s="62" t="s">
        <v>1467</v>
      </c>
      <c r="C1647" s="62" t="s">
        <v>946</v>
      </c>
      <c r="D1647" s="63">
        <v>45638</v>
      </c>
      <c r="E1647" s="63">
        <v>46142</v>
      </c>
      <c r="F1647" s="62" t="s">
        <v>287</v>
      </c>
      <c r="G1647" s="62" t="s">
        <v>591</v>
      </c>
      <c r="H1647" s="62" t="s">
        <v>373</v>
      </c>
      <c r="I1647" s="64">
        <v>75645.5</v>
      </c>
      <c r="J1647" s="62" t="s">
        <v>373</v>
      </c>
      <c r="K1647" s="62" t="s">
        <v>1693</v>
      </c>
      <c r="L1647" s="65"/>
      <c r="M1647" s="62" t="s">
        <v>825</v>
      </c>
      <c r="N1647" s="62" t="s">
        <v>640</v>
      </c>
      <c r="O1647" s="62" t="s">
        <v>417</v>
      </c>
      <c r="P1647" s="62" t="s">
        <v>2421</v>
      </c>
      <c r="Q1647" s="66" t="s">
        <v>1972</v>
      </c>
    </row>
    <row r="1648" spans="1:17" x14ac:dyDescent="0.3">
      <c r="A1648" s="61" t="s">
        <v>2239</v>
      </c>
      <c r="B1648" s="62" t="s">
        <v>1467</v>
      </c>
      <c r="C1648" s="62" t="s">
        <v>946</v>
      </c>
      <c r="D1648" s="63">
        <v>45638</v>
      </c>
      <c r="E1648" s="63">
        <v>46142</v>
      </c>
      <c r="F1648" s="62" t="s">
        <v>287</v>
      </c>
      <c r="G1648" s="62" t="s">
        <v>592</v>
      </c>
      <c r="H1648" s="62" t="s">
        <v>373</v>
      </c>
      <c r="I1648" s="64">
        <v>75645.5</v>
      </c>
      <c r="J1648" s="62" t="s">
        <v>373</v>
      </c>
      <c r="K1648" s="62" t="s">
        <v>1693</v>
      </c>
      <c r="L1648" s="65"/>
      <c r="M1648" s="62" t="s">
        <v>825</v>
      </c>
      <c r="N1648" s="62" t="s">
        <v>640</v>
      </c>
      <c r="O1648" s="62" t="s">
        <v>417</v>
      </c>
      <c r="P1648" s="62" t="s">
        <v>2421</v>
      </c>
      <c r="Q1648" s="66" t="s">
        <v>1972</v>
      </c>
    </row>
    <row r="1649" spans="1:17" x14ac:dyDescent="0.3">
      <c r="A1649" s="61" t="s">
        <v>2239</v>
      </c>
      <c r="B1649" s="62" t="s">
        <v>1467</v>
      </c>
      <c r="C1649" s="62" t="s">
        <v>946</v>
      </c>
      <c r="D1649" s="63">
        <v>45638</v>
      </c>
      <c r="E1649" s="63">
        <v>46142</v>
      </c>
      <c r="F1649" s="62" t="s">
        <v>287</v>
      </c>
      <c r="G1649" s="62" t="s">
        <v>425</v>
      </c>
      <c r="H1649" s="62" t="s">
        <v>373</v>
      </c>
      <c r="I1649" s="64">
        <v>75645.5</v>
      </c>
      <c r="J1649" s="62" t="s">
        <v>373</v>
      </c>
      <c r="K1649" s="62" t="s">
        <v>1693</v>
      </c>
      <c r="L1649" s="65"/>
      <c r="M1649" s="62" t="s">
        <v>825</v>
      </c>
      <c r="N1649" s="62" t="s">
        <v>640</v>
      </c>
      <c r="O1649" s="62" t="s">
        <v>417</v>
      </c>
      <c r="P1649" s="62" t="s">
        <v>2421</v>
      </c>
      <c r="Q1649" s="66" t="s">
        <v>1972</v>
      </c>
    </row>
    <row r="1650" spans="1:17" x14ac:dyDescent="0.3">
      <c r="A1650" s="61" t="s">
        <v>2239</v>
      </c>
      <c r="B1650" s="62" t="s">
        <v>1467</v>
      </c>
      <c r="C1650" s="62" t="s">
        <v>946</v>
      </c>
      <c r="D1650" s="63">
        <v>45638</v>
      </c>
      <c r="E1650" s="63">
        <v>46142</v>
      </c>
      <c r="F1650" s="62" t="s">
        <v>287</v>
      </c>
      <c r="G1650" s="62" t="s">
        <v>593</v>
      </c>
      <c r="H1650" s="62" t="s">
        <v>373</v>
      </c>
      <c r="I1650" s="64">
        <v>75645.5</v>
      </c>
      <c r="J1650" s="62" t="s">
        <v>373</v>
      </c>
      <c r="K1650" s="62" t="s">
        <v>1693</v>
      </c>
      <c r="L1650" s="65"/>
      <c r="M1650" s="62" t="s">
        <v>825</v>
      </c>
      <c r="N1650" s="62" t="s">
        <v>640</v>
      </c>
      <c r="O1650" s="62" t="s">
        <v>417</v>
      </c>
      <c r="P1650" s="62" t="s">
        <v>2421</v>
      </c>
      <c r="Q1650" s="66" t="s">
        <v>1972</v>
      </c>
    </row>
    <row r="1651" spans="1:17" x14ac:dyDescent="0.3">
      <c r="A1651" s="61" t="s">
        <v>2239</v>
      </c>
      <c r="B1651" s="62" t="s">
        <v>1467</v>
      </c>
      <c r="C1651" s="62" t="s">
        <v>946</v>
      </c>
      <c r="D1651" s="63">
        <v>45638</v>
      </c>
      <c r="E1651" s="63">
        <v>46142</v>
      </c>
      <c r="F1651" s="62" t="s">
        <v>287</v>
      </c>
      <c r="G1651" s="62" t="s">
        <v>396</v>
      </c>
      <c r="H1651" s="62" t="s">
        <v>373</v>
      </c>
      <c r="I1651" s="64">
        <v>75645.5</v>
      </c>
      <c r="J1651" s="62" t="s">
        <v>373</v>
      </c>
      <c r="K1651" s="62" t="s">
        <v>1693</v>
      </c>
      <c r="L1651" s="65"/>
      <c r="M1651" s="62" t="s">
        <v>825</v>
      </c>
      <c r="N1651" s="62" t="s">
        <v>640</v>
      </c>
      <c r="O1651" s="62" t="s">
        <v>417</v>
      </c>
      <c r="P1651" s="62" t="s">
        <v>2421</v>
      </c>
      <c r="Q1651" s="66" t="s">
        <v>1972</v>
      </c>
    </row>
    <row r="1652" spans="1:17" x14ac:dyDescent="0.3">
      <c r="A1652" s="61" t="s">
        <v>2239</v>
      </c>
      <c r="B1652" s="62" t="s">
        <v>1467</v>
      </c>
      <c r="C1652" s="62" t="s">
        <v>946</v>
      </c>
      <c r="D1652" s="63">
        <v>45638</v>
      </c>
      <c r="E1652" s="63">
        <v>46142</v>
      </c>
      <c r="F1652" s="62" t="s">
        <v>1921</v>
      </c>
      <c r="G1652" s="62" t="s">
        <v>559</v>
      </c>
      <c r="H1652" s="62" t="s">
        <v>373</v>
      </c>
      <c r="I1652" s="64">
        <v>151291</v>
      </c>
      <c r="J1652" s="62" t="s">
        <v>373</v>
      </c>
      <c r="K1652" s="62" t="s">
        <v>1693</v>
      </c>
      <c r="L1652" s="65"/>
      <c r="M1652" s="62" t="s">
        <v>825</v>
      </c>
      <c r="N1652" s="62" t="s">
        <v>640</v>
      </c>
      <c r="O1652" s="62" t="s">
        <v>417</v>
      </c>
      <c r="P1652" s="62" t="s">
        <v>2421</v>
      </c>
      <c r="Q1652" s="66" t="s">
        <v>1972</v>
      </c>
    </row>
    <row r="1653" spans="1:17" x14ac:dyDescent="0.3">
      <c r="A1653" s="61" t="s">
        <v>2239</v>
      </c>
      <c r="B1653" s="62" t="s">
        <v>1467</v>
      </c>
      <c r="C1653" s="62" t="s">
        <v>946</v>
      </c>
      <c r="D1653" s="63">
        <v>45638</v>
      </c>
      <c r="E1653" s="63">
        <v>46142</v>
      </c>
      <c r="F1653" s="62" t="s">
        <v>1921</v>
      </c>
      <c r="G1653" s="62" t="s">
        <v>487</v>
      </c>
      <c r="H1653" s="62" t="s">
        <v>373</v>
      </c>
      <c r="I1653" s="64">
        <v>151291</v>
      </c>
      <c r="J1653" s="62" t="s">
        <v>373</v>
      </c>
      <c r="K1653" s="62" t="s">
        <v>1693</v>
      </c>
      <c r="L1653" s="65"/>
      <c r="M1653" s="62" t="s">
        <v>825</v>
      </c>
      <c r="N1653" s="62" t="s">
        <v>640</v>
      </c>
      <c r="O1653" s="62" t="s">
        <v>417</v>
      </c>
      <c r="P1653" s="62" t="s">
        <v>2421</v>
      </c>
      <c r="Q1653" s="66" t="s">
        <v>1972</v>
      </c>
    </row>
    <row r="1654" spans="1:17" x14ac:dyDescent="0.3">
      <c r="A1654" s="61" t="s">
        <v>2239</v>
      </c>
      <c r="B1654" s="62" t="s">
        <v>1467</v>
      </c>
      <c r="C1654" s="62" t="s">
        <v>946</v>
      </c>
      <c r="D1654" s="63">
        <v>45638</v>
      </c>
      <c r="E1654" s="63">
        <v>46142</v>
      </c>
      <c r="F1654" s="62" t="s">
        <v>1921</v>
      </c>
      <c r="G1654" s="62" t="s">
        <v>714</v>
      </c>
      <c r="H1654" s="62" t="s">
        <v>373</v>
      </c>
      <c r="I1654" s="64">
        <v>151291</v>
      </c>
      <c r="J1654" s="62" t="s">
        <v>373</v>
      </c>
      <c r="K1654" s="62" t="s">
        <v>1693</v>
      </c>
      <c r="L1654" s="65"/>
      <c r="M1654" s="62" t="s">
        <v>825</v>
      </c>
      <c r="N1654" s="62" t="s">
        <v>640</v>
      </c>
      <c r="O1654" s="62" t="s">
        <v>417</v>
      </c>
      <c r="P1654" s="62" t="s">
        <v>2421</v>
      </c>
      <c r="Q1654" s="66" t="s">
        <v>1972</v>
      </c>
    </row>
    <row r="1655" spans="1:17" x14ac:dyDescent="0.3">
      <c r="A1655" s="61" t="s">
        <v>2239</v>
      </c>
      <c r="B1655" s="62" t="s">
        <v>1467</v>
      </c>
      <c r="C1655" s="62" t="s">
        <v>946</v>
      </c>
      <c r="D1655" s="63">
        <v>45638</v>
      </c>
      <c r="E1655" s="63">
        <v>46142</v>
      </c>
      <c r="F1655" s="62" t="s">
        <v>1922</v>
      </c>
      <c r="G1655" s="62" t="s">
        <v>836</v>
      </c>
      <c r="H1655" s="62" t="s">
        <v>373</v>
      </c>
      <c r="I1655" s="64">
        <v>226936.5</v>
      </c>
      <c r="J1655" s="62" t="s">
        <v>373</v>
      </c>
      <c r="K1655" s="62" t="s">
        <v>1693</v>
      </c>
      <c r="L1655" s="65"/>
      <c r="M1655" s="62" t="s">
        <v>825</v>
      </c>
      <c r="N1655" s="62" t="s">
        <v>640</v>
      </c>
      <c r="O1655" s="62" t="s">
        <v>417</v>
      </c>
      <c r="P1655" s="62" t="s">
        <v>2421</v>
      </c>
      <c r="Q1655" s="66" t="s">
        <v>1972</v>
      </c>
    </row>
    <row r="1656" spans="1:17" x14ac:dyDescent="0.3">
      <c r="A1656" s="61" t="s">
        <v>2239</v>
      </c>
      <c r="B1656" s="62" t="s">
        <v>1467</v>
      </c>
      <c r="C1656" s="62" t="s">
        <v>946</v>
      </c>
      <c r="D1656" s="63">
        <v>45638</v>
      </c>
      <c r="E1656" s="63">
        <v>46142</v>
      </c>
      <c r="F1656" s="62" t="s">
        <v>1922</v>
      </c>
      <c r="G1656" s="62" t="s">
        <v>387</v>
      </c>
      <c r="H1656" s="62" t="s">
        <v>373</v>
      </c>
      <c r="I1656" s="64">
        <v>226936.5</v>
      </c>
      <c r="J1656" s="62" t="s">
        <v>373</v>
      </c>
      <c r="K1656" s="62" t="s">
        <v>1693</v>
      </c>
      <c r="L1656" s="65"/>
      <c r="M1656" s="62" t="s">
        <v>825</v>
      </c>
      <c r="N1656" s="62" t="s">
        <v>640</v>
      </c>
      <c r="O1656" s="62" t="s">
        <v>417</v>
      </c>
      <c r="P1656" s="62" t="s">
        <v>2421</v>
      </c>
      <c r="Q1656" s="66" t="s">
        <v>1972</v>
      </c>
    </row>
    <row r="1657" spans="1:17" x14ac:dyDescent="0.3">
      <c r="A1657" s="61" t="s">
        <v>2240</v>
      </c>
      <c r="B1657" s="62" t="s">
        <v>1468</v>
      </c>
      <c r="C1657" s="62" t="s">
        <v>1469</v>
      </c>
      <c r="D1657" s="63">
        <v>45686</v>
      </c>
      <c r="E1657" s="63">
        <v>46173</v>
      </c>
      <c r="F1657" s="62" t="s">
        <v>1958</v>
      </c>
      <c r="G1657" s="62" t="s">
        <v>304</v>
      </c>
      <c r="H1657" s="62" t="s">
        <v>373</v>
      </c>
      <c r="I1657" s="64">
        <v>37511</v>
      </c>
      <c r="J1657" s="62" t="s">
        <v>373</v>
      </c>
      <c r="K1657" s="62" t="s">
        <v>1693</v>
      </c>
      <c r="L1657" s="65"/>
      <c r="M1657" s="62" t="s">
        <v>2443</v>
      </c>
      <c r="N1657" s="62" t="s">
        <v>916</v>
      </c>
      <c r="O1657" s="62" t="s">
        <v>315</v>
      </c>
      <c r="P1657" s="62" t="s">
        <v>2421</v>
      </c>
      <c r="Q1657" s="66" t="s">
        <v>1969</v>
      </c>
    </row>
    <row r="1658" spans="1:17" x14ac:dyDescent="0.3">
      <c r="A1658" s="61" t="s">
        <v>2240</v>
      </c>
      <c r="B1658" s="62" t="s">
        <v>1468</v>
      </c>
      <c r="C1658" s="62" t="s">
        <v>1469</v>
      </c>
      <c r="D1658" s="63">
        <v>45686</v>
      </c>
      <c r="E1658" s="63">
        <v>46173</v>
      </c>
      <c r="F1658" s="62" t="s">
        <v>287</v>
      </c>
      <c r="G1658" s="62" t="s">
        <v>304</v>
      </c>
      <c r="H1658" s="62" t="s">
        <v>373</v>
      </c>
      <c r="I1658" s="64">
        <v>37511</v>
      </c>
      <c r="J1658" s="62" t="s">
        <v>373</v>
      </c>
      <c r="K1658" s="62" t="s">
        <v>1693</v>
      </c>
      <c r="L1658" s="65"/>
      <c r="M1658" s="62" t="s">
        <v>2443</v>
      </c>
      <c r="N1658" s="62" t="s">
        <v>916</v>
      </c>
      <c r="O1658" s="62" t="s">
        <v>315</v>
      </c>
      <c r="P1658" s="62" t="s">
        <v>2421</v>
      </c>
      <c r="Q1658" s="66" t="s">
        <v>1969</v>
      </c>
    </row>
    <row r="1659" spans="1:17" x14ac:dyDescent="0.3">
      <c r="A1659" s="61" t="s">
        <v>2241</v>
      </c>
      <c r="B1659" s="62" t="s">
        <v>1470</v>
      </c>
      <c r="C1659" s="62" t="s">
        <v>1471</v>
      </c>
      <c r="D1659" s="63">
        <v>45397</v>
      </c>
      <c r="E1659" s="63">
        <v>46127</v>
      </c>
      <c r="F1659" s="62" t="s">
        <v>1939</v>
      </c>
      <c r="G1659" s="62" t="s">
        <v>304</v>
      </c>
      <c r="H1659" s="62" t="s">
        <v>373</v>
      </c>
      <c r="I1659" s="64">
        <v>255071</v>
      </c>
      <c r="J1659" s="62" t="s">
        <v>373</v>
      </c>
      <c r="K1659" s="62" t="s">
        <v>2490</v>
      </c>
      <c r="L1659" s="65"/>
      <c r="M1659" s="62" t="s">
        <v>1518</v>
      </c>
      <c r="N1659" s="62" t="s">
        <v>724</v>
      </c>
      <c r="O1659" s="62" t="s">
        <v>637</v>
      </c>
      <c r="P1659" s="62" t="s">
        <v>2421</v>
      </c>
      <c r="Q1659" s="66" t="s">
        <v>1969</v>
      </c>
    </row>
    <row r="1660" spans="1:17" x14ac:dyDescent="0.3">
      <c r="A1660" s="61" t="s">
        <v>2242</v>
      </c>
      <c r="B1660" s="62" t="s">
        <v>1472</v>
      </c>
      <c r="C1660" s="62" t="s">
        <v>1473</v>
      </c>
      <c r="D1660" s="63">
        <v>45608</v>
      </c>
      <c r="E1660" s="63">
        <v>46519</v>
      </c>
      <c r="F1660" s="62" t="s">
        <v>1959</v>
      </c>
      <c r="G1660" s="62" t="s">
        <v>304</v>
      </c>
      <c r="H1660" s="62" t="s">
        <v>467</v>
      </c>
      <c r="I1660" s="64">
        <v>243644.33333333299</v>
      </c>
      <c r="J1660" s="62" t="s">
        <v>468</v>
      </c>
      <c r="K1660" s="62" t="s">
        <v>467</v>
      </c>
      <c r="L1660" s="65"/>
      <c r="M1660" s="62" t="s">
        <v>825</v>
      </c>
      <c r="N1660" s="62" t="s">
        <v>551</v>
      </c>
      <c r="O1660" s="62" t="s">
        <v>428</v>
      </c>
      <c r="P1660" s="62" t="s">
        <v>2421</v>
      </c>
      <c r="Q1660" s="66" t="s">
        <v>2021</v>
      </c>
    </row>
    <row r="1661" spans="1:17" x14ac:dyDescent="0.3">
      <c r="A1661" s="61" t="s">
        <v>2242</v>
      </c>
      <c r="B1661" s="62" t="s">
        <v>1472</v>
      </c>
      <c r="C1661" s="62" t="s">
        <v>1473</v>
      </c>
      <c r="D1661" s="63">
        <v>45608</v>
      </c>
      <c r="E1661" s="63">
        <v>46519</v>
      </c>
      <c r="F1661" s="62" t="s">
        <v>1936</v>
      </c>
      <c r="G1661" s="62" t="s">
        <v>304</v>
      </c>
      <c r="H1661" s="62" t="s">
        <v>467</v>
      </c>
      <c r="I1661" s="64">
        <v>243644.33333333299</v>
      </c>
      <c r="J1661" s="62" t="s">
        <v>468</v>
      </c>
      <c r="K1661" s="62" t="s">
        <v>467</v>
      </c>
      <c r="L1661" s="65"/>
      <c r="M1661" s="62" t="s">
        <v>825</v>
      </c>
      <c r="N1661" s="62" t="s">
        <v>551</v>
      </c>
      <c r="O1661" s="62" t="s">
        <v>428</v>
      </c>
      <c r="P1661" s="62" t="s">
        <v>2421</v>
      </c>
      <c r="Q1661" s="66" t="s">
        <v>2021</v>
      </c>
    </row>
    <row r="1662" spans="1:17" x14ac:dyDescent="0.3">
      <c r="A1662" s="61" t="s">
        <v>2242</v>
      </c>
      <c r="B1662" s="62" t="s">
        <v>1472</v>
      </c>
      <c r="C1662" s="62" t="s">
        <v>1473</v>
      </c>
      <c r="D1662" s="63">
        <v>45608</v>
      </c>
      <c r="E1662" s="63">
        <v>46519</v>
      </c>
      <c r="F1662" s="62" t="s">
        <v>287</v>
      </c>
      <c r="G1662" s="62" t="s">
        <v>304</v>
      </c>
      <c r="H1662" s="62" t="s">
        <v>467</v>
      </c>
      <c r="I1662" s="64">
        <v>243644.33333333299</v>
      </c>
      <c r="J1662" s="62" t="s">
        <v>468</v>
      </c>
      <c r="K1662" s="62" t="s">
        <v>467</v>
      </c>
      <c r="L1662" s="65"/>
      <c r="M1662" s="62" t="s">
        <v>825</v>
      </c>
      <c r="N1662" s="62" t="s">
        <v>551</v>
      </c>
      <c r="O1662" s="62" t="s">
        <v>428</v>
      </c>
      <c r="P1662" s="62" t="s">
        <v>2421</v>
      </c>
      <c r="Q1662" s="66" t="s">
        <v>2021</v>
      </c>
    </row>
    <row r="1663" spans="1:17" x14ac:dyDescent="0.3">
      <c r="A1663" s="61" t="s">
        <v>2243</v>
      </c>
      <c r="B1663" s="62" t="s">
        <v>1474</v>
      </c>
      <c r="C1663" s="62" t="s">
        <v>1475</v>
      </c>
      <c r="D1663" s="63">
        <v>44409</v>
      </c>
      <c r="E1663" s="63">
        <v>46112</v>
      </c>
      <c r="F1663" s="62" t="s">
        <v>1936</v>
      </c>
      <c r="G1663" s="62" t="s">
        <v>304</v>
      </c>
      <c r="H1663" s="62" t="s">
        <v>2427</v>
      </c>
      <c r="I1663" s="64">
        <v>1704011.5</v>
      </c>
      <c r="J1663" s="62" t="s">
        <v>1303</v>
      </c>
      <c r="K1663" s="62" t="s">
        <v>489</v>
      </c>
      <c r="L1663" s="65"/>
      <c r="M1663" s="62" t="s">
        <v>457</v>
      </c>
      <c r="N1663" s="62" t="s">
        <v>969</v>
      </c>
      <c r="O1663" s="62" t="s">
        <v>744</v>
      </c>
      <c r="P1663" s="62" t="s">
        <v>2421</v>
      </c>
      <c r="Q1663" s="66" t="s">
        <v>1971</v>
      </c>
    </row>
    <row r="1664" spans="1:17" x14ac:dyDescent="0.3">
      <c r="A1664" s="61" t="s">
        <v>2243</v>
      </c>
      <c r="B1664" s="62" t="s">
        <v>1474</v>
      </c>
      <c r="C1664" s="62" t="s">
        <v>1475</v>
      </c>
      <c r="D1664" s="63">
        <v>44409</v>
      </c>
      <c r="E1664" s="63">
        <v>46112</v>
      </c>
      <c r="F1664" s="62" t="s">
        <v>1945</v>
      </c>
      <c r="G1664" s="62" t="s">
        <v>304</v>
      </c>
      <c r="H1664" s="62" t="s">
        <v>2427</v>
      </c>
      <c r="I1664" s="64">
        <v>1704011.5</v>
      </c>
      <c r="J1664" s="62" t="s">
        <v>1303</v>
      </c>
      <c r="K1664" s="62" t="s">
        <v>489</v>
      </c>
      <c r="L1664" s="65"/>
      <c r="M1664" s="62" t="s">
        <v>457</v>
      </c>
      <c r="N1664" s="62" t="s">
        <v>969</v>
      </c>
      <c r="O1664" s="62" t="s">
        <v>744</v>
      </c>
      <c r="P1664" s="62" t="s">
        <v>2421</v>
      </c>
      <c r="Q1664" s="66" t="s">
        <v>1971</v>
      </c>
    </row>
    <row r="1665" spans="1:17" x14ac:dyDescent="0.3">
      <c r="A1665" s="61" t="s">
        <v>2244</v>
      </c>
      <c r="B1665" s="62" t="s">
        <v>1477</v>
      </c>
      <c r="C1665" s="62" t="s">
        <v>1478</v>
      </c>
      <c r="D1665" s="63">
        <v>45383</v>
      </c>
      <c r="E1665" s="63">
        <v>46113</v>
      </c>
      <c r="F1665" s="62" t="s">
        <v>284</v>
      </c>
      <c r="G1665" s="62" t="s">
        <v>1352</v>
      </c>
      <c r="H1665" s="62" t="s">
        <v>373</v>
      </c>
      <c r="I1665" s="64">
        <v>34664.5</v>
      </c>
      <c r="J1665" s="62" t="s">
        <v>373</v>
      </c>
      <c r="K1665" s="62" t="s">
        <v>1693</v>
      </c>
      <c r="L1665" s="65"/>
      <c r="M1665" s="62" t="s">
        <v>1518</v>
      </c>
      <c r="N1665" s="62" t="s">
        <v>491</v>
      </c>
      <c r="O1665" s="62" t="s">
        <v>365</v>
      </c>
      <c r="P1665" s="62" t="s">
        <v>2421</v>
      </c>
      <c r="Q1665" s="66" t="s">
        <v>1968</v>
      </c>
    </row>
    <row r="1666" spans="1:17" x14ac:dyDescent="0.3">
      <c r="A1666" s="61" t="s">
        <v>2244</v>
      </c>
      <c r="B1666" s="62" t="s">
        <v>1477</v>
      </c>
      <c r="C1666" s="62" t="s">
        <v>1478</v>
      </c>
      <c r="D1666" s="63">
        <v>45383</v>
      </c>
      <c r="E1666" s="63">
        <v>46113</v>
      </c>
      <c r="F1666" s="62" t="s">
        <v>284</v>
      </c>
      <c r="G1666" s="62" t="s">
        <v>285</v>
      </c>
      <c r="H1666" s="62" t="s">
        <v>373</v>
      </c>
      <c r="I1666" s="64">
        <v>34664.5</v>
      </c>
      <c r="J1666" s="62" t="s">
        <v>373</v>
      </c>
      <c r="K1666" s="62" t="s">
        <v>1693</v>
      </c>
      <c r="L1666" s="65"/>
      <c r="M1666" s="62" t="s">
        <v>1518</v>
      </c>
      <c r="N1666" s="62" t="s">
        <v>491</v>
      </c>
      <c r="O1666" s="62" t="s">
        <v>365</v>
      </c>
      <c r="P1666" s="62" t="s">
        <v>2421</v>
      </c>
      <c r="Q1666" s="66" t="s">
        <v>1968</v>
      </c>
    </row>
    <row r="1667" spans="1:17" x14ac:dyDescent="0.3">
      <c r="A1667" s="61" t="s">
        <v>2244</v>
      </c>
      <c r="B1667" s="62" t="s">
        <v>1477</v>
      </c>
      <c r="C1667" s="62" t="s">
        <v>1478</v>
      </c>
      <c r="D1667" s="63">
        <v>45383</v>
      </c>
      <c r="E1667" s="63">
        <v>46113</v>
      </c>
      <c r="F1667" s="62" t="s">
        <v>288</v>
      </c>
      <c r="G1667" s="62" t="s">
        <v>682</v>
      </c>
      <c r="H1667" s="62" t="s">
        <v>373</v>
      </c>
      <c r="I1667" s="64">
        <v>34664.5</v>
      </c>
      <c r="J1667" s="62" t="s">
        <v>373</v>
      </c>
      <c r="K1667" s="62" t="s">
        <v>1693</v>
      </c>
      <c r="L1667" s="65"/>
      <c r="M1667" s="62" t="s">
        <v>1518</v>
      </c>
      <c r="N1667" s="62" t="s">
        <v>491</v>
      </c>
      <c r="O1667" s="62" t="s">
        <v>365</v>
      </c>
      <c r="P1667" s="62" t="s">
        <v>2421</v>
      </c>
      <c r="Q1667" s="66" t="s">
        <v>1968</v>
      </c>
    </row>
    <row r="1668" spans="1:17" x14ac:dyDescent="0.3">
      <c r="A1668" s="61" t="s">
        <v>2244</v>
      </c>
      <c r="B1668" s="62" t="s">
        <v>1477</v>
      </c>
      <c r="C1668" s="62" t="s">
        <v>1478</v>
      </c>
      <c r="D1668" s="63">
        <v>45383</v>
      </c>
      <c r="E1668" s="63">
        <v>46113</v>
      </c>
      <c r="F1668" s="62" t="s">
        <v>288</v>
      </c>
      <c r="G1668" s="62" t="s">
        <v>454</v>
      </c>
      <c r="H1668" s="62" t="s">
        <v>373</v>
      </c>
      <c r="I1668" s="64">
        <v>34664.5</v>
      </c>
      <c r="J1668" s="62" t="s">
        <v>373</v>
      </c>
      <c r="K1668" s="62" t="s">
        <v>1693</v>
      </c>
      <c r="L1668" s="65"/>
      <c r="M1668" s="62" t="s">
        <v>1518</v>
      </c>
      <c r="N1668" s="62" t="s">
        <v>491</v>
      </c>
      <c r="O1668" s="62" t="s">
        <v>365</v>
      </c>
      <c r="P1668" s="62" t="s">
        <v>2421</v>
      </c>
      <c r="Q1668" s="66" t="s">
        <v>1968</v>
      </c>
    </row>
    <row r="1669" spans="1:17" x14ac:dyDescent="0.3">
      <c r="A1669" s="61" t="s">
        <v>2244</v>
      </c>
      <c r="B1669" s="62" t="s">
        <v>1477</v>
      </c>
      <c r="C1669" s="62" t="s">
        <v>1478</v>
      </c>
      <c r="D1669" s="63">
        <v>45383</v>
      </c>
      <c r="E1669" s="63">
        <v>46113</v>
      </c>
      <c r="F1669" s="62" t="s">
        <v>1943</v>
      </c>
      <c r="G1669" s="62" t="s">
        <v>452</v>
      </c>
      <c r="H1669" s="62" t="s">
        <v>373</v>
      </c>
      <c r="I1669" s="64">
        <v>69329</v>
      </c>
      <c r="J1669" s="62" t="s">
        <v>373</v>
      </c>
      <c r="K1669" s="62" t="s">
        <v>1693</v>
      </c>
      <c r="L1669" s="65"/>
      <c r="M1669" s="62" t="s">
        <v>1518</v>
      </c>
      <c r="N1669" s="62" t="s">
        <v>491</v>
      </c>
      <c r="O1669" s="62" t="s">
        <v>365</v>
      </c>
      <c r="P1669" s="62" t="s">
        <v>2421</v>
      </c>
      <c r="Q1669" s="66" t="s">
        <v>1968</v>
      </c>
    </row>
    <row r="1670" spans="1:17" x14ac:dyDescent="0.3">
      <c r="A1670" s="61" t="s">
        <v>2244</v>
      </c>
      <c r="B1670" s="62" t="s">
        <v>1477</v>
      </c>
      <c r="C1670" s="62" t="s">
        <v>1478</v>
      </c>
      <c r="D1670" s="63">
        <v>45383</v>
      </c>
      <c r="E1670" s="63">
        <v>46113</v>
      </c>
      <c r="F1670" s="62" t="s">
        <v>1942</v>
      </c>
      <c r="G1670" s="62" t="s">
        <v>757</v>
      </c>
      <c r="H1670" s="62" t="s">
        <v>373</v>
      </c>
      <c r="I1670" s="64">
        <v>69329</v>
      </c>
      <c r="J1670" s="62" t="s">
        <v>373</v>
      </c>
      <c r="K1670" s="62" t="s">
        <v>1693</v>
      </c>
      <c r="L1670" s="65"/>
      <c r="M1670" s="62" t="s">
        <v>1518</v>
      </c>
      <c r="N1670" s="62" t="s">
        <v>491</v>
      </c>
      <c r="O1670" s="62" t="s">
        <v>365</v>
      </c>
      <c r="P1670" s="62" t="s">
        <v>2421</v>
      </c>
      <c r="Q1670" s="66" t="s">
        <v>1968</v>
      </c>
    </row>
    <row r="1671" spans="1:17" x14ac:dyDescent="0.3">
      <c r="A1671" s="61" t="s">
        <v>2245</v>
      </c>
      <c r="B1671" s="62" t="s">
        <v>1479</v>
      </c>
      <c r="C1671" s="62" t="s">
        <v>1480</v>
      </c>
      <c r="D1671" s="63">
        <v>45707</v>
      </c>
      <c r="E1671" s="63">
        <v>46802</v>
      </c>
      <c r="F1671" s="62" t="s">
        <v>1934</v>
      </c>
      <c r="G1671" s="62" t="s">
        <v>499</v>
      </c>
      <c r="H1671" s="62" t="s">
        <v>2420</v>
      </c>
      <c r="I1671" s="64">
        <v>1166666.66666667</v>
      </c>
      <c r="J1671" s="62" t="s">
        <v>2425</v>
      </c>
      <c r="K1671" s="62" t="s">
        <v>377</v>
      </c>
      <c r="L1671" s="65"/>
      <c r="M1671" s="62" t="s">
        <v>1518</v>
      </c>
      <c r="N1671" s="62" t="s">
        <v>616</v>
      </c>
      <c r="O1671" s="62" t="s">
        <v>459</v>
      </c>
      <c r="P1671" s="62" t="s">
        <v>2421</v>
      </c>
      <c r="Q1671" s="66" t="s">
        <v>1971</v>
      </c>
    </row>
    <row r="1672" spans="1:17" x14ac:dyDescent="0.3">
      <c r="A1672" s="61" t="s">
        <v>2245</v>
      </c>
      <c r="B1672" s="62" t="s">
        <v>1479</v>
      </c>
      <c r="C1672" s="62" t="s">
        <v>1480</v>
      </c>
      <c r="D1672" s="63">
        <v>45707</v>
      </c>
      <c r="E1672" s="63">
        <v>46802</v>
      </c>
      <c r="F1672" s="62" t="s">
        <v>1938</v>
      </c>
      <c r="G1672" s="62" t="s">
        <v>503</v>
      </c>
      <c r="H1672" s="62" t="s">
        <v>2420</v>
      </c>
      <c r="I1672" s="64">
        <v>1166666.66666667</v>
      </c>
      <c r="J1672" s="62" t="s">
        <v>2425</v>
      </c>
      <c r="K1672" s="62" t="s">
        <v>377</v>
      </c>
      <c r="L1672" s="65"/>
      <c r="M1672" s="62" t="s">
        <v>1518</v>
      </c>
      <c r="N1672" s="62" t="s">
        <v>616</v>
      </c>
      <c r="O1672" s="62" t="s">
        <v>459</v>
      </c>
      <c r="P1672" s="62" t="s">
        <v>2421</v>
      </c>
      <c r="Q1672" s="66" t="s">
        <v>1971</v>
      </c>
    </row>
    <row r="1673" spans="1:17" x14ac:dyDescent="0.3">
      <c r="A1673" s="61" t="s">
        <v>2245</v>
      </c>
      <c r="B1673" s="62" t="s">
        <v>1479</v>
      </c>
      <c r="C1673" s="62" t="s">
        <v>1480</v>
      </c>
      <c r="D1673" s="63">
        <v>45707</v>
      </c>
      <c r="E1673" s="63">
        <v>46802</v>
      </c>
      <c r="F1673" s="62" t="s">
        <v>1941</v>
      </c>
      <c r="G1673" s="62" t="s">
        <v>494</v>
      </c>
      <c r="H1673" s="62" t="s">
        <v>2420</v>
      </c>
      <c r="I1673" s="64">
        <v>1166666.66666667</v>
      </c>
      <c r="J1673" s="62" t="s">
        <v>2425</v>
      </c>
      <c r="K1673" s="62" t="s">
        <v>377</v>
      </c>
      <c r="L1673" s="65"/>
      <c r="M1673" s="62" t="s">
        <v>1518</v>
      </c>
      <c r="N1673" s="62" t="s">
        <v>616</v>
      </c>
      <c r="O1673" s="62" t="s">
        <v>459</v>
      </c>
      <c r="P1673" s="62" t="s">
        <v>2421</v>
      </c>
      <c r="Q1673" s="66" t="s">
        <v>1971</v>
      </c>
    </row>
    <row r="1674" spans="1:17" x14ac:dyDescent="0.3">
      <c r="A1674" s="61" t="s">
        <v>2246</v>
      </c>
      <c r="B1674" s="62" t="s">
        <v>1481</v>
      </c>
      <c r="C1674" s="62" t="s">
        <v>1482</v>
      </c>
      <c r="D1674" s="63">
        <v>45602</v>
      </c>
      <c r="E1674" s="63">
        <v>46697</v>
      </c>
      <c r="F1674" s="62" t="s">
        <v>1931</v>
      </c>
      <c r="G1674" s="62" t="s">
        <v>281</v>
      </c>
      <c r="H1674" s="62" t="s">
        <v>2420</v>
      </c>
      <c r="I1674" s="64">
        <v>604116.33333333302</v>
      </c>
      <c r="J1674" s="62" t="s">
        <v>2425</v>
      </c>
      <c r="K1674" s="62" t="s">
        <v>377</v>
      </c>
      <c r="L1674" s="65"/>
      <c r="M1674" s="62" t="s">
        <v>1518</v>
      </c>
      <c r="N1674" s="62" t="s">
        <v>1483</v>
      </c>
      <c r="O1674" s="62" t="s">
        <v>646</v>
      </c>
      <c r="P1674" s="62" t="s">
        <v>2421</v>
      </c>
      <c r="Q1674" s="66" t="s">
        <v>1974</v>
      </c>
    </row>
    <row r="1675" spans="1:17" x14ac:dyDescent="0.3">
      <c r="A1675" s="61" t="s">
        <v>2246</v>
      </c>
      <c r="B1675" s="62" t="s">
        <v>1481</v>
      </c>
      <c r="C1675" s="62" t="s">
        <v>1482</v>
      </c>
      <c r="D1675" s="63">
        <v>45602</v>
      </c>
      <c r="E1675" s="63">
        <v>46697</v>
      </c>
      <c r="F1675" s="62" t="s">
        <v>287</v>
      </c>
      <c r="G1675" s="62" t="s">
        <v>554</v>
      </c>
      <c r="H1675" s="62" t="s">
        <v>2420</v>
      </c>
      <c r="I1675" s="64">
        <v>604116.33333333302</v>
      </c>
      <c r="J1675" s="62" t="s">
        <v>2425</v>
      </c>
      <c r="K1675" s="62" t="s">
        <v>377</v>
      </c>
      <c r="L1675" s="65"/>
      <c r="M1675" s="62" t="s">
        <v>1518</v>
      </c>
      <c r="N1675" s="62" t="s">
        <v>1483</v>
      </c>
      <c r="O1675" s="62" t="s">
        <v>646</v>
      </c>
      <c r="P1675" s="62" t="s">
        <v>2421</v>
      </c>
      <c r="Q1675" s="66" t="s">
        <v>1974</v>
      </c>
    </row>
    <row r="1676" spans="1:17" x14ac:dyDescent="0.3">
      <c r="A1676" s="61" t="s">
        <v>2246</v>
      </c>
      <c r="B1676" s="62" t="s">
        <v>1481</v>
      </c>
      <c r="C1676" s="62" t="s">
        <v>1482</v>
      </c>
      <c r="D1676" s="63">
        <v>45602</v>
      </c>
      <c r="E1676" s="63">
        <v>46697</v>
      </c>
      <c r="F1676" s="62" t="s">
        <v>1945</v>
      </c>
      <c r="G1676" s="62" t="s">
        <v>555</v>
      </c>
      <c r="H1676" s="62" t="s">
        <v>2420</v>
      </c>
      <c r="I1676" s="64">
        <v>604116.33333333302</v>
      </c>
      <c r="J1676" s="62" t="s">
        <v>2425</v>
      </c>
      <c r="K1676" s="62" t="s">
        <v>377</v>
      </c>
      <c r="L1676" s="65"/>
      <c r="M1676" s="62" t="s">
        <v>1518</v>
      </c>
      <c r="N1676" s="62" t="s">
        <v>1483</v>
      </c>
      <c r="O1676" s="62" t="s">
        <v>646</v>
      </c>
      <c r="P1676" s="62" t="s">
        <v>2421</v>
      </c>
      <c r="Q1676" s="66" t="s">
        <v>1974</v>
      </c>
    </row>
    <row r="1677" spans="1:17" x14ac:dyDescent="0.3">
      <c r="A1677" s="61" t="s">
        <v>2247</v>
      </c>
      <c r="B1677" s="62" t="s">
        <v>1484</v>
      </c>
      <c r="C1677" s="62" t="s">
        <v>1485</v>
      </c>
      <c r="D1677" s="63">
        <v>45444</v>
      </c>
      <c r="E1677" s="63">
        <v>46174</v>
      </c>
      <c r="F1677" s="62" t="s">
        <v>1930</v>
      </c>
      <c r="G1677" s="62" t="s">
        <v>1486</v>
      </c>
      <c r="H1677" s="62" t="s">
        <v>373</v>
      </c>
      <c r="I1677" s="64">
        <v>108570</v>
      </c>
      <c r="J1677" s="62" t="s">
        <v>373</v>
      </c>
      <c r="K1677" s="62" t="s">
        <v>1693</v>
      </c>
      <c r="L1677" s="65"/>
      <c r="M1677" s="62" t="s">
        <v>1518</v>
      </c>
      <c r="N1677" s="62" t="s">
        <v>314</v>
      </c>
      <c r="O1677" s="62" t="s">
        <v>315</v>
      </c>
      <c r="P1677" s="62" t="s">
        <v>2421</v>
      </c>
      <c r="Q1677" s="66" t="s">
        <v>1969</v>
      </c>
    </row>
    <row r="1678" spans="1:17" x14ac:dyDescent="0.3">
      <c r="A1678" s="61" t="s">
        <v>2247</v>
      </c>
      <c r="B1678" s="62" t="s">
        <v>1484</v>
      </c>
      <c r="C1678" s="62" t="s">
        <v>1485</v>
      </c>
      <c r="D1678" s="63">
        <v>45444</v>
      </c>
      <c r="E1678" s="63">
        <v>46174</v>
      </c>
      <c r="F1678" s="62" t="s">
        <v>1930</v>
      </c>
      <c r="G1678" s="62" t="s">
        <v>690</v>
      </c>
      <c r="H1678" s="62" t="s">
        <v>373</v>
      </c>
      <c r="I1678" s="64">
        <v>108570</v>
      </c>
      <c r="J1678" s="62" t="s">
        <v>373</v>
      </c>
      <c r="K1678" s="62" t="s">
        <v>1693</v>
      </c>
      <c r="L1678" s="65"/>
      <c r="M1678" s="62" t="s">
        <v>1518</v>
      </c>
      <c r="N1678" s="62" t="s">
        <v>314</v>
      </c>
      <c r="O1678" s="62" t="s">
        <v>315</v>
      </c>
      <c r="P1678" s="62" t="s">
        <v>2421</v>
      </c>
      <c r="Q1678" s="66" t="s">
        <v>1969</v>
      </c>
    </row>
    <row r="1679" spans="1:17" x14ac:dyDescent="0.3">
      <c r="A1679" s="61" t="s">
        <v>2247</v>
      </c>
      <c r="B1679" s="62" t="s">
        <v>1484</v>
      </c>
      <c r="C1679" s="62" t="s">
        <v>1485</v>
      </c>
      <c r="D1679" s="63">
        <v>45444</v>
      </c>
      <c r="E1679" s="63">
        <v>46174</v>
      </c>
      <c r="F1679" s="62" t="s">
        <v>1930</v>
      </c>
      <c r="G1679" s="62" t="s">
        <v>1487</v>
      </c>
      <c r="H1679" s="62" t="s">
        <v>373</v>
      </c>
      <c r="I1679" s="64">
        <v>108570</v>
      </c>
      <c r="J1679" s="62" t="s">
        <v>373</v>
      </c>
      <c r="K1679" s="62" t="s">
        <v>1693</v>
      </c>
      <c r="L1679" s="65"/>
      <c r="M1679" s="62" t="s">
        <v>1518</v>
      </c>
      <c r="N1679" s="62" t="s">
        <v>314</v>
      </c>
      <c r="O1679" s="62" t="s">
        <v>315</v>
      </c>
      <c r="P1679" s="62" t="s">
        <v>2421</v>
      </c>
      <c r="Q1679" s="66" t="s">
        <v>1969</v>
      </c>
    </row>
    <row r="1680" spans="1:17" x14ac:dyDescent="0.3">
      <c r="A1680" s="61" t="s">
        <v>2248</v>
      </c>
      <c r="B1680" s="62" t="s">
        <v>1488</v>
      </c>
      <c r="C1680" s="62" t="s">
        <v>1489</v>
      </c>
      <c r="D1680" s="63">
        <v>45352</v>
      </c>
      <c r="E1680" s="63">
        <v>46174</v>
      </c>
      <c r="F1680" s="62" t="s">
        <v>282</v>
      </c>
      <c r="G1680" s="62" t="s">
        <v>283</v>
      </c>
      <c r="H1680" s="62" t="s">
        <v>2427</v>
      </c>
      <c r="I1680" s="64">
        <v>1083.5999999999999</v>
      </c>
      <c r="J1680" s="62" t="s">
        <v>1490</v>
      </c>
      <c r="K1680" s="62" t="s">
        <v>1957</v>
      </c>
      <c r="L1680" s="65"/>
      <c r="M1680" s="62" t="s">
        <v>1518</v>
      </c>
      <c r="N1680" s="62" t="s">
        <v>812</v>
      </c>
      <c r="O1680" s="62" t="s">
        <v>365</v>
      </c>
      <c r="P1680" s="62" t="s">
        <v>2421</v>
      </c>
      <c r="Q1680" s="66" t="s">
        <v>1968</v>
      </c>
    </row>
    <row r="1681" spans="1:17" x14ac:dyDescent="0.3">
      <c r="A1681" s="61" t="s">
        <v>2248</v>
      </c>
      <c r="B1681" s="62" t="s">
        <v>1488</v>
      </c>
      <c r="C1681" s="62" t="s">
        <v>1489</v>
      </c>
      <c r="D1681" s="63">
        <v>45352</v>
      </c>
      <c r="E1681" s="63">
        <v>46174</v>
      </c>
      <c r="F1681" s="62" t="s">
        <v>1921</v>
      </c>
      <c r="G1681" s="62" t="s">
        <v>487</v>
      </c>
      <c r="H1681" s="62" t="s">
        <v>2427</v>
      </c>
      <c r="I1681" s="64">
        <v>1083.5999999999999</v>
      </c>
      <c r="J1681" s="62" t="s">
        <v>1490</v>
      </c>
      <c r="K1681" s="62" t="s">
        <v>1957</v>
      </c>
      <c r="L1681" s="65"/>
      <c r="M1681" s="62" t="s">
        <v>1518</v>
      </c>
      <c r="N1681" s="62" t="s">
        <v>812</v>
      </c>
      <c r="O1681" s="62" t="s">
        <v>365</v>
      </c>
      <c r="P1681" s="62" t="s">
        <v>2421</v>
      </c>
      <c r="Q1681" s="66" t="s">
        <v>1968</v>
      </c>
    </row>
    <row r="1682" spans="1:17" x14ac:dyDescent="0.3">
      <c r="A1682" s="61" t="s">
        <v>2248</v>
      </c>
      <c r="B1682" s="62" t="s">
        <v>1488</v>
      </c>
      <c r="C1682" s="62" t="s">
        <v>1489</v>
      </c>
      <c r="D1682" s="63">
        <v>45352</v>
      </c>
      <c r="E1682" s="63">
        <v>46174</v>
      </c>
      <c r="F1682" s="62" t="s">
        <v>1940</v>
      </c>
      <c r="G1682" s="62" t="s">
        <v>451</v>
      </c>
      <c r="H1682" s="62" t="s">
        <v>2427</v>
      </c>
      <c r="I1682" s="64">
        <v>1083.5999999999999</v>
      </c>
      <c r="J1682" s="62" t="s">
        <v>1490</v>
      </c>
      <c r="K1682" s="62" t="s">
        <v>1957</v>
      </c>
      <c r="L1682" s="65"/>
      <c r="M1682" s="62" t="s">
        <v>1518</v>
      </c>
      <c r="N1682" s="62" t="s">
        <v>812</v>
      </c>
      <c r="O1682" s="62" t="s">
        <v>365</v>
      </c>
      <c r="P1682" s="62" t="s">
        <v>2421</v>
      </c>
      <c r="Q1682" s="66" t="s">
        <v>1968</v>
      </c>
    </row>
    <row r="1683" spans="1:17" x14ac:dyDescent="0.3">
      <c r="A1683" s="61" t="s">
        <v>2248</v>
      </c>
      <c r="B1683" s="62" t="s">
        <v>1488</v>
      </c>
      <c r="C1683" s="62" t="s">
        <v>1489</v>
      </c>
      <c r="D1683" s="63">
        <v>45352</v>
      </c>
      <c r="E1683" s="63">
        <v>46174</v>
      </c>
      <c r="F1683" s="62" t="s">
        <v>1943</v>
      </c>
      <c r="G1683" s="62" t="s">
        <v>452</v>
      </c>
      <c r="H1683" s="62" t="s">
        <v>2427</v>
      </c>
      <c r="I1683" s="64">
        <v>1083.5999999999999</v>
      </c>
      <c r="J1683" s="62" t="s">
        <v>1490</v>
      </c>
      <c r="K1683" s="62" t="s">
        <v>1957</v>
      </c>
      <c r="L1683" s="65"/>
      <c r="M1683" s="62" t="s">
        <v>1518</v>
      </c>
      <c r="N1683" s="62" t="s">
        <v>812</v>
      </c>
      <c r="O1683" s="62" t="s">
        <v>365</v>
      </c>
      <c r="P1683" s="62" t="s">
        <v>2421</v>
      </c>
      <c r="Q1683" s="66" t="s">
        <v>1968</v>
      </c>
    </row>
    <row r="1684" spans="1:17" x14ac:dyDescent="0.3">
      <c r="A1684" s="61" t="s">
        <v>2248</v>
      </c>
      <c r="B1684" s="62" t="s">
        <v>1488</v>
      </c>
      <c r="C1684" s="62" t="s">
        <v>1489</v>
      </c>
      <c r="D1684" s="63">
        <v>45352</v>
      </c>
      <c r="E1684" s="63">
        <v>46174</v>
      </c>
      <c r="F1684" s="62" t="s">
        <v>284</v>
      </c>
      <c r="G1684" s="62" t="s">
        <v>285</v>
      </c>
      <c r="H1684" s="62" t="s">
        <v>2427</v>
      </c>
      <c r="I1684" s="64">
        <v>1083.5999999999999</v>
      </c>
      <c r="J1684" s="62" t="s">
        <v>1490</v>
      </c>
      <c r="K1684" s="62" t="s">
        <v>1957</v>
      </c>
      <c r="L1684" s="65"/>
      <c r="M1684" s="62" t="s">
        <v>1518</v>
      </c>
      <c r="N1684" s="62" t="s">
        <v>812</v>
      </c>
      <c r="O1684" s="62" t="s">
        <v>365</v>
      </c>
      <c r="P1684" s="62" t="s">
        <v>2421</v>
      </c>
      <c r="Q1684" s="66" t="s">
        <v>1968</v>
      </c>
    </row>
    <row r="1685" spans="1:17" x14ac:dyDescent="0.3">
      <c r="A1685" s="61" t="s">
        <v>2248</v>
      </c>
      <c r="B1685" s="62" t="s">
        <v>1488</v>
      </c>
      <c r="C1685" s="62" t="s">
        <v>1489</v>
      </c>
      <c r="D1685" s="63">
        <v>45352</v>
      </c>
      <c r="E1685" s="63">
        <v>46174</v>
      </c>
      <c r="F1685" s="62" t="s">
        <v>282</v>
      </c>
      <c r="G1685" s="62" t="s">
        <v>283</v>
      </c>
      <c r="H1685" s="62" t="s">
        <v>2427</v>
      </c>
      <c r="I1685" s="64">
        <v>1950.6</v>
      </c>
      <c r="J1685" s="62" t="s">
        <v>2491</v>
      </c>
      <c r="K1685" s="62" t="s">
        <v>1957</v>
      </c>
      <c r="L1685" s="65"/>
      <c r="M1685" s="62" t="s">
        <v>1518</v>
      </c>
      <c r="N1685" s="62" t="s">
        <v>812</v>
      </c>
      <c r="O1685" s="62" t="s">
        <v>365</v>
      </c>
      <c r="P1685" s="62" t="s">
        <v>2421</v>
      </c>
      <c r="Q1685" s="66" t="s">
        <v>1968</v>
      </c>
    </row>
    <row r="1686" spans="1:17" x14ac:dyDescent="0.3">
      <c r="A1686" s="61" t="s">
        <v>2248</v>
      </c>
      <c r="B1686" s="62" t="s">
        <v>1488</v>
      </c>
      <c r="C1686" s="62" t="s">
        <v>1489</v>
      </c>
      <c r="D1686" s="63">
        <v>45352</v>
      </c>
      <c r="E1686" s="63">
        <v>46174</v>
      </c>
      <c r="F1686" s="62" t="s">
        <v>1921</v>
      </c>
      <c r="G1686" s="62" t="s">
        <v>487</v>
      </c>
      <c r="H1686" s="62" t="s">
        <v>2427</v>
      </c>
      <c r="I1686" s="64">
        <v>1950.6</v>
      </c>
      <c r="J1686" s="62" t="s">
        <v>2491</v>
      </c>
      <c r="K1686" s="62" t="s">
        <v>1957</v>
      </c>
      <c r="L1686" s="65"/>
      <c r="M1686" s="62" t="s">
        <v>1518</v>
      </c>
      <c r="N1686" s="62" t="s">
        <v>812</v>
      </c>
      <c r="O1686" s="62" t="s">
        <v>365</v>
      </c>
      <c r="P1686" s="62" t="s">
        <v>2421</v>
      </c>
      <c r="Q1686" s="66" t="s">
        <v>1968</v>
      </c>
    </row>
    <row r="1687" spans="1:17" x14ac:dyDescent="0.3">
      <c r="A1687" s="61" t="s">
        <v>2248</v>
      </c>
      <c r="B1687" s="62" t="s">
        <v>1488</v>
      </c>
      <c r="C1687" s="62" t="s">
        <v>1489</v>
      </c>
      <c r="D1687" s="63">
        <v>45352</v>
      </c>
      <c r="E1687" s="63">
        <v>46174</v>
      </c>
      <c r="F1687" s="62" t="s">
        <v>1940</v>
      </c>
      <c r="G1687" s="62" t="s">
        <v>451</v>
      </c>
      <c r="H1687" s="62" t="s">
        <v>2427</v>
      </c>
      <c r="I1687" s="64">
        <v>1950.6</v>
      </c>
      <c r="J1687" s="62" t="s">
        <v>2491</v>
      </c>
      <c r="K1687" s="62" t="s">
        <v>1957</v>
      </c>
      <c r="L1687" s="65"/>
      <c r="M1687" s="62" t="s">
        <v>1518</v>
      </c>
      <c r="N1687" s="62" t="s">
        <v>812</v>
      </c>
      <c r="O1687" s="62" t="s">
        <v>365</v>
      </c>
      <c r="P1687" s="62" t="s">
        <v>2421</v>
      </c>
      <c r="Q1687" s="66" t="s">
        <v>1968</v>
      </c>
    </row>
    <row r="1688" spans="1:17" x14ac:dyDescent="0.3">
      <c r="A1688" s="61" t="s">
        <v>2248</v>
      </c>
      <c r="B1688" s="62" t="s">
        <v>1488</v>
      </c>
      <c r="C1688" s="62" t="s">
        <v>1489</v>
      </c>
      <c r="D1688" s="63">
        <v>45352</v>
      </c>
      <c r="E1688" s="63">
        <v>46174</v>
      </c>
      <c r="F1688" s="62" t="s">
        <v>1943</v>
      </c>
      <c r="G1688" s="62" t="s">
        <v>452</v>
      </c>
      <c r="H1688" s="62" t="s">
        <v>2427</v>
      </c>
      <c r="I1688" s="64">
        <v>1950.6</v>
      </c>
      <c r="J1688" s="62" t="s">
        <v>2491</v>
      </c>
      <c r="K1688" s="62" t="s">
        <v>1957</v>
      </c>
      <c r="L1688" s="65"/>
      <c r="M1688" s="62" t="s">
        <v>1518</v>
      </c>
      <c r="N1688" s="62" t="s">
        <v>812</v>
      </c>
      <c r="O1688" s="62" t="s">
        <v>365</v>
      </c>
      <c r="P1688" s="62" t="s">
        <v>2421</v>
      </c>
      <c r="Q1688" s="66" t="s">
        <v>1968</v>
      </c>
    </row>
    <row r="1689" spans="1:17" x14ac:dyDescent="0.3">
      <c r="A1689" s="61" t="s">
        <v>2248</v>
      </c>
      <c r="B1689" s="62" t="s">
        <v>1488</v>
      </c>
      <c r="C1689" s="62" t="s">
        <v>1489</v>
      </c>
      <c r="D1689" s="63">
        <v>45352</v>
      </c>
      <c r="E1689" s="63">
        <v>46174</v>
      </c>
      <c r="F1689" s="62" t="s">
        <v>284</v>
      </c>
      <c r="G1689" s="62" t="s">
        <v>285</v>
      </c>
      <c r="H1689" s="62" t="s">
        <v>2427</v>
      </c>
      <c r="I1689" s="64">
        <v>1950.6</v>
      </c>
      <c r="J1689" s="62" t="s">
        <v>2491</v>
      </c>
      <c r="K1689" s="62" t="s">
        <v>1957</v>
      </c>
      <c r="L1689" s="65"/>
      <c r="M1689" s="62" t="s">
        <v>1518</v>
      </c>
      <c r="N1689" s="62" t="s">
        <v>812</v>
      </c>
      <c r="O1689" s="62" t="s">
        <v>365</v>
      </c>
      <c r="P1689" s="62" t="s">
        <v>2421</v>
      </c>
      <c r="Q1689" s="66" t="s">
        <v>1968</v>
      </c>
    </row>
    <row r="1690" spans="1:17" x14ac:dyDescent="0.3">
      <c r="A1690" s="61" t="s">
        <v>2248</v>
      </c>
      <c r="B1690" s="62" t="s">
        <v>1488</v>
      </c>
      <c r="C1690" s="62" t="s">
        <v>1489</v>
      </c>
      <c r="D1690" s="63">
        <v>45352</v>
      </c>
      <c r="E1690" s="63">
        <v>46174</v>
      </c>
      <c r="F1690" s="62" t="s">
        <v>282</v>
      </c>
      <c r="G1690" s="62" t="s">
        <v>283</v>
      </c>
      <c r="H1690" s="62" t="s">
        <v>2427</v>
      </c>
      <c r="I1690" s="64">
        <v>11920.6</v>
      </c>
      <c r="J1690" s="62" t="s">
        <v>2492</v>
      </c>
      <c r="K1690" s="62" t="s">
        <v>1957</v>
      </c>
      <c r="L1690" s="65"/>
      <c r="M1690" s="62" t="s">
        <v>1518</v>
      </c>
      <c r="N1690" s="62" t="s">
        <v>812</v>
      </c>
      <c r="O1690" s="62" t="s">
        <v>365</v>
      </c>
      <c r="P1690" s="62" t="s">
        <v>2421</v>
      </c>
      <c r="Q1690" s="66" t="s">
        <v>1968</v>
      </c>
    </row>
    <row r="1691" spans="1:17" x14ac:dyDescent="0.3">
      <c r="A1691" s="61" t="s">
        <v>2248</v>
      </c>
      <c r="B1691" s="62" t="s">
        <v>1488</v>
      </c>
      <c r="C1691" s="62" t="s">
        <v>1489</v>
      </c>
      <c r="D1691" s="63">
        <v>45352</v>
      </c>
      <c r="E1691" s="63">
        <v>46174</v>
      </c>
      <c r="F1691" s="62" t="s">
        <v>1921</v>
      </c>
      <c r="G1691" s="62" t="s">
        <v>487</v>
      </c>
      <c r="H1691" s="62" t="s">
        <v>2427</v>
      </c>
      <c r="I1691" s="64">
        <v>11920.6</v>
      </c>
      <c r="J1691" s="62" t="s">
        <v>2492</v>
      </c>
      <c r="K1691" s="62" t="s">
        <v>1957</v>
      </c>
      <c r="L1691" s="65"/>
      <c r="M1691" s="62" t="s">
        <v>1518</v>
      </c>
      <c r="N1691" s="62" t="s">
        <v>812</v>
      </c>
      <c r="O1691" s="62" t="s">
        <v>365</v>
      </c>
      <c r="P1691" s="62" t="s">
        <v>2421</v>
      </c>
      <c r="Q1691" s="66" t="s">
        <v>1968</v>
      </c>
    </row>
    <row r="1692" spans="1:17" x14ac:dyDescent="0.3">
      <c r="A1692" s="61" t="s">
        <v>2248</v>
      </c>
      <c r="B1692" s="62" t="s">
        <v>1488</v>
      </c>
      <c r="C1692" s="62" t="s">
        <v>1489</v>
      </c>
      <c r="D1692" s="63">
        <v>45352</v>
      </c>
      <c r="E1692" s="63">
        <v>46174</v>
      </c>
      <c r="F1692" s="62" t="s">
        <v>1940</v>
      </c>
      <c r="G1692" s="62" t="s">
        <v>451</v>
      </c>
      <c r="H1692" s="62" t="s">
        <v>2427</v>
      </c>
      <c r="I1692" s="64">
        <v>11920.6</v>
      </c>
      <c r="J1692" s="62" t="s">
        <v>2492</v>
      </c>
      <c r="K1692" s="62" t="s">
        <v>1957</v>
      </c>
      <c r="L1692" s="65"/>
      <c r="M1692" s="62" t="s">
        <v>1518</v>
      </c>
      <c r="N1692" s="62" t="s">
        <v>812</v>
      </c>
      <c r="O1692" s="62" t="s">
        <v>365</v>
      </c>
      <c r="P1692" s="62" t="s">
        <v>2421</v>
      </c>
      <c r="Q1692" s="66" t="s">
        <v>1968</v>
      </c>
    </row>
    <row r="1693" spans="1:17" x14ac:dyDescent="0.3">
      <c r="A1693" s="61" t="s">
        <v>2248</v>
      </c>
      <c r="B1693" s="62" t="s">
        <v>1488</v>
      </c>
      <c r="C1693" s="62" t="s">
        <v>1489</v>
      </c>
      <c r="D1693" s="63">
        <v>45352</v>
      </c>
      <c r="E1693" s="63">
        <v>46174</v>
      </c>
      <c r="F1693" s="62" t="s">
        <v>1943</v>
      </c>
      <c r="G1693" s="62" t="s">
        <v>452</v>
      </c>
      <c r="H1693" s="62" t="s">
        <v>2427</v>
      </c>
      <c r="I1693" s="64">
        <v>11920.6</v>
      </c>
      <c r="J1693" s="62" t="s">
        <v>2492</v>
      </c>
      <c r="K1693" s="62" t="s">
        <v>1957</v>
      </c>
      <c r="L1693" s="65"/>
      <c r="M1693" s="62" t="s">
        <v>1518</v>
      </c>
      <c r="N1693" s="62" t="s">
        <v>812</v>
      </c>
      <c r="O1693" s="62" t="s">
        <v>365</v>
      </c>
      <c r="P1693" s="62" t="s">
        <v>2421</v>
      </c>
      <c r="Q1693" s="66" t="s">
        <v>1968</v>
      </c>
    </row>
    <row r="1694" spans="1:17" x14ac:dyDescent="0.3">
      <c r="A1694" s="61" t="s">
        <v>2248</v>
      </c>
      <c r="B1694" s="62" t="s">
        <v>1488</v>
      </c>
      <c r="C1694" s="62" t="s">
        <v>1489</v>
      </c>
      <c r="D1694" s="63">
        <v>45352</v>
      </c>
      <c r="E1694" s="63">
        <v>46174</v>
      </c>
      <c r="F1694" s="62" t="s">
        <v>284</v>
      </c>
      <c r="G1694" s="62" t="s">
        <v>285</v>
      </c>
      <c r="H1694" s="62" t="s">
        <v>2427</v>
      </c>
      <c r="I1694" s="64">
        <v>11920.6</v>
      </c>
      <c r="J1694" s="62" t="s">
        <v>2492</v>
      </c>
      <c r="K1694" s="62" t="s">
        <v>1957</v>
      </c>
      <c r="L1694" s="65"/>
      <c r="M1694" s="62" t="s">
        <v>1518</v>
      </c>
      <c r="N1694" s="62" t="s">
        <v>812</v>
      </c>
      <c r="O1694" s="62" t="s">
        <v>365</v>
      </c>
      <c r="P1694" s="62" t="s">
        <v>2421</v>
      </c>
      <c r="Q1694" s="66" t="s">
        <v>1968</v>
      </c>
    </row>
    <row r="1695" spans="1:17" x14ac:dyDescent="0.3">
      <c r="A1695" s="61" t="s">
        <v>2248</v>
      </c>
      <c r="B1695" s="62" t="s">
        <v>1488</v>
      </c>
      <c r="C1695" s="62" t="s">
        <v>1489</v>
      </c>
      <c r="D1695" s="63">
        <v>45352</v>
      </c>
      <c r="E1695" s="63">
        <v>46174</v>
      </c>
      <c r="F1695" s="62" t="s">
        <v>282</v>
      </c>
      <c r="G1695" s="62" t="s">
        <v>283</v>
      </c>
      <c r="H1695" s="62" t="s">
        <v>2427</v>
      </c>
      <c r="I1695" s="64">
        <v>1950.6</v>
      </c>
      <c r="J1695" s="62" t="s">
        <v>2493</v>
      </c>
      <c r="K1695" s="62" t="s">
        <v>1957</v>
      </c>
      <c r="L1695" s="65"/>
      <c r="M1695" s="62" t="s">
        <v>1518</v>
      </c>
      <c r="N1695" s="62" t="s">
        <v>812</v>
      </c>
      <c r="O1695" s="62" t="s">
        <v>365</v>
      </c>
      <c r="P1695" s="62" t="s">
        <v>2421</v>
      </c>
      <c r="Q1695" s="66" t="s">
        <v>1968</v>
      </c>
    </row>
    <row r="1696" spans="1:17" x14ac:dyDescent="0.3">
      <c r="A1696" s="61" t="s">
        <v>2248</v>
      </c>
      <c r="B1696" s="62" t="s">
        <v>1488</v>
      </c>
      <c r="C1696" s="62" t="s">
        <v>1489</v>
      </c>
      <c r="D1696" s="63">
        <v>45352</v>
      </c>
      <c r="E1696" s="63">
        <v>46174</v>
      </c>
      <c r="F1696" s="62" t="s">
        <v>1921</v>
      </c>
      <c r="G1696" s="62" t="s">
        <v>487</v>
      </c>
      <c r="H1696" s="62" t="s">
        <v>2427</v>
      </c>
      <c r="I1696" s="64">
        <v>1950.6</v>
      </c>
      <c r="J1696" s="62" t="s">
        <v>2493</v>
      </c>
      <c r="K1696" s="62" t="s">
        <v>1957</v>
      </c>
      <c r="L1696" s="65"/>
      <c r="M1696" s="62" t="s">
        <v>1518</v>
      </c>
      <c r="N1696" s="62" t="s">
        <v>812</v>
      </c>
      <c r="O1696" s="62" t="s">
        <v>365</v>
      </c>
      <c r="P1696" s="62" t="s">
        <v>2421</v>
      </c>
      <c r="Q1696" s="66" t="s">
        <v>1968</v>
      </c>
    </row>
    <row r="1697" spans="1:17" x14ac:dyDescent="0.3">
      <c r="A1697" s="61" t="s">
        <v>2248</v>
      </c>
      <c r="B1697" s="62" t="s">
        <v>1488</v>
      </c>
      <c r="C1697" s="62" t="s">
        <v>1489</v>
      </c>
      <c r="D1697" s="63">
        <v>45352</v>
      </c>
      <c r="E1697" s="63">
        <v>46174</v>
      </c>
      <c r="F1697" s="62" t="s">
        <v>1940</v>
      </c>
      <c r="G1697" s="62" t="s">
        <v>451</v>
      </c>
      <c r="H1697" s="62" t="s">
        <v>2427</v>
      </c>
      <c r="I1697" s="64">
        <v>1950.6</v>
      </c>
      <c r="J1697" s="62" t="s">
        <v>2493</v>
      </c>
      <c r="K1697" s="62" t="s">
        <v>1957</v>
      </c>
      <c r="L1697" s="65"/>
      <c r="M1697" s="62" t="s">
        <v>1518</v>
      </c>
      <c r="N1697" s="62" t="s">
        <v>812</v>
      </c>
      <c r="O1697" s="62" t="s">
        <v>365</v>
      </c>
      <c r="P1697" s="62" t="s">
        <v>2421</v>
      </c>
      <c r="Q1697" s="66" t="s">
        <v>1968</v>
      </c>
    </row>
    <row r="1698" spans="1:17" x14ac:dyDescent="0.3">
      <c r="A1698" s="61" t="s">
        <v>2248</v>
      </c>
      <c r="B1698" s="62" t="s">
        <v>1488</v>
      </c>
      <c r="C1698" s="62" t="s">
        <v>1489</v>
      </c>
      <c r="D1698" s="63">
        <v>45352</v>
      </c>
      <c r="E1698" s="63">
        <v>46174</v>
      </c>
      <c r="F1698" s="62" t="s">
        <v>1943</v>
      </c>
      <c r="G1698" s="62" t="s">
        <v>452</v>
      </c>
      <c r="H1698" s="62" t="s">
        <v>2427</v>
      </c>
      <c r="I1698" s="64">
        <v>1950.6</v>
      </c>
      <c r="J1698" s="62" t="s">
        <v>2493</v>
      </c>
      <c r="K1698" s="62" t="s">
        <v>1957</v>
      </c>
      <c r="L1698" s="65"/>
      <c r="M1698" s="62" t="s">
        <v>1518</v>
      </c>
      <c r="N1698" s="62" t="s">
        <v>812</v>
      </c>
      <c r="O1698" s="62" t="s">
        <v>365</v>
      </c>
      <c r="P1698" s="62" t="s">
        <v>2421</v>
      </c>
      <c r="Q1698" s="66" t="s">
        <v>1968</v>
      </c>
    </row>
    <row r="1699" spans="1:17" x14ac:dyDescent="0.3">
      <c r="A1699" s="61" t="s">
        <v>2248</v>
      </c>
      <c r="B1699" s="62" t="s">
        <v>1488</v>
      </c>
      <c r="C1699" s="62" t="s">
        <v>1489</v>
      </c>
      <c r="D1699" s="63">
        <v>45352</v>
      </c>
      <c r="E1699" s="63">
        <v>46174</v>
      </c>
      <c r="F1699" s="62" t="s">
        <v>284</v>
      </c>
      <c r="G1699" s="62" t="s">
        <v>285</v>
      </c>
      <c r="H1699" s="62" t="s">
        <v>2427</v>
      </c>
      <c r="I1699" s="64">
        <v>1950.6</v>
      </c>
      <c r="J1699" s="62" t="s">
        <v>2493</v>
      </c>
      <c r="K1699" s="62" t="s">
        <v>1957</v>
      </c>
      <c r="L1699" s="65"/>
      <c r="M1699" s="62" t="s">
        <v>1518</v>
      </c>
      <c r="N1699" s="62" t="s">
        <v>812</v>
      </c>
      <c r="O1699" s="62" t="s">
        <v>365</v>
      </c>
      <c r="P1699" s="62" t="s">
        <v>2421</v>
      </c>
      <c r="Q1699" s="66" t="s">
        <v>1968</v>
      </c>
    </row>
    <row r="1700" spans="1:17" x14ac:dyDescent="0.3">
      <c r="A1700" s="61" t="s">
        <v>2248</v>
      </c>
      <c r="B1700" s="62" t="s">
        <v>1488</v>
      </c>
      <c r="C1700" s="62" t="s">
        <v>1489</v>
      </c>
      <c r="D1700" s="63">
        <v>45352</v>
      </c>
      <c r="E1700" s="63">
        <v>46174</v>
      </c>
      <c r="F1700" s="62" t="s">
        <v>282</v>
      </c>
      <c r="G1700" s="62" t="s">
        <v>283</v>
      </c>
      <c r="H1700" s="62" t="s">
        <v>373</v>
      </c>
      <c r="I1700" s="64">
        <v>54184.800000000003</v>
      </c>
      <c r="J1700" s="62" t="s">
        <v>373</v>
      </c>
      <c r="K1700" s="62" t="s">
        <v>1957</v>
      </c>
      <c r="L1700" s="65"/>
      <c r="M1700" s="62" t="s">
        <v>1518</v>
      </c>
      <c r="N1700" s="62" t="s">
        <v>812</v>
      </c>
      <c r="O1700" s="62" t="s">
        <v>365</v>
      </c>
      <c r="P1700" s="62" t="s">
        <v>2421</v>
      </c>
      <c r="Q1700" s="66" t="s">
        <v>1968</v>
      </c>
    </row>
    <row r="1701" spans="1:17" x14ac:dyDescent="0.3">
      <c r="A1701" s="61" t="s">
        <v>2248</v>
      </c>
      <c r="B1701" s="62" t="s">
        <v>1488</v>
      </c>
      <c r="C1701" s="62" t="s">
        <v>1489</v>
      </c>
      <c r="D1701" s="63">
        <v>45352</v>
      </c>
      <c r="E1701" s="63">
        <v>46174</v>
      </c>
      <c r="F1701" s="62" t="s">
        <v>1921</v>
      </c>
      <c r="G1701" s="62" t="s">
        <v>487</v>
      </c>
      <c r="H1701" s="62" t="s">
        <v>373</v>
      </c>
      <c r="I1701" s="64">
        <v>54184.800000000003</v>
      </c>
      <c r="J1701" s="62" t="s">
        <v>373</v>
      </c>
      <c r="K1701" s="62" t="s">
        <v>1957</v>
      </c>
      <c r="L1701" s="65"/>
      <c r="M1701" s="62" t="s">
        <v>1518</v>
      </c>
      <c r="N1701" s="62" t="s">
        <v>812</v>
      </c>
      <c r="O1701" s="62" t="s">
        <v>365</v>
      </c>
      <c r="P1701" s="62" t="s">
        <v>2421</v>
      </c>
      <c r="Q1701" s="66" t="s">
        <v>1968</v>
      </c>
    </row>
    <row r="1702" spans="1:17" x14ac:dyDescent="0.3">
      <c r="A1702" s="61" t="s">
        <v>2248</v>
      </c>
      <c r="B1702" s="62" t="s">
        <v>1488</v>
      </c>
      <c r="C1702" s="62" t="s">
        <v>1489</v>
      </c>
      <c r="D1702" s="63">
        <v>45352</v>
      </c>
      <c r="E1702" s="63">
        <v>46174</v>
      </c>
      <c r="F1702" s="62" t="s">
        <v>1940</v>
      </c>
      <c r="G1702" s="62" t="s">
        <v>451</v>
      </c>
      <c r="H1702" s="62" t="s">
        <v>373</v>
      </c>
      <c r="I1702" s="64">
        <v>54184.800000000003</v>
      </c>
      <c r="J1702" s="62" t="s">
        <v>373</v>
      </c>
      <c r="K1702" s="62" t="s">
        <v>1957</v>
      </c>
      <c r="L1702" s="65"/>
      <c r="M1702" s="62" t="s">
        <v>1518</v>
      </c>
      <c r="N1702" s="62" t="s">
        <v>812</v>
      </c>
      <c r="O1702" s="62" t="s">
        <v>365</v>
      </c>
      <c r="P1702" s="62" t="s">
        <v>2421</v>
      </c>
      <c r="Q1702" s="66" t="s">
        <v>1968</v>
      </c>
    </row>
    <row r="1703" spans="1:17" x14ac:dyDescent="0.3">
      <c r="A1703" s="61" t="s">
        <v>2248</v>
      </c>
      <c r="B1703" s="62" t="s">
        <v>1488</v>
      </c>
      <c r="C1703" s="62" t="s">
        <v>1489</v>
      </c>
      <c r="D1703" s="63">
        <v>45352</v>
      </c>
      <c r="E1703" s="63">
        <v>46174</v>
      </c>
      <c r="F1703" s="62" t="s">
        <v>1943</v>
      </c>
      <c r="G1703" s="62" t="s">
        <v>452</v>
      </c>
      <c r="H1703" s="62" t="s">
        <v>373</v>
      </c>
      <c r="I1703" s="64">
        <v>54184.800000000003</v>
      </c>
      <c r="J1703" s="62" t="s">
        <v>373</v>
      </c>
      <c r="K1703" s="62" t="s">
        <v>1957</v>
      </c>
      <c r="L1703" s="65"/>
      <c r="M1703" s="62" t="s">
        <v>1518</v>
      </c>
      <c r="N1703" s="62" t="s">
        <v>812</v>
      </c>
      <c r="O1703" s="62" t="s">
        <v>365</v>
      </c>
      <c r="P1703" s="62" t="s">
        <v>2421</v>
      </c>
      <c r="Q1703" s="66" t="s">
        <v>1968</v>
      </c>
    </row>
    <row r="1704" spans="1:17" x14ac:dyDescent="0.3">
      <c r="A1704" s="61" t="s">
        <v>2248</v>
      </c>
      <c r="B1704" s="62" t="s">
        <v>1488</v>
      </c>
      <c r="C1704" s="62" t="s">
        <v>1489</v>
      </c>
      <c r="D1704" s="63">
        <v>45352</v>
      </c>
      <c r="E1704" s="63">
        <v>46174</v>
      </c>
      <c r="F1704" s="62" t="s">
        <v>284</v>
      </c>
      <c r="G1704" s="62" t="s">
        <v>285</v>
      </c>
      <c r="H1704" s="62" t="s">
        <v>373</v>
      </c>
      <c r="I1704" s="64">
        <v>54184.800000000003</v>
      </c>
      <c r="J1704" s="62" t="s">
        <v>373</v>
      </c>
      <c r="K1704" s="62" t="s">
        <v>1957</v>
      </c>
      <c r="L1704" s="65"/>
      <c r="M1704" s="62" t="s">
        <v>1518</v>
      </c>
      <c r="N1704" s="62" t="s">
        <v>812</v>
      </c>
      <c r="O1704" s="62" t="s">
        <v>365</v>
      </c>
      <c r="P1704" s="62" t="s">
        <v>2421</v>
      </c>
      <c r="Q1704" s="66" t="s">
        <v>1968</v>
      </c>
    </row>
    <row r="1705" spans="1:17" x14ac:dyDescent="0.3">
      <c r="A1705" s="61" t="s">
        <v>2249</v>
      </c>
      <c r="B1705" s="62" t="s">
        <v>1491</v>
      </c>
      <c r="C1705" s="62" t="s">
        <v>1492</v>
      </c>
      <c r="D1705" s="63">
        <v>45639</v>
      </c>
      <c r="E1705" s="63">
        <v>46369</v>
      </c>
      <c r="F1705" s="62" t="s">
        <v>1945</v>
      </c>
      <c r="G1705" s="62" t="s">
        <v>555</v>
      </c>
      <c r="H1705" s="62" t="s">
        <v>2420</v>
      </c>
      <c r="I1705" s="64">
        <v>400000</v>
      </c>
      <c r="J1705" s="62" t="s">
        <v>2453</v>
      </c>
      <c r="K1705" s="62" t="s">
        <v>1962</v>
      </c>
      <c r="L1705" s="65"/>
      <c r="M1705" s="62" t="s">
        <v>424</v>
      </c>
      <c r="N1705" s="62" t="s">
        <v>1493</v>
      </c>
      <c r="O1705" s="62" t="s">
        <v>637</v>
      </c>
      <c r="P1705" s="62" t="s">
        <v>2421</v>
      </c>
      <c r="Q1705" s="66" t="s">
        <v>1971</v>
      </c>
    </row>
    <row r="1706" spans="1:17" x14ac:dyDescent="0.3">
      <c r="A1706" s="61" t="s">
        <v>2250</v>
      </c>
      <c r="B1706" s="62" t="s">
        <v>1494</v>
      </c>
      <c r="C1706" s="62" t="s">
        <v>1495</v>
      </c>
      <c r="D1706" s="63">
        <v>45551</v>
      </c>
      <c r="E1706" s="63">
        <v>46097</v>
      </c>
      <c r="F1706" s="62" t="s">
        <v>1922</v>
      </c>
      <c r="G1706" s="62" t="s">
        <v>349</v>
      </c>
      <c r="H1706" s="62" t="s">
        <v>2427</v>
      </c>
      <c r="I1706" s="64">
        <v>30737</v>
      </c>
      <c r="J1706" s="62" t="s">
        <v>1496</v>
      </c>
      <c r="K1706" s="62" t="s">
        <v>377</v>
      </c>
      <c r="L1706" s="65"/>
      <c r="M1706" s="62" t="s">
        <v>2443</v>
      </c>
      <c r="N1706" s="62" t="s">
        <v>985</v>
      </c>
      <c r="O1706" s="62" t="s">
        <v>375</v>
      </c>
      <c r="P1706" s="62" t="s">
        <v>2421</v>
      </c>
      <c r="Q1706" s="66" t="s">
        <v>1976</v>
      </c>
    </row>
    <row r="1707" spans="1:17" x14ac:dyDescent="0.3">
      <c r="A1707" s="61" t="s">
        <v>2250</v>
      </c>
      <c r="B1707" s="62" t="s">
        <v>1494</v>
      </c>
      <c r="C1707" s="62" t="s">
        <v>1495</v>
      </c>
      <c r="D1707" s="63">
        <v>45551</v>
      </c>
      <c r="E1707" s="63">
        <v>46097</v>
      </c>
      <c r="F1707" s="62" t="s">
        <v>1934</v>
      </c>
      <c r="G1707" s="62" t="s">
        <v>477</v>
      </c>
      <c r="H1707" s="62" t="s">
        <v>2427</v>
      </c>
      <c r="I1707" s="64">
        <v>30737</v>
      </c>
      <c r="J1707" s="62" t="s">
        <v>1496</v>
      </c>
      <c r="K1707" s="62" t="s">
        <v>377</v>
      </c>
      <c r="L1707" s="65"/>
      <c r="M1707" s="62" t="s">
        <v>2443</v>
      </c>
      <c r="N1707" s="62" t="s">
        <v>985</v>
      </c>
      <c r="O1707" s="62" t="s">
        <v>375</v>
      </c>
      <c r="P1707" s="62" t="s">
        <v>2421</v>
      </c>
      <c r="Q1707" s="66" t="s">
        <v>1976</v>
      </c>
    </row>
    <row r="1708" spans="1:17" x14ac:dyDescent="0.3">
      <c r="A1708" s="61" t="s">
        <v>2250</v>
      </c>
      <c r="B1708" s="62" t="s">
        <v>1494</v>
      </c>
      <c r="C1708" s="62" t="s">
        <v>1495</v>
      </c>
      <c r="D1708" s="63">
        <v>45551</v>
      </c>
      <c r="E1708" s="63">
        <v>46097</v>
      </c>
      <c r="F1708" s="62" t="s">
        <v>1936</v>
      </c>
      <c r="G1708" s="62" t="s">
        <v>411</v>
      </c>
      <c r="H1708" s="62" t="s">
        <v>2427</v>
      </c>
      <c r="I1708" s="64">
        <v>30737</v>
      </c>
      <c r="J1708" s="62" t="s">
        <v>1496</v>
      </c>
      <c r="K1708" s="62" t="s">
        <v>377</v>
      </c>
      <c r="L1708" s="65"/>
      <c r="M1708" s="62" t="s">
        <v>2443</v>
      </c>
      <c r="N1708" s="62" t="s">
        <v>985</v>
      </c>
      <c r="O1708" s="62" t="s">
        <v>375</v>
      </c>
      <c r="P1708" s="62" t="s">
        <v>2421</v>
      </c>
      <c r="Q1708" s="66" t="s">
        <v>1976</v>
      </c>
    </row>
    <row r="1709" spans="1:17" x14ac:dyDescent="0.3">
      <c r="A1709" s="61" t="s">
        <v>2250</v>
      </c>
      <c r="B1709" s="62" t="s">
        <v>1494</v>
      </c>
      <c r="C1709" s="62" t="s">
        <v>1495</v>
      </c>
      <c r="D1709" s="63">
        <v>45551</v>
      </c>
      <c r="E1709" s="63">
        <v>46097</v>
      </c>
      <c r="F1709" s="62" t="s">
        <v>287</v>
      </c>
      <c r="G1709" s="62" t="s">
        <v>396</v>
      </c>
      <c r="H1709" s="62" t="s">
        <v>2427</v>
      </c>
      <c r="I1709" s="64">
        <v>30737</v>
      </c>
      <c r="J1709" s="62" t="s">
        <v>1496</v>
      </c>
      <c r="K1709" s="62" t="s">
        <v>377</v>
      </c>
      <c r="L1709" s="65"/>
      <c r="M1709" s="62" t="s">
        <v>2443</v>
      </c>
      <c r="N1709" s="62" t="s">
        <v>985</v>
      </c>
      <c r="O1709" s="62" t="s">
        <v>375</v>
      </c>
      <c r="P1709" s="62" t="s">
        <v>2421</v>
      </c>
      <c r="Q1709" s="66" t="s">
        <v>1976</v>
      </c>
    </row>
    <row r="1710" spans="1:17" x14ac:dyDescent="0.3">
      <c r="A1710" s="61" t="s">
        <v>2250</v>
      </c>
      <c r="B1710" s="62" t="s">
        <v>1494</v>
      </c>
      <c r="C1710" s="62" t="s">
        <v>1495</v>
      </c>
      <c r="D1710" s="63">
        <v>45551</v>
      </c>
      <c r="E1710" s="63">
        <v>46097</v>
      </c>
      <c r="F1710" s="62" t="s">
        <v>1945</v>
      </c>
      <c r="G1710" s="62" t="s">
        <v>400</v>
      </c>
      <c r="H1710" s="62" t="s">
        <v>2427</v>
      </c>
      <c r="I1710" s="64">
        <v>30737</v>
      </c>
      <c r="J1710" s="62" t="s">
        <v>1496</v>
      </c>
      <c r="K1710" s="62" t="s">
        <v>377</v>
      </c>
      <c r="L1710" s="65"/>
      <c r="M1710" s="62" t="s">
        <v>2443</v>
      </c>
      <c r="N1710" s="62" t="s">
        <v>985</v>
      </c>
      <c r="O1710" s="62" t="s">
        <v>375</v>
      </c>
      <c r="P1710" s="62" t="s">
        <v>2421</v>
      </c>
      <c r="Q1710" s="66" t="s">
        <v>1976</v>
      </c>
    </row>
    <row r="1711" spans="1:17" x14ac:dyDescent="0.3">
      <c r="A1711" s="61" t="s">
        <v>2250</v>
      </c>
      <c r="B1711" s="62" t="s">
        <v>1494</v>
      </c>
      <c r="C1711" s="62" t="s">
        <v>1495</v>
      </c>
      <c r="D1711" s="63">
        <v>45551</v>
      </c>
      <c r="E1711" s="63">
        <v>46097</v>
      </c>
      <c r="F1711" s="62" t="s">
        <v>1934</v>
      </c>
      <c r="G1711" s="62" t="s">
        <v>477</v>
      </c>
      <c r="H1711" s="62" t="s">
        <v>2420</v>
      </c>
      <c r="I1711" s="64">
        <v>15000</v>
      </c>
      <c r="J1711" s="62" t="s">
        <v>2453</v>
      </c>
      <c r="K1711" s="62" t="s">
        <v>377</v>
      </c>
      <c r="L1711" s="65"/>
      <c r="M1711" s="62" t="s">
        <v>2443</v>
      </c>
      <c r="N1711" s="62" t="s">
        <v>985</v>
      </c>
      <c r="O1711" s="62" t="s">
        <v>375</v>
      </c>
      <c r="P1711" s="62" t="s">
        <v>2421</v>
      </c>
      <c r="Q1711" s="66" t="s">
        <v>1976</v>
      </c>
    </row>
    <row r="1712" spans="1:17" x14ac:dyDescent="0.3">
      <c r="A1712" s="61" t="s">
        <v>2250</v>
      </c>
      <c r="B1712" s="62" t="s">
        <v>1494</v>
      </c>
      <c r="C1712" s="62" t="s">
        <v>1495</v>
      </c>
      <c r="D1712" s="63">
        <v>45551</v>
      </c>
      <c r="E1712" s="63">
        <v>46097</v>
      </c>
      <c r="F1712" s="62" t="s">
        <v>1934</v>
      </c>
      <c r="G1712" s="62" t="s">
        <v>499</v>
      </c>
      <c r="H1712" s="62" t="s">
        <v>2420</v>
      </c>
      <c r="I1712" s="64">
        <v>15000</v>
      </c>
      <c r="J1712" s="62" t="s">
        <v>2453</v>
      </c>
      <c r="K1712" s="62" t="s">
        <v>377</v>
      </c>
      <c r="L1712" s="65"/>
      <c r="M1712" s="62" t="s">
        <v>2443</v>
      </c>
      <c r="N1712" s="62" t="s">
        <v>985</v>
      </c>
      <c r="O1712" s="62" t="s">
        <v>375</v>
      </c>
      <c r="P1712" s="62" t="s">
        <v>2421</v>
      </c>
      <c r="Q1712" s="66" t="s">
        <v>1976</v>
      </c>
    </row>
    <row r="1713" spans="1:17" x14ac:dyDescent="0.3">
      <c r="A1713" s="61" t="s">
        <v>2250</v>
      </c>
      <c r="B1713" s="62" t="s">
        <v>1494</v>
      </c>
      <c r="C1713" s="62" t="s">
        <v>1495</v>
      </c>
      <c r="D1713" s="63">
        <v>45551</v>
      </c>
      <c r="E1713" s="63">
        <v>46097</v>
      </c>
      <c r="F1713" s="62" t="s">
        <v>1922</v>
      </c>
      <c r="G1713" s="62" t="s">
        <v>349</v>
      </c>
      <c r="H1713" s="62" t="s">
        <v>2420</v>
      </c>
      <c r="I1713" s="64">
        <v>30000</v>
      </c>
      <c r="J1713" s="62" t="s">
        <v>2453</v>
      </c>
      <c r="K1713" s="62" t="s">
        <v>377</v>
      </c>
      <c r="L1713" s="65"/>
      <c r="M1713" s="62" t="s">
        <v>2443</v>
      </c>
      <c r="N1713" s="62" t="s">
        <v>985</v>
      </c>
      <c r="O1713" s="62" t="s">
        <v>375</v>
      </c>
      <c r="P1713" s="62" t="s">
        <v>2421</v>
      </c>
      <c r="Q1713" s="66" t="s">
        <v>1976</v>
      </c>
    </row>
    <row r="1714" spans="1:17" x14ac:dyDescent="0.3">
      <c r="A1714" s="61" t="s">
        <v>2250</v>
      </c>
      <c r="B1714" s="62" t="s">
        <v>1494</v>
      </c>
      <c r="C1714" s="62" t="s">
        <v>1495</v>
      </c>
      <c r="D1714" s="63">
        <v>45551</v>
      </c>
      <c r="E1714" s="63">
        <v>46097</v>
      </c>
      <c r="F1714" s="62" t="s">
        <v>1936</v>
      </c>
      <c r="G1714" s="62" t="s">
        <v>411</v>
      </c>
      <c r="H1714" s="62" t="s">
        <v>2420</v>
      </c>
      <c r="I1714" s="64">
        <v>30000</v>
      </c>
      <c r="J1714" s="62" t="s">
        <v>2453</v>
      </c>
      <c r="K1714" s="62" t="s">
        <v>377</v>
      </c>
      <c r="L1714" s="65"/>
      <c r="M1714" s="62" t="s">
        <v>2443</v>
      </c>
      <c r="N1714" s="62" t="s">
        <v>985</v>
      </c>
      <c r="O1714" s="62" t="s">
        <v>375</v>
      </c>
      <c r="P1714" s="62" t="s">
        <v>2421</v>
      </c>
      <c r="Q1714" s="66" t="s">
        <v>1976</v>
      </c>
    </row>
    <row r="1715" spans="1:17" x14ac:dyDescent="0.3">
      <c r="A1715" s="61" t="s">
        <v>2250</v>
      </c>
      <c r="B1715" s="62" t="s">
        <v>1494</v>
      </c>
      <c r="C1715" s="62" t="s">
        <v>1495</v>
      </c>
      <c r="D1715" s="63">
        <v>45551</v>
      </c>
      <c r="E1715" s="63">
        <v>46097</v>
      </c>
      <c r="F1715" s="62" t="s">
        <v>287</v>
      </c>
      <c r="G1715" s="62" t="s">
        <v>396</v>
      </c>
      <c r="H1715" s="62" t="s">
        <v>2420</v>
      </c>
      <c r="I1715" s="64">
        <v>30000</v>
      </c>
      <c r="J1715" s="62" t="s">
        <v>2453</v>
      </c>
      <c r="K1715" s="62" t="s">
        <v>377</v>
      </c>
      <c r="L1715" s="65"/>
      <c r="M1715" s="62" t="s">
        <v>2443</v>
      </c>
      <c r="N1715" s="62" t="s">
        <v>985</v>
      </c>
      <c r="O1715" s="62" t="s">
        <v>375</v>
      </c>
      <c r="P1715" s="62" t="s">
        <v>2421</v>
      </c>
      <c r="Q1715" s="66" t="s">
        <v>1976</v>
      </c>
    </row>
    <row r="1716" spans="1:17" x14ac:dyDescent="0.3">
      <c r="A1716" s="61" t="s">
        <v>2250</v>
      </c>
      <c r="B1716" s="62" t="s">
        <v>1494</v>
      </c>
      <c r="C1716" s="62" t="s">
        <v>1495</v>
      </c>
      <c r="D1716" s="63">
        <v>45551</v>
      </c>
      <c r="E1716" s="63">
        <v>46097</v>
      </c>
      <c r="F1716" s="62" t="s">
        <v>1945</v>
      </c>
      <c r="G1716" s="62" t="s">
        <v>400</v>
      </c>
      <c r="H1716" s="62" t="s">
        <v>2420</v>
      </c>
      <c r="I1716" s="64">
        <v>30000</v>
      </c>
      <c r="J1716" s="62" t="s">
        <v>2453</v>
      </c>
      <c r="K1716" s="62" t="s">
        <v>377</v>
      </c>
      <c r="L1716" s="65"/>
      <c r="M1716" s="62" t="s">
        <v>2443</v>
      </c>
      <c r="N1716" s="62" t="s">
        <v>985</v>
      </c>
      <c r="O1716" s="62" t="s">
        <v>375</v>
      </c>
      <c r="P1716" s="62" t="s">
        <v>2421</v>
      </c>
      <c r="Q1716" s="66" t="s">
        <v>1976</v>
      </c>
    </row>
    <row r="1717" spans="1:17" x14ac:dyDescent="0.3">
      <c r="A1717" s="61" t="s">
        <v>2251</v>
      </c>
      <c r="B1717" s="62" t="s">
        <v>1497</v>
      </c>
      <c r="C1717" s="62" t="s">
        <v>1498</v>
      </c>
      <c r="D1717" s="63">
        <v>45649</v>
      </c>
      <c r="E1717" s="63">
        <v>46196</v>
      </c>
      <c r="F1717" s="62" t="s">
        <v>1959</v>
      </c>
      <c r="G1717" s="62" t="s">
        <v>808</v>
      </c>
      <c r="H1717" s="62" t="s">
        <v>2420</v>
      </c>
      <c r="I1717" s="64">
        <v>413000</v>
      </c>
      <c r="J1717" s="62" t="s">
        <v>2453</v>
      </c>
      <c r="K1717" s="62" t="s">
        <v>1962</v>
      </c>
      <c r="L1717" s="65"/>
      <c r="M1717" s="62" t="s">
        <v>424</v>
      </c>
      <c r="N1717" s="62" t="s">
        <v>378</v>
      </c>
      <c r="O1717" s="62" t="s">
        <v>371</v>
      </c>
      <c r="P1717" s="62" t="s">
        <v>2421</v>
      </c>
      <c r="Q1717" s="66" t="s">
        <v>1965</v>
      </c>
    </row>
    <row r="1718" spans="1:17" x14ac:dyDescent="0.3">
      <c r="A1718" s="61" t="s">
        <v>2252</v>
      </c>
      <c r="B1718" s="62" t="s">
        <v>1499</v>
      </c>
      <c r="C1718" s="62" t="s">
        <v>1500</v>
      </c>
      <c r="D1718" s="63">
        <v>45643</v>
      </c>
      <c r="E1718" s="63">
        <v>46190</v>
      </c>
      <c r="F1718" s="62" t="s">
        <v>1940</v>
      </c>
      <c r="G1718" s="62" t="s">
        <v>561</v>
      </c>
      <c r="H1718" s="62" t="s">
        <v>2420</v>
      </c>
      <c r="I1718" s="64">
        <v>53333.333333333299</v>
      </c>
      <c r="J1718" s="62" t="s">
        <v>2453</v>
      </c>
      <c r="K1718" s="62" t="s">
        <v>1962</v>
      </c>
      <c r="L1718" s="65"/>
      <c r="M1718" s="62" t="s">
        <v>1518</v>
      </c>
      <c r="N1718" s="62" t="s">
        <v>720</v>
      </c>
      <c r="O1718" s="62" t="s">
        <v>465</v>
      </c>
      <c r="P1718" s="62" t="s">
        <v>2421</v>
      </c>
      <c r="Q1718" s="66" t="s">
        <v>1964</v>
      </c>
    </row>
    <row r="1719" spans="1:17" x14ac:dyDescent="0.3">
      <c r="A1719" s="61" t="s">
        <v>2252</v>
      </c>
      <c r="B1719" s="62" t="s">
        <v>1499</v>
      </c>
      <c r="C1719" s="62" t="s">
        <v>1500</v>
      </c>
      <c r="D1719" s="63">
        <v>45643</v>
      </c>
      <c r="E1719" s="63">
        <v>46190</v>
      </c>
      <c r="F1719" s="62" t="s">
        <v>1940</v>
      </c>
      <c r="G1719" s="62" t="s">
        <v>1501</v>
      </c>
      <c r="H1719" s="62" t="s">
        <v>2420</v>
      </c>
      <c r="I1719" s="64">
        <v>53333.333333333299</v>
      </c>
      <c r="J1719" s="62" t="s">
        <v>2453</v>
      </c>
      <c r="K1719" s="62" t="s">
        <v>1962</v>
      </c>
      <c r="L1719" s="65"/>
      <c r="M1719" s="62" t="s">
        <v>1518</v>
      </c>
      <c r="N1719" s="62" t="s">
        <v>720</v>
      </c>
      <c r="O1719" s="62" t="s">
        <v>465</v>
      </c>
      <c r="P1719" s="62" t="s">
        <v>2421</v>
      </c>
      <c r="Q1719" s="66" t="s">
        <v>1964</v>
      </c>
    </row>
    <row r="1720" spans="1:17" x14ac:dyDescent="0.3">
      <c r="A1720" s="61" t="s">
        <v>2252</v>
      </c>
      <c r="B1720" s="62" t="s">
        <v>1499</v>
      </c>
      <c r="C1720" s="62" t="s">
        <v>1500</v>
      </c>
      <c r="D1720" s="63">
        <v>45643</v>
      </c>
      <c r="E1720" s="63">
        <v>46190</v>
      </c>
      <c r="F1720" s="62" t="s">
        <v>1940</v>
      </c>
      <c r="G1720" s="62" t="s">
        <v>451</v>
      </c>
      <c r="H1720" s="62" t="s">
        <v>2420</v>
      </c>
      <c r="I1720" s="64">
        <v>53333.333333333299</v>
      </c>
      <c r="J1720" s="62" t="s">
        <v>2453</v>
      </c>
      <c r="K1720" s="62" t="s">
        <v>1962</v>
      </c>
      <c r="L1720" s="65"/>
      <c r="M1720" s="62" t="s">
        <v>1518</v>
      </c>
      <c r="N1720" s="62" t="s">
        <v>720</v>
      </c>
      <c r="O1720" s="62" t="s">
        <v>465</v>
      </c>
      <c r="P1720" s="62" t="s">
        <v>2421</v>
      </c>
      <c r="Q1720" s="66" t="s">
        <v>1964</v>
      </c>
    </row>
    <row r="1721" spans="1:17" x14ac:dyDescent="0.3">
      <c r="A1721" s="61" t="s">
        <v>2253</v>
      </c>
      <c r="B1721" s="62" t="s">
        <v>1502</v>
      </c>
      <c r="C1721" s="62" t="s">
        <v>1503</v>
      </c>
      <c r="D1721" s="63">
        <v>45639</v>
      </c>
      <c r="E1721" s="63">
        <v>46369</v>
      </c>
      <c r="F1721" s="62" t="s">
        <v>1945</v>
      </c>
      <c r="G1721" s="62" t="s">
        <v>555</v>
      </c>
      <c r="H1721" s="62" t="s">
        <v>2420</v>
      </c>
      <c r="I1721" s="64">
        <v>400000</v>
      </c>
      <c r="J1721" s="62" t="s">
        <v>2453</v>
      </c>
      <c r="K1721" s="62" t="s">
        <v>1962</v>
      </c>
      <c r="L1721" s="65"/>
      <c r="M1721" s="62" t="s">
        <v>825</v>
      </c>
      <c r="N1721" s="62" t="s">
        <v>1070</v>
      </c>
      <c r="O1721" s="62" t="s">
        <v>417</v>
      </c>
      <c r="P1721" s="62" t="s">
        <v>2421</v>
      </c>
      <c r="Q1721" s="66" t="s">
        <v>1976</v>
      </c>
    </row>
    <row r="1722" spans="1:17" x14ac:dyDescent="0.3">
      <c r="A1722" s="61" t="s">
        <v>2254</v>
      </c>
      <c r="B1722" s="62" t="s">
        <v>1505</v>
      </c>
      <c r="C1722" s="62" t="s">
        <v>1506</v>
      </c>
      <c r="D1722" s="63">
        <v>45383</v>
      </c>
      <c r="E1722" s="63">
        <v>46113</v>
      </c>
      <c r="F1722" s="62" t="s">
        <v>1930</v>
      </c>
      <c r="G1722" s="62" t="s">
        <v>304</v>
      </c>
      <c r="H1722" s="62" t="s">
        <v>373</v>
      </c>
      <c r="I1722" s="64">
        <v>238012</v>
      </c>
      <c r="J1722" s="62" t="s">
        <v>373</v>
      </c>
      <c r="K1722" s="62" t="s">
        <v>1693</v>
      </c>
      <c r="L1722" s="65"/>
      <c r="M1722" s="62" t="s">
        <v>1518</v>
      </c>
      <c r="N1722" s="62" t="s">
        <v>926</v>
      </c>
      <c r="O1722" s="62" t="s">
        <v>365</v>
      </c>
      <c r="P1722" s="62" t="s">
        <v>2421</v>
      </c>
      <c r="Q1722" s="66" t="s">
        <v>1969</v>
      </c>
    </row>
    <row r="1723" spans="1:17" x14ac:dyDescent="0.3">
      <c r="A1723" s="61" t="s">
        <v>2255</v>
      </c>
      <c r="B1723" s="62" t="s">
        <v>1507</v>
      </c>
      <c r="C1723" s="62" t="s">
        <v>1508</v>
      </c>
      <c r="D1723" s="63">
        <v>45372</v>
      </c>
      <c r="E1723" s="63">
        <v>46102</v>
      </c>
      <c r="F1723" s="62" t="s">
        <v>348</v>
      </c>
      <c r="G1723" s="62" t="s">
        <v>304</v>
      </c>
      <c r="H1723" s="62" t="s">
        <v>2420</v>
      </c>
      <c r="I1723" s="64">
        <v>48000</v>
      </c>
      <c r="J1723" s="62" t="s">
        <v>2453</v>
      </c>
      <c r="K1723" s="62" t="s">
        <v>1962</v>
      </c>
      <c r="L1723" s="65"/>
      <c r="M1723" s="62" t="s">
        <v>825</v>
      </c>
      <c r="N1723" s="62" t="s">
        <v>652</v>
      </c>
      <c r="O1723" s="62" t="s">
        <v>571</v>
      </c>
      <c r="P1723" s="62" t="s">
        <v>2421</v>
      </c>
      <c r="Q1723" s="66" t="s">
        <v>1966</v>
      </c>
    </row>
    <row r="1724" spans="1:17" x14ac:dyDescent="0.3">
      <c r="A1724" s="61" t="s">
        <v>2256</v>
      </c>
      <c r="B1724" s="62" t="s">
        <v>1509</v>
      </c>
      <c r="C1724" s="62" t="s">
        <v>1510</v>
      </c>
      <c r="D1724" s="63">
        <v>45372</v>
      </c>
      <c r="E1724" s="63">
        <v>46224</v>
      </c>
      <c r="F1724" s="62" t="s">
        <v>350</v>
      </c>
      <c r="G1724" s="62" t="s">
        <v>350</v>
      </c>
      <c r="H1724" s="62" t="s">
        <v>2420</v>
      </c>
      <c r="I1724" s="64">
        <v>225000</v>
      </c>
      <c r="J1724" s="62" t="s">
        <v>2453</v>
      </c>
      <c r="K1724" s="62" t="s">
        <v>1962</v>
      </c>
      <c r="L1724" s="65"/>
      <c r="M1724" s="62" t="s">
        <v>2465</v>
      </c>
      <c r="N1724" s="62" t="s">
        <v>1461</v>
      </c>
      <c r="O1724" s="62" t="s">
        <v>371</v>
      </c>
      <c r="P1724" s="62" t="s">
        <v>2421</v>
      </c>
      <c r="Q1724" s="66" t="s">
        <v>1982</v>
      </c>
    </row>
    <row r="1725" spans="1:17" x14ac:dyDescent="0.3">
      <c r="A1725" s="61" t="s">
        <v>2257</v>
      </c>
      <c r="B1725" s="62" t="s">
        <v>1511</v>
      </c>
      <c r="C1725" s="62" t="s">
        <v>1512</v>
      </c>
      <c r="D1725" s="63">
        <v>44682</v>
      </c>
      <c r="E1725" s="63">
        <v>46112</v>
      </c>
      <c r="F1725" s="62" t="s">
        <v>350</v>
      </c>
      <c r="G1725" s="62" t="s">
        <v>350</v>
      </c>
      <c r="H1725" s="62" t="s">
        <v>638</v>
      </c>
      <c r="I1725" s="64">
        <v>235780</v>
      </c>
      <c r="J1725" s="62" t="s">
        <v>645</v>
      </c>
      <c r="K1725" s="62" t="s">
        <v>638</v>
      </c>
      <c r="L1725" s="65"/>
      <c r="M1725" s="62" t="s">
        <v>356</v>
      </c>
      <c r="N1725" s="62" t="s">
        <v>370</v>
      </c>
      <c r="O1725" s="62" t="s">
        <v>371</v>
      </c>
      <c r="P1725" s="62" t="s">
        <v>2421</v>
      </c>
      <c r="Q1725" s="66" t="s">
        <v>1978</v>
      </c>
    </row>
    <row r="1726" spans="1:17" x14ac:dyDescent="0.3">
      <c r="A1726" s="61" t="s">
        <v>2258</v>
      </c>
      <c r="B1726" s="62" t="s">
        <v>1513</v>
      </c>
      <c r="C1726" s="62" t="s">
        <v>1514</v>
      </c>
      <c r="D1726" s="63">
        <v>45260</v>
      </c>
      <c r="E1726" s="63">
        <v>46141</v>
      </c>
      <c r="F1726" s="62" t="s">
        <v>1945</v>
      </c>
      <c r="G1726" s="62" t="s">
        <v>555</v>
      </c>
      <c r="H1726" s="62" t="s">
        <v>345</v>
      </c>
      <c r="I1726" s="64">
        <v>298848.83333333302</v>
      </c>
      <c r="J1726" s="62" t="s">
        <v>441</v>
      </c>
      <c r="K1726" s="62" t="s">
        <v>345</v>
      </c>
      <c r="L1726" s="65"/>
      <c r="M1726" s="62" t="s">
        <v>2443</v>
      </c>
      <c r="N1726" s="62" t="s">
        <v>640</v>
      </c>
      <c r="O1726" s="62" t="s">
        <v>417</v>
      </c>
      <c r="P1726" s="62" t="s">
        <v>2421</v>
      </c>
      <c r="Q1726" s="66" t="s">
        <v>2021</v>
      </c>
    </row>
    <row r="1727" spans="1:17" x14ac:dyDescent="0.3">
      <c r="A1727" s="61" t="s">
        <v>2258</v>
      </c>
      <c r="B1727" s="62" t="s">
        <v>1513</v>
      </c>
      <c r="C1727" s="62" t="s">
        <v>1514</v>
      </c>
      <c r="D1727" s="63">
        <v>45260</v>
      </c>
      <c r="E1727" s="63">
        <v>46141</v>
      </c>
      <c r="F1727" s="62" t="s">
        <v>1945</v>
      </c>
      <c r="G1727" s="62" t="s">
        <v>450</v>
      </c>
      <c r="H1727" s="62" t="s">
        <v>345</v>
      </c>
      <c r="I1727" s="64">
        <v>298848.83333333302</v>
      </c>
      <c r="J1727" s="62" t="s">
        <v>441</v>
      </c>
      <c r="K1727" s="62" t="s">
        <v>345</v>
      </c>
      <c r="L1727" s="65"/>
      <c r="M1727" s="62" t="s">
        <v>2443</v>
      </c>
      <c r="N1727" s="62" t="s">
        <v>640</v>
      </c>
      <c r="O1727" s="62" t="s">
        <v>417</v>
      </c>
      <c r="P1727" s="62" t="s">
        <v>2421</v>
      </c>
      <c r="Q1727" s="66" t="s">
        <v>2021</v>
      </c>
    </row>
    <row r="1728" spans="1:17" x14ac:dyDescent="0.3">
      <c r="A1728" s="61" t="s">
        <v>2258</v>
      </c>
      <c r="B1728" s="62" t="s">
        <v>1513</v>
      </c>
      <c r="C1728" s="62" t="s">
        <v>1514</v>
      </c>
      <c r="D1728" s="63">
        <v>45260</v>
      </c>
      <c r="E1728" s="63">
        <v>46141</v>
      </c>
      <c r="F1728" s="62" t="s">
        <v>282</v>
      </c>
      <c r="G1728" s="62" t="s">
        <v>304</v>
      </c>
      <c r="H1728" s="62" t="s">
        <v>345</v>
      </c>
      <c r="I1728" s="64">
        <v>597697.66666666698</v>
      </c>
      <c r="J1728" s="62" t="s">
        <v>441</v>
      </c>
      <c r="K1728" s="62" t="s">
        <v>345</v>
      </c>
      <c r="L1728" s="65"/>
      <c r="M1728" s="62" t="s">
        <v>2443</v>
      </c>
      <c r="N1728" s="62" t="s">
        <v>640</v>
      </c>
      <c r="O1728" s="62" t="s">
        <v>417</v>
      </c>
      <c r="P1728" s="62" t="s">
        <v>2421</v>
      </c>
      <c r="Q1728" s="66" t="s">
        <v>2021</v>
      </c>
    </row>
    <row r="1729" spans="1:17" x14ac:dyDescent="0.3">
      <c r="A1729" s="61" t="s">
        <v>2258</v>
      </c>
      <c r="B1729" s="62" t="s">
        <v>1513</v>
      </c>
      <c r="C1729" s="62" t="s">
        <v>1514</v>
      </c>
      <c r="D1729" s="63">
        <v>45260</v>
      </c>
      <c r="E1729" s="63">
        <v>46141</v>
      </c>
      <c r="F1729" s="62" t="s">
        <v>1940</v>
      </c>
      <c r="G1729" s="62" t="s">
        <v>451</v>
      </c>
      <c r="H1729" s="62" t="s">
        <v>345</v>
      </c>
      <c r="I1729" s="64">
        <v>597697.66666666698</v>
      </c>
      <c r="J1729" s="62" t="s">
        <v>441</v>
      </c>
      <c r="K1729" s="62" t="s">
        <v>345</v>
      </c>
      <c r="L1729" s="65"/>
      <c r="M1729" s="62" t="s">
        <v>2443</v>
      </c>
      <c r="N1729" s="62" t="s">
        <v>640</v>
      </c>
      <c r="O1729" s="62" t="s">
        <v>417</v>
      </c>
      <c r="P1729" s="62" t="s">
        <v>2421</v>
      </c>
      <c r="Q1729" s="66" t="s">
        <v>2021</v>
      </c>
    </row>
    <row r="1730" spans="1:17" x14ac:dyDescent="0.3">
      <c r="A1730" s="61" t="s">
        <v>2259</v>
      </c>
      <c r="B1730" s="62" t="s">
        <v>1516</v>
      </c>
      <c r="C1730" s="62" t="s">
        <v>1517</v>
      </c>
      <c r="D1730" s="63">
        <v>45596</v>
      </c>
      <c r="E1730" s="63">
        <v>46325</v>
      </c>
      <c r="F1730" s="62" t="s">
        <v>350</v>
      </c>
      <c r="G1730" s="62" t="s">
        <v>304</v>
      </c>
      <c r="H1730" s="62" t="s">
        <v>373</v>
      </c>
      <c r="I1730" s="64">
        <v>38663</v>
      </c>
      <c r="J1730" s="62" t="s">
        <v>373</v>
      </c>
      <c r="K1730" s="62" t="s">
        <v>1693</v>
      </c>
      <c r="L1730" s="65"/>
      <c r="M1730" s="62" t="s">
        <v>1518</v>
      </c>
      <c r="N1730" s="62" t="s">
        <v>558</v>
      </c>
      <c r="O1730" s="62" t="s">
        <v>426</v>
      </c>
      <c r="P1730" s="62" t="s">
        <v>2421</v>
      </c>
      <c r="Q1730" s="66" t="s">
        <v>1972</v>
      </c>
    </row>
    <row r="1731" spans="1:17" x14ac:dyDescent="0.3">
      <c r="A1731" s="61" t="s">
        <v>2260</v>
      </c>
      <c r="B1731" s="62" t="s">
        <v>1519</v>
      </c>
      <c r="C1731" s="62" t="s">
        <v>1520</v>
      </c>
      <c r="D1731" s="63">
        <v>45659</v>
      </c>
      <c r="E1731" s="63">
        <v>46753</v>
      </c>
      <c r="F1731" s="62" t="s">
        <v>350</v>
      </c>
      <c r="G1731" s="62" t="s">
        <v>350</v>
      </c>
      <c r="H1731" s="62" t="s">
        <v>2422</v>
      </c>
      <c r="I1731" s="64">
        <v>3000000</v>
      </c>
      <c r="J1731" s="62" t="s">
        <v>1521</v>
      </c>
      <c r="K1731" s="62" t="s">
        <v>377</v>
      </c>
      <c r="L1731" s="65"/>
      <c r="M1731" s="62" t="s">
        <v>1518</v>
      </c>
      <c r="N1731" s="62" t="s">
        <v>864</v>
      </c>
      <c r="O1731" s="62" t="s">
        <v>309</v>
      </c>
      <c r="P1731" s="62" t="s">
        <v>2421</v>
      </c>
      <c r="Q1731" s="66" t="s">
        <v>1974</v>
      </c>
    </row>
    <row r="1732" spans="1:17" x14ac:dyDescent="0.3">
      <c r="A1732" s="61" t="s">
        <v>2261</v>
      </c>
      <c r="B1732" s="62" t="s">
        <v>2494</v>
      </c>
      <c r="C1732" s="62" t="s">
        <v>1522</v>
      </c>
      <c r="D1732" s="63">
        <v>45534</v>
      </c>
      <c r="E1732" s="63">
        <v>46710</v>
      </c>
      <c r="F1732" s="62" t="s">
        <v>350</v>
      </c>
      <c r="G1732" s="62" t="s">
        <v>350</v>
      </c>
      <c r="H1732" s="62" t="s">
        <v>2420</v>
      </c>
      <c r="I1732" s="64">
        <v>100000</v>
      </c>
      <c r="J1732" s="62" t="s">
        <v>2425</v>
      </c>
      <c r="K1732" s="62" t="s">
        <v>377</v>
      </c>
      <c r="L1732" s="65"/>
      <c r="M1732" s="62" t="s">
        <v>825</v>
      </c>
      <c r="N1732" s="62" t="s">
        <v>913</v>
      </c>
      <c r="O1732" s="62" t="s">
        <v>417</v>
      </c>
      <c r="P1732" s="62" t="s">
        <v>2421</v>
      </c>
      <c r="Q1732" s="66" t="s">
        <v>1976</v>
      </c>
    </row>
    <row r="1733" spans="1:17" x14ac:dyDescent="0.3">
      <c r="A1733" s="61" t="s">
        <v>2262</v>
      </c>
      <c r="B1733" s="62" t="s">
        <v>1523</v>
      </c>
      <c r="C1733" s="62" t="s">
        <v>1524</v>
      </c>
      <c r="D1733" s="63">
        <v>45733</v>
      </c>
      <c r="E1733" s="63">
        <v>46097</v>
      </c>
      <c r="F1733" s="62" t="s">
        <v>1938</v>
      </c>
      <c r="G1733" s="62" t="s">
        <v>304</v>
      </c>
      <c r="H1733" s="62" t="s">
        <v>443</v>
      </c>
      <c r="I1733" s="64">
        <v>156382.09</v>
      </c>
      <c r="J1733" s="62" t="s">
        <v>1525</v>
      </c>
      <c r="K1733" s="62" t="s">
        <v>377</v>
      </c>
      <c r="L1733" s="65"/>
      <c r="M1733" s="62" t="s">
        <v>1518</v>
      </c>
      <c r="N1733" s="62" t="s">
        <v>1526</v>
      </c>
      <c r="O1733" s="62" t="s">
        <v>347</v>
      </c>
      <c r="P1733" s="62" t="s">
        <v>2421</v>
      </c>
      <c r="Q1733" s="66" t="s">
        <v>1964</v>
      </c>
    </row>
    <row r="1734" spans="1:17" x14ac:dyDescent="0.3">
      <c r="A1734" s="61" t="s">
        <v>2262</v>
      </c>
      <c r="B1734" s="62" t="s">
        <v>1523</v>
      </c>
      <c r="C1734" s="62" t="s">
        <v>1524</v>
      </c>
      <c r="D1734" s="63">
        <v>45733</v>
      </c>
      <c r="E1734" s="63">
        <v>46097</v>
      </c>
      <c r="F1734" s="62" t="s">
        <v>1941</v>
      </c>
      <c r="G1734" s="62" t="s">
        <v>304</v>
      </c>
      <c r="H1734" s="62" t="s">
        <v>443</v>
      </c>
      <c r="I1734" s="64">
        <v>156382.09</v>
      </c>
      <c r="J1734" s="62" t="s">
        <v>1525</v>
      </c>
      <c r="K1734" s="62" t="s">
        <v>377</v>
      </c>
      <c r="L1734" s="65"/>
      <c r="M1734" s="62" t="s">
        <v>1518</v>
      </c>
      <c r="N1734" s="62" t="s">
        <v>1526</v>
      </c>
      <c r="O1734" s="62" t="s">
        <v>347</v>
      </c>
      <c r="P1734" s="62" t="s">
        <v>2421</v>
      </c>
      <c r="Q1734" s="66" t="s">
        <v>1964</v>
      </c>
    </row>
    <row r="1735" spans="1:17" x14ac:dyDescent="0.3">
      <c r="A1735" s="61" t="s">
        <v>2263</v>
      </c>
      <c r="B1735" s="62" t="s">
        <v>1527</v>
      </c>
      <c r="C1735" s="62" t="s">
        <v>1528</v>
      </c>
      <c r="D1735" s="63">
        <v>45292</v>
      </c>
      <c r="E1735" s="63">
        <v>46203</v>
      </c>
      <c r="F1735" s="62" t="s">
        <v>287</v>
      </c>
      <c r="G1735" s="62" t="s">
        <v>1529</v>
      </c>
      <c r="H1735" s="62" t="s">
        <v>467</v>
      </c>
      <c r="I1735" s="64">
        <v>3406.25</v>
      </c>
      <c r="J1735" s="62" t="s">
        <v>468</v>
      </c>
      <c r="K1735" s="62" t="s">
        <v>467</v>
      </c>
      <c r="L1735" s="65"/>
      <c r="M1735" s="62" t="s">
        <v>1518</v>
      </c>
      <c r="N1735" s="62" t="s">
        <v>1248</v>
      </c>
      <c r="O1735" s="62" t="s">
        <v>358</v>
      </c>
      <c r="P1735" s="62" t="s">
        <v>2421</v>
      </c>
      <c r="Q1735" s="66" t="s">
        <v>1972</v>
      </c>
    </row>
    <row r="1736" spans="1:17" x14ac:dyDescent="0.3">
      <c r="A1736" s="61" t="s">
        <v>2263</v>
      </c>
      <c r="B1736" s="62" t="s">
        <v>1527</v>
      </c>
      <c r="C1736" s="62" t="s">
        <v>1528</v>
      </c>
      <c r="D1736" s="63">
        <v>45292</v>
      </c>
      <c r="E1736" s="63">
        <v>46203</v>
      </c>
      <c r="F1736" s="62" t="s">
        <v>287</v>
      </c>
      <c r="G1736" s="62" t="s">
        <v>1530</v>
      </c>
      <c r="H1736" s="62" t="s">
        <v>467</v>
      </c>
      <c r="I1736" s="64">
        <v>3406.25</v>
      </c>
      <c r="J1736" s="62" t="s">
        <v>468</v>
      </c>
      <c r="K1736" s="62" t="s">
        <v>467</v>
      </c>
      <c r="L1736" s="65"/>
      <c r="M1736" s="62" t="s">
        <v>1518</v>
      </c>
      <c r="N1736" s="62" t="s">
        <v>1248</v>
      </c>
      <c r="O1736" s="62" t="s">
        <v>358</v>
      </c>
      <c r="P1736" s="62" t="s">
        <v>2421</v>
      </c>
      <c r="Q1736" s="66" t="s">
        <v>1972</v>
      </c>
    </row>
    <row r="1737" spans="1:17" x14ac:dyDescent="0.3">
      <c r="A1737" s="61" t="s">
        <v>2263</v>
      </c>
      <c r="B1737" s="62" t="s">
        <v>1527</v>
      </c>
      <c r="C1737" s="62" t="s">
        <v>1528</v>
      </c>
      <c r="D1737" s="63">
        <v>45292</v>
      </c>
      <c r="E1737" s="63">
        <v>46203</v>
      </c>
      <c r="F1737" s="62" t="s">
        <v>287</v>
      </c>
      <c r="G1737" s="62" t="s">
        <v>766</v>
      </c>
      <c r="H1737" s="62" t="s">
        <v>467</v>
      </c>
      <c r="I1737" s="64">
        <v>3406.25</v>
      </c>
      <c r="J1737" s="62" t="s">
        <v>468</v>
      </c>
      <c r="K1737" s="62" t="s">
        <v>467</v>
      </c>
      <c r="L1737" s="65"/>
      <c r="M1737" s="62" t="s">
        <v>1518</v>
      </c>
      <c r="N1737" s="62" t="s">
        <v>1248</v>
      </c>
      <c r="O1737" s="62" t="s">
        <v>358</v>
      </c>
      <c r="P1737" s="62" t="s">
        <v>2421</v>
      </c>
      <c r="Q1737" s="66" t="s">
        <v>1972</v>
      </c>
    </row>
    <row r="1738" spans="1:17" x14ac:dyDescent="0.3">
      <c r="A1738" s="61" t="s">
        <v>2263</v>
      </c>
      <c r="B1738" s="62" t="s">
        <v>1527</v>
      </c>
      <c r="C1738" s="62" t="s">
        <v>1528</v>
      </c>
      <c r="D1738" s="63">
        <v>45292</v>
      </c>
      <c r="E1738" s="63">
        <v>46203</v>
      </c>
      <c r="F1738" s="62" t="s">
        <v>287</v>
      </c>
      <c r="G1738" s="62" t="s">
        <v>1531</v>
      </c>
      <c r="H1738" s="62" t="s">
        <v>467</v>
      </c>
      <c r="I1738" s="64">
        <v>3406.25</v>
      </c>
      <c r="J1738" s="62" t="s">
        <v>468</v>
      </c>
      <c r="K1738" s="62" t="s">
        <v>467</v>
      </c>
      <c r="L1738" s="65"/>
      <c r="M1738" s="62" t="s">
        <v>1518</v>
      </c>
      <c r="N1738" s="62" t="s">
        <v>1248</v>
      </c>
      <c r="O1738" s="62" t="s">
        <v>358</v>
      </c>
      <c r="P1738" s="62" t="s">
        <v>2421</v>
      </c>
      <c r="Q1738" s="66" t="s">
        <v>1972</v>
      </c>
    </row>
    <row r="1739" spans="1:17" x14ac:dyDescent="0.3">
      <c r="A1739" s="61" t="s">
        <v>2263</v>
      </c>
      <c r="B1739" s="62" t="s">
        <v>1527</v>
      </c>
      <c r="C1739" s="62" t="s">
        <v>1528</v>
      </c>
      <c r="D1739" s="63">
        <v>45292</v>
      </c>
      <c r="E1739" s="63">
        <v>46203</v>
      </c>
      <c r="F1739" s="62" t="s">
        <v>287</v>
      </c>
      <c r="G1739" s="62" t="s">
        <v>589</v>
      </c>
      <c r="H1739" s="62" t="s">
        <v>467</v>
      </c>
      <c r="I1739" s="64">
        <v>3406.25</v>
      </c>
      <c r="J1739" s="62" t="s">
        <v>468</v>
      </c>
      <c r="K1739" s="62" t="s">
        <v>467</v>
      </c>
      <c r="L1739" s="65"/>
      <c r="M1739" s="62" t="s">
        <v>1518</v>
      </c>
      <c r="N1739" s="62" t="s">
        <v>1248</v>
      </c>
      <c r="O1739" s="62" t="s">
        <v>358</v>
      </c>
      <c r="P1739" s="62" t="s">
        <v>2421</v>
      </c>
      <c r="Q1739" s="66" t="s">
        <v>1972</v>
      </c>
    </row>
    <row r="1740" spans="1:17" x14ac:dyDescent="0.3">
      <c r="A1740" s="61" t="s">
        <v>2263</v>
      </c>
      <c r="B1740" s="62" t="s">
        <v>1527</v>
      </c>
      <c r="C1740" s="62" t="s">
        <v>1528</v>
      </c>
      <c r="D1740" s="63">
        <v>45292</v>
      </c>
      <c r="E1740" s="63">
        <v>46203</v>
      </c>
      <c r="F1740" s="62" t="s">
        <v>287</v>
      </c>
      <c r="G1740" s="62" t="s">
        <v>1532</v>
      </c>
      <c r="H1740" s="62" t="s">
        <v>467</v>
      </c>
      <c r="I1740" s="64">
        <v>3406.25</v>
      </c>
      <c r="J1740" s="62" t="s">
        <v>468</v>
      </c>
      <c r="K1740" s="62" t="s">
        <v>467</v>
      </c>
      <c r="L1740" s="65"/>
      <c r="M1740" s="62" t="s">
        <v>1518</v>
      </c>
      <c r="N1740" s="62" t="s">
        <v>1248</v>
      </c>
      <c r="O1740" s="62" t="s">
        <v>358</v>
      </c>
      <c r="P1740" s="62" t="s">
        <v>2421</v>
      </c>
      <c r="Q1740" s="66" t="s">
        <v>1972</v>
      </c>
    </row>
    <row r="1741" spans="1:17" x14ac:dyDescent="0.3">
      <c r="A1741" s="61" t="s">
        <v>2263</v>
      </c>
      <c r="B1741" s="62" t="s">
        <v>1527</v>
      </c>
      <c r="C1741" s="62" t="s">
        <v>1528</v>
      </c>
      <c r="D1741" s="63">
        <v>45292</v>
      </c>
      <c r="E1741" s="63">
        <v>46203</v>
      </c>
      <c r="F1741" s="62" t="s">
        <v>287</v>
      </c>
      <c r="G1741" s="62" t="s">
        <v>930</v>
      </c>
      <c r="H1741" s="62" t="s">
        <v>467</v>
      </c>
      <c r="I1741" s="64">
        <v>3406.25</v>
      </c>
      <c r="J1741" s="62" t="s">
        <v>468</v>
      </c>
      <c r="K1741" s="62" t="s">
        <v>467</v>
      </c>
      <c r="L1741" s="65"/>
      <c r="M1741" s="62" t="s">
        <v>1518</v>
      </c>
      <c r="N1741" s="62" t="s">
        <v>1248</v>
      </c>
      <c r="O1741" s="62" t="s">
        <v>358</v>
      </c>
      <c r="P1741" s="62" t="s">
        <v>2421</v>
      </c>
      <c r="Q1741" s="66" t="s">
        <v>1972</v>
      </c>
    </row>
    <row r="1742" spans="1:17" x14ac:dyDescent="0.3">
      <c r="A1742" s="61" t="s">
        <v>2263</v>
      </c>
      <c r="B1742" s="62" t="s">
        <v>1527</v>
      </c>
      <c r="C1742" s="62" t="s">
        <v>1528</v>
      </c>
      <c r="D1742" s="63">
        <v>45292</v>
      </c>
      <c r="E1742" s="63">
        <v>46203</v>
      </c>
      <c r="F1742" s="62" t="s">
        <v>287</v>
      </c>
      <c r="G1742" s="62" t="s">
        <v>1342</v>
      </c>
      <c r="H1742" s="62" t="s">
        <v>467</v>
      </c>
      <c r="I1742" s="64">
        <v>3406.25</v>
      </c>
      <c r="J1742" s="62" t="s">
        <v>468</v>
      </c>
      <c r="K1742" s="62" t="s">
        <v>467</v>
      </c>
      <c r="L1742" s="65"/>
      <c r="M1742" s="62" t="s">
        <v>1518</v>
      </c>
      <c r="N1742" s="62" t="s">
        <v>1248</v>
      </c>
      <c r="O1742" s="62" t="s">
        <v>358</v>
      </c>
      <c r="P1742" s="62" t="s">
        <v>2421</v>
      </c>
      <c r="Q1742" s="66" t="s">
        <v>1972</v>
      </c>
    </row>
    <row r="1743" spans="1:17" x14ac:dyDescent="0.3">
      <c r="A1743" s="61" t="s">
        <v>2263</v>
      </c>
      <c r="B1743" s="62" t="s">
        <v>1527</v>
      </c>
      <c r="C1743" s="62" t="s">
        <v>1528</v>
      </c>
      <c r="D1743" s="63">
        <v>45292</v>
      </c>
      <c r="E1743" s="63">
        <v>46203</v>
      </c>
      <c r="F1743" s="62" t="s">
        <v>287</v>
      </c>
      <c r="G1743" s="62" t="s">
        <v>1343</v>
      </c>
      <c r="H1743" s="62" t="s">
        <v>467</v>
      </c>
      <c r="I1743" s="64">
        <v>3406.25</v>
      </c>
      <c r="J1743" s="62" t="s">
        <v>468</v>
      </c>
      <c r="K1743" s="62" t="s">
        <v>467</v>
      </c>
      <c r="L1743" s="65"/>
      <c r="M1743" s="62" t="s">
        <v>1518</v>
      </c>
      <c r="N1743" s="62" t="s">
        <v>1248</v>
      </c>
      <c r="O1743" s="62" t="s">
        <v>358</v>
      </c>
      <c r="P1743" s="62" t="s">
        <v>2421</v>
      </c>
      <c r="Q1743" s="66" t="s">
        <v>1972</v>
      </c>
    </row>
    <row r="1744" spans="1:17" x14ac:dyDescent="0.3">
      <c r="A1744" s="61" t="s">
        <v>2263</v>
      </c>
      <c r="B1744" s="62" t="s">
        <v>1527</v>
      </c>
      <c r="C1744" s="62" t="s">
        <v>1528</v>
      </c>
      <c r="D1744" s="63">
        <v>45292</v>
      </c>
      <c r="E1744" s="63">
        <v>46203</v>
      </c>
      <c r="F1744" s="62" t="s">
        <v>287</v>
      </c>
      <c r="G1744" s="62" t="s">
        <v>767</v>
      </c>
      <c r="H1744" s="62" t="s">
        <v>467</v>
      </c>
      <c r="I1744" s="64">
        <v>3406.25</v>
      </c>
      <c r="J1744" s="62" t="s">
        <v>468</v>
      </c>
      <c r="K1744" s="62" t="s">
        <v>467</v>
      </c>
      <c r="L1744" s="65"/>
      <c r="M1744" s="62" t="s">
        <v>1518</v>
      </c>
      <c r="N1744" s="62" t="s">
        <v>1248</v>
      </c>
      <c r="O1744" s="62" t="s">
        <v>358</v>
      </c>
      <c r="P1744" s="62" t="s">
        <v>2421</v>
      </c>
      <c r="Q1744" s="66" t="s">
        <v>1972</v>
      </c>
    </row>
    <row r="1745" spans="1:17" x14ac:dyDescent="0.3">
      <c r="A1745" s="61" t="s">
        <v>2263</v>
      </c>
      <c r="B1745" s="62" t="s">
        <v>1527</v>
      </c>
      <c r="C1745" s="62" t="s">
        <v>1528</v>
      </c>
      <c r="D1745" s="63">
        <v>45292</v>
      </c>
      <c r="E1745" s="63">
        <v>46203</v>
      </c>
      <c r="F1745" s="62" t="s">
        <v>287</v>
      </c>
      <c r="G1745" s="62" t="s">
        <v>1533</v>
      </c>
      <c r="H1745" s="62" t="s">
        <v>467</v>
      </c>
      <c r="I1745" s="64">
        <v>3406.25</v>
      </c>
      <c r="J1745" s="62" t="s">
        <v>468</v>
      </c>
      <c r="K1745" s="62" t="s">
        <v>467</v>
      </c>
      <c r="L1745" s="65"/>
      <c r="M1745" s="62" t="s">
        <v>1518</v>
      </c>
      <c r="N1745" s="62" t="s">
        <v>1248</v>
      </c>
      <c r="O1745" s="62" t="s">
        <v>358</v>
      </c>
      <c r="P1745" s="62" t="s">
        <v>2421</v>
      </c>
      <c r="Q1745" s="66" t="s">
        <v>1972</v>
      </c>
    </row>
    <row r="1746" spans="1:17" x14ac:dyDescent="0.3">
      <c r="A1746" s="61" t="s">
        <v>2263</v>
      </c>
      <c r="B1746" s="62" t="s">
        <v>1527</v>
      </c>
      <c r="C1746" s="62" t="s">
        <v>1528</v>
      </c>
      <c r="D1746" s="63">
        <v>45292</v>
      </c>
      <c r="E1746" s="63">
        <v>46203</v>
      </c>
      <c r="F1746" s="62" t="s">
        <v>287</v>
      </c>
      <c r="G1746" s="62" t="s">
        <v>286</v>
      </c>
      <c r="H1746" s="62" t="s">
        <v>467</v>
      </c>
      <c r="I1746" s="64">
        <v>3406.25</v>
      </c>
      <c r="J1746" s="62" t="s">
        <v>468</v>
      </c>
      <c r="K1746" s="62" t="s">
        <v>467</v>
      </c>
      <c r="L1746" s="65"/>
      <c r="M1746" s="62" t="s">
        <v>1518</v>
      </c>
      <c r="N1746" s="62" t="s">
        <v>1248</v>
      </c>
      <c r="O1746" s="62" t="s">
        <v>358</v>
      </c>
      <c r="P1746" s="62" t="s">
        <v>2421</v>
      </c>
      <c r="Q1746" s="66" t="s">
        <v>1972</v>
      </c>
    </row>
    <row r="1747" spans="1:17" x14ac:dyDescent="0.3">
      <c r="A1747" s="61" t="s">
        <v>2263</v>
      </c>
      <c r="B1747" s="62" t="s">
        <v>1527</v>
      </c>
      <c r="C1747" s="62" t="s">
        <v>1528</v>
      </c>
      <c r="D1747" s="63">
        <v>45292</v>
      </c>
      <c r="E1747" s="63">
        <v>46203</v>
      </c>
      <c r="F1747" s="62" t="s">
        <v>287</v>
      </c>
      <c r="G1747" s="62" t="s">
        <v>1534</v>
      </c>
      <c r="H1747" s="62" t="s">
        <v>467</v>
      </c>
      <c r="I1747" s="64">
        <v>3406.25</v>
      </c>
      <c r="J1747" s="62" t="s">
        <v>468</v>
      </c>
      <c r="K1747" s="62" t="s">
        <v>467</v>
      </c>
      <c r="L1747" s="65"/>
      <c r="M1747" s="62" t="s">
        <v>1518</v>
      </c>
      <c r="N1747" s="62" t="s">
        <v>1248</v>
      </c>
      <c r="O1747" s="62" t="s">
        <v>358</v>
      </c>
      <c r="P1747" s="62" t="s">
        <v>2421</v>
      </c>
      <c r="Q1747" s="66" t="s">
        <v>1972</v>
      </c>
    </row>
    <row r="1748" spans="1:17" x14ac:dyDescent="0.3">
      <c r="A1748" s="61" t="s">
        <v>2263</v>
      </c>
      <c r="B1748" s="62" t="s">
        <v>1527</v>
      </c>
      <c r="C1748" s="62" t="s">
        <v>1528</v>
      </c>
      <c r="D1748" s="63">
        <v>45292</v>
      </c>
      <c r="E1748" s="63">
        <v>46203</v>
      </c>
      <c r="F1748" s="62" t="s">
        <v>287</v>
      </c>
      <c r="G1748" s="62" t="s">
        <v>768</v>
      </c>
      <c r="H1748" s="62" t="s">
        <v>467</v>
      </c>
      <c r="I1748" s="64">
        <v>3406.25</v>
      </c>
      <c r="J1748" s="62" t="s">
        <v>468</v>
      </c>
      <c r="K1748" s="62" t="s">
        <v>467</v>
      </c>
      <c r="L1748" s="65"/>
      <c r="M1748" s="62" t="s">
        <v>1518</v>
      </c>
      <c r="N1748" s="62" t="s">
        <v>1248</v>
      </c>
      <c r="O1748" s="62" t="s">
        <v>358</v>
      </c>
      <c r="P1748" s="62" t="s">
        <v>2421</v>
      </c>
      <c r="Q1748" s="66" t="s">
        <v>1972</v>
      </c>
    </row>
    <row r="1749" spans="1:17" x14ac:dyDescent="0.3">
      <c r="A1749" s="61" t="s">
        <v>2263</v>
      </c>
      <c r="B1749" s="62" t="s">
        <v>1527</v>
      </c>
      <c r="C1749" s="62" t="s">
        <v>1528</v>
      </c>
      <c r="D1749" s="63">
        <v>45292</v>
      </c>
      <c r="E1749" s="63">
        <v>46203</v>
      </c>
      <c r="F1749" s="62" t="s">
        <v>287</v>
      </c>
      <c r="G1749" s="62" t="s">
        <v>388</v>
      </c>
      <c r="H1749" s="62" t="s">
        <v>467</v>
      </c>
      <c r="I1749" s="64">
        <v>3406.25</v>
      </c>
      <c r="J1749" s="62" t="s">
        <v>468</v>
      </c>
      <c r="K1749" s="62" t="s">
        <v>467</v>
      </c>
      <c r="L1749" s="65"/>
      <c r="M1749" s="62" t="s">
        <v>1518</v>
      </c>
      <c r="N1749" s="62" t="s">
        <v>1248</v>
      </c>
      <c r="O1749" s="62" t="s">
        <v>358</v>
      </c>
      <c r="P1749" s="62" t="s">
        <v>2421</v>
      </c>
      <c r="Q1749" s="66" t="s">
        <v>1972</v>
      </c>
    </row>
    <row r="1750" spans="1:17" x14ac:dyDescent="0.3">
      <c r="A1750" s="61" t="s">
        <v>2263</v>
      </c>
      <c r="B1750" s="62" t="s">
        <v>1527</v>
      </c>
      <c r="C1750" s="62" t="s">
        <v>1528</v>
      </c>
      <c r="D1750" s="63">
        <v>45292</v>
      </c>
      <c r="E1750" s="63">
        <v>46203</v>
      </c>
      <c r="F1750" s="62" t="s">
        <v>287</v>
      </c>
      <c r="G1750" s="62" t="s">
        <v>590</v>
      </c>
      <c r="H1750" s="62" t="s">
        <v>467</v>
      </c>
      <c r="I1750" s="64">
        <v>3406.25</v>
      </c>
      <c r="J1750" s="62" t="s">
        <v>468</v>
      </c>
      <c r="K1750" s="62" t="s">
        <v>467</v>
      </c>
      <c r="L1750" s="65"/>
      <c r="M1750" s="62" t="s">
        <v>1518</v>
      </c>
      <c r="N1750" s="62" t="s">
        <v>1248</v>
      </c>
      <c r="O1750" s="62" t="s">
        <v>358</v>
      </c>
      <c r="P1750" s="62" t="s">
        <v>2421</v>
      </c>
      <c r="Q1750" s="66" t="s">
        <v>1972</v>
      </c>
    </row>
    <row r="1751" spans="1:17" x14ac:dyDescent="0.3">
      <c r="A1751" s="61" t="s">
        <v>2263</v>
      </c>
      <c r="B1751" s="62" t="s">
        <v>1527</v>
      </c>
      <c r="C1751" s="62" t="s">
        <v>1528</v>
      </c>
      <c r="D1751" s="63">
        <v>45292</v>
      </c>
      <c r="E1751" s="63">
        <v>46203</v>
      </c>
      <c r="F1751" s="62" t="s">
        <v>287</v>
      </c>
      <c r="G1751" s="62" t="s">
        <v>514</v>
      </c>
      <c r="H1751" s="62" t="s">
        <v>467</v>
      </c>
      <c r="I1751" s="64">
        <v>3406.25</v>
      </c>
      <c r="J1751" s="62" t="s">
        <v>468</v>
      </c>
      <c r="K1751" s="62" t="s">
        <v>467</v>
      </c>
      <c r="L1751" s="65"/>
      <c r="M1751" s="62" t="s">
        <v>1518</v>
      </c>
      <c r="N1751" s="62" t="s">
        <v>1248</v>
      </c>
      <c r="O1751" s="62" t="s">
        <v>358</v>
      </c>
      <c r="P1751" s="62" t="s">
        <v>2421</v>
      </c>
      <c r="Q1751" s="66" t="s">
        <v>1972</v>
      </c>
    </row>
    <row r="1752" spans="1:17" x14ac:dyDescent="0.3">
      <c r="A1752" s="61" t="s">
        <v>2263</v>
      </c>
      <c r="B1752" s="62" t="s">
        <v>1527</v>
      </c>
      <c r="C1752" s="62" t="s">
        <v>1528</v>
      </c>
      <c r="D1752" s="63">
        <v>45292</v>
      </c>
      <c r="E1752" s="63">
        <v>46203</v>
      </c>
      <c r="F1752" s="62" t="s">
        <v>287</v>
      </c>
      <c r="G1752" s="62" t="s">
        <v>389</v>
      </c>
      <c r="H1752" s="62" t="s">
        <v>467</v>
      </c>
      <c r="I1752" s="64">
        <v>3406.25</v>
      </c>
      <c r="J1752" s="62" t="s">
        <v>468</v>
      </c>
      <c r="K1752" s="62" t="s">
        <v>467</v>
      </c>
      <c r="L1752" s="65"/>
      <c r="M1752" s="62" t="s">
        <v>1518</v>
      </c>
      <c r="N1752" s="62" t="s">
        <v>1248</v>
      </c>
      <c r="O1752" s="62" t="s">
        <v>358</v>
      </c>
      <c r="P1752" s="62" t="s">
        <v>2421</v>
      </c>
      <c r="Q1752" s="66" t="s">
        <v>1972</v>
      </c>
    </row>
    <row r="1753" spans="1:17" x14ac:dyDescent="0.3">
      <c r="A1753" s="61" t="s">
        <v>2263</v>
      </c>
      <c r="B1753" s="62" t="s">
        <v>1527</v>
      </c>
      <c r="C1753" s="62" t="s">
        <v>1528</v>
      </c>
      <c r="D1753" s="63">
        <v>45292</v>
      </c>
      <c r="E1753" s="63">
        <v>46203</v>
      </c>
      <c r="F1753" s="62" t="s">
        <v>287</v>
      </c>
      <c r="G1753" s="62" t="s">
        <v>1535</v>
      </c>
      <c r="H1753" s="62" t="s">
        <v>467</v>
      </c>
      <c r="I1753" s="64">
        <v>3406.25</v>
      </c>
      <c r="J1753" s="62" t="s">
        <v>468</v>
      </c>
      <c r="K1753" s="62" t="s">
        <v>467</v>
      </c>
      <c r="L1753" s="65"/>
      <c r="M1753" s="62" t="s">
        <v>1518</v>
      </c>
      <c r="N1753" s="62" t="s">
        <v>1248</v>
      </c>
      <c r="O1753" s="62" t="s">
        <v>358</v>
      </c>
      <c r="P1753" s="62" t="s">
        <v>2421</v>
      </c>
      <c r="Q1753" s="66" t="s">
        <v>1972</v>
      </c>
    </row>
    <row r="1754" spans="1:17" x14ac:dyDescent="0.3">
      <c r="A1754" s="61" t="s">
        <v>2263</v>
      </c>
      <c r="B1754" s="62" t="s">
        <v>1527</v>
      </c>
      <c r="C1754" s="62" t="s">
        <v>1528</v>
      </c>
      <c r="D1754" s="63">
        <v>45292</v>
      </c>
      <c r="E1754" s="63">
        <v>46203</v>
      </c>
      <c r="F1754" s="62" t="s">
        <v>287</v>
      </c>
      <c r="G1754" s="62" t="s">
        <v>584</v>
      </c>
      <c r="H1754" s="62" t="s">
        <v>467</v>
      </c>
      <c r="I1754" s="64">
        <v>3406.25</v>
      </c>
      <c r="J1754" s="62" t="s">
        <v>468</v>
      </c>
      <c r="K1754" s="62" t="s">
        <v>467</v>
      </c>
      <c r="L1754" s="65"/>
      <c r="M1754" s="62" t="s">
        <v>1518</v>
      </c>
      <c r="N1754" s="62" t="s">
        <v>1248</v>
      </c>
      <c r="O1754" s="62" t="s">
        <v>358</v>
      </c>
      <c r="P1754" s="62" t="s">
        <v>2421</v>
      </c>
      <c r="Q1754" s="66" t="s">
        <v>1972</v>
      </c>
    </row>
    <row r="1755" spans="1:17" x14ac:dyDescent="0.3">
      <c r="A1755" s="61" t="s">
        <v>2263</v>
      </c>
      <c r="B1755" s="62" t="s">
        <v>1527</v>
      </c>
      <c r="C1755" s="62" t="s">
        <v>1528</v>
      </c>
      <c r="D1755" s="63">
        <v>45292</v>
      </c>
      <c r="E1755" s="63">
        <v>46203</v>
      </c>
      <c r="F1755" s="62" t="s">
        <v>287</v>
      </c>
      <c r="G1755" s="62" t="s">
        <v>1083</v>
      </c>
      <c r="H1755" s="62" t="s">
        <v>467</v>
      </c>
      <c r="I1755" s="64">
        <v>3406.25</v>
      </c>
      <c r="J1755" s="62" t="s">
        <v>468</v>
      </c>
      <c r="K1755" s="62" t="s">
        <v>467</v>
      </c>
      <c r="L1755" s="65"/>
      <c r="M1755" s="62" t="s">
        <v>1518</v>
      </c>
      <c r="N1755" s="62" t="s">
        <v>1248</v>
      </c>
      <c r="O1755" s="62" t="s">
        <v>358</v>
      </c>
      <c r="P1755" s="62" t="s">
        <v>2421</v>
      </c>
      <c r="Q1755" s="66" t="s">
        <v>1972</v>
      </c>
    </row>
    <row r="1756" spans="1:17" x14ac:dyDescent="0.3">
      <c r="A1756" s="61" t="s">
        <v>2263</v>
      </c>
      <c r="B1756" s="62" t="s">
        <v>1527</v>
      </c>
      <c r="C1756" s="62" t="s">
        <v>1528</v>
      </c>
      <c r="D1756" s="63">
        <v>45292</v>
      </c>
      <c r="E1756" s="63">
        <v>46203</v>
      </c>
      <c r="F1756" s="62" t="s">
        <v>287</v>
      </c>
      <c r="G1756" s="62" t="s">
        <v>927</v>
      </c>
      <c r="H1756" s="62" t="s">
        <v>467</v>
      </c>
      <c r="I1756" s="64">
        <v>3406.25</v>
      </c>
      <c r="J1756" s="62" t="s">
        <v>468</v>
      </c>
      <c r="K1756" s="62" t="s">
        <v>467</v>
      </c>
      <c r="L1756" s="65"/>
      <c r="M1756" s="62" t="s">
        <v>1518</v>
      </c>
      <c r="N1756" s="62" t="s">
        <v>1248</v>
      </c>
      <c r="O1756" s="62" t="s">
        <v>358</v>
      </c>
      <c r="P1756" s="62" t="s">
        <v>2421</v>
      </c>
      <c r="Q1756" s="66" t="s">
        <v>1972</v>
      </c>
    </row>
    <row r="1757" spans="1:17" x14ac:dyDescent="0.3">
      <c r="A1757" s="61" t="s">
        <v>2263</v>
      </c>
      <c r="B1757" s="62" t="s">
        <v>1527</v>
      </c>
      <c r="C1757" s="62" t="s">
        <v>1528</v>
      </c>
      <c r="D1757" s="63">
        <v>45292</v>
      </c>
      <c r="E1757" s="63">
        <v>46203</v>
      </c>
      <c r="F1757" s="62" t="s">
        <v>287</v>
      </c>
      <c r="G1757" s="62" t="s">
        <v>769</v>
      </c>
      <c r="H1757" s="62" t="s">
        <v>467</v>
      </c>
      <c r="I1757" s="64">
        <v>3406.25</v>
      </c>
      <c r="J1757" s="62" t="s">
        <v>468</v>
      </c>
      <c r="K1757" s="62" t="s">
        <v>467</v>
      </c>
      <c r="L1757" s="65"/>
      <c r="M1757" s="62" t="s">
        <v>1518</v>
      </c>
      <c r="N1757" s="62" t="s">
        <v>1248</v>
      </c>
      <c r="O1757" s="62" t="s">
        <v>358</v>
      </c>
      <c r="P1757" s="62" t="s">
        <v>2421</v>
      </c>
      <c r="Q1757" s="66" t="s">
        <v>1972</v>
      </c>
    </row>
    <row r="1758" spans="1:17" x14ac:dyDescent="0.3">
      <c r="A1758" s="61" t="s">
        <v>2263</v>
      </c>
      <c r="B1758" s="62" t="s">
        <v>1527</v>
      </c>
      <c r="C1758" s="62" t="s">
        <v>1528</v>
      </c>
      <c r="D1758" s="63">
        <v>45292</v>
      </c>
      <c r="E1758" s="63">
        <v>46203</v>
      </c>
      <c r="F1758" s="62" t="s">
        <v>287</v>
      </c>
      <c r="G1758" s="62" t="s">
        <v>928</v>
      </c>
      <c r="H1758" s="62" t="s">
        <v>467</v>
      </c>
      <c r="I1758" s="64">
        <v>3406.25</v>
      </c>
      <c r="J1758" s="62" t="s">
        <v>468</v>
      </c>
      <c r="K1758" s="62" t="s">
        <v>467</v>
      </c>
      <c r="L1758" s="65"/>
      <c r="M1758" s="62" t="s">
        <v>1518</v>
      </c>
      <c r="N1758" s="62" t="s">
        <v>1248</v>
      </c>
      <c r="O1758" s="62" t="s">
        <v>358</v>
      </c>
      <c r="P1758" s="62" t="s">
        <v>2421</v>
      </c>
      <c r="Q1758" s="66" t="s">
        <v>1972</v>
      </c>
    </row>
    <row r="1759" spans="1:17" x14ac:dyDescent="0.3">
      <c r="A1759" s="61" t="s">
        <v>2263</v>
      </c>
      <c r="B1759" s="62" t="s">
        <v>1527</v>
      </c>
      <c r="C1759" s="62" t="s">
        <v>1528</v>
      </c>
      <c r="D1759" s="63">
        <v>45292</v>
      </c>
      <c r="E1759" s="63">
        <v>46203</v>
      </c>
      <c r="F1759" s="62" t="s">
        <v>287</v>
      </c>
      <c r="G1759" s="62" t="s">
        <v>1536</v>
      </c>
      <c r="H1759" s="62" t="s">
        <v>467</v>
      </c>
      <c r="I1759" s="64">
        <v>3406.25</v>
      </c>
      <c r="J1759" s="62" t="s">
        <v>468</v>
      </c>
      <c r="K1759" s="62" t="s">
        <v>467</v>
      </c>
      <c r="L1759" s="65"/>
      <c r="M1759" s="62" t="s">
        <v>1518</v>
      </c>
      <c r="N1759" s="62" t="s">
        <v>1248</v>
      </c>
      <c r="O1759" s="62" t="s">
        <v>358</v>
      </c>
      <c r="P1759" s="62" t="s">
        <v>2421</v>
      </c>
      <c r="Q1759" s="66" t="s">
        <v>1972</v>
      </c>
    </row>
    <row r="1760" spans="1:17" x14ac:dyDescent="0.3">
      <c r="A1760" s="61" t="s">
        <v>2263</v>
      </c>
      <c r="B1760" s="62" t="s">
        <v>1527</v>
      </c>
      <c r="C1760" s="62" t="s">
        <v>1528</v>
      </c>
      <c r="D1760" s="63">
        <v>45292</v>
      </c>
      <c r="E1760" s="63">
        <v>46203</v>
      </c>
      <c r="F1760" s="62" t="s">
        <v>287</v>
      </c>
      <c r="G1760" s="62" t="s">
        <v>1537</v>
      </c>
      <c r="H1760" s="62" t="s">
        <v>467</v>
      </c>
      <c r="I1760" s="64">
        <v>3406.25</v>
      </c>
      <c r="J1760" s="62" t="s">
        <v>468</v>
      </c>
      <c r="K1760" s="62" t="s">
        <v>467</v>
      </c>
      <c r="L1760" s="65"/>
      <c r="M1760" s="62" t="s">
        <v>1518</v>
      </c>
      <c r="N1760" s="62" t="s">
        <v>1248</v>
      </c>
      <c r="O1760" s="62" t="s">
        <v>358</v>
      </c>
      <c r="P1760" s="62" t="s">
        <v>2421</v>
      </c>
      <c r="Q1760" s="66" t="s">
        <v>1972</v>
      </c>
    </row>
    <row r="1761" spans="1:17" x14ac:dyDescent="0.3">
      <c r="A1761" s="61" t="s">
        <v>2263</v>
      </c>
      <c r="B1761" s="62" t="s">
        <v>1527</v>
      </c>
      <c r="C1761" s="62" t="s">
        <v>1528</v>
      </c>
      <c r="D1761" s="63">
        <v>45292</v>
      </c>
      <c r="E1761" s="63">
        <v>46203</v>
      </c>
      <c r="F1761" s="62" t="s">
        <v>287</v>
      </c>
      <c r="G1761" s="62" t="s">
        <v>1538</v>
      </c>
      <c r="H1761" s="62" t="s">
        <v>467</v>
      </c>
      <c r="I1761" s="64">
        <v>3406.25</v>
      </c>
      <c r="J1761" s="62" t="s">
        <v>468</v>
      </c>
      <c r="K1761" s="62" t="s">
        <v>467</v>
      </c>
      <c r="L1761" s="65"/>
      <c r="M1761" s="62" t="s">
        <v>1518</v>
      </c>
      <c r="N1761" s="62" t="s">
        <v>1248</v>
      </c>
      <c r="O1761" s="62" t="s">
        <v>358</v>
      </c>
      <c r="P1761" s="62" t="s">
        <v>2421</v>
      </c>
      <c r="Q1761" s="66" t="s">
        <v>1972</v>
      </c>
    </row>
    <row r="1762" spans="1:17" x14ac:dyDescent="0.3">
      <c r="A1762" s="61" t="s">
        <v>2263</v>
      </c>
      <c r="B1762" s="62" t="s">
        <v>1527</v>
      </c>
      <c r="C1762" s="62" t="s">
        <v>1528</v>
      </c>
      <c r="D1762" s="63">
        <v>45292</v>
      </c>
      <c r="E1762" s="63">
        <v>46203</v>
      </c>
      <c r="F1762" s="62" t="s">
        <v>287</v>
      </c>
      <c r="G1762" s="62" t="s">
        <v>390</v>
      </c>
      <c r="H1762" s="62" t="s">
        <v>467</v>
      </c>
      <c r="I1762" s="64">
        <v>3406.25</v>
      </c>
      <c r="J1762" s="62" t="s">
        <v>468</v>
      </c>
      <c r="K1762" s="62" t="s">
        <v>467</v>
      </c>
      <c r="L1762" s="65"/>
      <c r="M1762" s="62" t="s">
        <v>1518</v>
      </c>
      <c r="N1762" s="62" t="s">
        <v>1248</v>
      </c>
      <c r="O1762" s="62" t="s">
        <v>358</v>
      </c>
      <c r="P1762" s="62" t="s">
        <v>2421</v>
      </c>
      <c r="Q1762" s="66" t="s">
        <v>1972</v>
      </c>
    </row>
    <row r="1763" spans="1:17" x14ac:dyDescent="0.3">
      <c r="A1763" s="61" t="s">
        <v>2263</v>
      </c>
      <c r="B1763" s="62" t="s">
        <v>1527</v>
      </c>
      <c r="C1763" s="62" t="s">
        <v>1528</v>
      </c>
      <c r="D1763" s="63">
        <v>45292</v>
      </c>
      <c r="E1763" s="63">
        <v>46203</v>
      </c>
      <c r="F1763" s="62" t="s">
        <v>287</v>
      </c>
      <c r="G1763" s="62" t="s">
        <v>1344</v>
      </c>
      <c r="H1763" s="62" t="s">
        <v>467</v>
      </c>
      <c r="I1763" s="64">
        <v>3406.25</v>
      </c>
      <c r="J1763" s="62" t="s">
        <v>468</v>
      </c>
      <c r="K1763" s="62" t="s">
        <v>467</v>
      </c>
      <c r="L1763" s="65"/>
      <c r="M1763" s="62" t="s">
        <v>1518</v>
      </c>
      <c r="N1763" s="62" t="s">
        <v>1248</v>
      </c>
      <c r="O1763" s="62" t="s">
        <v>358</v>
      </c>
      <c r="P1763" s="62" t="s">
        <v>2421</v>
      </c>
      <c r="Q1763" s="66" t="s">
        <v>1972</v>
      </c>
    </row>
    <row r="1764" spans="1:17" x14ac:dyDescent="0.3">
      <c r="A1764" s="61" t="s">
        <v>2263</v>
      </c>
      <c r="B1764" s="62" t="s">
        <v>1527</v>
      </c>
      <c r="C1764" s="62" t="s">
        <v>1528</v>
      </c>
      <c r="D1764" s="63">
        <v>45292</v>
      </c>
      <c r="E1764" s="63">
        <v>46203</v>
      </c>
      <c r="F1764" s="62" t="s">
        <v>287</v>
      </c>
      <c r="G1764" s="62" t="s">
        <v>1539</v>
      </c>
      <c r="H1764" s="62" t="s">
        <v>467</v>
      </c>
      <c r="I1764" s="64">
        <v>3406.25</v>
      </c>
      <c r="J1764" s="62" t="s">
        <v>468</v>
      </c>
      <c r="K1764" s="62" t="s">
        <v>467</v>
      </c>
      <c r="L1764" s="65"/>
      <c r="M1764" s="62" t="s">
        <v>1518</v>
      </c>
      <c r="N1764" s="62" t="s">
        <v>1248</v>
      </c>
      <c r="O1764" s="62" t="s">
        <v>358</v>
      </c>
      <c r="P1764" s="62" t="s">
        <v>2421</v>
      </c>
      <c r="Q1764" s="66" t="s">
        <v>1972</v>
      </c>
    </row>
    <row r="1765" spans="1:17" x14ac:dyDescent="0.3">
      <c r="A1765" s="61" t="s">
        <v>2263</v>
      </c>
      <c r="B1765" s="62" t="s">
        <v>1527</v>
      </c>
      <c r="C1765" s="62" t="s">
        <v>1528</v>
      </c>
      <c r="D1765" s="63">
        <v>45292</v>
      </c>
      <c r="E1765" s="63">
        <v>46203</v>
      </c>
      <c r="F1765" s="62" t="s">
        <v>287</v>
      </c>
      <c r="G1765" s="62" t="s">
        <v>770</v>
      </c>
      <c r="H1765" s="62" t="s">
        <v>467</v>
      </c>
      <c r="I1765" s="64">
        <v>3406.25</v>
      </c>
      <c r="J1765" s="62" t="s">
        <v>468</v>
      </c>
      <c r="K1765" s="62" t="s">
        <v>467</v>
      </c>
      <c r="L1765" s="65"/>
      <c r="M1765" s="62" t="s">
        <v>1518</v>
      </c>
      <c r="N1765" s="62" t="s">
        <v>1248</v>
      </c>
      <c r="O1765" s="62" t="s">
        <v>358</v>
      </c>
      <c r="P1765" s="62" t="s">
        <v>2421</v>
      </c>
      <c r="Q1765" s="66" t="s">
        <v>1972</v>
      </c>
    </row>
    <row r="1766" spans="1:17" x14ac:dyDescent="0.3">
      <c r="A1766" s="61" t="s">
        <v>2263</v>
      </c>
      <c r="B1766" s="62" t="s">
        <v>1527</v>
      </c>
      <c r="C1766" s="62" t="s">
        <v>1528</v>
      </c>
      <c r="D1766" s="63">
        <v>45292</v>
      </c>
      <c r="E1766" s="63">
        <v>46203</v>
      </c>
      <c r="F1766" s="62" t="s">
        <v>287</v>
      </c>
      <c r="G1766" s="62" t="s">
        <v>591</v>
      </c>
      <c r="H1766" s="62" t="s">
        <v>467</v>
      </c>
      <c r="I1766" s="64">
        <v>3406.25</v>
      </c>
      <c r="J1766" s="62" t="s">
        <v>468</v>
      </c>
      <c r="K1766" s="62" t="s">
        <v>467</v>
      </c>
      <c r="L1766" s="65"/>
      <c r="M1766" s="62" t="s">
        <v>1518</v>
      </c>
      <c r="N1766" s="62" t="s">
        <v>1248</v>
      </c>
      <c r="O1766" s="62" t="s">
        <v>358</v>
      </c>
      <c r="P1766" s="62" t="s">
        <v>2421</v>
      </c>
      <c r="Q1766" s="66" t="s">
        <v>1972</v>
      </c>
    </row>
    <row r="1767" spans="1:17" x14ac:dyDescent="0.3">
      <c r="A1767" s="61" t="s">
        <v>2263</v>
      </c>
      <c r="B1767" s="62" t="s">
        <v>1527</v>
      </c>
      <c r="C1767" s="62" t="s">
        <v>1528</v>
      </c>
      <c r="D1767" s="63">
        <v>45292</v>
      </c>
      <c r="E1767" s="63">
        <v>46203</v>
      </c>
      <c r="F1767" s="62" t="s">
        <v>287</v>
      </c>
      <c r="G1767" s="62" t="s">
        <v>964</v>
      </c>
      <c r="H1767" s="62" t="s">
        <v>467</v>
      </c>
      <c r="I1767" s="64">
        <v>3406.25</v>
      </c>
      <c r="J1767" s="62" t="s">
        <v>468</v>
      </c>
      <c r="K1767" s="62" t="s">
        <v>467</v>
      </c>
      <c r="L1767" s="65"/>
      <c r="M1767" s="62" t="s">
        <v>1518</v>
      </c>
      <c r="N1767" s="62" t="s">
        <v>1248</v>
      </c>
      <c r="O1767" s="62" t="s">
        <v>358</v>
      </c>
      <c r="P1767" s="62" t="s">
        <v>2421</v>
      </c>
      <c r="Q1767" s="66" t="s">
        <v>1972</v>
      </c>
    </row>
    <row r="1768" spans="1:17" x14ac:dyDescent="0.3">
      <c r="A1768" s="61" t="s">
        <v>2263</v>
      </c>
      <c r="B1768" s="62" t="s">
        <v>1527</v>
      </c>
      <c r="C1768" s="62" t="s">
        <v>1528</v>
      </c>
      <c r="D1768" s="63">
        <v>45292</v>
      </c>
      <c r="E1768" s="63">
        <v>46203</v>
      </c>
      <c r="F1768" s="62" t="s">
        <v>287</v>
      </c>
      <c r="G1768" s="62" t="s">
        <v>391</v>
      </c>
      <c r="H1768" s="62" t="s">
        <v>467</v>
      </c>
      <c r="I1768" s="64">
        <v>3406.25</v>
      </c>
      <c r="J1768" s="62" t="s">
        <v>468</v>
      </c>
      <c r="K1768" s="62" t="s">
        <v>467</v>
      </c>
      <c r="L1768" s="65"/>
      <c r="M1768" s="62" t="s">
        <v>1518</v>
      </c>
      <c r="N1768" s="62" t="s">
        <v>1248</v>
      </c>
      <c r="O1768" s="62" t="s">
        <v>358</v>
      </c>
      <c r="P1768" s="62" t="s">
        <v>2421</v>
      </c>
      <c r="Q1768" s="66" t="s">
        <v>1972</v>
      </c>
    </row>
    <row r="1769" spans="1:17" x14ac:dyDescent="0.3">
      <c r="A1769" s="61" t="s">
        <v>2263</v>
      </c>
      <c r="B1769" s="62" t="s">
        <v>1527</v>
      </c>
      <c r="C1769" s="62" t="s">
        <v>1528</v>
      </c>
      <c r="D1769" s="63">
        <v>45292</v>
      </c>
      <c r="E1769" s="63">
        <v>46203</v>
      </c>
      <c r="F1769" s="62" t="s">
        <v>287</v>
      </c>
      <c r="G1769" s="62" t="s">
        <v>771</v>
      </c>
      <c r="H1769" s="62" t="s">
        <v>467</v>
      </c>
      <c r="I1769" s="64">
        <v>3406.25</v>
      </c>
      <c r="J1769" s="62" t="s">
        <v>468</v>
      </c>
      <c r="K1769" s="62" t="s">
        <v>467</v>
      </c>
      <c r="L1769" s="65"/>
      <c r="M1769" s="62" t="s">
        <v>1518</v>
      </c>
      <c r="N1769" s="62" t="s">
        <v>1248</v>
      </c>
      <c r="O1769" s="62" t="s">
        <v>358</v>
      </c>
      <c r="P1769" s="62" t="s">
        <v>2421</v>
      </c>
      <c r="Q1769" s="66" t="s">
        <v>1972</v>
      </c>
    </row>
    <row r="1770" spans="1:17" x14ac:dyDescent="0.3">
      <c r="A1770" s="61" t="s">
        <v>2263</v>
      </c>
      <c r="B1770" s="62" t="s">
        <v>1527</v>
      </c>
      <c r="C1770" s="62" t="s">
        <v>1528</v>
      </c>
      <c r="D1770" s="63">
        <v>45292</v>
      </c>
      <c r="E1770" s="63">
        <v>46203</v>
      </c>
      <c r="F1770" s="62" t="s">
        <v>287</v>
      </c>
      <c r="G1770" s="62" t="s">
        <v>392</v>
      </c>
      <c r="H1770" s="62" t="s">
        <v>467</v>
      </c>
      <c r="I1770" s="64">
        <v>3406.25</v>
      </c>
      <c r="J1770" s="62" t="s">
        <v>468</v>
      </c>
      <c r="K1770" s="62" t="s">
        <v>467</v>
      </c>
      <c r="L1770" s="65"/>
      <c r="M1770" s="62" t="s">
        <v>1518</v>
      </c>
      <c r="N1770" s="62" t="s">
        <v>1248</v>
      </c>
      <c r="O1770" s="62" t="s">
        <v>358</v>
      </c>
      <c r="P1770" s="62" t="s">
        <v>2421</v>
      </c>
      <c r="Q1770" s="66" t="s">
        <v>1972</v>
      </c>
    </row>
    <row r="1771" spans="1:17" x14ac:dyDescent="0.3">
      <c r="A1771" s="61" t="s">
        <v>2263</v>
      </c>
      <c r="B1771" s="62" t="s">
        <v>1527</v>
      </c>
      <c r="C1771" s="62" t="s">
        <v>1528</v>
      </c>
      <c r="D1771" s="63">
        <v>45292</v>
      </c>
      <c r="E1771" s="63">
        <v>46203</v>
      </c>
      <c r="F1771" s="62" t="s">
        <v>287</v>
      </c>
      <c r="G1771" s="62" t="s">
        <v>592</v>
      </c>
      <c r="H1771" s="62" t="s">
        <v>467</v>
      </c>
      <c r="I1771" s="64">
        <v>3406.25</v>
      </c>
      <c r="J1771" s="62" t="s">
        <v>468</v>
      </c>
      <c r="K1771" s="62" t="s">
        <v>467</v>
      </c>
      <c r="L1771" s="65"/>
      <c r="M1771" s="62" t="s">
        <v>1518</v>
      </c>
      <c r="N1771" s="62" t="s">
        <v>1248</v>
      </c>
      <c r="O1771" s="62" t="s">
        <v>358</v>
      </c>
      <c r="P1771" s="62" t="s">
        <v>2421</v>
      </c>
      <c r="Q1771" s="66" t="s">
        <v>1972</v>
      </c>
    </row>
    <row r="1772" spans="1:17" x14ac:dyDescent="0.3">
      <c r="A1772" s="61" t="s">
        <v>2263</v>
      </c>
      <c r="B1772" s="62" t="s">
        <v>1527</v>
      </c>
      <c r="C1772" s="62" t="s">
        <v>1528</v>
      </c>
      <c r="D1772" s="63">
        <v>45292</v>
      </c>
      <c r="E1772" s="63">
        <v>46203</v>
      </c>
      <c r="F1772" s="62" t="s">
        <v>287</v>
      </c>
      <c r="G1772" s="62" t="s">
        <v>1262</v>
      </c>
      <c r="H1772" s="62" t="s">
        <v>467</v>
      </c>
      <c r="I1772" s="64">
        <v>3406.25</v>
      </c>
      <c r="J1772" s="62" t="s">
        <v>468</v>
      </c>
      <c r="K1772" s="62" t="s">
        <v>467</v>
      </c>
      <c r="L1772" s="65"/>
      <c r="M1772" s="62" t="s">
        <v>1518</v>
      </c>
      <c r="N1772" s="62" t="s">
        <v>1248</v>
      </c>
      <c r="O1772" s="62" t="s">
        <v>358</v>
      </c>
      <c r="P1772" s="62" t="s">
        <v>2421</v>
      </c>
      <c r="Q1772" s="66" t="s">
        <v>1972</v>
      </c>
    </row>
    <row r="1773" spans="1:17" x14ac:dyDescent="0.3">
      <c r="A1773" s="61" t="s">
        <v>2263</v>
      </c>
      <c r="B1773" s="62" t="s">
        <v>1527</v>
      </c>
      <c r="C1773" s="62" t="s">
        <v>1528</v>
      </c>
      <c r="D1773" s="63">
        <v>45292</v>
      </c>
      <c r="E1773" s="63">
        <v>46203</v>
      </c>
      <c r="F1773" s="62" t="s">
        <v>287</v>
      </c>
      <c r="G1773" s="62" t="s">
        <v>1540</v>
      </c>
      <c r="H1773" s="62" t="s">
        <v>467</v>
      </c>
      <c r="I1773" s="64">
        <v>3406.25</v>
      </c>
      <c r="J1773" s="62" t="s">
        <v>468</v>
      </c>
      <c r="K1773" s="62" t="s">
        <v>467</v>
      </c>
      <c r="L1773" s="65"/>
      <c r="M1773" s="62" t="s">
        <v>1518</v>
      </c>
      <c r="N1773" s="62" t="s">
        <v>1248</v>
      </c>
      <c r="O1773" s="62" t="s">
        <v>358</v>
      </c>
      <c r="P1773" s="62" t="s">
        <v>2421</v>
      </c>
      <c r="Q1773" s="66" t="s">
        <v>1972</v>
      </c>
    </row>
    <row r="1774" spans="1:17" x14ac:dyDescent="0.3">
      <c r="A1774" s="61" t="s">
        <v>2263</v>
      </c>
      <c r="B1774" s="62" t="s">
        <v>1527</v>
      </c>
      <c r="C1774" s="62" t="s">
        <v>1528</v>
      </c>
      <c r="D1774" s="63">
        <v>45292</v>
      </c>
      <c r="E1774" s="63">
        <v>46203</v>
      </c>
      <c r="F1774" s="62" t="s">
        <v>287</v>
      </c>
      <c r="G1774" s="62" t="s">
        <v>287</v>
      </c>
      <c r="H1774" s="62" t="s">
        <v>467</v>
      </c>
      <c r="I1774" s="64">
        <v>3406.25</v>
      </c>
      <c r="J1774" s="62" t="s">
        <v>468</v>
      </c>
      <c r="K1774" s="62" t="s">
        <v>467</v>
      </c>
      <c r="L1774" s="65"/>
      <c r="M1774" s="62" t="s">
        <v>1518</v>
      </c>
      <c r="N1774" s="62" t="s">
        <v>1248</v>
      </c>
      <c r="O1774" s="62" t="s">
        <v>358</v>
      </c>
      <c r="P1774" s="62" t="s">
        <v>2421</v>
      </c>
      <c r="Q1774" s="66" t="s">
        <v>1972</v>
      </c>
    </row>
    <row r="1775" spans="1:17" x14ac:dyDescent="0.3">
      <c r="A1775" s="61" t="s">
        <v>2263</v>
      </c>
      <c r="B1775" s="62" t="s">
        <v>1527</v>
      </c>
      <c r="C1775" s="62" t="s">
        <v>1528</v>
      </c>
      <c r="D1775" s="63">
        <v>45292</v>
      </c>
      <c r="E1775" s="63">
        <v>46203</v>
      </c>
      <c r="F1775" s="62" t="s">
        <v>287</v>
      </c>
      <c r="G1775" s="62" t="s">
        <v>425</v>
      </c>
      <c r="H1775" s="62" t="s">
        <v>467</v>
      </c>
      <c r="I1775" s="64">
        <v>3406.25</v>
      </c>
      <c r="J1775" s="62" t="s">
        <v>468</v>
      </c>
      <c r="K1775" s="62" t="s">
        <v>467</v>
      </c>
      <c r="L1775" s="65"/>
      <c r="M1775" s="62" t="s">
        <v>1518</v>
      </c>
      <c r="N1775" s="62" t="s">
        <v>1248</v>
      </c>
      <c r="O1775" s="62" t="s">
        <v>358</v>
      </c>
      <c r="P1775" s="62" t="s">
        <v>2421</v>
      </c>
      <c r="Q1775" s="66" t="s">
        <v>1972</v>
      </c>
    </row>
    <row r="1776" spans="1:17" x14ac:dyDescent="0.3">
      <c r="A1776" s="61" t="s">
        <v>2263</v>
      </c>
      <c r="B1776" s="62" t="s">
        <v>1527</v>
      </c>
      <c r="C1776" s="62" t="s">
        <v>1528</v>
      </c>
      <c r="D1776" s="63">
        <v>45292</v>
      </c>
      <c r="E1776" s="63">
        <v>46203</v>
      </c>
      <c r="F1776" s="62" t="s">
        <v>287</v>
      </c>
      <c r="G1776" s="62" t="s">
        <v>1541</v>
      </c>
      <c r="H1776" s="62" t="s">
        <v>467</v>
      </c>
      <c r="I1776" s="64">
        <v>3406.25</v>
      </c>
      <c r="J1776" s="62" t="s">
        <v>468</v>
      </c>
      <c r="K1776" s="62" t="s">
        <v>467</v>
      </c>
      <c r="L1776" s="65"/>
      <c r="M1776" s="62" t="s">
        <v>1518</v>
      </c>
      <c r="N1776" s="62" t="s">
        <v>1248</v>
      </c>
      <c r="O1776" s="62" t="s">
        <v>358</v>
      </c>
      <c r="P1776" s="62" t="s">
        <v>2421</v>
      </c>
      <c r="Q1776" s="66" t="s">
        <v>1972</v>
      </c>
    </row>
    <row r="1777" spans="1:17" x14ac:dyDescent="0.3">
      <c r="A1777" s="61" t="s">
        <v>2263</v>
      </c>
      <c r="B1777" s="62" t="s">
        <v>1527</v>
      </c>
      <c r="C1777" s="62" t="s">
        <v>1528</v>
      </c>
      <c r="D1777" s="63">
        <v>45292</v>
      </c>
      <c r="E1777" s="63">
        <v>46203</v>
      </c>
      <c r="F1777" s="62" t="s">
        <v>287</v>
      </c>
      <c r="G1777" s="62" t="s">
        <v>554</v>
      </c>
      <c r="H1777" s="62" t="s">
        <v>467</v>
      </c>
      <c r="I1777" s="64">
        <v>3406.25</v>
      </c>
      <c r="J1777" s="62" t="s">
        <v>468</v>
      </c>
      <c r="K1777" s="62" t="s">
        <v>467</v>
      </c>
      <c r="L1777" s="65"/>
      <c r="M1777" s="62" t="s">
        <v>1518</v>
      </c>
      <c r="N1777" s="62" t="s">
        <v>1248</v>
      </c>
      <c r="O1777" s="62" t="s">
        <v>358</v>
      </c>
      <c r="P1777" s="62" t="s">
        <v>2421</v>
      </c>
      <c r="Q1777" s="66" t="s">
        <v>1972</v>
      </c>
    </row>
    <row r="1778" spans="1:17" x14ac:dyDescent="0.3">
      <c r="A1778" s="61" t="s">
        <v>2263</v>
      </c>
      <c r="B1778" s="62" t="s">
        <v>1527</v>
      </c>
      <c r="C1778" s="62" t="s">
        <v>1528</v>
      </c>
      <c r="D1778" s="63">
        <v>45292</v>
      </c>
      <c r="E1778" s="63">
        <v>46203</v>
      </c>
      <c r="F1778" s="62" t="s">
        <v>287</v>
      </c>
      <c r="G1778" s="62" t="s">
        <v>393</v>
      </c>
      <c r="H1778" s="62" t="s">
        <v>467</v>
      </c>
      <c r="I1778" s="64">
        <v>3406.25</v>
      </c>
      <c r="J1778" s="62" t="s">
        <v>468</v>
      </c>
      <c r="K1778" s="62" t="s">
        <v>467</v>
      </c>
      <c r="L1778" s="65"/>
      <c r="M1778" s="62" t="s">
        <v>1518</v>
      </c>
      <c r="N1778" s="62" t="s">
        <v>1248</v>
      </c>
      <c r="O1778" s="62" t="s">
        <v>358</v>
      </c>
      <c r="P1778" s="62" t="s">
        <v>2421</v>
      </c>
      <c r="Q1778" s="66" t="s">
        <v>1972</v>
      </c>
    </row>
    <row r="1779" spans="1:17" x14ac:dyDescent="0.3">
      <c r="A1779" s="61" t="s">
        <v>2263</v>
      </c>
      <c r="B1779" s="62" t="s">
        <v>1527</v>
      </c>
      <c r="C1779" s="62" t="s">
        <v>1528</v>
      </c>
      <c r="D1779" s="63">
        <v>45292</v>
      </c>
      <c r="E1779" s="63">
        <v>46203</v>
      </c>
      <c r="F1779" s="62" t="s">
        <v>287</v>
      </c>
      <c r="G1779" s="62" t="s">
        <v>1298</v>
      </c>
      <c r="H1779" s="62" t="s">
        <v>467</v>
      </c>
      <c r="I1779" s="64">
        <v>3406.25</v>
      </c>
      <c r="J1779" s="62" t="s">
        <v>468</v>
      </c>
      <c r="K1779" s="62" t="s">
        <v>467</v>
      </c>
      <c r="L1779" s="65"/>
      <c r="M1779" s="62" t="s">
        <v>1518</v>
      </c>
      <c r="N1779" s="62" t="s">
        <v>1248</v>
      </c>
      <c r="O1779" s="62" t="s">
        <v>358</v>
      </c>
      <c r="P1779" s="62" t="s">
        <v>2421</v>
      </c>
      <c r="Q1779" s="66" t="s">
        <v>1972</v>
      </c>
    </row>
    <row r="1780" spans="1:17" x14ac:dyDescent="0.3">
      <c r="A1780" s="61" t="s">
        <v>2263</v>
      </c>
      <c r="B1780" s="62" t="s">
        <v>1527</v>
      </c>
      <c r="C1780" s="62" t="s">
        <v>1528</v>
      </c>
      <c r="D1780" s="63">
        <v>45292</v>
      </c>
      <c r="E1780" s="63">
        <v>46203</v>
      </c>
      <c r="F1780" s="62" t="s">
        <v>287</v>
      </c>
      <c r="G1780" s="62" t="s">
        <v>1108</v>
      </c>
      <c r="H1780" s="62" t="s">
        <v>467</v>
      </c>
      <c r="I1780" s="64">
        <v>3406.25</v>
      </c>
      <c r="J1780" s="62" t="s">
        <v>468</v>
      </c>
      <c r="K1780" s="62" t="s">
        <v>467</v>
      </c>
      <c r="L1780" s="65"/>
      <c r="M1780" s="62" t="s">
        <v>1518</v>
      </c>
      <c r="N1780" s="62" t="s">
        <v>1248</v>
      </c>
      <c r="O1780" s="62" t="s">
        <v>358</v>
      </c>
      <c r="P1780" s="62" t="s">
        <v>2421</v>
      </c>
      <c r="Q1780" s="66" t="s">
        <v>1972</v>
      </c>
    </row>
    <row r="1781" spans="1:17" x14ac:dyDescent="0.3">
      <c r="A1781" s="61" t="s">
        <v>2263</v>
      </c>
      <c r="B1781" s="62" t="s">
        <v>1527</v>
      </c>
      <c r="C1781" s="62" t="s">
        <v>1528</v>
      </c>
      <c r="D1781" s="63">
        <v>45292</v>
      </c>
      <c r="E1781" s="63">
        <v>46203</v>
      </c>
      <c r="F1781" s="62" t="s">
        <v>287</v>
      </c>
      <c r="G1781" s="62" t="s">
        <v>1199</v>
      </c>
      <c r="H1781" s="62" t="s">
        <v>467</v>
      </c>
      <c r="I1781" s="64">
        <v>3406.25</v>
      </c>
      <c r="J1781" s="62" t="s">
        <v>468</v>
      </c>
      <c r="K1781" s="62" t="s">
        <v>467</v>
      </c>
      <c r="L1781" s="65"/>
      <c r="M1781" s="62" t="s">
        <v>1518</v>
      </c>
      <c r="N1781" s="62" t="s">
        <v>1248</v>
      </c>
      <c r="O1781" s="62" t="s">
        <v>358</v>
      </c>
      <c r="P1781" s="62" t="s">
        <v>2421</v>
      </c>
      <c r="Q1781" s="66" t="s">
        <v>1972</v>
      </c>
    </row>
    <row r="1782" spans="1:17" x14ac:dyDescent="0.3">
      <c r="A1782" s="61" t="s">
        <v>2263</v>
      </c>
      <c r="B1782" s="62" t="s">
        <v>1527</v>
      </c>
      <c r="C1782" s="62" t="s">
        <v>1528</v>
      </c>
      <c r="D1782" s="63">
        <v>45292</v>
      </c>
      <c r="E1782" s="63">
        <v>46203</v>
      </c>
      <c r="F1782" s="62" t="s">
        <v>287</v>
      </c>
      <c r="G1782" s="62" t="s">
        <v>1542</v>
      </c>
      <c r="H1782" s="62" t="s">
        <v>467</v>
      </c>
      <c r="I1782" s="64">
        <v>3406.25</v>
      </c>
      <c r="J1782" s="62" t="s">
        <v>468</v>
      </c>
      <c r="K1782" s="62" t="s">
        <v>467</v>
      </c>
      <c r="L1782" s="65"/>
      <c r="M1782" s="62" t="s">
        <v>1518</v>
      </c>
      <c r="N1782" s="62" t="s">
        <v>1248</v>
      </c>
      <c r="O1782" s="62" t="s">
        <v>358</v>
      </c>
      <c r="P1782" s="62" t="s">
        <v>2421</v>
      </c>
      <c r="Q1782" s="66" t="s">
        <v>1972</v>
      </c>
    </row>
    <row r="1783" spans="1:17" x14ac:dyDescent="0.3">
      <c r="A1783" s="61" t="s">
        <v>2263</v>
      </c>
      <c r="B1783" s="62" t="s">
        <v>1527</v>
      </c>
      <c r="C1783" s="62" t="s">
        <v>1528</v>
      </c>
      <c r="D1783" s="63">
        <v>45292</v>
      </c>
      <c r="E1783" s="63">
        <v>46203</v>
      </c>
      <c r="F1783" s="62" t="s">
        <v>287</v>
      </c>
      <c r="G1783" s="62" t="s">
        <v>394</v>
      </c>
      <c r="H1783" s="62" t="s">
        <v>467</v>
      </c>
      <c r="I1783" s="64">
        <v>3406.25</v>
      </c>
      <c r="J1783" s="62" t="s">
        <v>468</v>
      </c>
      <c r="K1783" s="62" t="s">
        <v>467</v>
      </c>
      <c r="L1783" s="65"/>
      <c r="M1783" s="62" t="s">
        <v>1518</v>
      </c>
      <c r="N1783" s="62" t="s">
        <v>1248</v>
      </c>
      <c r="O1783" s="62" t="s">
        <v>358</v>
      </c>
      <c r="P1783" s="62" t="s">
        <v>2421</v>
      </c>
      <c r="Q1783" s="66" t="s">
        <v>1972</v>
      </c>
    </row>
    <row r="1784" spans="1:17" x14ac:dyDescent="0.3">
      <c r="A1784" s="61" t="s">
        <v>2263</v>
      </c>
      <c r="B1784" s="62" t="s">
        <v>1527</v>
      </c>
      <c r="C1784" s="62" t="s">
        <v>1528</v>
      </c>
      <c r="D1784" s="63">
        <v>45292</v>
      </c>
      <c r="E1784" s="63">
        <v>46203</v>
      </c>
      <c r="F1784" s="62" t="s">
        <v>287</v>
      </c>
      <c r="G1784" s="62" t="s">
        <v>593</v>
      </c>
      <c r="H1784" s="62" t="s">
        <v>467</v>
      </c>
      <c r="I1784" s="64">
        <v>3406.25</v>
      </c>
      <c r="J1784" s="62" t="s">
        <v>468</v>
      </c>
      <c r="K1784" s="62" t="s">
        <v>467</v>
      </c>
      <c r="L1784" s="65"/>
      <c r="M1784" s="62" t="s">
        <v>1518</v>
      </c>
      <c r="N1784" s="62" t="s">
        <v>1248</v>
      </c>
      <c r="O1784" s="62" t="s">
        <v>358</v>
      </c>
      <c r="P1784" s="62" t="s">
        <v>2421</v>
      </c>
      <c r="Q1784" s="66" t="s">
        <v>1972</v>
      </c>
    </row>
    <row r="1785" spans="1:17" x14ac:dyDescent="0.3">
      <c r="A1785" s="61" t="s">
        <v>2263</v>
      </c>
      <c r="B1785" s="62" t="s">
        <v>1527</v>
      </c>
      <c r="C1785" s="62" t="s">
        <v>1528</v>
      </c>
      <c r="D1785" s="63">
        <v>45292</v>
      </c>
      <c r="E1785" s="63">
        <v>46203</v>
      </c>
      <c r="F1785" s="62" t="s">
        <v>287</v>
      </c>
      <c r="G1785" s="62" t="s">
        <v>395</v>
      </c>
      <c r="H1785" s="62" t="s">
        <v>467</v>
      </c>
      <c r="I1785" s="64">
        <v>3406.25</v>
      </c>
      <c r="J1785" s="62" t="s">
        <v>468</v>
      </c>
      <c r="K1785" s="62" t="s">
        <v>467</v>
      </c>
      <c r="L1785" s="65"/>
      <c r="M1785" s="62" t="s">
        <v>1518</v>
      </c>
      <c r="N1785" s="62" t="s">
        <v>1248</v>
      </c>
      <c r="O1785" s="62" t="s">
        <v>358</v>
      </c>
      <c r="P1785" s="62" t="s">
        <v>2421</v>
      </c>
      <c r="Q1785" s="66" t="s">
        <v>1972</v>
      </c>
    </row>
    <row r="1786" spans="1:17" x14ac:dyDescent="0.3">
      <c r="A1786" s="61" t="s">
        <v>2263</v>
      </c>
      <c r="B1786" s="62" t="s">
        <v>1527</v>
      </c>
      <c r="C1786" s="62" t="s">
        <v>1528</v>
      </c>
      <c r="D1786" s="63">
        <v>45292</v>
      </c>
      <c r="E1786" s="63">
        <v>46203</v>
      </c>
      <c r="F1786" s="62" t="s">
        <v>287</v>
      </c>
      <c r="G1786" s="62" t="s">
        <v>396</v>
      </c>
      <c r="H1786" s="62" t="s">
        <v>467</v>
      </c>
      <c r="I1786" s="64">
        <v>3406.25</v>
      </c>
      <c r="J1786" s="62" t="s">
        <v>468</v>
      </c>
      <c r="K1786" s="62" t="s">
        <v>467</v>
      </c>
      <c r="L1786" s="65"/>
      <c r="M1786" s="62" t="s">
        <v>1518</v>
      </c>
      <c r="N1786" s="62" t="s">
        <v>1248</v>
      </c>
      <c r="O1786" s="62" t="s">
        <v>358</v>
      </c>
      <c r="P1786" s="62" t="s">
        <v>2421</v>
      </c>
      <c r="Q1786" s="66" t="s">
        <v>1972</v>
      </c>
    </row>
    <row r="1787" spans="1:17" x14ac:dyDescent="0.3">
      <c r="A1787" s="61" t="s">
        <v>2263</v>
      </c>
      <c r="B1787" s="62" t="s">
        <v>1527</v>
      </c>
      <c r="C1787" s="62" t="s">
        <v>1528</v>
      </c>
      <c r="D1787" s="63">
        <v>45292</v>
      </c>
      <c r="E1787" s="63">
        <v>46203</v>
      </c>
      <c r="F1787" s="62" t="s">
        <v>287</v>
      </c>
      <c r="G1787" s="62" t="s">
        <v>1543</v>
      </c>
      <c r="H1787" s="62" t="s">
        <v>467</v>
      </c>
      <c r="I1787" s="64">
        <v>3406.25</v>
      </c>
      <c r="J1787" s="62" t="s">
        <v>468</v>
      </c>
      <c r="K1787" s="62" t="s">
        <v>467</v>
      </c>
      <c r="L1787" s="65"/>
      <c r="M1787" s="62" t="s">
        <v>1518</v>
      </c>
      <c r="N1787" s="62" t="s">
        <v>1248</v>
      </c>
      <c r="O1787" s="62" t="s">
        <v>358</v>
      </c>
      <c r="P1787" s="62" t="s">
        <v>2421</v>
      </c>
      <c r="Q1787" s="66" t="s">
        <v>1972</v>
      </c>
    </row>
    <row r="1788" spans="1:17" x14ac:dyDescent="0.3">
      <c r="A1788" s="61" t="s">
        <v>2263</v>
      </c>
      <c r="B1788" s="62" t="s">
        <v>1527</v>
      </c>
      <c r="C1788" s="62" t="s">
        <v>1528</v>
      </c>
      <c r="D1788" s="63">
        <v>45292</v>
      </c>
      <c r="E1788" s="63">
        <v>46203</v>
      </c>
      <c r="F1788" s="62" t="s">
        <v>287</v>
      </c>
      <c r="G1788" s="62" t="s">
        <v>933</v>
      </c>
      <c r="H1788" s="62" t="s">
        <v>467</v>
      </c>
      <c r="I1788" s="64">
        <v>3406.25</v>
      </c>
      <c r="J1788" s="62" t="s">
        <v>468</v>
      </c>
      <c r="K1788" s="62" t="s">
        <v>467</v>
      </c>
      <c r="L1788" s="65"/>
      <c r="M1788" s="62" t="s">
        <v>1518</v>
      </c>
      <c r="N1788" s="62" t="s">
        <v>1248</v>
      </c>
      <c r="O1788" s="62" t="s">
        <v>358</v>
      </c>
      <c r="P1788" s="62" t="s">
        <v>2421</v>
      </c>
      <c r="Q1788" s="66" t="s">
        <v>1972</v>
      </c>
    </row>
    <row r="1789" spans="1:17" x14ac:dyDescent="0.3">
      <c r="A1789" s="61" t="s">
        <v>2263</v>
      </c>
      <c r="B1789" s="62" t="s">
        <v>1527</v>
      </c>
      <c r="C1789" s="62" t="s">
        <v>1528</v>
      </c>
      <c r="D1789" s="63">
        <v>45292</v>
      </c>
      <c r="E1789" s="63">
        <v>46203</v>
      </c>
      <c r="F1789" s="62" t="s">
        <v>287</v>
      </c>
      <c r="G1789" s="62" t="s">
        <v>786</v>
      </c>
      <c r="H1789" s="62" t="s">
        <v>467</v>
      </c>
      <c r="I1789" s="64">
        <v>3406.25</v>
      </c>
      <c r="J1789" s="62" t="s">
        <v>468</v>
      </c>
      <c r="K1789" s="62" t="s">
        <v>467</v>
      </c>
      <c r="L1789" s="65"/>
      <c r="M1789" s="62" t="s">
        <v>1518</v>
      </c>
      <c r="N1789" s="62" t="s">
        <v>1248</v>
      </c>
      <c r="O1789" s="62" t="s">
        <v>358</v>
      </c>
      <c r="P1789" s="62" t="s">
        <v>2421</v>
      </c>
      <c r="Q1789" s="66" t="s">
        <v>1972</v>
      </c>
    </row>
    <row r="1790" spans="1:17" x14ac:dyDescent="0.3">
      <c r="A1790" s="61" t="s">
        <v>2263</v>
      </c>
      <c r="B1790" s="62" t="s">
        <v>1527</v>
      </c>
      <c r="C1790" s="62" t="s">
        <v>1528</v>
      </c>
      <c r="D1790" s="63">
        <v>45292</v>
      </c>
      <c r="E1790" s="63">
        <v>46203</v>
      </c>
      <c r="F1790" s="62" t="s">
        <v>287</v>
      </c>
      <c r="G1790" s="62" t="s">
        <v>1544</v>
      </c>
      <c r="H1790" s="62" t="s">
        <v>467</v>
      </c>
      <c r="I1790" s="64">
        <v>3406.25</v>
      </c>
      <c r="J1790" s="62" t="s">
        <v>468</v>
      </c>
      <c r="K1790" s="62" t="s">
        <v>467</v>
      </c>
      <c r="L1790" s="65"/>
      <c r="M1790" s="62" t="s">
        <v>1518</v>
      </c>
      <c r="N1790" s="62" t="s">
        <v>1248</v>
      </c>
      <c r="O1790" s="62" t="s">
        <v>358</v>
      </c>
      <c r="P1790" s="62" t="s">
        <v>2421</v>
      </c>
      <c r="Q1790" s="66" t="s">
        <v>1972</v>
      </c>
    </row>
    <row r="1791" spans="1:17" x14ac:dyDescent="0.3">
      <c r="A1791" s="61" t="s">
        <v>2263</v>
      </c>
      <c r="B1791" s="62" t="s">
        <v>1527</v>
      </c>
      <c r="C1791" s="62" t="s">
        <v>1528</v>
      </c>
      <c r="D1791" s="63">
        <v>45292</v>
      </c>
      <c r="E1791" s="63">
        <v>46203</v>
      </c>
      <c r="F1791" s="62" t="s">
        <v>287</v>
      </c>
      <c r="G1791" s="62" t="s">
        <v>772</v>
      </c>
      <c r="H1791" s="62" t="s">
        <v>467</v>
      </c>
      <c r="I1791" s="64">
        <v>3406.25</v>
      </c>
      <c r="J1791" s="62" t="s">
        <v>468</v>
      </c>
      <c r="K1791" s="62" t="s">
        <v>467</v>
      </c>
      <c r="L1791" s="65"/>
      <c r="M1791" s="62" t="s">
        <v>1518</v>
      </c>
      <c r="N1791" s="62" t="s">
        <v>1248</v>
      </c>
      <c r="O1791" s="62" t="s">
        <v>358</v>
      </c>
      <c r="P1791" s="62" t="s">
        <v>2421</v>
      </c>
      <c r="Q1791" s="66" t="s">
        <v>1972</v>
      </c>
    </row>
    <row r="1792" spans="1:17" x14ac:dyDescent="0.3">
      <c r="A1792" s="61" t="s">
        <v>2263</v>
      </c>
      <c r="B1792" s="62" t="s">
        <v>1527</v>
      </c>
      <c r="C1792" s="62" t="s">
        <v>1528</v>
      </c>
      <c r="D1792" s="63">
        <v>45292</v>
      </c>
      <c r="E1792" s="63">
        <v>46203</v>
      </c>
      <c r="F1792" s="62" t="s">
        <v>287</v>
      </c>
      <c r="G1792" s="62" t="s">
        <v>697</v>
      </c>
      <c r="H1792" s="62" t="s">
        <v>467</v>
      </c>
      <c r="I1792" s="64">
        <v>3406.25</v>
      </c>
      <c r="J1792" s="62" t="s">
        <v>468</v>
      </c>
      <c r="K1792" s="62" t="s">
        <v>467</v>
      </c>
      <c r="L1792" s="65"/>
      <c r="M1792" s="62" t="s">
        <v>1518</v>
      </c>
      <c r="N1792" s="62" t="s">
        <v>1248</v>
      </c>
      <c r="O1792" s="62" t="s">
        <v>358</v>
      </c>
      <c r="P1792" s="62" t="s">
        <v>2421</v>
      </c>
      <c r="Q1792" s="66" t="s">
        <v>1972</v>
      </c>
    </row>
    <row r="1793" spans="1:17" x14ac:dyDescent="0.3">
      <c r="A1793" s="61" t="s">
        <v>2263</v>
      </c>
      <c r="B1793" s="62" t="s">
        <v>1527</v>
      </c>
      <c r="C1793" s="62" t="s">
        <v>1528</v>
      </c>
      <c r="D1793" s="63">
        <v>45292</v>
      </c>
      <c r="E1793" s="63">
        <v>46203</v>
      </c>
      <c r="F1793" s="62" t="s">
        <v>287</v>
      </c>
      <c r="G1793" s="62" t="s">
        <v>423</v>
      </c>
      <c r="H1793" s="62" t="s">
        <v>467</v>
      </c>
      <c r="I1793" s="64">
        <v>3406.25</v>
      </c>
      <c r="J1793" s="62" t="s">
        <v>468</v>
      </c>
      <c r="K1793" s="62" t="s">
        <v>467</v>
      </c>
      <c r="L1793" s="65"/>
      <c r="M1793" s="62" t="s">
        <v>1518</v>
      </c>
      <c r="N1793" s="62" t="s">
        <v>1248</v>
      </c>
      <c r="O1793" s="62" t="s">
        <v>358</v>
      </c>
      <c r="P1793" s="62" t="s">
        <v>2421</v>
      </c>
      <c r="Q1793" s="66" t="s">
        <v>1972</v>
      </c>
    </row>
    <row r="1794" spans="1:17" x14ac:dyDescent="0.3">
      <c r="A1794" s="61" t="s">
        <v>2263</v>
      </c>
      <c r="B1794" s="62" t="s">
        <v>1527</v>
      </c>
      <c r="C1794" s="62" t="s">
        <v>1528</v>
      </c>
      <c r="D1794" s="63">
        <v>45292</v>
      </c>
      <c r="E1794" s="63">
        <v>46203</v>
      </c>
      <c r="F1794" s="62" t="s">
        <v>287</v>
      </c>
      <c r="G1794" s="62" t="s">
        <v>773</v>
      </c>
      <c r="H1794" s="62" t="s">
        <v>467</v>
      </c>
      <c r="I1794" s="64">
        <v>3406.25</v>
      </c>
      <c r="J1794" s="62" t="s">
        <v>468</v>
      </c>
      <c r="K1794" s="62" t="s">
        <v>467</v>
      </c>
      <c r="L1794" s="65"/>
      <c r="M1794" s="62" t="s">
        <v>1518</v>
      </c>
      <c r="N1794" s="62" t="s">
        <v>1248</v>
      </c>
      <c r="O1794" s="62" t="s">
        <v>358</v>
      </c>
      <c r="P1794" s="62" t="s">
        <v>2421</v>
      </c>
      <c r="Q1794" s="66" t="s">
        <v>1972</v>
      </c>
    </row>
    <row r="1795" spans="1:17" x14ac:dyDescent="0.3">
      <c r="A1795" s="61" t="s">
        <v>2263</v>
      </c>
      <c r="B1795" s="62" t="s">
        <v>1527</v>
      </c>
      <c r="C1795" s="62" t="s">
        <v>1528</v>
      </c>
      <c r="D1795" s="63">
        <v>45292</v>
      </c>
      <c r="E1795" s="63">
        <v>46203</v>
      </c>
      <c r="F1795" s="62" t="s">
        <v>287</v>
      </c>
      <c r="G1795" s="62" t="s">
        <v>934</v>
      </c>
      <c r="H1795" s="62" t="s">
        <v>467</v>
      </c>
      <c r="I1795" s="64">
        <v>3406.25</v>
      </c>
      <c r="J1795" s="62" t="s">
        <v>468</v>
      </c>
      <c r="K1795" s="62" t="s">
        <v>467</v>
      </c>
      <c r="L1795" s="65"/>
      <c r="M1795" s="62" t="s">
        <v>1518</v>
      </c>
      <c r="N1795" s="62" t="s">
        <v>1248</v>
      </c>
      <c r="O1795" s="62" t="s">
        <v>358</v>
      </c>
      <c r="P1795" s="62" t="s">
        <v>2421</v>
      </c>
      <c r="Q1795" s="66" t="s">
        <v>1972</v>
      </c>
    </row>
    <row r="1796" spans="1:17" x14ac:dyDescent="0.3">
      <c r="A1796" s="61" t="s">
        <v>2263</v>
      </c>
      <c r="B1796" s="62" t="s">
        <v>1527</v>
      </c>
      <c r="C1796" s="62" t="s">
        <v>1528</v>
      </c>
      <c r="D1796" s="63">
        <v>45292</v>
      </c>
      <c r="E1796" s="63">
        <v>46203</v>
      </c>
      <c r="F1796" s="62" t="s">
        <v>287</v>
      </c>
      <c r="G1796" s="62" t="s">
        <v>1545</v>
      </c>
      <c r="H1796" s="62" t="s">
        <v>467</v>
      </c>
      <c r="I1796" s="64">
        <v>3406.25</v>
      </c>
      <c r="J1796" s="62" t="s">
        <v>468</v>
      </c>
      <c r="K1796" s="62" t="s">
        <v>467</v>
      </c>
      <c r="L1796" s="65"/>
      <c r="M1796" s="62" t="s">
        <v>1518</v>
      </c>
      <c r="N1796" s="62" t="s">
        <v>1248</v>
      </c>
      <c r="O1796" s="62" t="s">
        <v>358</v>
      </c>
      <c r="P1796" s="62" t="s">
        <v>2421</v>
      </c>
      <c r="Q1796" s="66" t="s">
        <v>1972</v>
      </c>
    </row>
    <row r="1797" spans="1:17" x14ac:dyDescent="0.3">
      <c r="A1797" s="61" t="s">
        <v>2263</v>
      </c>
      <c r="B1797" s="62" t="s">
        <v>1527</v>
      </c>
      <c r="C1797" s="62" t="s">
        <v>1528</v>
      </c>
      <c r="D1797" s="63">
        <v>45292</v>
      </c>
      <c r="E1797" s="63">
        <v>46203</v>
      </c>
      <c r="F1797" s="62" t="s">
        <v>287</v>
      </c>
      <c r="G1797" s="62" t="s">
        <v>774</v>
      </c>
      <c r="H1797" s="62" t="s">
        <v>467</v>
      </c>
      <c r="I1797" s="64">
        <v>3406.25</v>
      </c>
      <c r="J1797" s="62" t="s">
        <v>468</v>
      </c>
      <c r="K1797" s="62" t="s">
        <v>467</v>
      </c>
      <c r="L1797" s="65"/>
      <c r="M1797" s="62" t="s">
        <v>1518</v>
      </c>
      <c r="N1797" s="62" t="s">
        <v>1248</v>
      </c>
      <c r="O1797" s="62" t="s">
        <v>358</v>
      </c>
      <c r="P1797" s="62" t="s">
        <v>2421</v>
      </c>
      <c r="Q1797" s="66" t="s">
        <v>1972</v>
      </c>
    </row>
    <row r="1798" spans="1:17" x14ac:dyDescent="0.3">
      <c r="A1798" s="61" t="s">
        <v>2263</v>
      </c>
      <c r="B1798" s="62" t="s">
        <v>1527</v>
      </c>
      <c r="C1798" s="62" t="s">
        <v>1528</v>
      </c>
      <c r="D1798" s="63">
        <v>45292</v>
      </c>
      <c r="E1798" s="63">
        <v>46203</v>
      </c>
      <c r="F1798" s="62" t="s">
        <v>287</v>
      </c>
      <c r="G1798" s="62" t="s">
        <v>1345</v>
      </c>
      <c r="H1798" s="62" t="s">
        <v>467</v>
      </c>
      <c r="I1798" s="64">
        <v>3406.25</v>
      </c>
      <c r="J1798" s="62" t="s">
        <v>468</v>
      </c>
      <c r="K1798" s="62" t="s">
        <v>467</v>
      </c>
      <c r="L1798" s="65"/>
      <c r="M1798" s="62" t="s">
        <v>1518</v>
      </c>
      <c r="N1798" s="62" t="s">
        <v>1248</v>
      </c>
      <c r="O1798" s="62" t="s">
        <v>358</v>
      </c>
      <c r="P1798" s="62" t="s">
        <v>2421</v>
      </c>
      <c r="Q1798" s="66" t="s">
        <v>1972</v>
      </c>
    </row>
    <row r="1799" spans="1:17" x14ac:dyDescent="0.3">
      <c r="A1799" s="61" t="s">
        <v>2264</v>
      </c>
      <c r="B1799" s="62" t="s">
        <v>1546</v>
      </c>
      <c r="C1799" s="62" t="s">
        <v>1547</v>
      </c>
      <c r="D1799" s="63">
        <v>45686</v>
      </c>
      <c r="E1799" s="63">
        <v>47147</v>
      </c>
      <c r="F1799" s="62" t="s">
        <v>1943</v>
      </c>
      <c r="G1799" s="62" t="s">
        <v>452</v>
      </c>
      <c r="H1799" s="62" t="s">
        <v>2427</v>
      </c>
      <c r="I1799" s="64">
        <v>2425763</v>
      </c>
      <c r="J1799" s="62" t="s">
        <v>1548</v>
      </c>
      <c r="K1799" s="62" t="s">
        <v>345</v>
      </c>
      <c r="L1799" s="65"/>
      <c r="M1799" s="62" t="s">
        <v>1518</v>
      </c>
      <c r="N1799" s="62" t="s">
        <v>2424</v>
      </c>
      <c r="O1799" s="62" t="s">
        <v>426</v>
      </c>
      <c r="P1799" s="62" t="s">
        <v>2421</v>
      </c>
      <c r="Q1799" s="66" t="s">
        <v>1989</v>
      </c>
    </row>
    <row r="1800" spans="1:17" x14ac:dyDescent="0.3">
      <c r="A1800" s="61" t="s">
        <v>2264</v>
      </c>
      <c r="B1800" s="62" t="s">
        <v>1546</v>
      </c>
      <c r="C1800" s="62" t="s">
        <v>1547</v>
      </c>
      <c r="D1800" s="63">
        <v>45686</v>
      </c>
      <c r="E1800" s="63">
        <v>47147</v>
      </c>
      <c r="F1800" s="62" t="s">
        <v>1943</v>
      </c>
      <c r="G1800" s="62" t="s">
        <v>957</v>
      </c>
      <c r="H1800" s="62" t="s">
        <v>2427</v>
      </c>
      <c r="I1800" s="64">
        <v>2425763</v>
      </c>
      <c r="J1800" s="62" t="s">
        <v>1548</v>
      </c>
      <c r="K1800" s="62" t="s">
        <v>345</v>
      </c>
      <c r="L1800" s="65"/>
      <c r="M1800" s="62" t="s">
        <v>1518</v>
      </c>
      <c r="N1800" s="62" t="s">
        <v>2424</v>
      </c>
      <c r="O1800" s="62" t="s">
        <v>426</v>
      </c>
      <c r="P1800" s="62" t="s">
        <v>2421</v>
      </c>
      <c r="Q1800" s="66" t="s">
        <v>1989</v>
      </c>
    </row>
    <row r="1801" spans="1:17" x14ac:dyDescent="0.3">
      <c r="A1801" s="61" t="s">
        <v>2265</v>
      </c>
      <c r="B1801" s="62" t="s">
        <v>1549</v>
      </c>
      <c r="C1801" s="62" t="s">
        <v>1550</v>
      </c>
      <c r="D1801" s="63">
        <v>45412</v>
      </c>
      <c r="E1801" s="63">
        <v>46506</v>
      </c>
      <c r="F1801" s="62" t="s">
        <v>350</v>
      </c>
      <c r="G1801" s="62" t="s">
        <v>304</v>
      </c>
      <c r="H1801" s="62" t="s">
        <v>638</v>
      </c>
      <c r="I1801" s="64">
        <v>1818512</v>
      </c>
      <c r="J1801" s="62" t="s">
        <v>645</v>
      </c>
      <c r="K1801" s="62" t="s">
        <v>638</v>
      </c>
      <c r="L1801" s="65"/>
      <c r="M1801" s="62" t="s">
        <v>825</v>
      </c>
      <c r="N1801" s="62" t="s">
        <v>378</v>
      </c>
      <c r="O1801" s="62" t="s">
        <v>371</v>
      </c>
      <c r="P1801" s="62" t="s">
        <v>2421</v>
      </c>
      <c r="Q1801" s="66" t="s">
        <v>1972</v>
      </c>
    </row>
    <row r="1802" spans="1:17" x14ac:dyDescent="0.3">
      <c r="A1802" s="61" t="s">
        <v>2266</v>
      </c>
      <c r="B1802" s="62" t="s">
        <v>1551</v>
      </c>
      <c r="C1802" s="62" t="s">
        <v>1552</v>
      </c>
      <c r="D1802" s="63">
        <v>45565</v>
      </c>
      <c r="E1802" s="63">
        <v>46294</v>
      </c>
      <c r="F1802" s="62" t="s">
        <v>350</v>
      </c>
      <c r="G1802" s="62" t="s">
        <v>350</v>
      </c>
      <c r="H1802" s="62" t="s">
        <v>2420</v>
      </c>
      <c r="I1802" s="64">
        <v>147966</v>
      </c>
      <c r="J1802" s="62" t="s">
        <v>2453</v>
      </c>
      <c r="K1802" s="62" t="s">
        <v>1957</v>
      </c>
      <c r="L1802" s="65"/>
      <c r="M1802" s="62" t="s">
        <v>2443</v>
      </c>
      <c r="N1802" s="62" t="s">
        <v>558</v>
      </c>
      <c r="O1802" s="62" t="s">
        <v>426</v>
      </c>
      <c r="P1802" s="62" t="s">
        <v>2421</v>
      </c>
      <c r="Q1802" s="66" t="s">
        <v>1985</v>
      </c>
    </row>
    <row r="1803" spans="1:17" x14ac:dyDescent="0.3">
      <c r="A1803" s="61" t="s">
        <v>2267</v>
      </c>
      <c r="B1803" s="62" t="s">
        <v>1553</v>
      </c>
      <c r="C1803" s="62" t="s">
        <v>1554</v>
      </c>
      <c r="D1803" s="63">
        <v>45503</v>
      </c>
      <c r="E1803" s="63">
        <v>46230</v>
      </c>
      <c r="F1803" s="62" t="s">
        <v>289</v>
      </c>
      <c r="G1803" s="62" t="s">
        <v>574</v>
      </c>
      <c r="H1803" s="62" t="s">
        <v>443</v>
      </c>
      <c r="I1803" s="64">
        <v>24761</v>
      </c>
      <c r="J1803" s="62" t="s">
        <v>939</v>
      </c>
      <c r="K1803" s="62" t="s">
        <v>377</v>
      </c>
      <c r="L1803" s="65"/>
      <c r="M1803" s="62" t="s">
        <v>2443</v>
      </c>
      <c r="N1803" s="62" t="s">
        <v>314</v>
      </c>
      <c r="O1803" s="62" t="s">
        <v>315</v>
      </c>
      <c r="P1803" s="62" t="s">
        <v>2421</v>
      </c>
      <c r="Q1803" s="66" t="s">
        <v>1972</v>
      </c>
    </row>
    <row r="1804" spans="1:17" x14ac:dyDescent="0.3">
      <c r="A1804" s="61" t="s">
        <v>2267</v>
      </c>
      <c r="B1804" s="62" t="s">
        <v>1553</v>
      </c>
      <c r="C1804" s="62" t="s">
        <v>1554</v>
      </c>
      <c r="D1804" s="63">
        <v>45503</v>
      </c>
      <c r="E1804" s="63">
        <v>46230</v>
      </c>
      <c r="F1804" s="62" t="s">
        <v>289</v>
      </c>
      <c r="G1804" s="62" t="s">
        <v>965</v>
      </c>
      <c r="H1804" s="62" t="s">
        <v>443</v>
      </c>
      <c r="I1804" s="64">
        <v>24761</v>
      </c>
      <c r="J1804" s="62" t="s">
        <v>939</v>
      </c>
      <c r="K1804" s="62" t="s">
        <v>377</v>
      </c>
      <c r="L1804" s="65"/>
      <c r="M1804" s="62" t="s">
        <v>2443</v>
      </c>
      <c r="N1804" s="62" t="s">
        <v>314</v>
      </c>
      <c r="O1804" s="62" t="s">
        <v>315</v>
      </c>
      <c r="P1804" s="62" t="s">
        <v>2421</v>
      </c>
      <c r="Q1804" s="66" t="s">
        <v>1972</v>
      </c>
    </row>
    <row r="1805" spans="1:17" x14ac:dyDescent="0.3">
      <c r="A1805" s="61" t="s">
        <v>2267</v>
      </c>
      <c r="B1805" s="62" t="s">
        <v>1553</v>
      </c>
      <c r="C1805" s="62" t="s">
        <v>1554</v>
      </c>
      <c r="D1805" s="63">
        <v>45503</v>
      </c>
      <c r="E1805" s="63">
        <v>46230</v>
      </c>
      <c r="F1805" s="62" t="s">
        <v>289</v>
      </c>
      <c r="G1805" s="62" t="s">
        <v>576</v>
      </c>
      <c r="H1805" s="62" t="s">
        <v>443</v>
      </c>
      <c r="I1805" s="64">
        <v>24761</v>
      </c>
      <c r="J1805" s="62" t="s">
        <v>939</v>
      </c>
      <c r="K1805" s="62" t="s">
        <v>377</v>
      </c>
      <c r="L1805" s="65"/>
      <c r="M1805" s="62" t="s">
        <v>2443</v>
      </c>
      <c r="N1805" s="62" t="s">
        <v>314</v>
      </c>
      <c r="O1805" s="62" t="s">
        <v>315</v>
      </c>
      <c r="P1805" s="62" t="s">
        <v>2421</v>
      </c>
      <c r="Q1805" s="66" t="s">
        <v>1972</v>
      </c>
    </row>
    <row r="1806" spans="1:17" x14ac:dyDescent="0.3">
      <c r="A1806" s="61" t="s">
        <v>2268</v>
      </c>
      <c r="B1806" s="62" t="s">
        <v>1555</v>
      </c>
      <c r="C1806" s="62" t="s">
        <v>1556</v>
      </c>
      <c r="D1806" s="63">
        <v>45398</v>
      </c>
      <c r="E1806" s="63">
        <v>46366</v>
      </c>
      <c r="F1806" s="62" t="s">
        <v>348</v>
      </c>
      <c r="G1806" s="62" t="s">
        <v>304</v>
      </c>
      <c r="H1806" s="62" t="s">
        <v>2420</v>
      </c>
      <c r="I1806" s="64">
        <v>350000</v>
      </c>
      <c r="J1806" s="62" t="s">
        <v>2425</v>
      </c>
      <c r="K1806" s="62" t="s">
        <v>377</v>
      </c>
      <c r="L1806" s="65"/>
      <c r="M1806" s="62" t="s">
        <v>825</v>
      </c>
      <c r="N1806" s="62" t="s">
        <v>1248</v>
      </c>
      <c r="O1806" s="62" t="s">
        <v>358</v>
      </c>
      <c r="P1806" s="62" t="s">
        <v>2421</v>
      </c>
      <c r="Q1806" s="66" t="s">
        <v>1964</v>
      </c>
    </row>
    <row r="1807" spans="1:17" x14ac:dyDescent="0.3">
      <c r="A1807" s="61" t="s">
        <v>2269</v>
      </c>
      <c r="B1807" s="62" t="s">
        <v>1557</v>
      </c>
      <c r="C1807" s="62" t="s">
        <v>1558</v>
      </c>
      <c r="D1807" s="63">
        <v>45444</v>
      </c>
      <c r="E1807" s="63">
        <v>47483</v>
      </c>
      <c r="F1807" s="62" t="s">
        <v>350</v>
      </c>
      <c r="G1807" s="62" t="s">
        <v>304</v>
      </c>
      <c r="H1807" s="62" t="s">
        <v>489</v>
      </c>
      <c r="I1807" s="64">
        <v>8000000</v>
      </c>
      <c r="J1807" s="62" t="s">
        <v>1105</v>
      </c>
      <c r="K1807" s="62" t="s">
        <v>489</v>
      </c>
      <c r="L1807" s="65"/>
      <c r="M1807" s="62" t="s">
        <v>1518</v>
      </c>
      <c r="N1807" s="62" t="s">
        <v>793</v>
      </c>
      <c r="O1807" s="62" t="s">
        <v>358</v>
      </c>
      <c r="P1807" s="62" t="s">
        <v>2421</v>
      </c>
      <c r="Q1807" s="66" t="s">
        <v>1971</v>
      </c>
    </row>
    <row r="1808" spans="1:17" x14ac:dyDescent="0.3">
      <c r="A1808" s="61" t="s">
        <v>2270</v>
      </c>
      <c r="B1808" s="62" t="s">
        <v>1559</v>
      </c>
      <c r="C1808" s="62" t="s">
        <v>1560</v>
      </c>
      <c r="D1808" s="63">
        <v>45488</v>
      </c>
      <c r="E1808" s="63">
        <v>46401</v>
      </c>
      <c r="F1808" s="62" t="s">
        <v>1921</v>
      </c>
      <c r="G1808" s="62" t="s">
        <v>713</v>
      </c>
      <c r="H1808" s="62" t="s">
        <v>2427</v>
      </c>
      <c r="I1808" s="64">
        <v>32426</v>
      </c>
      <c r="J1808" s="62" t="s">
        <v>2495</v>
      </c>
      <c r="K1808" s="62" t="s">
        <v>2433</v>
      </c>
      <c r="L1808" s="65"/>
      <c r="M1808" s="62" t="s">
        <v>1518</v>
      </c>
      <c r="N1808" s="62" t="s">
        <v>719</v>
      </c>
      <c r="O1808" s="62" t="s">
        <v>465</v>
      </c>
      <c r="P1808" s="62" t="s">
        <v>2421</v>
      </c>
      <c r="Q1808" s="66" t="s">
        <v>2021</v>
      </c>
    </row>
    <row r="1809" spans="1:17" x14ac:dyDescent="0.3">
      <c r="A1809" s="61" t="s">
        <v>2270</v>
      </c>
      <c r="B1809" s="62" t="s">
        <v>1559</v>
      </c>
      <c r="C1809" s="62" t="s">
        <v>1560</v>
      </c>
      <c r="D1809" s="63">
        <v>45488</v>
      </c>
      <c r="E1809" s="63">
        <v>46401</v>
      </c>
      <c r="F1809" s="62" t="s">
        <v>1921</v>
      </c>
      <c r="G1809" s="62" t="s">
        <v>713</v>
      </c>
      <c r="H1809" s="62" t="s">
        <v>489</v>
      </c>
      <c r="I1809" s="64">
        <v>287963</v>
      </c>
      <c r="J1809" s="62" t="s">
        <v>490</v>
      </c>
      <c r="K1809" s="62" t="s">
        <v>2433</v>
      </c>
      <c r="L1809" s="65"/>
      <c r="M1809" s="62" t="s">
        <v>1518</v>
      </c>
      <c r="N1809" s="62" t="s">
        <v>719</v>
      </c>
      <c r="O1809" s="62" t="s">
        <v>465</v>
      </c>
      <c r="P1809" s="62" t="s">
        <v>2421</v>
      </c>
      <c r="Q1809" s="66" t="s">
        <v>2021</v>
      </c>
    </row>
    <row r="1810" spans="1:17" x14ac:dyDescent="0.3">
      <c r="A1810" s="61" t="s">
        <v>2271</v>
      </c>
      <c r="B1810" s="62" t="s">
        <v>1561</v>
      </c>
      <c r="C1810" s="62" t="s">
        <v>1562</v>
      </c>
      <c r="D1810" s="63">
        <v>45174</v>
      </c>
      <c r="E1810" s="63">
        <v>46234</v>
      </c>
      <c r="F1810" s="62" t="s">
        <v>350</v>
      </c>
      <c r="G1810" s="62" t="s">
        <v>304</v>
      </c>
      <c r="H1810" s="62" t="s">
        <v>2426</v>
      </c>
      <c r="I1810" s="64">
        <v>2000000</v>
      </c>
      <c r="J1810" s="62" t="s">
        <v>601</v>
      </c>
      <c r="K1810" s="62" t="s">
        <v>377</v>
      </c>
      <c r="L1810" s="65"/>
      <c r="M1810" s="62" t="s">
        <v>1518</v>
      </c>
      <c r="N1810" s="62" t="s">
        <v>1563</v>
      </c>
      <c r="O1810" s="62" t="s">
        <v>596</v>
      </c>
      <c r="P1810" s="62" t="s">
        <v>2421</v>
      </c>
      <c r="Q1810" s="66" t="s">
        <v>1971</v>
      </c>
    </row>
    <row r="1811" spans="1:17" x14ac:dyDescent="0.3">
      <c r="A1811" s="61" t="s">
        <v>2272</v>
      </c>
      <c r="B1811" s="62" t="s">
        <v>1564</v>
      </c>
      <c r="C1811" s="62" t="s">
        <v>1565</v>
      </c>
      <c r="D1811" s="63">
        <v>45553</v>
      </c>
      <c r="E1811" s="63">
        <v>46277</v>
      </c>
      <c r="F1811" s="62" t="s">
        <v>350</v>
      </c>
      <c r="G1811" s="62" t="s">
        <v>304</v>
      </c>
      <c r="H1811" s="62" t="s">
        <v>2420</v>
      </c>
      <c r="I1811" s="64">
        <v>200000</v>
      </c>
      <c r="J1811" s="62" t="s">
        <v>2425</v>
      </c>
      <c r="K1811" s="62" t="s">
        <v>377</v>
      </c>
      <c r="L1811" s="65"/>
      <c r="M1811" s="62" t="s">
        <v>1518</v>
      </c>
      <c r="N1811" s="62" t="s">
        <v>910</v>
      </c>
      <c r="O1811" s="62" t="s">
        <v>646</v>
      </c>
      <c r="P1811" s="62" t="s">
        <v>2421</v>
      </c>
      <c r="Q1811" s="66" t="s">
        <v>1974</v>
      </c>
    </row>
    <row r="1812" spans="1:17" x14ac:dyDescent="0.3">
      <c r="A1812" s="61" t="s">
        <v>2273</v>
      </c>
      <c r="B1812" s="62" t="s">
        <v>1566</v>
      </c>
      <c r="C1812" s="62" t="s">
        <v>1567</v>
      </c>
      <c r="D1812" s="63">
        <v>45170</v>
      </c>
      <c r="E1812" s="63">
        <v>46203</v>
      </c>
      <c r="F1812" s="62" t="s">
        <v>350</v>
      </c>
      <c r="G1812" s="62" t="s">
        <v>304</v>
      </c>
      <c r="H1812" s="62" t="s">
        <v>2422</v>
      </c>
      <c r="I1812" s="64">
        <v>17500</v>
      </c>
      <c r="J1812" s="62" t="s">
        <v>1568</v>
      </c>
      <c r="K1812" s="62" t="s">
        <v>377</v>
      </c>
      <c r="L1812" s="65"/>
      <c r="M1812" s="62" t="s">
        <v>1518</v>
      </c>
      <c r="N1812" s="62" t="s">
        <v>364</v>
      </c>
      <c r="O1812" s="62" t="s">
        <v>365</v>
      </c>
      <c r="P1812" s="62" t="s">
        <v>2421</v>
      </c>
      <c r="Q1812" s="66" t="s">
        <v>1971</v>
      </c>
    </row>
    <row r="1813" spans="1:17" x14ac:dyDescent="0.3">
      <c r="A1813" s="61" t="s">
        <v>2274</v>
      </c>
      <c r="B1813" s="62" t="s">
        <v>1569</v>
      </c>
      <c r="C1813" s="62" t="s">
        <v>1570</v>
      </c>
      <c r="D1813" s="63">
        <v>45541</v>
      </c>
      <c r="E1813" s="63">
        <v>46182</v>
      </c>
      <c r="F1813" s="62" t="s">
        <v>1916</v>
      </c>
      <c r="G1813" s="62" t="s">
        <v>304</v>
      </c>
      <c r="H1813" s="62" t="s">
        <v>2420</v>
      </c>
      <c r="I1813" s="64">
        <v>500000</v>
      </c>
      <c r="J1813" s="62" t="s">
        <v>2425</v>
      </c>
      <c r="K1813" s="62" t="s">
        <v>377</v>
      </c>
      <c r="L1813" s="65"/>
      <c r="M1813" s="62" t="s">
        <v>1518</v>
      </c>
      <c r="N1813" s="62" t="s">
        <v>1504</v>
      </c>
      <c r="O1813" s="62" t="s">
        <v>596</v>
      </c>
      <c r="P1813" s="62" t="s">
        <v>2421</v>
      </c>
      <c r="Q1813" s="66" t="s">
        <v>1982</v>
      </c>
    </row>
    <row r="1814" spans="1:17" x14ac:dyDescent="0.3">
      <c r="A1814" s="61" t="s">
        <v>2275</v>
      </c>
      <c r="B1814" s="62" t="s">
        <v>1571</v>
      </c>
      <c r="C1814" s="62" t="s">
        <v>1572</v>
      </c>
      <c r="D1814" s="63">
        <v>44862</v>
      </c>
      <c r="E1814" s="63">
        <v>46630</v>
      </c>
      <c r="F1814" s="62" t="s">
        <v>1931</v>
      </c>
      <c r="G1814" s="62" t="s">
        <v>304</v>
      </c>
      <c r="H1814" s="62" t="s">
        <v>2426</v>
      </c>
      <c r="I1814" s="64">
        <v>3500000</v>
      </c>
      <c r="J1814" s="62" t="s">
        <v>601</v>
      </c>
      <c r="K1814" s="62" t="s">
        <v>377</v>
      </c>
      <c r="L1814" s="65"/>
      <c r="M1814" s="62" t="s">
        <v>457</v>
      </c>
      <c r="N1814" s="62" t="s">
        <v>1573</v>
      </c>
      <c r="O1814" s="62" t="s">
        <v>744</v>
      </c>
      <c r="P1814" s="62" t="s">
        <v>2421</v>
      </c>
      <c r="Q1814" s="66" t="s">
        <v>1971</v>
      </c>
    </row>
    <row r="1815" spans="1:17" x14ac:dyDescent="0.3">
      <c r="A1815" s="61" t="s">
        <v>2275</v>
      </c>
      <c r="B1815" s="62" t="s">
        <v>1571</v>
      </c>
      <c r="C1815" s="62" t="s">
        <v>1572</v>
      </c>
      <c r="D1815" s="63">
        <v>44862</v>
      </c>
      <c r="E1815" s="63">
        <v>46630</v>
      </c>
      <c r="F1815" s="62" t="s">
        <v>282</v>
      </c>
      <c r="G1815" s="62" t="s">
        <v>304</v>
      </c>
      <c r="H1815" s="62" t="s">
        <v>2426</v>
      </c>
      <c r="I1815" s="64">
        <v>3500000</v>
      </c>
      <c r="J1815" s="62" t="s">
        <v>601</v>
      </c>
      <c r="K1815" s="62" t="s">
        <v>377</v>
      </c>
      <c r="L1815" s="65"/>
      <c r="M1815" s="62" t="s">
        <v>457</v>
      </c>
      <c r="N1815" s="62" t="s">
        <v>1573</v>
      </c>
      <c r="O1815" s="62" t="s">
        <v>744</v>
      </c>
      <c r="P1815" s="62" t="s">
        <v>2421</v>
      </c>
      <c r="Q1815" s="66" t="s">
        <v>1971</v>
      </c>
    </row>
    <row r="1816" spans="1:17" x14ac:dyDescent="0.3">
      <c r="A1816" s="61" t="s">
        <v>2276</v>
      </c>
      <c r="B1816" s="62" t="s">
        <v>1574</v>
      </c>
      <c r="C1816" s="62" t="s">
        <v>1575</v>
      </c>
      <c r="D1816" s="63">
        <v>45606</v>
      </c>
      <c r="E1816" s="63">
        <v>46276</v>
      </c>
      <c r="F1816" s="62" t="s">
        <v>350</v>
      </c>
      <c r="G1816" s="62" t="s">
        <v>350</v>
      </c>
      <c r="H1816" s="62" t="s">
        <v>2420</v>
      </c>
      <c r="I1816" s="64">
        <v>200000</v>
      </c>
      <c r="J1816" s="62" t="s">
        <v>2425</v>
      </c>
      <c r="K1816" s="62" t="s">
        <v>377</v>
      </c>
      <c r="L1816" s="65"/>
      <c r="M1816" s="62" t="s">
        <v>424</v>
      </c>
      <c r="N1816" s="62" t="s">
        <v>851</v>
      </c>
      <c r="O1816" s="62" t="s">
        <v>637</v>
      </c>
      <c r="P1816" s="62" t="s">
        <v>2421</v>
      </c>
      <c r="Q1816" s="66" t="s">
        <v>1965</v>
      </c>
    </row>
    <row r="1817" spans="1:17" x14ac:dyDescent="0.3">
      <c r="A1817" s="61" t="s">
        <v>2277</v>
      </c>
      <c r="B1817" s="62" t="s">
        <v>1580</v>
      </c>
      <c r="C1817" s="62" t="s">
        <v>1581</v>
      </c>
      <c r="D1817" s="63">
        <v>45468</v>
      </c>
      <c r="E1817" s="63">
        <v>46313</v>
      </c>
      <c r="F1817" s="62" t="s">
        <v>348</v>
      </c>
      <c r="G1817" s="62" t="s">
        <v>304</v>
      </c>
      <c r="H1817" s="62" t="s">
        <v>2420</v>
      </c>
      <c r="I1817" s="64">
        <v>250000</v>
      </c>
      <c r="J1817" s="62" t="s">
        <v>2425</v>
      </c>
      <c r="K1817" s="62" t="s">
        <v>377</v>
      </c>
      <c r="L1817" s="65"/>
      <c r="M1817" s="62" t="s">
        <v>825</v>
      </c>
      <c r="N1817" s="62" t="s">
        <v>912</v>
      </c>
      <c r="O1817" s="62" t="s">
        <v>571</v>
      </c>
      <c r="P1817" s="62" t="s">
        <v>2421</v>
      </c>
      <c r="Q1817" s="66" t="s">
        <v>1984</v>
      </c>
    </row>
    <row r="1818" spans="1:17" x14ac:dyDescent="0.3">
      <c r="A1818" s="61" t="s">
        <v>2278</v>
      </c>
      <c r="B1818" s="62" t="s">
        <v>1582</v>
      </c>
      <c r="C1818" s="62" t="s">
        <v>1583</v>
      </c>
      <c r="D1818" s="63">
        <v>45407</v>
      </c>
      <c r="E1818" s="63">
        <v>46317</v>
      </c>
      <c r="F1818" s="62" t="s">
        <v>350</v>
      </c>
      <c r="G1818" s="62" t="s">
        <v>304</v>
      </c>
      <c r="H1818" s="62" t="s">
        <v>2420</v>
      </c>
      <c r="I1818" s="64">
        <v>400000</v>
      </c>
      <c r="J1818" s="62" t="s">
        <v>2425</v>
      </c>
      <c r="K1818" s="62" t="s">
        <v>377</v>
      </c>
      <c r="L1818" s="65"/>
      <c r="M1818" s="62" t="s">
        <v>1518</v>
      </c>
      <c r="N1818" s="62" t="s">
        <v>949</v>
      </c>
      <c r="O1818" s="62" t="s">
        <v>309</v>
      </c>
      <c r="P1818" s="62" t="s">
        <v>2421</v>
      </c>
      <c r="Q1818" s="66" t="s">
        <v>1982</v>
      </c>
    </row>
    <row r="1819" spans="1:17" x14ac:dyDescent="0.3">
      <c r="A1819" s="61" t="s">
        <v>2279</v>
      </c>
      <c r="B1819" s="62" t="s">
        <v>1584</v>
      </c>
      <c r="C1819" s="62" t="s">
        <v>1585</v>
      </c>
      <c r="D1819" s="63">
        <v>45372</v>
      </c>
      <c r="E1819" s="63">
        <v>46285</v>
      </c>
      <c r="F1819" s="62" t="s">
        <v>1916</v>
      </c>
      <c r="G1819" s="62" t="s">
        <v>304</v>
      </c>
      <c r="H1819" s="62" t="s">
        <v>2420</v>
      </c>
      <c r="I1819" s="64">
        <v>150000</v>
      </c>
      <c r="J1819" s="62" t="s">
        <v>2425</v>
      </c>
      <c r="K1819" s="62" t="s">
        <v>377</v>
      </c>
      <c r="L1819" s="65"/>
      <c r="M1819" s="62" t="s">
        <v>825</v>
      </c>
      <c r="N1819" s="62" t="s">
        <v>671</v>
      </c>
      <c r="O1819" s="62" t="s">
        <v>426</v>
      </c>
      <c r="P1819" s="62" t="s">
        <v>2421</v>
      </c>
      <c r="Q1819" s="66" t="s">
        <v>1965</v>
      </c>
    </row>
    <row r="1820" spans="1:17" x14ac:dyDescent="0.3">
      <c r="A1820" s="61" t="s">
        <v>2280</v>
      </c>
      <c r="B1820" s="62" t="s">
        <v>1586</v>
      </c>
      <c r="C1820" s="62" t="s">
        <v>1587</v>
      </c>
      <c r="D1820" s="63">
        <v>45489</v>
      </c>
      <c r="E1820" s="63">
        <v>46696</v>
      </c>
      <c r="F1820" s="62" t="s">
        <v>350</v>
      </c>
      <c r="G1820" s="62" t="s">
        <v>350</v>
      </c>
      <c r="H1820" s="62" t="s">
        <v>2420</v>
      </c>
      <c r="I1820" s="64">
        <v>700000</v>
      </c>
      <c r="J1820" s="62" t="s">
        <v>2425</v>
      </c>
      <c r="K1820" s="62" t="s">
        <v>377</v>
      </c>
      <c r="L1820" s="65"/>
      <c r="M1820" s="62" t="s">
        <v>2443</v>
      </c>
      <c r="N1820" s="62" t="s">
        <v>640</v>
      </c>
      <c r="O1820" s="62" t="s">
        <v>417</v>
      </c>
      <c r="P1820" s="62" t="s">
        <v>2421</v>
      </c>
      <c r="Q1820" s="66" t="s">
        <v>1985</v>
      </c>
    </row>
    <row r="1821" spans="1:17" x14ac:dyDescent="0.3">
      <c r="A1821" s="61" t="s">
        <v>2281</v>
      </c>
      <c r="B1821" s="62" t="s">
        <v>1588</v>
      </c>
      <c r="C1821" s="62" t="s">
        <v>1589</v>
      </c>
      <c r="D1821" s="63">
        <v>45476</v>
      </c>
      <c r="E1821" s="63">
        <v>46687</v>
      </c>
      <c r="F1821" s="62" t="s">
        <v>350</v>
      </c>
      <c r="G1821" s="62" t="s">
        <v>350</v>
      </c>
      <c r="H1821" s="62" t="s">
        <v>2420</v>
      </c>
      <c r="I1821" s="64">
        <v>125000</v>
      </c>
      <c r="J1821" s="62" t="s">
        <v>2425</v>
      </c>
      <c r="K1821" s="62" t="s">
        <v>377</v>
      </c>
      <c r="L1821" s="65"/>
      <c r="M1821" s="62" t="s">
        <v>2465</v>
      </c>
      <c r="N1821" s="62" t="s">
        <v>851</v>
      </c>
      <c r="O1821" s="62" t="s">
        <v>637</v>
      </c>
      <c r="P1821" s="62" t="s">
        <v>2421</v>
      </c>
      <c r="Q1821" s="66" t="s">
        <v>1974</v>
      </c>
    </row>
    <row r="1822" spans="1:17" x14ac:dyDescent="0.3">
      <c r="A1822" s="61" t="s">
        <v>2282</v>
      </c>
      <c r="B1822" s="62" t="s">
        <v>1590</v>
      </c>
      <c r="C1822" s="62" t="s">
        <v>1591</v>
      </c>
      <c r="D1822" s="63">
        <v>45384</v>
      </c>
      <c r="E1822" s="63">
        <v>46551</v>
      </c>
      <c r="F1822" s="62" t="s">
        <v>350</v>
      </c>
      <c r="G1822" s="62" t="s">
        <v>350</v>
      </c>
      <c r="H1822" s="62" t="s">
        <v>2420</v>
      </c>
      <c r="I1822" s="64">
        <v>150000</v>
      </c>
      <c r="J1822" s="62" t="s">
        <v>2425</v>
      </c>
      <c r="K1822" s="62" t="s">
        <v>377</v>
      </c>
      <c r="L1822" s="65"/>
      <c r="M1822" s="62" t="s">
        <v>424</v>
      </c>
      <c r="N1822" s="62" t="s">
        <v>2424</v>
      </c>
      <c r="O1822" s="62" t="s">
        <v>426</v>
      </c>
      <c r="P1822" s="62" t="s">
        <v>2421</v>
      </c>
      <c r="Q1822" s="66" t="s">
        <v>1980</v>
      </c>
    </row>
    <row r="1823" spans="1:17" x14ac:dyDescent="0.3">
      <c r="A1823" s="61" t="s">
        <v>2283</v>
      </c>
      <c r="B1823" s="62" t="s">
        <v>1592</v>
      </c>
      <c r="C1823" s="62" t="s">
        <v>1593</v>
      </c>
      <c r="D1823" s="63">
        <v>45539</v>
      </c>
      <c r="E1823" s="63">
        <v>46726</v>
      </c>
      <c r="F1823" s="62" t="s">
        <v>350</v>
      </c>
      <c r="G1823" s="62" t="s">
        <v>350</v>
      </c>
      <c r="H1823" s="62" t="s">
        <v>2420</v>
      </c>
      <c r="I1823" s="64">
        <v>400000</v>
      </c>
      <c r="J1823" s="62" t="s">
        <v>2425</v>
      </c>
      <c r="K1823" s="62" t="s">
        <v>377</v>
      </c>
      <c r="L1823" s="65"/>
      <c r="M1823" s="62" t="s">
        <v>825</v>
      </c>
      <c r="N1823" s="62" t="s">
        <v>948</v>
      </c>
      <c r="O1823" s="62" t="s">
        <v>428</v>
      </c>
      <c r="P1823" s="62" t="s">
        <v>2421</v>
      </c>
      <c r="Q1823" s="66" t="s">
        <v>2021</v>
      </c>
    </row>
    <row r="1824" spans="1:17" x14ac:dyDescent="0.3">
      <c r="A1824" s="61" t="s">
        <v>2284</v>
      </c>
      <c r="B1824" s="62" t="s">
        <v>1594</v>
      </c>
      <c r="C1824" s="62" t="s">
        <v>1595</v>
      </c>
      <c r="D1824" s="63">
        <v>45443</v>
      </c>
      <c r="E1824" s="63">
        <v>46470</v>
      </c>
      <c r="F1824" s="62" t="s">
        <v>348</v>
      </c>
      <c r="G1824" s="62" t="s">
        <v>304</v>
      </c>
      <c r="H1824" s="62" t="s">
        <v>2420</v>
      </c>
      <c r="I1824" s="64">
        <v>200000</v>
      </c>
      <c r="J1824" s="62" t="s">
        <v>2425</v>
      </c>
      <c r="K1824" s="62" t="s">
        <v>377</v>
      </c>
      <c r="L1824" s="65"/>
      <c r="M1824" s="62" t="s">
        <v>1518</v>
      </c>
      <c r="N1824" s="62" t="s">
        <v>793</v>
      </c>
      <c r="O1824" s="62" t="s">
        <v>358</v>
      </c>
      <c r="P1824" s="62" t="s">
        <v>2421</v>
      </c>
      <c r="Q1824" s="66" t="s">
        <v>1983</v>
      </c>
    </row>
    <row r="1825" spans="1:17" x14ac:dyDescent="0.3">
      <c r="A1825" s="61" t="s">
        <v>2285</v>
      </c>
      <c r="B1825" s="62" t="s">
        <v>1596</v>
      </c>
      <c r="C1825" s="62" t="s">
        <v>1597</v>
      </c>
      <c r="D1825" s="63">
        <v>45460</v>
      </c>
      <c r="E1825" s="63">
        <v>46302</v>
      </c>
      <c r="F1825" s="62" t="s">
        <v>350</v>
      </c>
      <c r="G1825" s="62" t="s">
        <v>350</v>
      </c>
      <c r="H1825" s="62" t="s">
        <v>2420</v>
      </c>
      <c r="I1825" s="64">
        <v>150000</v>
      </c>
      <c r="J1825" s="62" t="s">
        <v>2425</v>
      </c>
      <c r="K1825" s="62" t="s">
        <v>377</v>
      </c>
      <c r="L1825" s="65"/>
      <c r="M1825" s="62" t="s">
        <v>825</v>
      </c>
      <c r="N1825" s="62" t="s">
        <v>570</v>
      </c>
      <c r="O1825" s="62" t="s">
        <v>571</v>
      </c>
      <c r="P1825" s="62" t="s">
        <v>2421</v>
      </c>
      <c r="Q1825" s="66" t="s">
        <v>1966</v>
      </c>
    </row>
    <row r="1826" spans="1:17" x14ac:dyDescent="0.3">
      <c r="A1826" s="61" t="s">
        <v>2286</v>
      </c>
      <c r="B1826" s="62" t="s">
        <v>1598</v>
      </c>
      <c r="C1826" s="62" t="s">
        <v>1599</v>
      </c>
      <c r="D1826" s="63">
        <v>45420</v>
      </c>
      <c r="E1826" s="63">
        <v>46076</v>
      </c>
      <c r="F1826" s="62" t="s">
        <v>350</v>
      </c>
      <c r="G1826" s="62" t="s">
        <v>350</v>
      </c>
      <c r="H1826" s="62" t="s">
        <v>2420</v>
      </c>
      <c r="I1826" s="64">
        <v>125000</v>
      </c>
      <c r="J1826" s="62" t="s">
        <v>2425</v>
      </c>
      <c r="K1826" s="62" t="s">
        <v>377</v>
      </c>
      <c r="L1826" s="65"/>
      <c r="M1826" s="62" t="s">
        <v>2465</v>
      </c>
      <c r="N1826" s="62" t="s">
        <v>603</v>
      </c>
      <c r="O1826" s="62" t="s">
        <v>371</v>
      </c>
      <c r="P1826" s="62" t="s">
        <v>2421</v>
      </c>
      <c r="Q1826" s="66" t="s">
        <v>1981</v>
      </c>
    </row>
    <row r="1827" spans="1:17" x14ac:dyDescent="0.3">
      <c r="A1827" s="61" t="s">
        <v>2287</v>
      </c>
      <c r="B1827" s="62" t="s">
        <v>1600</v>
      </c>
      <c r="C1827" s="62" t="s">
        <v>1601</v>
      </c>
      <c r="D1827" s="63">
        <v>45260</v>
      </c>
      <c r="E1827" s="63">
        <v>46721</v>
      </c>
      <c r="F1827" s="62" t="s">
        <v>1935</v>
      </c>
      <c r="G1827" s="62" t="s">
        <v>304</v>
      </c>
      <c r="H1827" s="62" t="s">
        <v>360</v>
      </c>
      <c r="I1827" s="64">
        <v>133684.1</v>
      </c>
      <c r="J1827" s="62" t="s">
        <v>361</v>
      </c>
      <c r="K1827" s="62" t="s">
        <v>2433</v>
      </c>
      <c r="L1827" s="65"/>
      <c r="M1827" s="62" t="s">
        <v>1518</v>
      </c>
      <c r="N1827" s="62" t="s">
        <v>1602</v>
      </c>
      <c r="O1827" s="62" t="s">
        <v>596</v>
      </c>
      <c r="P1827" s="62" t="s">
        <v>2421</v>
      </c>
      <c r="Q1827" s="66" t="s">
        <v>1968</v>
      </c>
    </row>
    <row r="1828" spans="1:17" x14ac:dyDescent="0.3">
      <c r="A1828" s="61" t="s">
        <v>2287</v>
      </c>
      <c r="B1828" s="62" t="s">
        <v>1600</v>
      </c>
      <c r="C1828" s="62" t="s">
        <v>1601</v>
      </c>
      <c r="D1828" s="63">
        <v>45260</v>
      </c>
      <c r="E1828" s="63">
        <v>46721</v>
      </c>
      <c r="F1828" s="62" t="s">
        <v>348</v>
      </c>
      <c r="G1828" s="62" t="s">
        <v>304</v>
      </c>
      <c r="H1828" s="62" t="s">
        <v>360</v>
      </c>
      <c r="I1828" s="64">
        <v>133684.1</v>
      </c>
      <c r="J1828" s="62" t="s">
        <v>361</v>
      </c>
      <c r="K1828" s="62" t="s">
        <v>2433</v>
      </c>
      <c r="L1828" s="65"/>
      <c r="M1828" s="62" t="s">
        <v>1518</v>
      </c>
      <c r="N1828" s="62" t="s">
        <v>1602</v>
      </c>
      <c r="O1828" s="62" t="s">
        <v>596</v>
      </c>
      <c r="P1828" s="62" t="s">
        <v>2421</v>
      </c>
      <c r="Q1828" s="66" t="s">
        <v>1968</v>
      </c>
    </row>
    <row r="1829" spans="1:17" x14ac:dyDescent="0.3">
      <c r="A1829" s="61" t="s">
        <v>2287</v>
      </c>
      <c r="B1829" s="62" t="s">
        <v>1600</v>
      </c>
      <c r="C1829" s="62" t="s">
        <v>1601</v>
      </c>
      <c r="D1829" s="63">
        <v>45260</v>
      </c>
      <c r="E1829" s="63">
        <v>46721</v>
      </c>
      <c r="F1829" s="62" t="s">
        <v>1933</v>
      </c>
      <c r="G1829" s="62" t="s">
        <v>304</v>
      </c>
      <c r="H1829" s="62" t="s">
        <v>360</v>
      </c>
      <c r="I1829" s="64">
        <v>133684.1</v>
      </c>
      <c r="J1829" s="62" t="s">
        <v>361</v>
      </c>
      <c r="K1829" s="62" t="s">
        <v>2433</v>
      </c>
      <c r="L1829" s="65"/>
      <c r="M1829" s="62" t="s">
        <v>1518</v>
      </c>
      <c r="N1829" s="62" t="s">
        <v>1602</v>
      </c>
      <c r="O1829" s="62" t="s">
        <v>596</v>
      </c>
      <c r="P1829" s="62" t="s">
        <v>2421</v>
      </c>
      <c r="Q1829" s="66" t="s">
        <v>1968</v>
      </c>
    </row>
    <row r="1830" spans="1:17" x14ac:dyDescent="0.3">
      <c r="A1830" s="61" t="s">
        <v>2287</v>
      </c>
      <c r="B1830" s="62" t="s">
        <v>1600</v>
      </c>
      <c r="C1830" s="62" t="s">
        <v>1601</v>
      </c>
      <c r="D1830" s="63">
        <v>45260</v>
      </c>
      <c r="E1830" s="63">
        <v>46721</v>
      </c>
      <c r="F1830" s="62" t="s">
        <v>1937</v>
      </c>
      <c r="G1830" s="62" t="s">
        <v>304</v>
      </c>
      <c r="H1830" s="62" t="s">
        <v>360</v>
      </c>
      <c r="I1830" s="64">
        <v>133684.1</v>
      </c>
      <c r="J1830" s="62" t="s">
        <v>361</v>
      </c>
      <c r="K1830" s="62" t="s">
        <v>2433</v>
      </c>
      <c r="L1830" s="65"/>
      <c r="M1830" s="62" t="s">
        <v>1518</v>
      </c>
      <c r="N1830" s="62" t="s">
        <v>1602</v>
      </c>
      <c r="O1830" s="62" t="s">
        <v>596</v>
      </c>
      <c r="P1830" s="62" t="s">
        <v>2421</v>
      </c>
      <c r="Q1830" s="66" t="s">
        <v>1968</v>
      </c>
    </row>
    <row r="1831" spans="1:17" x14ac:dyDescent="0.3">
      <c r="A1831" s="61" t="s">
        <v>2287</v>
      </c>
      <c r="B1831" s="62" t="s">
        <v>1600</v>
      </c>
      <c r="C1831" s="62" t="s">
        <v>1601</v>
      </c>
      <c r="D1831" s="63">
        <v>45260</v>
      </c>
      <c r="E1831" s="63">
        <v>46721</v>
      </c>
      <c r="F1831" s="62" t="s">
        <v>1943</v>
      </c>
      <c r="G1831" s="62" t="s">
        <v>304</v>
      </c>
      <c r="H1831" s="62" t="s">
        <v>360</v>
      </c>
      <c r="I1831" s="64">
        <v>133684.1</v>
      </c>
      <c r="J1831" s="62" t="s">
        <v>361</v>
      </c>
      <c r="K1831" s="62" t="s">
        <v>2433</v>
      </c>
      <c r="L1831" s="65"/>
      <c r="M1831" s="62" t="s">
        <v>1518</v>
      </c>
      <c r="N1831" s="62" t="s">
        <v>1602</v>
      </c>
      <c r="O1831" s="62" t="s">
        <v>596</v>
      </c>
      <c r="P1831" s="62" t="s">
        <v>2421</v>
      </c>
      <c r="Q1831" s="66" t="s">
        <v>1968</v>
      </c>
    </row>
    <row r="1832" spans="1:17" x14ac:dyDescent="0.3">
      <c r="A1832" s="61" t="s">
        <v>2287</v>
      </c>
      <c r="B1832" s="62" t="s">
        <v>1600</v>
      </c>
      <c r="C1832" s="62" t="s">
        <v>1601</v>
      </c>
      <c r="D1832" s="63">
        <v>45260</v>
      </c>
      <c r="E1832" s="63">
        <v>46721</v>
      </c>
      <c r="F1832" s="62" t="s">
        <v>1930</v>
      </c>
      <c r="G1832" s="62" t="s">
        <v>304</v>
      </c>
      <c r="H1832" s="62" t="s">
        <v>360</v>
      </c>
      <c r="I1832" s="64">
        <v>133684.1</v>
      </c>
      <c r="J1832" s="62" t="s">
        <v>361</v>
      </c>
      <c r="K1832" s="62" t="s">
        <v>2433</v>
      </c>
      <c r="L1832" s="65"/>
      <c r="M1832" s="62" t="s">
        <v>1518</v>
      </c>
      <c r="N1832" s="62" t="s">
        <v>1602</v>
      </c>
      <c r="O1832" s="62" t="s">
        <v>596</v>
      </c>
      <c r="P1832" s="62" t="s">
        <v>2421</v>
      </c>
      <c r="Q1832" s="66" t="s">
        <v>1968</v>
      </c>
    </row>
    <row r="1833" spans="1:17" x14ac:dyDescent="0.3">
      <c r="A1833" s="61" t="s">
        <v>2287</v>
      </c>
      <c r="B1833" s="62" t="s">
        <v>1600</v>
      </c>
      <c r="C1833" s="62" t="s">
        <v>1601</v>
      </c>
      <c r="D1833" s="63">
        <v>45260</v>
      </c>
      <c r="E1833" s="63">
        <v>46721</v>
      </c>
      <c r="F1833" s="62" t="s">
        <v>1960</v>
      </c>
      <c r="G1833" s="62" t="s">
        <v>304</v>
      </c>
      <c r="H1833" s="62" t="s">
        <v>360</v>
      </c>
      <c r="I1833" s="64">
        <v>133684.1</v>
      </c>
      <c r="J1833" s="62" t="s">
        <v>361</v>
      </c>
      <c r="K1833" s="62" t="s">
        <v>2433</v>
      </c>
      <c r="L1833" s="65"/>
      <c r="M1833" s="62" t="s">
        <v>1518</v>
      </c>
      <c r="N1833" s="62" t="s">
        <v>1602</v>
      </c>
      <c r="O1833" s="62" t="s">
        <v>596</v>
      </c>
      <c r="P1833" s="62" t="s">
        <v>2421</v>
      </c>
      <c r="Q1833" s="66" t="s">
        <v>1968</v>
      </c>
    </row>
    <row r="1834" spans="1:17" x14ac:dyDescent="0.3">
      <c r="A1834" s="61" t="s">
        <v>2287</v>
      </c>
      <c r="B1834" s="62" t="s">
        <v>1600</v>
      </c>
      <c r="C1834" s="62" t="s">
        <v>1601</v>
      </c>
      <c r="D1834" s="63">
        <v>45260</v>
      </c>
      <c r="E1834" s="63">
        <v>46721</v>
      </c>
      <c r="F1834" s="62" t="s">
        <v>1945</v>
      </c>
      <c r="G1834" s="62" t="s">
        <v>304</v>
      </c>
      <c r="H1834" s="62" t="s">
        <v>360</v>
      </c>
      <c r="I1834" s="64">
        <v>133684.1</v>
      </c>
      <c r="J1834" s="62" t="s">
        <v>361</v>
      </c>
      <c r="K1834" s="62" t="s">
        <v>2433</v>
      </c>
      <c r="L1834" s="65"/>
      <c r="M1834" s="62" t="s">
        <v>1518</v>
      </c>
      <c r="N1834" s="62" t="s">
        <v>1602</v>
      </c>
      <c r="O1834" s="62" t="s">
        <v>596</v>
      </c>
      <c r="P1834" s="62" t="s">
        <v>2421</v>
      </c>
      <c r="Q1834" s="66" t="s">
        <v>1968</v>
      </c>
    </row>
    <row r="1835" spans="1:17" x14ac:dyDescent="0.3">
      <c r="A1835" s="61" t="s">
        <v>2288</v>
      </c>
      <c r="B1835" s="62" t="s">
        <v>1603</v>
      </c>
      <c r="C1835" s="62" t="s">
        <v>1604</v>
      </c>
      <c r="D1835" s="63">
        <v>45476</v>
      </c>
      <c r="E1835" s="63">
        <v>46709</v>
      </c>
      <c r="F1835" s="62" t="s">
        <v>350</v>
      </c>
      <c r="G1835" s="62" t="s">
        <v>304</v>
      </c>
      <c r="H1835" s="62" t="s">
        <v>2420</v>
      </c>
      <c r="I1835" s="64">
        <v>150000</v>
      </c>
      <c r="J1835" s="62" t="s">
        <v>2425</v>
      </c>
      <c r="K1835" s="62" t="s">
        <v>377</v>
      </c>
      <c r="L1835" s="65"/>
      <c r="M1835" s="62" t="s">
        <v>1518</v>
      </c>
      <c r="N1835" s="62" t="s">
        <v>949</v>
      </c>
      <c r="O1835" s="62" t="s">
        <v>309</v>
      </c>
      <c r="P1835" s="62" t="s">
        <v>2421</v>
      </c>
      <c r="Q1835" s="66" t="s">
        <v>1982</v>
      </c>
    </row>
    <row r="1836" spans="1:17" x14ac:dyDescent="0.3">
      <c r="A1836" s="61" t="s">
        <v>2289</v>
      </c>
      <c r="B1836" s="62" t="s">
        <v>2496</v>
      </c>
      <c r="C1836" s="62" t="s">
        <v>1605</v>
      </c>
      <c r="D1836" s="63">
        <v>45441</v>
      </c>
      <c r="E1836" s="63">
        <v>46282</v>
      </c>
      <c r="F1836" s="62" t="s">
        <v>348</v>
      </c>
      <c r="G1836" s="62" t="s">
        <v>304</v>
      </c>
      <c r="H1836" s="62" t="s">
        <v>2420</v>
      </c>
      <c r="I1836" s="64">
        <v>100000</v>
      </c>
      <c r="J1836" s="62" t="s">
        <v>2425</v>
      </c>
      <c r="K1836" s="62" t="s">
        <v>377</v>
      </c>
      <c r="L1836" s="65"/>
      <c r="M1836" s="62" t="s">
        <v>1518</v>
      </c>
      <c r="N1836" s="62" t="s">
        <v>851</v>
      </c>
      <c r="O1836" s="62" t="s">
        <v>637</v>
      </c>
      <c r="P1836" s="62" t="s">
        <v>2421</v>
      </c>
      <c r="Q1836" s="66" t="s">
        <v>1973</v>
      </c>
    </row>
    <row r="1837" spans="1:17" x14ac:dyDescent="0.3">
      <c r="A1837" s="61" t="s">
        <v>2289</v>
      </c>
      <c r="B1837" s="62" t="s">
        <v>2496</v>
      </c>
      <c r="C1837" s="62" t="s">
        <v>1605</v>
      </c>
      <c r="D1837" s="63">
        <v>45441</v>
      </c>
      <c r="E1837" s="63">
        <v>46282</v>
      </c>
      <c r="F1837" s="62" t="s">
        <v>1930</v>
      </c>
      <c r="G1837" s="62" t="s">
        <v>304</v>
      </c>
      <c r="H1837" s="62" t="s">
        <v>2420</v>
      </c>
      <c r="I1837" s="64">
        <v>100000</v>
      </c>
      <c r="J1837" s="62" t="s">
        <v>2425</v>
      </c>
      <c r="K1837" s="62" t="s">
        <v>377</v>
      </c>
      <c r="L1837" s="65"/>
      <c r="M1837" s="62" t="s">
        <v>1518</v>
      </c>
      <c r="N1837" s="62" t="s">
        <v>851</v>
      </c>
      <c r="O1837" s="62" t="s">
        <v>637</v>
      </c>
      <c r="P1837" s="62" t="s">
        <v>2421</v>
      </c>
      <c r="Q1837" s="66" t="s">
        <v>1973</v>
      </c>
    </row>
    <row r="1838" spans="1:17" x14ac:dyDescent="0.3">
      <c r="A1838" s="61" t="s">
        <v>2290</v>
      </c>
      <c r="B1838" s="62" t="s">
        <v>1606</v>
      </c>
      <c r="C1838" s="62" t="s">
        <v>1607</v>
      </c>
      <c r="D1838" s="63">
        <v>45280</v>
      </c>
      <c r="E1838" s="63">
        <v>46585</v>
      </c>
      <c r="F1838" s="62" t="s">
        <v>350</v>
      </c>
      <c r="G1838" s="62" t="s">
        <v>304</v>
      </c>
      <c r="H1838" s="62" t="s">
        <v>2420</v>
      </c>
      <c r="I1838" s="64">
        <v>2000000</v>
      </c>
      <c r="J1838" s="62" t="s">
        <v>2425</v>
      </c>
      <c r="K1838" s="62" t="s">
        <v>377</v>
      </c>
      <c r="L1838" s="65"/>
      <c r="M1838" s="62" t="s">
        <v>1518</v>
      </c>
      <c r="N1838" s="62" t="s">
        <v>910</v>
      </c>
      <c r="O1838" s="62" t="s">
        <v>646</v>
      </c>
      <c r="P1838" s="62" t="s">
        <v>2421</v>
      </c>
      <c r="Q1838" s="66" t="s">
        <v>1974</v>
      </c>
    </row>
    <row r="1839" spans="1:17" x14ac:dyDescent="0.3">
      <c r="A1839" s="61" t="s">
        <v>2291</v>
      </c>
      <c r="B1839" s="62" t="s">
        <v>1608</v>
      </c>
      <c r="C1839" s="62" t="s">
        <v>1609</v>
      </c>
      <c r="D1839" s="63">
        <v>45350</v>
      </c>
      <c r="E1839" s="63">
        <v>46563</v>
      </c>
      <c r="F1839" s="62" t="s">
        <v>1916</v>
      </c>
      <c r="G1839" s="62" t="s">
        <v>304</v>
      </c>
      <c r="H1839" s="62" t="s">
        <v>2420</v>
      </c>
      <c r="I1839" s="64">
        <v>400000</v>
      </c>
      <c r="J1839" s="62" t="s">
        <v>2425</v>
      </c>
      <c r="K1839" s="62" t="s">
        <v>377</v>
      </c>
      <c r="L1839" s="65"/>
      <c r="M1839" s="62" t="s">
        <v>1518</v>
      </c>
      <c r="N1839" s="62" t="s">
        <v>427</v>
      </c>
      <c r="O1839" s="62" t="s">
        <v>428</v>
      </c>
      <c r="P1839" s="62" t="s">
        <v>2421</v>
      </c>
      <c r="Q1839" s="66" t="s">
        <v>1971</v>
      </c>
    </row>
    <row r="1840" spans="1:17" x14ac:dyDescent="0.3">
      <c r="A1840" s="61" t="s">
        <v>2292</v>
      </c>
      <c r="B1840" s="62" t="s">
        <v>1610</v>
      </c>
      <c r="C1840" s="62" t="s">
        <v>1611</v>
      </c>
      <c r="D1840" s="63">
        <v>45303</v>
      </c>
      <c r="E1840" s="63">
        <v>46149</v>
      </c>
      <c r="F1840" s="62" t="s">
        <v>287</v>
      </c>
      <c r="G1840" s="62" t="s">
        <v>768</v>
      </c>
      <c r="H1840" s="62" t="s">
        <v>2420</v>
      </c>
      <c r="I1840" s="64">
        <v>270000</v>
      </c>
      <c r="J1840" s="62" t="s">
        <v>2425</v>
      </c>
      <c r="K1840" s="62" t="s">
        <v>377</v>
      </c>
      <c r="L1840" s="65"/>
      <c r="M1840" s="62" t="s">
        <v>825</v>
      </c>
      <c r="N1840" s="62" t="s">
        <v>896</v>
      </c>
      <c r="O1840" s="62" t="s">
        <v>428</v>
      </c>
      <c r="P1840" s="62" t="s">
        <v>2421</v>
      </c>
      <c r="Q1840" s="66" t="s">
        <v>2021</v>
      </c>
    </row>
    <row r="1841" spans="1:17" x14ac:dyDescent="0.3">
      <c r="A1841" s="61" t="s">
        <v>2293</v>
      </c>
      <c r="B1841" s="62" t="s">
        <v>1612</v>
      </c>
      <c r="C1841" s="62" t="s">
        <v>1613</v>
      </c>
      <c r="D1841" s="63">
        <v>45393</v>
      </c>
      <c r="E1841" s="63">
        <v>46525</v>
      </c>
      <c r="F1841" s="62" t="s">
        <v>350</v>
      </c>
      <c r="G1841" s="62" t="s">
        <v>304</v>
      </c>
      <c r="H1841" s="62" t="s">
        <v>2420</v>
      </c>
      <c r="I1841" s="64">
        <v>1250000</v>
      </c>
      <c r="J1841" s="62" t="s">
        <v>2425</v>
      </c>
      <c r="K1841" s="62" t="s">
        <v>377</v>
      </c>
      <c r="L1841" s="65"/>
      <c r="M1841" s="62" t="s">
        <v>1518</v>
      </c>
      <c r="N1841" s="62" t="s">
        <v>364</v>
      </c>
      <c r="O1841" s="62" t="s">
        <v>365</v>
      </c>
      <c r="P1841" s="62" t="s">
        <v>2421</v>
      </c>
      <c r="Q1841" s="66" t="s">
        <v>1969</v>
      </c>
    </row>
    <row r="1842" spans="1:17" x14ac:dyDescent="0.3">
      <c r="A1842" s="61" t="s">
        <v>2294</v>
      </c>
      <c r="B1842" s="62" t="s">
        <v>1614</v>
      </c>
      <c r="C1842" s="62" t="s">
        <v>1615</v>
      </c>
      <c r="D1842" s="63">
        <v>45658</v>
      </c>
      <c r="E1842" s="63">
        <v>46874</v>
      </c>
      <c r="F1842" s="62" t="s">
        <v>1934</v>
      </c>
      <c r="G1842" s="62" t="s">
        <v>304</v>
      </c>
      <c r="H1842" s="62" t="s">
        <v>373</v>
      </c>
      <c r="I1842" s="64">
        <v>194068</v>
      </c>
      <c r="J1842" s="62" t="s">
        <v>373</v>
      </c>
      <c r="K1842" s="62" t="s">
        <v>1693</v>
      </c>
      <c r="L1842" s="65"/>
      <c r="M1842" s="62" t="s">
        <v>825</v>
      </c>
      <c r="N1842" s="62" t="s">
        <v>896</v>
      </c>
      <c r="O1842" s="62" t="s">
        <v>428</v>
      </c>
      <c r="P1842" s="62" t="s">
        <v>2421</v>
      </c>
      <c r="Q1842" s="66" t="s">
        <v>1972</v>
      </c>
    </row>
    <row r="1843" spans="1:17" x14ac:dyDescent="0.3">
      <c r="A1843" s="61" t="s">
        <v>2294</v>
      </c>
      <c r="B1843" s="62" t="s">
        <v>1614</v>
      </c>
      <c r="C1843" s="62" t="s">
        <v>1615</v>
      </c>
      <c r="D1843" s="63">
        <v>45658</v>
      </c>
      <c r="E1843" s="63">
        <v>46874</v>
      </c>
      <c r="F1843" s="62" t="s">
        <v>1958</v>
      </c>
      <c r="G1843" s="62" t="s">
        <v>304</v>
      </c>
      <c r="H1843" s="62" t="s">
        <v>373</v>
      </c>
      <c r="I1843" s="64">
        <v>194068</v>
      </c>
      <c r="J1843" s="62" t="s">
        <v>373</v>
      </c>
      <c r="K1843" s="62" t="s">
        <v>1693</v>
      </c>
      <c r="L1843" s="65"/>
      <c r="M1843" s="62" t="s">
        <v>825</v>
      </c>
      <c r="N1843" s="62" t="s">
        <v>896</v>
      </c>
      <c r="O1843" s="62" t="s">
        <v>428</v>
      </c>
      <c r="P1843" s="62" t="s">
        <v>2421</v>
      </c>
      <c r="Q1843" s="66" t="s">
        <v>1972</v>
      </c>
    </row>
    <row r="1844" spans="1:17" x14ac:dyDescent="0.3">
      <c r="A1844" s="61" t="s">
        <v>2294</v>
      </c>
      <c r="B1844" s="62" t="s">
        <v>1614</v>
      </c>
      <c r="C1844" s="62" t="s">
        <v>1615</v>
      </c>
      <c r="D1844" s="63">
        <v>45658</v>
      </c>
      <c r="E1844" s="63">
        <v>46874</v>
      </c>
      <c r="F1844" s="62" t="s">
        <v>1944</v>
      </c>
      <c r="G1844" s="62" t="s">
        <v>304</v>
      </c>
      <c r="H1844" s="62" t="s">
        <v>373</v>
      </c>
      <c r="I1844" s="64">
        <v>194068</v>
      </c>
      <c r="J1844" s="62" t="s">
        <v>373</v>
      </c>
      <c r="K1844" s="62" t="s">
        <v>1693</v>
      </c>
      <c r="L1844" s="65"/>
      <c r="M1844" s="62" t="s">
        <v>825</v>
      </c>
      <c r="N1844" s="62" t="s">
        <v>896</v>
      </c>
      <c r="O1844" s="62" t="s">
        <v>428</v>
      </c>
      <c r="P1844" s="62" t="s">
        <v>2421</v>
      </c>
      <c r="Q1844" s="66" t="s">
        <v>1972</v>
      </c>
    </row>
    <row r="1845" spans="1:17" x14ac:dyDescent="0.3">
      <c r="A1845" s="61" t="s">
        <v>2294</v>
      </c>
      <c r="B1845" s="62" t="s">
        <v>1614</v>
      </c>
      <c r="C1845" s="62" t="s">
        <v>1615</v>
      </c>
      <c r="D1845" s="63">
        <v>45658</v>
      </c>
      <c r="E1845" s="63">
        <v>46874</v>
      </c>
      <c r="F1845" s="62" t="s">
        <v>1930</v>
      </c>
      <c r="G1845" s="62" t="s">
        <v>304</v>
      </c>
      <c r="H1845" s="62" t="s">
        <v>373</v>
      </c>
      <c r="I1845" s="64">
        <v>194068</v>
      </c>
      <c r="J1845" s="62" t="s">
        <v>373</v>
      </c>
      <c r="K1845" s="62" t="s">
        <v>1693</v>
      </c>
      <c r="L1845" s="65"/>
      <c r="M1845" s="62" t="s">
        <v>825</v>
      </c>
      <c r="N1845" s="62" t="s">
        <v>896</v>
      </c>
      <c r="O1845" s="62" t="s">
        <v>428</v>
      </c>
      <c r="P1845" s="62" t="s">
        <v>2421</v>
      </c>
      <c r="Q1845" s="66" t="s">
        <v>1972</v>
      </c>
    </row>
    <row r="1846" spans="1:17" x14ac:dyDescent="0.3">
      <c r="A1846" s="61" t="s">
        <v>2294</v>
      </c>
      <c r="B1846" s="62" t="s">
        <v>1614</v>
      </c>
      <c r="C1846" s="62" t="s">
        <v>1615</v>
      </c>
      <c r="D1846" s="63">
        <v>45658</v>
      </c>
      <c r="E1846" s="63">
        <v>46874</v>
      </c>
      <c r="F1846" s="62" t="s">
        <v>1941</v>
      </c>
      <c r="G1846" s="62" t="s">
        <v>304</v>
      </c>
      <c r="H1846" s="62" t="s">
        <v>373</v>
      </c>
      <c r="I1846" s="64">
        <v>194068</v>
      </c>
      <c r="J1846" s="62" t="s">
        <v>373</v>
      </c>
      <c r="K1846" s="62" t="s">
        <v>1693</v>
      </c>
      <c r="L1846" s="65"/>
      <c r="M1846" s="62" t="s">
        <v>825</v>
      </c>
      <c r="N1846" s="62" t="s">
        <v>896</v>
      </c>
      <c r="O1846" s="62" t="s">
        <v>428</v>
      </c>
      <c r="P1846" s="62" t="s">
        <v>2421</v>
      </c>
      <c r="Q1846" s="66" t="s">
        <v>1972</v>
      </c>
    </row>
    <row r="1847" spans="1:17" x14ac:dyDescent="0.3">
      <c r="A1847" s="61" t="s">
        <v>2294</v>
      </c>
      <c r="B1847" s="62" t="s">
        <v>1614</v>
      </c>
      <c r="C1847" s="62" t="s">
        <v>1615</v>
      </c>
      <c r="D1847" s="63">
        <v>45658</v>
      </c>
      <c r="E1847" s="63">
        <v>46874</v>
      </c>
      <c r="F1847" s="62" t="s">
        <v>1959</v>
      </c>
      <c r="G1847" s="62" t="s">
        <v>304</v>
      </c>
      <c r="H1847" s="62" t="s">
        <v>373</v>
      </c>
      <c r="I1847" s="64">
        <v>194068</v>
      </c>
      <c r="J1847" s="62" t="s">
        <v>373</v>
      </c>
      <c r="K1847" s="62" t="s">
        <v>1693</v>
      </c>
      <c r="L1847" s="65"/>
      <c r="M1847" s="62" t="s">
        <v>825</v>
      </c>
      <c r="N1847" s="62" t="s">
        <v>896</v>
      </c>
      <c r="O1847" s="62" t="s">
        <v>428</v>
      </c>
      <c r="P1847" s="62" t="s">
        <v>2421</v>
      </c>
      <c r="Q1847" s="66" t="s">
        <v>1972</v>
      </c>
    </row>
    <row r="1848" spans="1:17" x14ac:dyDescent="0.3">
      <c r="A1848" s="61" t="s">
        <v>2294</v>
      </c>
      <c r="B1848" s="62" t="s">
        <v>1614</v>
      </c>
      <c r="C1848" s="62" t="s">
        <v>1615</v>
      </c>
      <c r="D1848" s="63">
        <v>45658</v>
      </c>
      <c r="E1848" s="63">
        <v>46874</v>
      </c>
      <c r="F1848" s="62" t="s">
        <v>1936</v>
      </c>
      <c r="G1848" s="62" t="s">
        <v>304</v>
      </c>
      <c r="H1848" s="62" t="s">
        <v>373</v>
      </c>
      <c r="I1848" s="64">
        <v>194068</v>
      </c>
      <c r="J1848" s="62" t="s">
        <v>373</v>
      </c>
      <c r="K1848" s="62" t="s">
        <v>1693</v>
      </c>
      <c r="L1848" s="65"/>
      <c r="M1848" s="62" t="s">
        <v>825</v>
      </c>
      <c r="N1848" s="62" t="s">
        <v>896</v>
      </c>
      <c r="O1848" s="62" t="s">
        <v>428</v>
      </c>
      <c r="P1848" s="62" t="s">
        <v>2421</v>
      </c>
      <c r="Q1848" s="66" t="s">
        <v>1972</v>
      </c>
    </row>
    <row r="1849" spans="1:17" x14ac:dyDescent="0.3">
      <c r="A1849" s="61" t="s">
        <v>2294</v>
      </c>
      <c r="B1849" s="62" t="s">
        <v>1614</v>
      </c>
      <c r="C1849" s="62" t="s">
        <v>1615</v>
      </c>
      <c r="D1849" s="63">
        <v>45658</v>
      </c>
      <c r="E1849" s="63">
        <v>46874</v>
      </c>
      <c r="F1849" s="62" t="s">
        <v>287</v>
      </c>
      <c r="G1849" s="62" t="s">
        <v>304</v>
      </c>
      <c r="H1849" s="62" t="s">
        <v>373</v>
      </c>
      <c r="I1849" s="64">
        <v>194068</v>
      </c>
      <c r="J1849" s="62" t="s">
        <v>373</v>
      </c>
      <c r="K1849" s="62" t="s">
        <v>1693</v>
      </c>
      <c r="L1849" s="65"/>
      <c r="M1849" s="62" t="s">
        <v>825</v>
      </c>
      <c r="N1849" s="62" t="s">
        <v>896</v>
      </c>
      <c r="O1849" s="62" t="s">
        <v>428</v>
      </c>
      <c r="P1849" s="62" t="s">
        <v>2421</v>
      </c>
      <c r="Q1849" s="66" t="s">
        <v>1972</v>
      </c>
    </row>
    <row r="1850" spans="1:17" x14ac:dyDescent="0.3">
      <c r="A1850" s="61" t="s">
        <v>2295</v>
      </c>
      <c r="B1850" s="62" t="s">
        <v>1616</v>
      </c>
      <c r="C1850" s="62" t="s">
        <v>1617</v>
      </c>
      <c r="D1850" s="63">
        <v>45555</v>
      </c>
      <c r="E1850" s="63">
        <v>46366</v>
      </c>
      <c r="F1850" s="62" t="s">
        <v>350</v>
      </c>
      <c r="G1850" s="62" t="s">
        <v>304</v>
      </c>
      <c r="H1850" s="62" t="s">
        <v>2420</v>
      </c>
      <c r="I1850" s="64">
        <v>225000</v>
      </c>
      <c r="J1850" s="62" t="s">
        <v>2425</v>
      </c>
      <c r="K1850" s="62" t="s">
        <v>377</v>
      </c>
      <c r="L1850" s="65"/>
      <c r="M1850" s="62" t="s">
        <v>825</v>
      </c>
      <c r="N1850" s="62" t="s">
        <v>912</v>
      </c>
      <c r="O1850" s="62" t="s">
        <v>571</v>
      </c>
      <c r="P1850" s="62" t="s">
        <v>2421</v>
      </c>
      <c r="Q1850" s="66" t="s">
        <v>1984</v>
      </c>
    </row>
    <row r="1851" spans="1:17" x14ac:dyDescent="0.3">
      <c r="A1851" s="61" t="s">
        <v>2296</v>
      </c>
      <c r="B1851" s="62" t="s">
        <v>1618</v>
      </c>
      <c r="C1851" s="62" t="s">
        <v>1619</v>
      </c>
      <c r="D1851" s="63">
        <v>45558</v>
      </c>
      <c r="E1851" s="63">
        <v>46366</v>
      </c>
      <c r="F1851" s="62" t="s">
        <v>350</v>
      </c>
      <c r="G1851" s="62" t="s">
        <v>304</v>
      </c>
      <c r="H1851" s="62" t="s">
        <v>2420</v>
      </c>
      <c r="I1851" s="64">
        <v>262500</v>
      </c>
      <c r="J1851" s="62" t="s">
        <v>2425</v>
      </c>
      <c r="K1851" s="62" t="s">
        <v>377</v>
      </c>
      <c r="L1851" s="65"/>
      <c r="M1851" s="62" t="s">
        <v>825</v>
      </c>
      <c r="N1851" s="62" t="s">
        <v>948</v>
      </c>
      <c r="O1851" s="62" t="s">
        <v>428</v>
      </c>
      <c r="P1851" s="62" t="s">
        <v>2421</v>
      </c>
      <c r="Q1851" s="66" t="s">
        <v>1969</v>
      </c>
    </row>
    <row r="1852" spans="1:17" x14ac:dyDescent="0.3">
      <c r="A1852" s="61" t="s">
        <v>2297</v>
      </c>
      <c r="B1852" s="62" t="s">
        <v>1620</v>
      </c>
      <c r="C1852" s="62" t="s">
        <v>1621</v>
      </c>
      <c r="D1852" s="63">
        <v>45378</v>
      </c>
      <c r="E1852" s="63">
        <v>46591</v>
      </c>
      <c r="F1852" s="62" t="s">
        <v>350</v>
      </c>
      <c r="G1852" s="62" t="s">
        <v>304</v>
      </c>
      <c r="H1852" s="62" t="s">
        <v>2420</v>
      </c>
      <c r="I1852" s="64">
        <v>350000</v>
      </c>
      <c r="J1852" s="62" t="s">
        <v>2425</v>
      </c>
      <c r="K1852" s="62" t="s">
        <v>377</v>
      </c>
      <c r="L1852" s="65"/>
      <c r="M1852" s="62" t="s">
        <v>2443</v>
      </c>
      <c r="N1852" s="62" t="s">
        <v>635</v>
      </c>
      <c r="O1852" s="62" t="s">
        <v>375</v>
      </c>
      <c r="P1852" s="62" t="s">
        <v>2421</v>
      </c>
      <c r="Q1852" s="66" t="s">
        <v>1967</v>
      </c>
    </row>
    <row r="1853" spans="1:17" x14ac:dyDescent="0.3">
      <c r="A1853" s="61" t="s">
        <v>2298</v>
      </c>
      <c r="B1853" s="62" t="s">
        <v>1622</v>
      </c>
      <c r="C1853" s="62" t="s">
        <v>1623</v>
      </c>
      <c r="D1853" s="63">
        <v>45525</v>
      </c>
      <c r="E1853" s="63">
        <v>46255</v>
      </c>
      <c r="F1853" s="62" t="s">
        <v>1945</v>
      </c>
      <c r="G1853" s="62" t="s">
        <v>400</v>
      </c>
      <c r="H1853" s="62" t="s">
        <v>467</v>
      </c>
      <c r="I1853" s="64">
        <v>919022</v>
      </c>
      <c r="J1853" s="62" t="s">
        <v>468</v>
      </c>
      <c r="K1853" s="62" t="s">
        <v>467</v>
      </c>
      <c r="L1853" s="65"/>
      <c r="M1853" s="62" t="s">
        <v>825</v>
      </c>
      <c r="N1853" s="62" t="s">
        <v>558</v>
      </c>
      <c r="O1853" s="62" t="s">
        <v>426</v>
      </c>
      <c r="P1853" s="62" t="s">
        <v>2421</v>
      </c>
      <c r="Q1853" s="66" t="s">
        <v>1970</v>
      </c>
    </row>
    <row r="1854" spans="1:17" x14ac:dyDescent="0.3">
      <c r="A1854" s="61" t="s">
        <v>2298</v>
      </c>
      <c r="B1854" s="62" t="s">
        <v>1622</v>
      </c>
      <c r="C1854" s="62" t="s">
        <v>1623</v>
      </c>
      <c r="D1854" s="63">
        <v>45525</v>
      </c>
      <c r="E1854" s="63">
        <v>46255</v>
      </c>
      <c r="F1854" s="62" t="s">
        <v>1945</v>
      </c>
      <c r="G1854" s="62" t="s">
        <v>400</v>
      </c>
      <c r="H1854" s="62" t="s">
        <v>2427</v>
      </c>
      <c r="I1854" s="64">
        <v>3254</v>
      </c>
      <c r="J1854" s="62" t="s">
        <v>2497</v>
      </c>
      <c r="K1854" s="62" t="s">
        <v>467</v>
      </c>
      <c r="L1854" s="65"/>
      <c r="M1854" s="62" t="s">
        <v>825</v>
      </c>
      <c r="N1854" s="62" t="s">
        <v>558</v>
      </c>
      <c r="O1854" s="62" t="s">
        <v>426</v>
      </c>
      <c r="P1854" s="62" t="s">
        <v>2421</v>
      </c>
      <c r="Q1854" s="66" t="s">
        <v>1970</v>
      </c>
    </row>
    <row r="1855" spans="1:17" x14ac:dyDescent="0.3">
      <c r="A1855" s="61" t="s">
        <v>2298</v>
      </c>
      <c r="B1855" s="62" t="s">
        <v>1622</v>
      </c>
      <c r="C1855" s="62" t="s">
        <v>1623</v>
      </c>
      <c r="D1855" s="63">
        <v>45525</v>
      </c>
      <c r="E1855" s="63">
        <v>46255</v>
      </c>
      <c r="F1855" s="62" t="s">
        <v>1945</v>
      </c>
      <c r="G1855" s="62" t="s">
        <v>400</v>
      </c>
      <c r="H1855" s="62" t="s">
        <v>2427</v>
      </c>
      <c r="I1855" s="64">
        <v>41505</v>
      </c>
      <c r="J1855" s="62" t="s">
        <v>1624</v>
      </c>
      <c r="K1855" s="62" t="s">
        <v>467</v>
      </c>
      <c r="L1855" s="65"/>
      <c r="M1855" s="62" t="s">
        <v>825</v>
      </c>
      <c r="N1855" s="62" t="s">
        <v>558</v>
      </c>
      <c r="O1855" s="62" t="s">
        <v>426</v>
      </c>
      <c r="P1855" s="62" t="s">
        <v>2421</v>
      </c>
      <c r="Q1855" s="66" t="s">
        <v>1970</v>
      </c>
    </row>
    <row r="1856" spans="1:17" x14ac:dyDescent="0.3">
      <c r="A1856" s="61" t="s">
        <v>2298</v>
      </c>
      <c r="B1856" s="62" t="s">
        <v>1622</v>
      </c>
      <c r="C1856" s="62" t="s">
        <v>1623</v>
      </c>
      <c r="D1856" s="63">
        <v>45525</v>
      </c>
      <c r="E1856" s="63">
        <v>46255</v>
      </c>
      <c r="F1856" s="62" t="s">
        <v>1945</v>
      </c>
      <c r="G1856" s="62" t="s">
        <v>400</v>
      </c>
      <c r="H1856" s="62" t="s">
        <v>2426</v>
      </c>
      <c r="I1856" s="64">
        <v>48235</v>
      </c>
      <c r="J1856" s="62" t="s">
        <v>1625</v>
      </c>
      <c r="K1856" s="62" t="s">
        <v>467</v>
      </c>
      <c r="L1856" s="65"/>
      <c r="M1856" s="62" t="s">
        <v>825</v>
      </c>
      <c r="N1856" s="62" t="s">
        <v>558</v>
      </c>
      <c r="O1856" s="62" t="s">
        <v>426</v>
      </c>
      <c r="P1856" s="62" t="s">
        <v>2421</v>
      </c>
      <c r="Q1856" s="66" t="s">
        <v>1970</v>
      </c>
    </row>
    <row r="1857" spans="1:17" x14ac:dyDescent="0.3">
      <c r="A1857" s="61" t="s">
        <v>2298</v>
      </c>
      <c r="B1857" s="62" t="s">
        <v>1622</v>
      </c>
      <c r="C1857" s="62" t="s">
        <v>1623</v>
      </c>
      <c r="D1857" s="63">
        <v>45525</v>
      </c>
      <c r="E1857" s="63">
        <v>46255</v>
      </c>
      <c r="F1857" s="62" t="s">
        <v>1945</v>
      </c>
      <c r="G1857" s="62" t="s">
        <v>400</v>
      </c>
      <c r="H1857" s="62" t="s">
        <v>2427</v>
      </c>
      <c r="I1857" s="64">
        <v>10865</v>
      </c>
      <c r="J1857" s="62" t="s">
        <v>1626</v>
      </c>
      <c r="K1857" s="62" t="s">
        <v>467</v>
      </c>
      <c r="L1857" s="65"/>
      <c r="M1857" s="62" t="s">
        <v>825</v>
      </c>
      <c r="N1857" s="62" t="s">
        <v>558</v>
      </c>
      <c r="O1857" s="62" t="s">
        <v>426</v>
      </c>
      <c r="P1857" s="62" t="s">
        <v>2421</v>
      </c>
      <c r="Q1857" s="66" t="s">
        <v>1970</v>
      </c>
    </row>
    <row r="1858" spans="1:17" x14ac:dyDescent="0.3">
      <c r="A1858" s="61" t="s">
        <v>2299</v>
      </c>
      <c r="B1858" s="62" t="s">
        <v>1627</v>
      </c>
      <c r="C1858" s="62" t="s">
        <v>1628</v>
      </c>
      <c r="D1858" s="63">
        <v>45720</v>
      </c>
      <c r="E1858" s="63">
        <v>46084</v>
      </c>
      <c r="F1858" s="62" t="s">
        <v>1930</v>
      </c>
      <c r="G1858" s="62" t="s">
        <v>543</v>
      </c>
      <c r="H1858" s="62" t="s">
        <v>608</v>
      </c>
      <c r="I1858" s="64">
        <v>278177</v>
      </c>
      <c r="J1858" s="62" t="s">
        <v>1110</v>
      </c>
      <c r="K1858" s="62" t="s">
        <v>1957</v>
      </c>
      <c r="L1858" s="65"/>
      <c r="M1858" s="62" t="s">
        <v>825</v>
      </c>
      <c r="N1858" s="62" t="s">
        <v>378</v>
      </c>
      <c r="O1858" s="62" t="s">
        <v>371</v>
      </c>
      <c r="P1858" s="62" t="s">
        <v>2421</v>
      </c>
      <c r="Q1858" s="66" t="s">
        <v>1972</v>
      </c>
    </row>
    <row r="1859" spans="1:17" x14ac:dyDescent="0.3">
      <c r="A1859" s="61" t="s">
        <v>2300</v>
      </c>
      <c r="B1859" s="62" t="s">
        <v>1629</v>
      </c>
      <c r="C1859" s="62" t="s">
        <v>1630</v>
      </c>
      <c r="D1859" s="63">
        <v>45356</v>
      </c>
      <c r="E1859" s="63">
        <v>46477</v>
      </c>
      <c r="F1859" s="62" t="s">
        <v>350</v>
      </c>
      <c r="G1859" s="62" t="s">
        <v>304</v>
      </c>
      <c r="H1859" s="62" t="s">
        <v>311</v>
      </c>
      <c r="I1859" s="64">
        <v>393674</v>
      </c>
      <c r="J1859" s="62" t="s">
        <v>1631</v>
      </c>
      <c r="K1859" s="62" t="s">
        <v>311</v>
      </c>
      <c r="L1859" s="65"/>
      <c r="M1859" s="62" t="s">
        <v>2443</v>
      </c>
      <c r="N1859" s="62" t="s">
        <v>635</v>
      </c>
      <c r="O1859" s="62" t="s">
        <v>375</v>
      </c>
      <c r="P1859" s="62" t="s">
        <v>2421</v>
      </c>
      <c r="Q1859" s="66" t="s">
        <v>1967</v>
      </c>
    </row>
    <row r="1860" spans="1:17" x14ac:dyDescent="0.3">
      <c r="A1860" s="61" t="s">
        <v>2301</v>
      </c>
      <c r="B1860" s="62" t="s">
        <v>1633</v>
      </c>
      <c r="C1860" s="62" t="s">
        <v>1634</v>
      </c>
      <c r="D1860" s="63">
        <v>45141</v>
      </c>
      <c r="E1860" s="63">
        <v>46752</v>
      </c>
      <c r="F1860" s="62" t="s">
        <v>348</v>
      </c>
      <c r="G1860" s="62" t="s">
        <v>304</v>
      </c>
      <c r="H1860" s="62" t="s">
        <v>1244</v>
      </c>
      <c r="I1860" s="64">
        <v>1103380.375</v>
      </c>
      <c r="J1860" s="62" t="s">
        <v>1476</v>
      </c>
      <c r="K1860" s="62" t="s">
        <v>1244</v>
      </c>
      <c r="L1860" s="65"/>
      <c r="M1860" s="62" t="s">
        <v>825</v>
      </c>
      <c r="N1860" s="62" t="s">
        <v>579</v>
      </c>
      <c r="O1860" s="62" t="s">
        <v>428</v>
      </c>
      <c r="P1860" s="62" t="s">
        <v>2421</v>
      </c>
      <c r="Q1860" s="66" t="s">
        <v>2021</v>
      </c>
    </row>
    <row r="1861" spans="1:17" x14ac:dyDescent="0.3">
      <c r="A1861" s="61" t="s">
        <v>2301</v>
      </c>
      <c r="B1861" s="62" t="s">
        <v>1633</v>
      </c>
      <c r="C1861" s="62" t="s">
        <v>1634</v>
      </c>
      <c r="D1861" s="63">
        <v>45141</v>
      </c>
      <c r="E1861" s="63">
        <v>46752</v>
      </c>
      <c r="F1861" s="62" t="s">
        <v>1930</v>
      </c>
      <c r="G1861" s="62" t="s">
        <v>304</v>
      </c>
      <c r="H1861" s="62" t="s">
        <v>1244</v>
      </c>
      <c r="I1861" s="64">
        <v>1103380.375</v>
      </c>
      <c r="J1861" s="62" t="s">
        <v>1476</v>
      </c>
      <c r="K1861" s="62" t="s">
        <v>1244</v>
      </c>
      <c r="L1861" s="65"/>
      <c r="M1861" s="62" t="s">
        <v>825</v>
      </c>
      <c r="N1861" s="62" t="s">
        <v>579</v>
      </c>
      <c r="O1861" s="62" t="s">
        <v>428</v>
      </c>
      <c r="P1861" s="62" t="s">
        <v>2421</v>
      </c>
      <c r="Q1861" s="66" t="s">
        <v>2021</v>
      </c>
    </row>
    <row r="1862" spans="1:17" x14ac:dyDescent="0.3">
      <c r="A1862" s="61" t="s">
        <v>2301</v>
      </c>
      <c r="B1862" s="62" t="s">
        <v>1633</v>
      </c>
      <c r="C1862" s="62" t="s">
        <v>1634</v>
      </c>
      <c r="D1862" s="63">
        <v>45141</v>
      </c>
      <c r="E1862" s="63">
        <v>46752</v>
      </c>
      <c r="F1862" s="62" t="s">
        <v>1941</v>
      </c>
      <c r="G1862" s="62" t="s">
        <v>304</v>
      </c>
      <c r="H1862" s="62" t="s">
        <v>1244</v>
      </c>
      <c r="I1862" s="64">
        <v>1103380.375</v>
      </c>
      <c r="J1862" s="62" t="s">
        <v>1476</v>
      </c>
      <c r="K1862" s="62" t="s">
        <v>1244</v>
      </c>
      <c r="L1862" s="65"/>
      <c r="M1862" s="62" t="s">
        <v>825</v>
      </c>
      <c r="N1862" s="62" t="s">
        <v>579</v>
      </c>
      <c r="O1862" s="62" t="s">
        <v>428</v>
      </c>
      <c r="P1862" s="62" t="s">
        <v>2421</v>
      </c>
      <c r="Q1862" s="66" t="s">
        <v>2021</v>
      </c>
    </row>
    <row r="1863" spans="1:17" x14ac:dyDescent="0.3">
      <c r="A1863" s="61" t="s">
        <v>2301</v>
      </c>
      <c r="B1863" s="62" t="s">
        <v>1633</v>
      </c>
      <c r="C1863" s="62" t="s">
        <v>1634</v>
      </c>
      <c r="D1863" s="63">
        <v>45141</v>
      </c>
      <c r="E1863" s="63">
        <v>46752</v>
      </c>
      <c r="F1863" s="62" t="s">
        <v>287</v>
      </c>
      <c r="G1863" s="62" t="s">
        <v>304</v>
      </c>
      <c r="H1863" s="62" t="s">
        <v>1244</v>
      </c>
      <c r="I1863" s="64">
        <v>1103380.375</v>
      </c>
      <c r="J1863" s="62" t="s">
        <v>1476</v>
      </c>
      <c r="K1863" s="62" t="s">
        <v>1244</v>
      </c>
      <c r="L1863" s="65"/>
      <c r="M1863" s="62" t="s">
        <v>825</v>
      </c>
      <c r="N1863" s="62" t="s">
        <v>579</v>
      </c>
      <c r="O1863" s="62" t="s">
        <v>428</v>
      </c>
      <c r="P1863" s="62" t="s">
        <v>2421</v>
      </c>
      <c r="Q1863" s="66" t="s">
        <v>2021</v>
      </c>
    </row>
    <row r="1864" spans="1:17" x14ac:dyDescent="0.3">
      <c r="A1864" s="61" t="s">
        <v>2302</v>
      </c>
      <c r="B1864" s="62" t="s">
        <v>1635</v>
      </c>
      <c r="C1864" s="62" t="s">
        <v>1636</v>
      </c>
      <c r="D1864" s="63">
        <v>45382</v>
      </c>
      <c r="E1864" s="63">
        <v>46232</v>
      </c>
      <c r="F1864" s="62" t="s">
        <v>348</v>
      </c>
      <c r="G1864" s="62" t="s">
        <v>304</v>
      </c>
      <c r="H1864" s="62" t="s">
        <v>2420</v>
      </c>
      <c r="I1864" s="64">
        <v>200000</v>
      </c>
      <c r="J1864" s="62" t="s">
        <v>2425</v>
      </c>
      <c r="K1864" s="62" t="s">
        <v>377</v>
      </c>
      <c r="L1864" s="65"/>
      <c r="M1864" s="62" t="s">
        <v>1518</v>
      </c>
      <c r="N1864" s="62" t="s">
        <v>355</v>
      </c>
      <c r="O1864" s="62" t="s">
        <v>309</v>
      </c>
      <c r="P1864" s="62" t="s">
        <v>2421</v>
      </c>
      <c r="Q1864" s="66" t="s">
        <v>1971</v>
      </c>
    </row>
    <row r="1865" spans="1:17" x14ac:dyDescent="0.3">
      <c r="A1865" s="61" t="s">
        <v>2302</v>
      </c>
      <c r="B1865" s="62" t="s">
        <v>1635</v>
      </c>
      <c r="C1865" s="62" t="s">
        <v>1636</v>
      </c>
      <c r="D1865" s="63">
        <v>45382</v>
      </c>
      <c r="E1865" s="63">
        <v>46232</v>
      </c>
      <c r="F1865" s="62" t="s">
        <v>1945</v>
      </c>
      <c r="G1865" s="62" t="s">
        <v>304</v>
      </c>
      <c r="H1865" s="62" t="s">
        <v>2420</v>
      </c>
      <c r="I1865" s="64">
        <v>200000</v>
      </c>
      <c r="J1865" s="62" t="s">
        <v>2425</v>
      </c>
      <c r="K1865" s="62" t="s">
        <v>377</v>
      </c>
      <c r="L1865" s="65"/>
      <c r="M1865" s="62" t="s">
        <v>1518</v>
      </c>
      <c r="N1865" s="62" t="s">
        <v>355</v>
      </c>
      <c r="O1865" s="62" t="s">
        <v>309</v>
      </c>
      <c r="P1865" s="62" t="s">
        <v>2421</v>
      </c>
      <c r="Q1865" s="66" t="s">
        <v>1971</v>
      </c>
    </row>
    <row r="1866" spans="1:17" x14ac:dyDescent="0.3">
      <c r="A1866" s="61" t="s">
        <v>2303</v>
      </c>
      <c r="B1866" s="62" t="s">
        <v>1637</v>
      </c>
      <c r="C1866" s="62" t="s">
        <v>1638</v>
      </c>
      <c r="D1866" s="63">
        <v>45516</v>
      </c>
      <c r="E1866" s="63">
        <v>46344</v>
      </c>
      <c r="F1866" s="62" t="s">
        <v>1958</v>
      </c>
      <c r="G1866" s="62" t="s">
        <v>304</v>
      </c>
      <c r="H1866" s="62" t="s">
        <v>2420</v>
      </c>
      <c r="I1866" s="64">
        <v>166666.66666666701</v>
      </c>
      <c r="J1866" s="62" t="s">
        <v>2425</v>
      </c>
      <c r="K1866" s="62" t="s">
        <v>377</v>
      </c>
      <c r="L1866" s="65"/>
      <c r="M1866" s="62" t="s">
        <v>1518</v>
      </c>
      <c r="N1866" s="62" t="s">
        <v>364</v>
      </c>
      <c r="O1866" s="62" t="s">
        <v>365</v>
      </c>
      <c r="P1866" s="62" t="s">
        <v>2421</v>
      </c>
      <c r="Q1866" s="66" t="s">
        <v>1971</v>
      </c>
    </row>
    <row r="1867" spans="1:17" x14ac:dyDescent="0.3">
      <c r="A1867" s="61" t="s">
        <v>2303</v>
      </c>
      <c r="B1867" s="62" t="s">
        <v>1637</v>
      </c>
      <c r="C1867" s="62" t="s">
        <v>1638</v>
      </c>
      <c r="D1867" s="63">
        <v>45516</v>
      </c>
      <c r="E1867" s="63">
        <v>46344</v>
      </c>
      <c r="F1867" s="62" t="s">
        <v>1961</v>
      </c>
      <c r="G1867" s="62" t="s">
        <v>304</v>
      </c>
      <c r="H1867" s="62" t="s">
        <v>2420</v>
      </c>
      <c r="I1867" s="64">
        <v>166666.66666666701</v>
      </c>
      <c r="J1867" s="62" t="s">
        <v>2425</v>
      </c>
      <c r="K1867" s="62" t="s">
        <v>377</v>
      </c>
      <c r="L1867" s="65"/>
      <c r="M1867" s="62" t="s">
        <v>1518</v>
      </c>
      <c r="N1867" s="62" t="s">
        <v>364</v>
      </c>
      <c r="O1867" s="62" t="s">
        <v>365</v>
      </c>
      <c r="P1867" s="62" t="s">
        <v>2421</v>
      </c>
      <c r="Q1867" s="66" t="s">
        <v>1971</v>
      </c>
    </row>
    <row r="1868" spans="1:17" x14ac:dyDescent="0.3">
      <c r="A1868" s="61" t="s">
        <v>2303</v>
      </c>
      <c r="B1868" s="62" t="s">
        <v>1637</v>
      </c>
      <c r="C1868" s="62" t="s">
        <v>1638</v>
      </c>
      <c r="D1868" s="63">
        <v>45516</v>
      </c>
      <c r="E1868" s="63">
        <v>46344</v>
      </c>
      <c r="F1868" s="62" t="s">
        <v>1938</v>
      </c>
      <c r="G1868" s="62" t="s">
        <v>304</v>
      </c>
      <c r="H1868" s="62" t="s">
        <v>2420</v>
      </c>
      <c r="I1868" s="64">
        <v>166666.66666666701</v>
      </c>
      <c r="J1868" s="62" t="s">
        <v>2425</v>
      </c>
      <c r="K1868" s="62" t="s">
        <v>377</v>
      </c>
      <c r="L1868" s="65"/>
      <c r="M1868" s="62" t="s">
        <v>1518</v>
      </c>
      <c r="N1868" s="62" t="s">
        <v>364</v>
      </c>
      <c r="O1868" s="62" t="s">
        <v>365</v>
      </c>
      <c r="P1868" s="62" t="s">
        <v>2421</v>
      </c>
      <c r="Q1868" s="66" t="s">
        <v>1971</v>
      </c>
    </row>
    <row r="1869" spans="1:17" x14ac:dyDescent="0.3">
      <c r="A1869" s="61" t="s">
        <v>2304</v>
      </c>
      <c r="B1869" s="62" t="s">
        <v>1639</v>
      </c>
      <c r="C1869" s="62" t="s">
        <v>1640</v>
      </c>
      <c r="D1869" s="63">
        <v>45576</v>
      </c>
      <c r="E1869" s="63">
        <v>46426</v>
      </c>
      <c r="F1869" s="62" t="s">
        <v>348</v>
      </c>
      <c r="G1869" s="62" t="s">
        <v>304</v>
      </c>
      <c r="H1869" s="62" t="s">
        <v>2420</v>
      </c>
      <c r="I1869" s="64">
        <v>220000</v>
      </c>
      <c r="J1869" s="62" t="s">
        <v>2425</v>
      </c>
      <c r="K1869" s="62" t="s">
        <v>377</v>
      </c>
      <c r="L1869" s="65"/>
      <c r="M1869" s="62" t="s">
        <v>825</v>
      </c>
      <c r="N1869" s="62" t="s">
        <v>793</v>
      </c>
      <c r="O1869" s="62" t="s">
        <v>358</v>
      </c>
      <c r="P1869" s="62" t="s">
        <v>2421</v>
      </c>
      <c r="Q1869" s="66" t="s">
        <v>1983</v>
      </c>
    </row>
    <row r="1870" spans="1:17" x14ac:dyDescent="0.3">
      <c r="A1870" s="61" t="s">
        <v>2305</v>
      </c>
      <c r="B1870" s="62" t="s">
        <v>1641</v>
      </c>
      <c r="C1870" s="62" t="s">
        <v>1642</v>
      </c>
      <c r="D1870" s="63">
        <v>45604</v>
      </c>
      <c r="E1870" s="63">
        <v>46534</v>
      </c>
      <c r="F1870" s="62" t="s">
        <v>350</v>
      </c>
      <c r="G1870" s="62" t="s">
        <v>304</v>
      </c>
      <c r="H1870" s="62" t="s">
        <v>2420</v>
      </c>
      <c r="I1870" s="64">
        <v>150000</v>
      </c>
      <c r="J1870" s="62" t="s">
        <v>2425</v>
      </c>
      <c r="K1870" s="62" t="s">
        <v>377</v>
      </c>
      <c r="L1870" s="65"/>
      <c r="M1870" s="62" t="s">
        <v>825</v>
      </c>
      <c r="N1870" s="62" t="s">
        <v>671</v>
      </c>
      <c r="O1870" s="62" t="s">
        <v>426</v>
      </c>
      <c r="P1870" s="62" t="s">
        <v>2421</v>
      </c>
      <c r="Q1870" s="66" t="s">
        <v>1980</v>
      </c>
    </row>
    <row r="1871" spans="1:17" x14ac:dyDescent="0.3">
      <c r="A1871" s="61" t="s">
        <v>2306</v>
      </c>
      <c r="B1871" s="62" t="s">
        <v>1643</v>
      </c>
      <c r="C1871" s="62" t="s">
        <v>1644</v>
      </c>
      <c r="D1871" s="63">
        <v>45707</v>
      </c>
      <c r="E1871" s="63">
        <v>46803</v>
      </c>
      <c r="F1871" s="62" t="s">
        <v>1916</v>
      </c>
      <c r="G1871" s="62" t="s">
        <v>304</v>
      </c>
      <c r="H1871" s="62" t="s">
        <v>2420</v>
      </c>
      <c r="I1871" s="64">
        <v>3500000</v>
      </c>
      <c r="J1871" s="62" t="s">
        <v>2425</v>
      </c>
      <c r="K1871" s="62" t="s">
        <v>377</v>
      </c>
      <c r="L1871" s="65"/>
      <c r="M1871" s="62" t="s">
        <v>1518</v>
      </c>
      <c r="N1871" s="62" t="s">
        <v>531</v>
      </c>
      <c r="O1871" s="62" t="s">
        <v>459</v>
      </c>
      <c r="P1871" s="62" t="s">
        <v>2421</v>
      </c>
      <c r="Q1871" s="66" t="s">
        <v>1971</v>
      </c>
    </row>
    <row r="1872" spans="1:17" x14ac:dyDescent="0.3">
      <c r="A1872" s="61" t="s">
        <v>2307</v>
      </c>
      <c r="B1872" s="62" t="s">
        <v>1645</v>
      </c>
      <c r="C1872" s="62" t="s">
        <v>1646</v>
      </c>
      <c r="D1872" s="63">
        <v>45271</v>
      </c>
      <c r="E1872" s="63">
        <v>47118</v>
      </c>
      <c r="F1872" s="62" t="s">
        <v>350</v>
      </c>
      <c r="G1872" s="62" t="s">
        <v>304</v>
      </c>
      <c r="H1872" s="62" t="s">
        <v>638</v>
      </c>
      <c r="I1872" s="64">
        <v>235469.75</v>
      </c>
      <c r="J1872" s="62" t="s">
        <v>645</v>
      </c>
      <c r="K1872" s="62" t="s">
        <v>638</v>
      </c>
      <c r="L1872" s="65"/>
      <c r="M1872" s="62" t="s">
        <v>825</v>
      </c>
      <c r="N1872" s="62" t="s">
        <v>551</v>
      </c>
      <c r="O1872" s="62" t="s">
        <v>428</v>
      </c>
      <c r="P1872" s="62" t="s">
        <v>2421</v>
      </c>
      <c r="Q1872" s="66" t="s">
        <v>2021</v>
      </c>
    </row>
    <row r="1873" spans="1:17" x14ac:dyDescent="0.3">
      <c r="A1873" s="61" t="s">
        <v>2307</v>
      </c>
      <c r="B1873" s="62" t="s">
        <v>1645</v>
      </c>
      <c r="C1873" s="62" t="s">
        <v>1646</v>
      </c>
      <c r="D1873" s="63">
        <v>45271</v>
      </c>
      <c r="E1873" s="63">
        <v>47118</v>
      </c>
      <c r="F1873" s="62" t="s">
        <v>1959</v>
      </c>
      <c r="G1873" s="62" t="s">
        <v>304</v>
      </c>
      <c r="H1873" s="62" t="s">
        <v>638</v>
      </c>
      <c r="I1873" s="64">
        <v>235469.75</v>
      </c>
      <c r="J1873" s="62" t="s">
        <v>645</v>
      </c>
      <c r="K1873" s="62" t="s">
        <v>638</v>
      </c>
      <c r="L1873" s="65"/>
      <c r="M1873" s="62" t="s">
        <v>825</v>
      </c>
      <c r="N1873" s="62" t="s">
        <v>551</v>
      </c>
      <c r="O1873" s="62" t="s">
        <v>428</v>
      </c>
      <c r="P1873" s="62" t="s">
        <v>2421</v>
      </c>
      <c r="Q1873" s="66" t="s">
        <v>2021</v>
      </c>
    </row>
    <row r="1874" spans="1:17" x14ac:dyDescent="0.3">
      <c r="A1874" s="61" t="s">
        <v>2307</v>
      </c>
      <c r="B1874" s="62" t="s">
        <v>1645</v>
      </c>
      <c r="C1874" s="62" t="s">
        <v>1646</v>
      </c>
      <c r="D1874" s="63">
        <v>45271</v>
      </c>
      <c r="E1874" s="63">
        <v>47118</v>
      </c>
      <c r="F1874" s="62" t="s">
        <v>1936</v>
      </c>
      <c r="G1874" s="62" t="s">
        <v>304</v>
      </c>
      <c r="H1874" s="62" t="s">
        <v>638</v>
      </c>
      <c r="I1874" s="64">
        <v>235469.75</v>
      </c>
      <c r="J1874" s="62" t="s">
        <v>645</v>
      </c>
      <c r="K1874" s="62" t="s">
        <v>638</v>
      </c>
      <c r="L1874" s="65"/>
      <c r="M1874" s="62" t="s">
        <v>825</v>
      </c>
      <c r="N1874" s="62" t="s">
        <v>551</v>
      </c>
      <c r="O1874" s="62" t="s">
        <v>428</v>
      </c>
      <c r="P1874" s="62" t="s">
        <v>2421</v>
      </c>
      <c r="Q1874" s="66" t="s">
        <v>2021</v>
      </c>
    </row>
    <row r="1875" spans="1:17" x14ac:dyDescent="0.3">
      <c r="A1875" s="61" t="s">
        <v>2307</v>
      </c>
      <c r="B1875" s="62" t="s">
        <v>1645</v>
      </c>
      <c r="C1875" s="62" t="s">
        <v>1646</v>
      </c>
      <c r="D1875" s="63">
        <v>45271</v>
      </c>
      <c r="E1875" s="63">
        <v>47118</v>
      </c>
      <c r="F1875" s="62" t="s">
        <v>287</v>
      </c>
      <c r="G1875" s="62" t="s">
        <v>304</v>
      </c>
      <c r="H1875" s="62" t="s">
        <v>638</v>
      </c>
      <c r="I1875" s="64">
        <v>235469.75</v>
      </c>
      <c r="J1875" s="62" t="s">
        <v>645</v>
      </c>
      <c r="K1875" s="62" t="s">
        <v>638</v>
      </c>
      <c r="L1875" s="65"/>
      <c r="M1875" s="62" t="s">
        <v>825</v>
      </c>
      <c r="N1875" s="62" t="s">
        <v>551</v>
      </c>
      <c r="O1875" s="62" t="s">
        <v>428</v>
      </c>
      <c r="P1875" s="62" t="s">
        <v>2421</v>
      </c>
      <c r="Q1875" s="66" t="s">
        <v>2021</v>
      </c>
    </row>
    <row r="1876" spans="1:17" x14ac:dyDescent="0.3">
      <c r="A1876" s="61" t="s">
        <v>2308</v>
      </c>
      <c r="B1876" s="62" t="s">
        <v>1647</v>
      </c>
      <c r="C1876" s="62" t="s">
        <v>1648</v>
      </c>
      <c r="D1876" s="63">
        <v>45231</v>
      </c>
      <c r="E1876" s="63">
        <v>46173</v>
      </c>
      <c r="F1876" s="62" t="s">
        <v>1935</v>
      </c>
      <c r="G1876" s="62" t="s">
        <v>336</v>
      </c>
      <c r="H1876" s="62" t="s">
        <v>489</v>
      </c>
      <c r="I1876" s="64">
        <v>20622</v>
      </c>
      <c r="J1876" s="62" t="s">
        <v>813</v>
      </c>
      <c r="K1876" s="62" t="s">
        <v>489</v>
      </c>
      <c r="L1876" s="65"/>
      <c r="M1876" s="62" t="s">
        <v>1518</v>
      </c>
      <c r="N1876" s="62" t="s">
        <v>910</v>
      </c>
      <c r="O1876" s="62" t="s">
        <v>646</v>
      </c>
      <c r="P1876" s="62" t="s">
        <v>2421</v>
      </c>
      <c r="Q1876" s="66" t="s">
        <v>1974</v>
      </c>
    </row>
    <row r="1877" spans="1:17" x14ac:dyDescent="0.3">
      <c r="A1877" s="61" t="s">
        <v>2308</v>
      </c>
      <c r="B1877" s="62" t="s">
        <v>1647</v>
      </c>
      <c r="C1877" s="62" t="s">
        <v>1648</v>
      </c>
      <c r="D1877" s="63">
        <v>45231</v>
      </c>
      <c r="E1877" s="63">
        <v>46173</v>
      </c>
      <c r="F1877" s="62" t="s">
        <v>1935</v>
      </c>
      <c r="G1877" s="62" t="s">
        <v>337</v>
      </c>
      <c r="H1877" s="62" t="s">
        <v>489</v>
      </c>
      <c r="I1877" s="64">
        <v>20622</v>
      </c>
      <c r="J1877" s="62" t="s">
        <v>813</v>
      </c>
      <c r="K1877" s="62" t="s">
        <v>489</v>
      </c>
      <c r="L1877" s="65"/>
      <c r="M1877" s="62" t="s">
        <v>1518</v>
      </c>
      <c r="N1877" s="62" t="s">
        <v>910</v>
      </c>
      <c r="O1877" s="62" t="s">
        <v>646</v>
      </c>
      <c r="P1877" s="62" t="s">
        <v>2421</v>
      </c>
      <c r="Q1877" s="66" t="s">
        <v>1974</v>
      </c>
    </row>
    <row r="1878" spans="1:17" x14ac:dyDescent="0.3">
      <c r="A1878" s="61" t="s">
        <v>2308</v>
      </c>
      <c r="B1878" s="62" t="s">
        <v>1647</v>
      </c>
      <c r="C1878" s="62" t="s">
        <v>1648</v>
      </c>
      <c r="D1878" s="63">
        <v>45231</v>
      </c>
      <c r="E1878" s="63">
        <v>46173</v>
      </c>
      <c r="F1878" s="62" t="s">
        <v>1935</v>
      </c>
      <c r="G1878" s="62" t="s">
        <v>338</v>
      </c>
      <c r="H1878" s="62" t="s">
        <v>489</v>
      </c>
      <c r="I1878" s="64">
        <v>20622</v>
      </c>
      <c r="J1878" s="62" t="s">
        <v>813</v>
      </c>
      <c r="K1878" s="62" t="s">
        <v>489</v>
      </c>
      <c r="L1878" s="65"/>
      <c r="M1878" s="62" t="s">
        <v>1518</v>
      </c>
      <c r="N1878" s="62" t="s">
        <v>910</v>
      </c>
      <c r="O1878" s="62" t="s">
        <v>646</v>
      </c>
      <c r="P1878" s="62" t="s">
        <v>2421</v>
      </c>
      <c r="Q1878" s="66" t="s">
        <v>1974</v>
      </c>
    </row>
    <row r="1879" spans="1:17" x14ac:dyDescent="0.3">
      <c r="A1879" s="61" t="s">
        <v>2308</v>
      </c>
      <c r="B1879" s="62" t="s">
        <v>1647</v>
      </c>
      <c r="C1879" s="62" t="s">
        <v>1648</v>
      </c>
      <c r="D1879" s="63">
        <v>45231</v>
      </c>
      <c r="E1879" s="63">
        <v>46173</v>
      </c>
      <c r="F1879" s="62" t="s">
        <v>1935</v>
      </c>
      <c r="G1879" s="62" t="s">
        <v>339</v>
      </c>
      <c r="H1879" s="62" t="s">
        <v>489</v>
      </c>
      <c r="I1879" s="64">
        <v>20622</v>
      </c>
      <c r="J1879" s="62" t="s">
        <v>813</v>
      </c>
      <c r="K1879" s="62" t="s">
        <v>489</v>
      </c>
      <c r="L1879" s="65"/>
      <c r="M1879" s="62" t="s">
        <v>1518</v>
      </c>
      <c r="N1879" s="62" t="s">
        <v>910</v>
      </c>
      <c r="O1879" s="62" t="s">
        <v>646</v>
      </c>
      <c r="P1879" s="62" t="s">
        <v>2421</v>
      </c>
      <c r="Q1879" s="66" t="s">
        <v>1974</v>
      </c>
    </row>
    <row r="1880" spans="1:17" x14ac:dyDescent="0.3">
      <c r="A1880" s="61" t="s">
        <v>2308</v>
      </c>
      <c r="B1880" s="62" t="s">
        <v>1647</v>
      </c>
      <c r="C1880" s="62" t="s">
        <v>1648</v>
      </c>
      <c r="D1880" s="63">
        <v>45231</v>
      </c>
      <c r="E1880" s="63">
        <v>46173</v>
      </c>
      <c r="F1880" s="62" t="s">
        <v>1935</v>
      </c>
      <c r="G1880" s="62" t="s">
        <v>340</v>
      </c>
      <c r="H1880" s="62" t="s">
        <v>489</v>
      </c>
      <c r="I1880" s="64">
        <v>20622</v>
      </c>
      <c r="J1880" s="62" t="s">
        <v>813</v>
      </c>
      <c r="K1880" s="62" t="s">
        <v>489</v>
      </c>
      <c r="L1880" s="65"/>
      <c r="M1880" s="62" t="s">
        <v>1518</v>
      </c>
      <c r="N1880" s="62" t="s">
        <v>910</v>
      </c>
      <c r="O1880" s="62" t="s">
        <v>646</v>
      </c>
      <c r="P1880" s="62" t="s">
        <v>2421</v>
      </c>
      <c r="Q1880" s="66" t="s">
        <v>1974</v>
      </c>
    </row>
    <row r="1881" spans="1:17" x14ac:dyDescent="0.3">
      <c r="A1881" s="61" t="s">
        <v>2308</v>
      </c>
      <c r="B1881" s="62" t="s">
        <v>1647</v>
      </c>
      <c r="C1881" s="62" t="s">
        <v>1648</v>
      </c>
      <c r="D1881" s="63">
        <v>45231</v>
      </c>
      <c r="E1881" s="63">
        <v>46173</v>
      </c>
      <c r="F1881" s="62" t="s">
        <v>1935</v>
      </c>
      <c r="G1881" s="62" t="s">
        <v>564</v>
      </c>
      <c r="H1881" s="62" t="s">
        <v>489</v>
      </c>
      <c r="I1881" s="64">
        <v>20622</v>
      </c>
      <c r="J1881" s="62" t="s">
        <v>813</v>
      </c>
      <c r="K1881" s="62" t="s">
        <v>489</v>
      </c>
      <c r="L1881" s="65"/>
      <c r="M1881" s="62" t="s">
        <v>1518</v>
      </c>
      <c r="N1881" s="62" t="s">
        <v>910</v>
      </c>
      <c r="O1881" s="62" t="s">
        <v>646</v>
      </c>
      <c r="P1881" s="62" t="s">
        <v>2421</v>
      </c>
      <c r="Q1881" s="66" t="s">
        <v>1974</v>
      </c>
    </row>
    <row r="1882" spans="1:17" x14ac:dyDescent="0.3">
      <c r="A1882" s="61" t="s">
        <v>2308</v>
      </c>
      <c r="B1882" s="62" t="s">
        <v>1647</v>
      </c>
      <c r="C1882" s="62" t="s">
        <v>1648</v>
      </c>
      <c r="D1882" s="63">
        <v>45231</v>
      </c>
      <c r="E1882" s="63">
        <v>46173</v>
      </c>
      <c r="F1882" s="62" t="s">
        <v>1921</v>
      </c>
      <c r="G1882" s="62" t="s">
        <v>618</v>
      </c>
      <c r="H1882" s="62" t="s">
        <v>489</v>
      </c>
      <c r="I1882" s="64">
        <v>30933</v>
      </c>
      <c r="J1882" s="62" t="s">
        <v>813</v>
      </c>
      <c r="K1882" s="62" t="s">
        <v>489</v>
      </c>
      <c r="L1882" s="65"/>
      <c r="M1882" s="62" t="s">
        <v>1518</v>
      </c>
      <c r="N1882" s="62" t="s">
        <v>910</v>
      </c>
      <c r="O1882" s="62" t="s">
        <v>646</v>
      </c>
      <c r="P1882" s="62" t="s">
        <v>2421</v>
      </c>
      <c r="Q1882" s="66" t="s">
        <v>1974</v>
      </c>
    </row>
    <row r="1883" spans="1:17" x14ac:dyDescent="0.3">
      <c r="A1883" s="61" t="s">
        <v>2308</v>
      </c>
      <c r="B1883" s="62" t="s">
        <v>1647</v>
      </c>
      <c r="C1883" s="62" t="s">
        <v>1648</v>
      </c>
      <c r="D1883" s="63">
        <v>45231</v>
      </c>
      <c r="E1883" s="63">
        <v>46173</v>
      </c>
      <c r="F1883" s="62" t="s">
        <v>1921</v>
      </c>
      <c r="G1883" s="62" t="s">
        <v>619</v>
      </c>
      <c r="H1883" s="62" t="s">
        <v>489</v>
      </c>
      <c r="I1883" s="64">
        <v>30933</v>
      </c>
      <c r="J1883" s="62" t="s">
        <v>813</v>
      </c>
      <c r="K1883" s="62" t="s">
        <v>489</v>
      </c>
      <c r="L1883" s="65"/>
      <c r="M1883" s="62" t="s">
        <v>1518</v>
      </c>
      <c r="N1883" s="62" t="s">
        <v>910</v>
      </c>
      <c r="O1883" s="62" t="s">
        <v>646</v>
      </c>
      <c r="P1883" s="62" t="s">
        <v>2421</v>
      </c>
      <c r="Q1883" s="66" t="s">
        <v>1974</v>
      </c>
    </row>
    <row r="1884" spans="1:17" x14ac:dyDescent="0.3">
      <c r="A1884" s="61" t="s">
        <v>2308</v>
      </c>
      <c r="B1884" s="62" t="s">
        <v>1647</v>
      </c>
      <c r="C1884" s="62" t="s">
        <v>1648</v>
      </c>
      <c r="D1884" s="63">
        <v>45231</v>
      </c>
      <c r="E1884" s="63">
        <v>46173</v>
      </c>
      <c r="F1884" s="62" t="s">
        <v>1921</v>
      </c>
      <c r="G1884" s="62" t="s">
        <v>621</v>
      </c>
      <c r="H1884" s="62" t="s">
        <v>489</v>
      </c>
      <c r="I1884" s="64">
        <v>30933</v>
      </c>
      <c r="J1884" s="62" t="s">
        <v>813</v>
      </c>
      <c r="K1884" s="62" t="s">
        <v>489</v>
      </c>
      <c r="L1884" s="65"/>
      <c r="M1884" s="62" t="s">
        <v>1518</v>
      </c>
      <c r="N1884" s="62" t="s">
        <v>910</v>
      </c>
      <c r="O1884" s="62" t="s">
        <v>646</v>
      </c>
      <c r="P1884" s="62" t="s">
        <v>2421</v>
      </c>
      <c r="Q1884" s="66" t="s">
        <v>1974</v>
      </c>
    </row>
    <row r="1885" spans="1:17" x14ac:dyDescent="0.3">
      <c r="A1885" s="61" t="s">
        <v>2308</v>
      </c>
      <c r="B1885" s="62" t="s">
        <v>1647</v>
      </c>
      <c r="C1885" s="62" t="s">
        <v>1648</v>
      </c>
      <c r="D1885" s="63">
        <v>45231</v>
      </c>
      <c r="E1885" s="63">
        <v>46173</v>
      </c>
      <c r="F1885" s="62" t="s">
        <v>1921</v>
      </c>
      <c r="G1885" s="62" t="s">
        <v>487</v>
      </c>
      <c r="H1885" s="62" t="s">
        <v>489</v>
      </c>
      <c r="I1885" s="64">
        <v>30933</v>
      </c>
      <c r="J1885" s="62" t="s">
        <v>813</v>
      </c>
      <c r="K1885" s="62" t="s">
        <v>489</v>
      </c>
      <c r="L1885" s="65"/>
      <c r="M1885" s="62" t="s">
        <v>1518</v>
      </c>
      <c r="N1885" s="62" t="s">
        <v>910</v>
      </c>
      <c r="O1885" s="62" t="s">
        <v>646</v>
      </c>
      <c r="P1885" s="62" t="s">
        <v>2421</v>
      </c>
      <c r="Q1885" s="66" t="s">
        <v>1974</v>
      </c>
    </row>
    <row r="1886" spans="1:17" x14ac:dyDescent="0.3">
      <c r="A1886" s="61" t="s">
        <v>2498</v>
      </c>
      <c r="B1886" s="62" t="s">
        <v>2499</v>
      </c>
      <c r="C1886" s="62" t="s">
        <v>2500</v>
      </c>
      <c r="D1886" s="63">
        <v>45553</v>
      </c>
      <c r="E1886" s="63">
        <v>46830</v>
      </c>
      <c r="F1886" s="62" t="s">
        <v>1944</v>
      </c>
      <c r="G1886" s="62" t="s">
        <v>2501</v>
      </c>
      <c r="H1886" s="62" t="s">
        <v>2427</v>
      </c>
      <c r="I1886" s="64">
        <v>13750</v>
      </c>
      <c r="J1886" s="62" t="s">
        <v>2432</v>
      </c>
      <c r="K1886" s="62" t="s">
        <v>2433</v>
      </c>
      <c r="L1886" s="65"/>
      <c r="M1886" s="62" t="s">
        <v>2443</v>
      </c>
      <c r="N1886" s="62" t="s">
        <v>469</v>
      </c>
      <c r="O1886" s="62" t="s">
        <v>315</v>
      </c>
      <c r="P1886" s="62" t="s">
        <v>2421</v>
      </c>
      <c r="Q1886" s="66" t="s">
        <v>1969</v>
      </c>
    </row>
    <row r="1887" spans="1:17" x14ac:dyDescent="0.3">
      <c r="A1887" s="61" t="s">
        <v>2498</v>
      </c>
      <c r="B1887" s="62" t="s">
        <v>2499</v>
      </c>
      <c r="C1887" s="62" t="s">
        <v>2500</v>
      </c>
      <c r="D1887" s="63">
        <v>45553</v>
      </c>
      <c r="E1887" s="63">
        <v>46830</v>
      </c>
      <c r="F1887" s="62" t="s">
        <v>1944</v>
      </c>
      <c r="G1887" s="62" t="s">
        <v>1351</v>
      </c>
      <c r="H1887" s="62" t="s">
        <v>2427</v>
      </c>
      <c r="I1887" s="64">
        <v>13750</v>
      </c>
      <c r="J1887" s="62" t="s">
        <v>2432</v>
      </c>
      <c r="K1887" s="62" t="s">
        <v>2433</v>
      </c>
      <c r="L1887" s="65"/>
      <c r="M1887" s="62" t="s">
        <v>2443</v>
      </c>
      <c r="N1887" s="62" t="s">
        <v>469</v>
      </c>
      <c r="O1887" s="62" t="s">
        <v>315</v>
      </c>
      <c r="P1887" s="62" t="s">
        <v>2421</v>
      </c>
      <c r="Q1887" s="66" t="s">
        <v>1969</v>
      </c>
    </row>
    <row r="1888" spans="1:17" x14ac:dyDescent="0.3">
      <c r="A1888" s="61" t="s">
        <v>2498</v>
      </c>
      <c r="B1888" s="62" t="s">
        <v>2499</v>
      </c>
      <c r="C1888" s="62" t="s">
        <v>2500</v>
      </c>
      <c r="D1888" s="63">
        <v>45553</v>
      </c>
      <c r="E1888" s="63">
        <v>46830</v>
      </c>
      <c r="F1888" s="62" t="s">
        <v>1944</v>
      </c>
      <c r="G1888" s="62" t="s">
        <v>2502</v>
      </c>
      <c r="H1888" s="62" t="s">
        <v>2427</v>
      </c>
      <c r="I1888" s="64">
        <v>13750</v>
      </c>
      <c r="J1888" s="62" t="s">
        <v>2432</v>
      </c>
      <c r="K1888" s="62" t="s">
        <v>2433</v>
      </c>
      <c r="L1888" s="65"/>
      <c r="M1888" s="62" t="s">
        <v>2443</v>
      </c>
      <c r="N1888" s="62" t="s">
        <v>469</v>
      </c>
      <c r="O1888" s="62" t="s">
        <v>315</v>
      </c>
      <c r="P1888" s="62" t="s">
        <v>2421</v>
      </c>
      <c r="Q1888" s="66" t="s">
        <v>1969</v>
      </c>
    </row>
    <row r="1889" spans="1:17" x14ac:dyDescent="0.3">
      <c r="A1889" s="61" t="s">
        <v>2498</v>
      </c>
      <c r="B1889" s="62" t="s">
        <v>2499</v>
      </c>
      <c r="C1889" s="62" t="s">
        <v>2500</v>
      </c>
      <c r="D1889" s="63">
        <v>45553</v>
      </c>
      <c r="E1889" s="63">
        <v>46830</v>
      </c>
      <c r="F1889" s="62" t="s">
        <v>1944</v>
      </c>
      <c r="G1889" s="62" t="s">
        <v>518</v>
      </c>
      <c r="H1889" s="62" t="s">
        <v>2427</v>
      </c>
      <c r="I1889" s="64">
        <v>13750</v>
      </c>
      <c r="J1889" s="62" t="s">
        <v>2432</v>
      </c>
      <c r="K1889" s="62" t="s">
        <v>2433</v>
      </c>
      <c r="L1889" s="65"/>
      <c r="M1889" s="62" t="s">
        <v>2443</v>
      </c>
      <c r="N1889" s="62" t="s">
        <v>469</v>
      </c>
      <c r="O1889" s="62" t="s">
        <v>315</v>
      </c>
      <c r="P1889" s="62" t="s">
        <v>2421</v>
      </c>
      <c r="Q1889" s="66" t="s">
        <v>1969</v>
      </c>
    </row>
    <row r="1890" spans="1:17" x14ac:dyDescent="0.3">
      <c r="A1890" s="61" t="s">
        <v>2498</v>
      </c>
      <c r="B1890" s="62" t="s">
        <v>2499</v>
      </c>
      <c r="C1890" s="62" t="s">
        <v>2500</v>
      </c>
      <c r="D1890" s="63">
        <v>45553</v>
      </c>
      <c r="E1890" s="63">
        <v>46830</v>
      </c>
      <c r="F1890" s="62" t="s">
        <v>1937</v>
      </c>
      <c r="G1890" s="62" t="s">
        <v>1576</v>
      </c>
      <c r="H1890" s="62" t="s">
        <v>2427</v>
      </c>
      <c r="I1890" s="64">
        <v>18333.333333333299</v>
      </c>
      <c r="J1890" s="62" t="s">
        <v>2432</v>
      </c>
      <c r="K1890" s="62" t="s">
        <v>2433</v>
      </c>
      <c r="L1890" s="65"/>
      <c r="M1890" s="62" t="s">
        <v>2443</v>
      </c>
      <c r="N1890" s="62" t="s">
        <v>469</v>
      </c>
      <c r="O1890" s="62" t="s">
        <v>315</v>
      </c>
      <c r="P1890" s="62" t="s">
        <v>2421</v>
      </c>
      <c r="Q1890" s="66" t="s">
        <v>1969</v>
      </c>
    </row>
    <row r="1891" spans="1:17" x14ac:dyDescent="0.3">
      <c r="A1891" s="61" t="s">
        <v>2498</v>
      </c>
      <c r="B1891" s="62" t="s">
        <v>2499</v>
      </c>
      <c r="C1891" s="62" t="s">
        <v>2500</v>
      </c>
      <c r="D1891" s="63">
        <v>45553</v>
      </c>
      <c r="E1891" s="63">
        <v>46830</v>
      </c>
      <c r="F1891" s="62" t="s">
        <v>1937</v>
      </c>
      <c r="G1891" s="62" t="s">
        <v>1577</v>
      </c>
      <c r="H1891" s="62" t="s">
        <v>2427</v>
      </c>
      <c r="I1891" s="64">
        <v>18333.333333333299</v>
      </c>
      <c r="J1891" s="62" t="s">
        <v>2432</v>
      </c>
      <c r="K1891" s="62" t="s">
        <v>2433</v>
      </c>
      <c r="L1891" s="65"/>
      <c r="M1891" s="62" t="s">
        <v>2443</v>
      </c>
      <c r="N1891" s="62" t="s">
        <v>469</v>
      </c>
      <c r="O1891" s="62" t="s">
        <v>315</v>
      </c>
      <c r="P1891" s="62" t="s">
        <v>2421</v>
      </c>
      <c r="Q1891" s="66" t="s">
        <v>1969</v>
      </c>
    </row>
    <row r="1892" spans="1:17" x14ac:dyDescent="0.3">
      <c r="A1892" s="61" t="s">
        <v>2498</v>
      </c>
      <c r="B1892" s="62" t="s">
        <v>2499</v>
      </c>
      <c r="C1892" s="62" t="s">
        <v>2500</v>
      </c>
      <c r="D1892" s="63">
        <v>45553</v>
      </c>
      <c r="E1892" s="63">
        <v>46830</v>
      </c>
      <c r="F1892" s="62" t="s">
        <v>1937</v>
      </c>
      <c r="G1892" s="62" t="s">
        <v>1123</v>
      </c>
      <c r="H1892" s="62" t="s">
        <v>2427</v>
      </c>
      <c r="I1892" s="64">
        <v>18333.333333333299</v>
      </c>
      <c r="J1892" s="62" t="s">
        <v>2432</v>
      </c>
      <c r="K1892" s="62" t="s">
        <v>2433</v>
      </c>
      <c r="L1892" s="65"/>
      <c r="M1892" s="62" t="s">
        <v>2443</v>
      </c>
      <c r="N1892" s="62" t="s">
        <v>469</v>
      </c>
      <c r="O1892" s="62" t="s">
        <v>315</v>
      </c>
      <c r="P1892" s="62" t="s">
        <v>2421</v>
      </c>
      <c r="Q1892" s="66" t="s">
        <v>1969</v>
      </c>
    </row>
    <row r="1893" spans="1:17" x14ac:dyDescent="0.3">
      <c r="A1893" s="61" t="s">
        <v>2309</v>
      </c>
      <c r="B1893" s="62" t="s">
        <v>1650</v>
      </c>
      <c r="C1893" s="62" t="s">
        <v>1651</v>
      </c>
      <c r="D1893" s="63">
        <v>45483</v>
      </c>
      <c r="E1893" s="63">
        <v>47147</v>
      </c>
      <c r="F1893" s="62" t="s">
        <v>1943</v>
      </c>
      <c r="G1893" s="62" t="s">
        <v>304</v>
      </c>
      <c r="H1893" s="62" t="s">
        <v>2420</v>
      </c>
      <c r="I1893" s="64">
        <v>4851526</v>
      </c>
      <c r="J1893" s="62" t="s">
        <v>2425</v>
      </c>
      <c r="K1893" s="62" t="s">
        <v>377</v>
      </c>
      <c r="L1893" s="65"/>
      <c r="M1893" s="62" t="s">
        <v>1518</v>
      </c>
      <c r="N1893" s="62" t="s">
        <v>636</v>
      </c>
      <c r="O1893" s="62" t="s">
        <v>637</v>
      </c>
      <c r="P1893" s="62" t="s">
        <v>2421</v>
      </c>
      <c r="Q1893" s="66" t="s">
        <v>1973</v>
      </c>
    </row>
    <row r="1894" spans="1:17" x14ac:dyDescent="0.3">
      <c r="A1894" s="61" t="s">
        <v>2310</v>
      </c>
      <c r="B1894" s="62" t="s">
        <v>1652</v>
      </c>
      <c r="C1894" s="62" t="s">
        <v>1653</v>
      </c>
      <c r="D1894" s="63">
        <v>45273</v>
      </c>
      <c r="E1894" s="63">
        <v>46284</v>
      </c>
      <c r="F1894" s="62" t="s">
        <v>350</v>
      </c>
      <c r="G1894" s="62" t="s">
        <v>304</v>
      </c>
      <c r="H1894" s="62" t="s">
        <v>443</v>
      </c>
      <c r="I1894" s="64">
        <v>300000</v>
      </c>
      <c r="J1894" s="62" t="s">
        <v>1721</v>
      </c>
      <c r="K1894" s="62" t="s">
        <v>377</v>
      </c>
      <c r="L1894" s="65"/>
      <c r="M1894" s="62" t="s">
        <v>825</v>
      </c>
      <c r="N1894" s="62" t="s">
        <v>799</v>
      </c>
      <c r="O1894" s="62" t="s">
        <v>428</v>
      </c>
      <c r="P1894" s="62" t="s">
        <v>2421</v>
      </c>
      <c r="Q1894" s="66" t="s">
        <v>2021</v>
      </c>
    </row>
    <row r="1895" spans="1:17" x14ac:dyDescent="0.3">
      <c r="A1895" s="61" t="s">
        <v>2310</v>
      </c>
      <c r="B1895" s="62" t="s">
        <v>1652</v>
      </c>
      <c r="C1895" s="62" t="s">
        <v>1653</v>
      </c>
      <c r="D1895" s="63">
        <v>45273</v>
      </c>
      <c r="E1895" s="63">
        <v>46284</v>
      </c>
      <c r="F1895" s="62" t="s">
        <v>1931</v>
      </c>
      <c r="G1895" s="62" t="s">
        <v>304</v>
      </c>
      <c r="H1895" s="62" t="s">
        <v>443</v>
      </c>
      <c r="I1895" s="64">
        <v>300000</v>
      </c>
      <c r="J1895" s="62" t="s">
        <v>1721</v>
      </c>
      <c r="K1895" s="62" t="s">
        <v>377</v>
      </c>
      <c r="L1895" s="65"/>
      <c r="M1895" s="62" t="s">
        <v>825</v>
      </c>
      <c r="N1895" s="62" t="s">
        <v>799</v>
      </c>
      <c r="O1895" s="62" t="s">
        <v>428</v>
      </c>
      <c r="P1895" s="62" t="s">
        <v>2421</v>
      </c>
      <c r="Q1895" s="66" t="s">
        <v>2021</v>
      </c>
    </row>
    <row r="1896" spans="1:17" x14ac:dyDescent="0.3">
      <c r="A1896" s="61" t="s">
        <v>2310</v>
      </c>
      <c r="B1896" s="62" t="s">
        <v>1652</v>
      </c>
      <c r="C1896" s="62" t="s">
        <v>1653</v>
      </c>
      <c r="D1896" s="63">
        <v>45273</v>
      </c>
      <c r="E1896" s="63">
        <v>46284</v>
      </c>
      <c r="F1896" s="62" t="s">
        <v>282</v>
      </c>
      <c r="G1896" s="62" t="s">
        <v>304</v>
      </c>
      <c r="H1896" s="62" t="s">
        <v>443</v>
      </c>
      <c r="I1896" s="64">
        <v>300000</v>
      </c>
      <c r="J1896" s="62" t="s">
        <v>1721</v>
      </c>
      <c r="K1896" s="62" t="s">
        <v>377</v>
      </c>
      <c r="L1896" s="65"/>
      <c r="M1896" s="62" t="s">
        <v>825</v>
      </c>
      <c r="N1896" s="62" t="s">
        <v>799</v>
      </c>
      <c r="O1896" s="62" t="s">
        <v>428</v>
      </c>
      <c r="P1896" s="62" t="s">
        <v>2421</v>
      </c>
      <c r="Q1896" s="66" t="s">
        <v>2021</v>
      </c>
    </row>
    <row r="1897" spans="1:17" x14ac:dyDescent="0.3">
      <c r="A1897" s="61" t="s">
        <v>2310</v>
      </c>
      <c r="B1897" s="62" t="s">
        <v>1652</v>
      </c>
      <c r="C1897" s="62" t="s">
        <v>1653</v>
      </c>
      <c r="D1897" s="63">
        <v>45273</v>
      </c>
      <c r="E1897" s="63">
        <v>46284</v>
      </c>
      <c r="F1897" s="62" t="s">
        <v>1940</v>
      </c>
      <c r="G1897" s="62" t="s">
        <v>304</v>
      </c>
      <c r="H1897" s="62" t="s">
        <v>443</v>
      </c>
      <c r="I1897" s="64">
        <v>300000</v>
      </c>
      <c r="J1897" s="62" t="s">
        <v>1721</v>
      </c>
      <c r="K1897" s="62" t="s">
        <v>377</v>
      </c>
      <c r="L1897" s="65"/>
      <c r="M1897" s="62" t="s">
        <v>825</v>
      </c>
      <c r="N1897" s="62" t="s">
        <v>799</v>
      </c>
      <c r="O1897" s="62" t="s">
        <v>428</v>
      </c>
      <c r="P1897" s="62" t="s">
        <v>2421</v>
      </c>
      <c r="Q1897" s="66" t="s">
        <v>2021</v>
      </c>
    </row>
    <row r="1898" spans="1:17" x14ac:dyDescent="0.3">
      <c r="A1898" s="61" t="s">
        <v>2310</v>
      </c>
      <c r="B1898" s="62" t="s">
        <v>1652</v>
      </c>
      <c r="C1898" s="62" t="s">
        <v>1653</v>
      </c>
      <c r="D1898" s="63">
        <v>45273</v>
      </c>
      <c r="E1898" s="63">
        <v>46284</v>
      </c>
      <c r="F1898" s="62" t="s">
        <v>1922</v>
      </c>
      <c r="G1898" s="62" t="s">
        <v>304</v>
      </c>
      <c r="H1898" s="62" t="s">
        <v>443</v>
      </c>
      <c r="I1898" s="64">
        <v>300000</v>
      </c>
      <c r="J1898" s="62" t="s">
        <v>1721</v>
      </c>
      <c r="K1898" s="62" t="s">
        <v>377</v>
      </c>
      <c r="L1898" s="65"/>
      <c r="M1898" s="62" t="s">
        <v>825</v>
      </c>
      <c r="N1898" s="62" t="s">
        <v>799</v>
      </c>
      <c r="O1898" s="62" t="s">
        <v>428</v>
      </c>
      <c r="P1898" s="62" t="s">
        <v>2421</v>
      </c>
      <c r="Q1898" s="66" t="s">
        <v>2021</v>
      </c>
    </row>
    <row r="1899" spans="1:17" x14ac:dyDescent="0.3">
      <c r="A1899" s="61" t="s">
        <v>2310</v>
      </c>
      <c r="B1899" s="62" t="s">
        <v>1652</v>
      </c>
      <c r="C1899" s="62" t="s">
        <v>1653</v>
      </c>
      <c r="D1899" s="63">
        <v>45273</v>
      </c>
      <c r="E1899" s="63">
        <v>46284</v>
      </c>
      <c r="F1899" s="62" t="s">
        <v>1930</v>
      </c>
      <c r="G1899" s="62" t="s">
        <v>304</v>
      </c>
      <c r="H1899" s="62" t="s">
        <v>443</v>
      </c>
      <c r="I1899" s="64">
        <v>300000</v>
      </c>
      <c r="J1899" s="62" t="s">
        <v>1721</v>
      </c>
      <c r="K1899" s="62" t="s">
        <v>377</v>
      </c>
      <c r="L1899" s="65"/>
      <c r="M1899" s="62" t="s">
        <v>825</v>
      </c>
      <c r="N1899" s="62" t="s">
        <v>799</v>
      </c>
      <c r="O1899" s="62" t="s">
        <v>428</v>
      </c>
      <c r="P1899" s="62" t="s">
        <v>2421</v>
      </c>
      <c r="Q1899" s="66" t="s">
        <v>2021</v>
      </c>
    </row>
    <row r="1900" spans="1:17" x14ac:dyDescent="0.3">
      <c r="A1900" s="61" t="s">
        <v>2310</v>
      </c>
      <c r="B1900" s="62" t="s">
        <v>1652</v>
      </c>
      <c r="C1900" s="62" t="s">
        <v>1653</v>
      </c>
      <c r="D1900" s="63">
        <v>45273</v>
      </c>
      <c r="E1900" s="63">
        <v>46284</v>
      </c>
      <c r="F1900" s="62" t="s">
        <v>1959</v>
      </c>
      <c r="G1900" s="62" t="s">
        <v>304</v>
      </c>
      <c r="H1900" s="62" t="s">
        <v>443</v>
      </c>
      <c r="I1900" s="64">
        <v>300000</v>
      </c>
      <c r="J1900" s="62" t="s">
        <v>1721</v>
      </c>
      <c r="K1900" s="62" t="s">
        <v>377</v>
      </c>
      <c r="L1900" s="65"/>
      <c r="M1900" s="62" t="s">
        <v>825</v>
      </c>
      <c r="N1900" s="62" t="s">
        <v>799</v>
      </c>
      <c r="O1900" s="62" t="s">
        <v>428</v>
      </c>
      <c r="P1900" s="62" t="s">
        <v>2421</v>
      </c>
      <c r="Q1900" s="66" t="s">
        <v>2021</v>
      </c>
    </row>
    <row r="1901" spans="1:17" x14ac:dyDescent="0.3">
      <c r="A1901" s="61" t="s">
        <v>2310</v>
      </c>
      <c r="B1901" s="62" t="s">
        <v>1652</v>
      </c>
      <c r="C1901" s="62" t="s">
        <v>1653</v>
      </c>
      <c r="D1901" s="63">
        <v>45273</v>
      </c>
      <c r="E1901" s="63">
        <v>46284</v>
      </c>
      <c r="F1901" s="62" t="s">
        <v>1936</v>
      </c>
      <c r="G1901" s="62" t="s">
        <v>304</v>
      </c>
      <c r="H1901" s="62" t="s">
        <v>443</v>
      </c>
      <c r="I1901" s="64">
        <v>300000</v>
      </c>
      <c r="J1901" s="62" t="s">
        <v>1721</v>
      </c>
      <c r="K1901" s="62" t="s">
        <v>377</v>
      </c>
      <c r="L1901" s="65"/>
      <c r="M1901" s="62" t="s">
        <v>825</v>
      </c>
      <c r="N1901" s="62" t="s">
        <v>799</v>
      </c>
      <c r="O1901" s="62" t="s">
        <v>428</v>
      </c>
      <c r="P1901" s="62" t="s">
        <v>2421</v>
      </c>
      <c r="Q1901" s="66" t="s">
        <v>2021</v>
      </c>
    </row>
    <row r="1902" spans="1:17" x14ac:dyDescent="0.3">
      <c r="A1902" s="61" t="s">
        <v>2310</v>
      </c>
      <c r="B1902" s="62" t="s">
        <v>1652</v>
      </c>
      <c r="C1902" s="62" t="s">
        <v>1653</v>
      </c>
      <c r="D1902" s="63">
        <v>45273</v>
      </c>
      <c r="E1902" s="63">
        <v>46284</v>
      </c>
      <c r="F1902" s="62" t="s">
        <v>287</v>
      </c>
      <c r="G1902" s="62" t="s">
        <v>304</v>
      </c>
      <c r="H1902" s="62" t="s">
        <v>443</v>
      </c>
      <c r="I1902" s="64">
        <v>300000</v>
      </c>
      <c r="J1902" s="62" t="s">
        <v>1721</v>
      </c>
      <c r="K1902" s="62" t="s">
        <v>377</v>
      </c>
      <c r="L1902" s="65"/>
      <c r="M1902" s="62" t="s">
        <v>825</v>
      </c>
      <c r="N1902" s="62" t="s">
        <v>799</v>
      </c>
      <c r="O1902" s="62" t="s">
        <v>428</v>
      </c>
      <c r="P1902" s="62" t="s">
        <v>2421</v>
      </c>
      <c r="Q1902" s="66" t="s">
        <v>2021</v>
      </c>
    </row>
    <row r="1903" spans="1:17" x14ac:dyDescent="0.3">
      <c r="A1903" s="61" t="s">
        <v>2310</v>
      </c>
      <c r="B1903" s="62" t="s">
        <v>1652</v>
      </c>
      <c r="C1903" s="62" t="s">
        <v>1653</v>
      </c>
      <c r="D1903" s="63">
        <v>45273</v>
      </c>
      <c r="E1903" s="63">
        <v>46284</v>
      </c>
      <c r="F1903" s="62" t="s">
        <v>1945</v>
      </c>
      <c r="G1903" s="62" t="s">
        <v>304</v>
      </c>
      <c r="H1903" s="62" t="s">
        <v>443</v>
      </c>
      <c r="I1903" s="64">
        <v>300000</v>
      </c>
      <c r="J1903" s="62" t="s">
        <v>1721</v>
      </c>
      <c r="K1903" s="62" t="s">
        <v>377</v>
      </c>
      <c r="L1903" s="65"/>
      <c r="M1903" s="62" t="s">
        <v>825</v>
      </c>
      <c r="N1903" s="62" t="s">
        <v>799</v>
      </c>
      <c r="O1903" s="62" t="s">
        <v>428</v>
      </c>
      <c r="P1903" s="62" t="s">
        <v>2421</v>
      </c>
      <c r="Q1903" s="66" t="s">
        <v>2021</v>
      </c>
    </row>
    <row r="1904" spans="1:17" x14ac:dyDescent="0.3">
      <c r="A1904" s="61" t="s">
        <v>2311</v>
      </c>
      <c r="B1904" s="62" t="s">
        <v>1654</v>
      </c>
      <c r="C1904" s="62" t="s">
        <v>1655</v>
      </c>
      <c r="D1904" s="63">
        <v>45413</v>
      </c>
      <c r="E1904" s="63">
        <v>46752</v>
      </c>
      <c r="F1904" s="62" t="s">
        <v>1930</v>
      </c>
      <c r="G1904" s="62" t="s">
        <v>418</v>
      </c>
      <c r="H1904" s="62" t="s">
        <v>2503</v>
      </c>
      <c r="I1904" s="64">
        <v>27745.75</v>
      </c>
      <c r="J1904" s="62" t="s">
        <v>2504</v>
      </c>
      <c r="K1904" s="62" t="s">
        <v>2433</v>
      </c>
      <c r="L1904" s="65"/>
      <c r="M1904" s="62" t="s">
        <v>825</v>
      </c>
      <c r="N1904" s="62" t="s">
        <v>644</v>
      </c>
      <c r="O1904" s="62" t="s">
        <v>371</v>
      </c>
      <c r="P1904" s="62" t="s">
        <v>2421</v>
      </c>
      <c r="Q1904" s="66" t="s">
        <v>1976</v>
      </c>
    </row>
    <row r="1905" spans="1:17" x14ac:dyDescent="0.3">
      <c r="A1905" s="61" t="s">
        <v>2311</v>
      </c>
      <c r="B1905" s="62" t="s">
        <v>1654</v>
      </c>
      <c r="C1905" s="62" t="s">
        <v>1655</v>
      </c>
      <c r="D1905" s="63">
        <v>45413</v>
      </c>
      <c r="E1905" s="63">
        <v>46752</v>
      </c>
      <c r="F1905" s="62" t="s">
        <v>1930</v>
      </c>
      <c r="G1905" s="62" t="s">
        <v>453</v>
      </c>
      <c r="H1905" s="62" t="s">
        <v>2503</v>
      </c>
      <c r="I1905" s="64">
        <v>27745.75</v>
      </c>
      <c r="J1905" s="62" t="s">
        <v>2504</v>
      </c>
      <c r="K1905" s="62" t="s">
        <v>2433</v>
      </c>
      <c r="L1905" s="65"/>
      <c r="M1905" s="62" t="s">
        <v>825</v>
      </c>
      <c r="N1905" s="62" t="s">
        <v>644</v>
      </c>
      <c r="O1905" s="62" t="s">
        <v>371</v>
      </c>
      <c r="P1905" s="62" t="s">
        <v>2421</v>
      </c>
      <c r="Q1905" s="66" t="s">
        <v>1976</v>
      </c>
    </row>
    <row r="1906" spans="1:17" x14ac:dyDescent="0.3">
      <c r="A1906" s="61" t="s">
        <v>2311</v>
      </c>
      <c r="B1906" s="62" t="s">
        <v>1654</v>
      </c>
      <c r="C1906" s="62" t="s">
        <v>1655</v>
      </c>
      <c r="D1906" s="63">
        <v>45413</v>
      </c>
      <c r="E1906" s="63">
        <v>46752</v>
      </c>
      <c r="F1906" s="62" t="s">
        <v>1945</v>
      </c>
      <c r="G1906" s="62" t="s">
        <v>400</v>
      </c>
      <c r="H1906" s="62" t="s">
        <v>2503</v>
      </c>
      <c r="I1906" s="64">
        <v>27745.75</v>
      </c>
      <c r="J1906" s="62" t="s">
        <v>2504</v>
      </c>
      <c r="K1906" s="62" t="s">
        <v>2433</v>
      </c>
      <c r="L1906" s="65"/>
      <c r="M1906" s="62" t="s">
        <v>825</v>
      </c>
      <c r="N1906" s="62" t="s">
        <v>644</v>
      </c>
      <c r="O1906" s="62" t="s">
        <v>371</v>
      </c>
      <c r="P1906" s="62" t="s">
        <v>2421</v>
      </c>
      <c r="Q1906" s="66" t="s">
        <v>1976</v>
      </c>
    </row>
    <row r="1907" spans="1:17" x14ac:dyDescent="0.3">
      <c r="A1907" s="61" t="s">
        <v>2311</v>
      </c>
      <c r="B1907" s="62" t="s">
        <v>1654</v>
      </c>
      <c r="C1907" s="62" t="s">
        <v>1655</v>
      </c>
      <c r="D1907" s="63">
        <v>45413</v>
      </c>
      <c r="E1907" s="63">
        <v>46752</v>
      </c>
      <c r="F1907" s="62" t="s">
        <v>1945</v>
      </c>
      <c r="G1907" s="62" t="s">
        <v>555</v>
      </c>
      <c r="H1907" s="62" t="s">
        <v>2503</v>
      </c>
      <c r="I1907" s="64">
        <v>27745.75</v>
      </c>
      <c r="J1907" s="62" t="s">
        <v>2504</v>
      </c>
      <c r="K1907" s="62" t="s">
        <v>2433</v>
      </c>
      <c r="L1907" s="65"/>
      <c r="M1907" s="62" t="s">
        <v>825</v>
      </c>
      <c r="N1907" s="62" t="s">
        <v>644</v>
      </c>
      <c r="O1907" s="62" t="s">
        <v>371</v>
      </c>
      <c r="P1907" s="62" t="s">
        <v>2421</v>
      </c>
      <c r="Q1907" s="66" t="s">
        <v>1976</v>
      </c>
    </row>
    <row r="1908" spans="1:17" x14ac:dyDescent="0.3">
      <c r="A1908" s="61" t="s">
        <v>2311</v>
      </c>
      <c r="B1908" s="62" t="s">
        <v>1654</v>
      </c>
      <c r="C1908" s="62" t="s">
        <v>1655</v>
      </c>
      <c r="D1908" s="63">
        <v>45413</v>
      </c>
      <c r="E1908" s="63">
        <v>46752</v>
      </c>
      <c r="F1908" s="62" t="s">
        <v>1987</v>
      </c>
      <c r="G1908" s="62" t="s">
        <v>962</v>
      </c>
      <c r="H1908" s="62" t="s">
        <v>2503</v>
      </c>
      <c r="I1908" s="64">
        <v>55491.5</v>
      </c>
      <c r="J1908" s="62" t="s">
        <v>2504</v>
      </c>
      <c r="K1908" s="62" t="s">
        <v>2433</v>
      </c>
      <c r="L1908" s="65"/>
      <c r="M1908" s="62" t="s">
        <v>825</v>
      </c>
      <c r="N1908" s="62" t="s">
        <v>644</v>
      </c>
      <c r="O1908" s="62" t="s">
        <v>371</v>
      </c>
      <c r="P1908" s="62" t="s">
        <v>2421</v>
      </c>
      <c r="Q1908" s="66" t="s">
        <v>1976</v>
      </c>
    </row>
    <row r="1909" spans="1:17" x14ac:dyDescent="0.3">
      <c r="A1909" s="61" t="s">
        <v>2311</v>
      </c>
      <c r="B1909" s="62" t="s">
        <v>1654</v>
      </c>
      <c r="C1909" s="62" t="s">
        <v>1655</v>
      </c>
      <c r="D1909" s="63">
        <v>45413</v>
      </c>
      <c r="E1909" s="63">
        <v>46752</v>
      </c>
      <c r="F1909" s="62" t="s">
        <v>282</v>
      </c>
      <c r="G1909" s="62" t="s">
        <v>283</v>
      </c>
      <c r="H1909" s="62" t="s">
        <v>2503</v>
      </c>
      <c r="I1909" s="64">
        <v>55491.5</v>
      </c>
      <c r="J1909" s="62" t="s">
        <v>2504</v>
      </c>
      <c r="K1909" s="62" t="s">
        <v>2433</v>
      </c>
      <c r="L1909" s="65"/>
      <c r="M1909" s="62" t="s">
        <v>825</v>
      </c>
      <c r="N1909" s="62" t="s">
        <v>644</v>
      </c>
      <c r="O1909" s="62" t="s">
        <v>371</v>
      </c>
      <c r="P1909" s="62" t="s">
        <v>2421</v>
      </c>
      <c r="Q1909" s="66" t="s">
        <v>1976</v>
      </c>
    </row>
    <row r="1910" spans="1:17" x14ac:dyDescent="0.3">
      <c r="A1910" s="61" t="s">
        <v>2311</v>
      </c>
      <c r="B1910" s="62" t="s">
        <v>1654</v>
      </c>
      <c r="C1910" s="62" t="s">
        <v>1655</v>
      </c>
      <c r="D1910" s="63">
        <v>45413</v>
      </c>
      <c r="E1910" s="63">
        <v>46752</v>
      </c>
      <c r="F1910" s="62" t="s">
        <v>1922</v>
      </c>
      <c r="G1910" s="62" t="s">
        <v>349</v>
      </c>
      <c r="H1910" s="62" t="s">
        <v>2503</v>
      </c>
      <c r="I1910" s="64">
        <v>55491.5</v>
      </c>
      <c r="J1910" s="62" t="s">
        <v>2504</v>
      </c>
      <c r="K1910" s="62" t="s">
        <v>2433</v>
      </c>
      <c r="L1910" s="65"/>
      <c r="M1910" s="62" t="s">
        <v>825</v>
      </c>
      <c r="N1910" s="62" t="s">
        <v>644</v>
      </c>
      <c r="O1910" s="62" t="s">
        <v>371</v>
      </c>
      <c r="P1910" s="62" t="s">
        <v>2421</v>
      </c>
      <c r="Q1910" s="66" t="s">
        <v>1976</v>
      </c>
    </row>
    <row r="1911" spans="1:17" x14ac:dyDescent="0.3">
      <c r="A1911" s="61" t="s">
        <v>2311</v>
      </c>
      <c r="B1911" s="62" t="s">
        <v>1654</v>
      </c>
      <c r="C1911" s="62" t="s">
        <v>1655</v>
      </c>
      <c r="D1911" s="63">
        <v>45413</v>
      </c>
      <c r="E1911" s="63">
        <v>46752</v>
      </c>
      <c r="F1911" s="62" t="s">
        <v>1958</v>
      </c>
      <c r="G1911" s="62" t="s">
        <v>330</v>
      </c>
      <c r="H1911" s="62" t="s">
        <v>2503</v>
      </c>
      <c r="I1911" s="64">
        <v>55491.5</v>
      </c>
      <c r="J1911" s="62" t="s">
        <v>2504</v>
      </c>
      <c r="K1911" s="62" t="s">
        <v>2433</v>
      </c>
      <c r="L1911" s="65"/>
      <c r="M1911" s="62" t="s">
        <v>825</v>
      </c>
      <c r="N1911" s="62" t="s">
        <v>644</v>
      </c>
      <c r="O1911" s="62" t="s">
        <v>371</v>
      </c>
      <c r="P1911" s="62" t="s">
        <v>2421</v>
      </c>
      <c r="Q1911" s="66" t="s">
        <v>1976</v>
      </c>
    </row>
    <row r="1912" spans="1:17" x14ac:dyDescent="0.3">
      <c r="A1912" s="61" t="s">
        <v>2311</v>
      </c>
      <c r="B1912" s="62" t="s">
        <v>1654</v>
      </c>
      <c r="C1912" s="62" t="s">
        <v>1655</v>
      </c>
      <c r="D1912" s="63">
        <v>45413</v>
      </c>
      <c r="E1912" s="63">
        <v>46752</v>
      </c>
      <c r="F1912" s="62" t="s">
        <v>1959</v>
      </c>
      <c r="G1912" s="62" t="s">
        <v>612</v>
      </c>
      <c r="H1912" s="62" t="s">
        <v>2503</v>
      </c>
      <c r="I1912" s="64">
        <v>55491.5</v>
      </c>
      <c r="J1912" s="62" t="s">
        <v>2504</v>
      </c>
      <c r="K1912" s="62" t="s">
        <v>2433</v>
      </c>
      <c r="L1912" s="65"/>
      <c r="M1912" s="62" t="s">
        <v>825</v>
      </c>
      <c r="N1912" s="62" t="s">
        <v>644</v>
      </c>
      <c r="O1912" s="62" t="s">
        <v>371</v>
      </c>
      <c r="P1912" s="62" t="s">
        <v>2421</v>
      </c>
      <c r="Q1912" s="66" t="s">
        <v>1976</v>
      </c>
    </row>
    <row r="1913" spans="1:17" x14ac:dyDescent="0.3">
      <c r="A1913" s="61" t="s">
        <v>2311</v>
      </c>
      <c r="B1913" s="62" t="s">
        <v>1654</v>
      </c>
      <c r="C1913" s="62" t="s">
        <v>1655</v>
      </c>
      <c r="D1913" s="63">
        <v>45413</v>
      </c>
      <c r="E1913" s="63">
        <v>46752</v>
      </c>
      <c r="F1913" s="62" t="s">
        <v>287</v>
      </c>
      <c r="G1913" s="62" t="s">
        <v>396</v>
      </c>
      <c r="H1913" s="62" t="s">
        <v>2503</v>
      </c>
      <c r="I1913" s="64">
        <v>55491.5</v>
      </c>
      <c r="J1913" s="62" t="s">
        <v>2504</v>
      </c>
      <c r="K1913" s="62" t="s">
        <v>2433</v>
      </c>
      <c r="L1913" s="65"/>
      <c r="M1913" s="62" t="s">
        <v>825</v>
      </c>
      <c r="N1913" s="62" t="s">
        <v>644</v>
      </c>
      <c r="O1913" s="62" t="s">
        <v>371</v>
      </c>
      <c r="P1913" s="62" t="s">
        <v>2421</v>
      </c>
      <c r="Q1913" s="66" t="s">
        <v>1976</v>
      </c>
    </row>
    <row r="1914" spans="1:17" x14ac:dyDescent="0.3">
      <c r="A1914" s="61" t="s">
        <v>2311</v>
      </c>
      <c r="B1914" s="62" t="s">
        <v>1654</v>
      </c>
      <c r="C1914" s="62" t="s">
        <v>1655</v>
      </c>
      <c r="D1914" s="63">
        <v>45413</v>
      </c>
      <c r="E1914" s="63">
        <v>46752</v>
      </c>
      <c r="F1914" s="62" t="s">
        <v>1930</v>
      </c>
      <c r="G1914" s="62" t="s">
        <v>418</v>
      </c>
      <c r="H1914" s="62" t="s">
        <v>443</v>
      </c>
      <c r="I1914" s="64">
        <v>7500</v>
      </c>
      <c r="J1914" s="62" t="s">
        <v>1656</v>
      </c>
      <c r="K1914" s="62" t="s">
        <v>2433</v>
      </c>
      <c r="L1914" s="65"/>
      <c r="M1914" s="62" t="s">
        <v>825</v>
      </c>
      <c r="N1914" s="62" t="s">
        <v>644</v>
      </c>
      <c r="O1914" s="62" t="s">
        <v>371</v>
      </c>
      <c r="P1914" s="62" t="s">
        <v>2421</v>
      </c>
      <c r="Q1914" s="66" t="s">
        <v>1976</v>
      </c>
    </row>
    <row r="1915" spans="1:17" x14ac:dyDescent="0.3">
      <c r="A1915" s="61" t="s">
        <v>2311</v>
      </c>
      <c r="B1915" s="62" t="s">
        <v>1654</v>
      </c>
      <c r="C1915" s="62" t="s">
        <v>1655</v>
      </c>
      <c r="D1915" s="63">
        <v>45413</v>
      </c>
      <c r="E1915" s="63">
        <v>46752</v>
      </c>
      <c r="F1915" s="62" t="s">
        <v>1930</v>
      </c>
      <c r="G1915" s="62" t="s">
        <v>453</v>
      </c>
      <c r="H1915" s="62" t="s">
        <v>443</v>
      </c>
      <c r="I1915" s="64">
        <v>7500</v>
      </c>
      <c r="J1915" s="62" t="s">
        <v>1656</v>
      </c>
      <c r="K1915" s="62" t="s">
        <v>2433</v>
      </c>
      <c r="L1915" s="65"/>
      <c r="M1915" s="62" t="s">
        <v>825</v>
      </c>
      <c r="N1915" s="62" t="s">
        <v>644</v>
      </c>
      <c r="O1915" s="62" t="s">
        <v>371</v>
      </c>
      <c r="P1915" s="62" t="s">
        <v>2421</v>
      </c>
      <c r="Q1915" s="66" t="s">
        <v>1976</v>
      </c>
    </row>
    <row r="1916" spans="1:17" x14ac:dyDescent="0.3">
      <c r="A1916" s="61" t="s">
        <v>2311</v>
      </c>
      <c r="B1916" s="62" t="s">
        <v>1654</v>
      </c>
      <c r="C1916" s="62" t="s">
        <v>1655</v>
      </c>
      <c r="D1916" s="63">
        <v>45413</v>
      </c>
      <c r="E1916" s="63">
        <v>46752</v>
      </c>
      <c r="F1916" s="62" t="s">
        <v>1945</v>
      </c>
      <c r="G1916" s="62" t="s">
        <v>400</v>
      </c>
      <c r="H1916" s="62" t="s">
        <v>443</v>
      </c>
      <c r="I1916" s="64">
        <v>7500</v>
      </c>
      <c r="J1916" s="62" t="s">
        <v>1656</v>
      </c>
      <c r="K1916" s="62" t="s">
        <v>2433</v>
      </c>
      <c r="L1916" s="65"/>
      <c r="M1916" s="62" t="s">
        <v>825</v>
      </c>
      <c r="N1916" s="62" t="s">
        <v>644</v>
      </c>
      <c r="O1916" s="62" t="s">
        <v>371</v>
      </c>
      <c r="P1916" s="62" t="s">
        <v>2421</v>
      </c>
      <c r="Q1916" s="66" t="s">
        <v>1976</v>
      </c>
    </row>
    <row r="1917" spans="1:17" x14ac:dyDescent="0.3">
      <c r="A1917" s="61" t="s">
        <v>2311</v>
      </c>
      <c r="B1917" s="62" t="s">
        <v>1654</v>
      </c>
      <c r="C1917" s="62" t="s">
        <v>1655</v>
      </c>
      <c r="D1917" s="63">
        <v>45413</v>
      </c>
      <c r="E1917" s="63">
        <v>46752</v>
      </c>
      <c r="F1917" s="62" t="s">
        <v>1945</v>
      </c>
      <c r="G1917" s="62" t="s">
        <v>555</v>
      </c>
      <c r="H1917" s="62" t="s">
        <v>443</v>
      </c>
      <c r="I1917" s="64">
        <v>7500</v>
      </c>
      <c r="J1917" s="62" t="s">
        <v>1656</v>
      </c>
      <c r="K1917" s="62" t="s">
        <v>2433</v>
      </c>
      <c r="L1917" s="65"/>
      <c r="M1917" s="62" t="s">
        <v>825</v>
      </c>
      <c r="N1917" s="62" t="s">
        <v>644</v>
      </c>
      <c r="O1917" s="62" t="s">
        <v>371</v>
      </c>
      <c r="P1917" s="62" t="s">
        <v>2421</v>
      </c>
      <c r="Q1917" s="66" t="s">
        <v>1976</v>
      </c>
    </row>
    <row r="1918" spans="1:17" x14ac:dyDescent="0.3">
      <c r="A1918" s="61" t="s">
        <v>2311</v>
      </c>
      <c r="B1918" s="62" t="s">
        <v>1654</v>
      </c>
      <c r="C1918" s="62" t="s">
        <v>1655</v>
      </c>
      <c r="D1918" s="63">
        <v>45413</v>
      </c>
      <c r="E1918" s="63">
        <v>46752</v>
      </c>
      <c r="F1918" s="62" t="s">
        <v>1987</v>
      </c>
      <c r="G1918" s="62" t="s">
        <v>962</v>
      </c>
      <c r="H1918" s="62" t="s">
        <v>443</v>
      </c>
      <c r="I1918" s="64">
        <v>15000</v>
      </c>
      <c r="J1918" s="62" t="s">
        <v>1656</v>
      </c>
      <c r="K1918" s="62" t="s">
        <v>2433</v>
      </c>
      <c r="L1918" s="65"/>
      <c r="M1918" s="62" t="s">
        <v>825</v>
      </c>
      <c r="N1918" s="62" t="s">
        <v>644</v>
      </c>
      <c r="O1918" s="62" t="s">
        <v>371</v>
      </c>
      <c r="P1918" s="62" t="s">
        <v>2421</v>
      </c>
      <c r="Q1918" s="66" t="s">
        <v>1976</v>
      </c>
    </row>
    <row r="1919" spans="1:17" x14ac:dyDescent="0.3">
      <c r="A1919" s="61" t="s">
        <v>2311</v>
      </c>
      <c r="B1919" s="62" t="s">
        <v>1654</v>
      </c>
      <c r="C1919" s="62" t="s">
        <v>1655</v>
      </c>
      <c r="D1919" s="63">
        <v>45413</v>
      </c>
      <c r="E1919" s="63">
        <v>46752</v>
      </c>
      <c r="F1919" s="62" t="s">
        <v>282</v>
      </c>
      <c r="G1919" s="62" t="s">
        <v>283</v>
      </c>
      <c r="H1919" s="62" t="s">
        <v>443</v>
      </c>
      <c r="I1919" s="64">
        <v>15000</v>
      </c>
      <c r="J1919" s="62" t="s">
        <v>1656</v>
      </c>
      <c r="K1919" s="62" t="s">
        <v>2433</v>
      </c>
      <c r="L1919" s="65"/>
      <c r="M1919" s="62" t="s">
        <v>825</v>
      </c>
      <c r="N1919" s="62" t="s">
        <v>644</v>
      </c>
      <c r="O1919" s="62" t="s">
        <v>371</v>
      </c>
      <c r="P1919" s="62" t="s">
        <v>2421</v>
      </c>
      <c r="Q1919" s="66" t="s">
        <v>1976</v>
      </c>
    </row>
    <row r="1920" spans="1:17" x14ac:dyDescent="0.3">
      <c r="A1920" s="61" t="s">
        <v>2311</v>
      </c>
      <c r="B1920" s="62" t="s">
        <v>1654</v>
      </c>
      <c r="C1920" s="62" t="s">
        <v>1655</v>
      </c>
      <c r="D1920" s="63">
        <v>45413</v>
      </c>
      <c r="E1920" s="63">
        <v>46752</v>
      </c>
      <c r="F1920" s="62" t="s">
        <v>1922</v>
      </c>
      <c r="G1920" s="62" t="s">
        <v>349</v>
      </c>
      <c r="H1920" s="62" t="s">
        <v>443</v>
      </c>
      <c r="I1920" s="64">
        <v>15000</v>
      </c>
      <c r="J1920" s="62" t="s">
        <v>1656</v>
      </c>
      <c r="K1920" s="62" t="s">
        <v>2433</v>
      </c>
      <c r="L1920" s="65"/>
      <c r="M1920" s="62" t="s">
        <v>825</v>
      </c>
      <c r="N1920" s="62" t="s">
        <v>644</v>
      </c>
      <c r="O1920" s="62" t="s">
        <v>371</v>
      </c>
      <c r="P1920" s="62" t="s">
        <v>2421</v>
      </c>
      <c r="Q1920" s="66" t="s">
        <v>1976</v>
      </c>
    </row>
    <row r="1921" spans="1:17" x14ac:dyDescent="0.3">
      <c r="A1921" s="61" t="s">
        <v>2311</v>
      </c>
      <c r="B1921" s="62" t="s">
        <v>1654</v>
      </c>
      <c r="C1921" s="62" t="s">
        <v>1655</v>
      </c>
      <c r="D1921" s="63">
        <v>45413</v>
      </c>
      <c r="E1921" s="63">
        <v>46752</v>
      </c>
      <c r="F1921" s="62" t="s">
        <v>1958</v>
      </c>
      <c r="G1921" s="62" t="s">
        <v>330</v>
      </c>
      <c r="H1921" s="62" t="s">
        <v>443</v>
      </c>
      <c r="I1921" s="64">
        <v>15000</v>
      </c>
      <c r="J1921" s="62" t="s">
        <v>1656</v>
      </c>
      <c r="K1921" s="62" t="s">
        <v>2433</v>
      </c>
      <c r="L1921" s="65"/>
      <c r="M1921" s="62" t="s">
        <v>825</v>
      </c>
      <c r="N1921" s="62" t="s">
        <v>644</v>
      </c>
      <c r="O1921" s="62" t="s">
        <v>371</v>
      </c>
      <c r="P1921" s="62" t="s">
        <v>2421</v>
      </c>
      <c r="Q1921" s="66" t="s">
        <v>1976</v>
      </c>
    </row>
    <row r="1922" spans="1:17" x14ac:dyDescent="0.3">
      <c r="A1922" s="61" t="s">
        <v>2311</v>
      </c>
      <c r="B1922" s="62" t="s">
        <v>1654</v>
      </c>
      <c r="C1922" s="62" t="s">
        <v>1655</v>
      </c>
      <c r="D1922" s="63">
        <v>45413</v>
      </c>
      <c r="E1922" s="63">
        <v>46752</v>
      </c>
      <c r="F1922" s="62" t="s">
        <v>1959</v>
      </c>
      <c r="G1922" s="62" t="s">
        <v>612</v>
      </c>
      <c r="H1922" s="62" t="s">
        <v>443</v>
      </c>
      <c r="I1922" s="64">
        <v>15000</v>
      </c>
      <c r="J1922" s="62" t="s">
        <v>1656</v>
      </c>
      <c r="K1922" s="62" t="s">
        <v>2433</v>
      </c>
      <c r="L1922" s="65"/>
      <c r="M1922" s="62" t="s">
        <v>825</v>
      </c>
      <c r="N1922" s="62" t="s">
        <v>644</v>
      </c>
      <c r="O1922" s="62" t="s">
        <v>371</v>
      </c>
      <c r="P1922" s="62" t="s">
        <v>2421</v>
      </c>
      <c r="Q1922" s="66" t="s">
        <v>1976</v>
      </c>
    </row>
    <row r="1923" spans="1:17" x14ac:dyDescent="0.3">
      <c r="A1923" s="61" t="s">
        <v>2311</v>
      </c>
      <c r="B1923" s="62" t="s">
        <v>1654</v>
      </c>
      <c r="C1923" s="62" t="s">
        <v>1655</v>
      </c>
      <c r="D1923" s="63">
        <v>45413</v>
      </c>
      <c r="E1923" s="63">
        <v>46752</v>
      </c>
      <c r="F1923" s="62" t="s">
        <v>287</v>
      </c>
      <c r="G1923" s="62" t="s">
        <v>396</v>
      </c>
      <c r="H1923" s="62" t="s">
        <v>443</v>
      </c>
      <c r="I1923" s="64">
        <v>15000</v>
      </c>
      <c r="J1923" s="62" t="s">
        <v>1656</v>
      </c>
      <c r="K1923" s="62" t="s">
        <v>2433</v>
      </c>
      <c r="L1923" s="65"/>
      <c r="M1923" s="62" t="s">
        <v>825</v>
      </c>
      <c r="N1923" s="62" t="s">
        <v>644</v>
      </c>
      <c r="O1923" s="62" t="s">
        <v>371</v>
      </c>
      <c r="P1923" s="62" t="s">
        <v>2421</v>
      </c>
      <c r="Q1923" s="66" t="s">
        <v>1976</v>
      </c>
    </row>
    <row r="1924" spans="1:17" x14ac:dyDescent="0.3">
      <c r="A1924" s="61" t="s">
        <v>2312</v>
      </c>
      <c r="B1924" s="62" t="s">
        <v>1657</v>
      </c>
      <c r="C1924" s="62" t="s">
        <v>1658</v>
      </c>
      <c r="D1924" s="63">
        <v>45534</v>
      </c>
      <c r="E1924" s="63">
        <v>46661</v>
      </c>
      <c r="F1924" s="62" t="s">
        <v>350</v>
      </c>
      <c r="G1924" s="62" t="s">
        <v>304</v>
      </c>
      <c r="H1924" s="62" t="s">
        <v>533</v>
      </c>
      <c r="I1924" s="64">
        <v>11701826.039999999</v>
      </c>
      <c r="J1924" s="62" t="s">
        <v>822</v>
      </c>
      <c r="K1924" s="62" t="s">
        <v>533</v>
      </c>
      <c r="L1924" s="65"/>
      <c r="M1924" s="62" t="s">
        <v>825</v>
      </c>
      <c r="N1924" s="62" t="s">
        <v>603</v>
      </c>
      <c r="O1924" s="62" t="s">
        <v>371</v>
      </c>
      <c r="P1924" s="62" t="s">
        <v>2421</v>
      </c>
      <c r="Q1924" s="66" t="s">
        <v>1972</v>
      </c>
    </row>
    <row r="1925" spans="1:17" x14ac:dyDescent="0.3">
      <c r="A1925" s="61" t="s">
        <v>2313</v>
      </c>
      <c r="B1925" s="62" t="s">
        <v>1659</v>
      </c>
      <c r="C1925" s="62" t="s">
        <v>1660</v>
      </c>
      <c r="D1925" s="63">
        <v>45565</v>
      </c>
      <c r="E1925" s="63">
        <v>46660</v>
      </c>
      <c r="F1925" s="62" t="s">
        <v>350</v>
      </c>
      <c r="G1925" s="62" t="s">
        <v>304</v>
      </c>
      <c r="H1925" s="62" t="s">
        <v>521</v>
      </c>
      <c r="I1925" s="64">
        <v>167429</v>
      </c>
      <c r="J1925" s="62" t="s">
        <v>522</v>
      </c>
      <c r="K1925" s="62" t="s">
        <v>521</v>
      </c>
      <c r="L1925" s="65"/>
      <c r="M1925" s="62" t="s">
        <v>1518</v>
      </c>
      <c r="N1925" s="62" t="s">
        <v>458</v>
      </c>
      <c r="O1925" s="62" t="s">
        <v>459</v>
      </c>
      <c r="P1925" s="62" t="s">
        <v>2421</v>
      </c>
      <c r="Q1925" s="66" t="s">
        <v>1971</v>
      </c>
    </row>
    <row r="1926" spans="1:17" x14ac:dyDescent="0.3">
      <c r="A1926" s="61" t="s">
        <v>2313</v>
      </c>
      <c r="B1926" s="62" t="s">
        <v>1659</v>
      </c>
      <c r="C1926" s="62" t="s">
        <v>1660</v>
      </c>
      <c r="D1926" s="63">
        <v>45565</v>
      </c>
      <c r="E1926" s="63">
        <v>46660</v>
      </c>
      <c r="F1926" s="62" t="s">
        <v>350</v>
      </c>
      <c r="G1926" s="62" t="s">
        <v>304</v>
      </c>
      <c r="H1926" s="62" t="s">
        <v>373</v>
      </c>
      <c r="I1926" s="64">
        <v>1674299</v>
      </c>
      <c r="J1926" s="62" t="s">
        <v>373</v>
      </c>
      <c r="K1926" s="62" t="s">
        <v>521</v>
      </c>
      <c r="L1926" s="65"/>
      <c r="M1926" s="62" t="s">
        <v>1518</v>
      </c>
      <c r="N1926" s="62" t="s">
        <v>458</v>
      </c>
      <c r="O1926" s="62" t="s">
        <v>459</v>
      </c>
      <c r="P1926" s="62" t="s">
        <v>2421</v>
      </c>
      <c r="Q1926" s="66" t="s">
        <v>1971</v>
      </c>
    </row>
    <row r="1927" spans="1:17" x14ac:dyDescent="0.3">
      <c r="A1927" s="61" t="s">
        <v>2314</v>
      </c>
      <c r="B1927" s="62" t="s">
        <v>1661</v>
      </c>
      <c r="C1927" s="62" t="s">
        <v>1662</v>
      </c>
      <c r="D1927" s="63">
        <v>45601</v>
      </c>
      <c r="E1927" s="63">
        <v>46440</v>
      </c>
      <c r="F1927" s="62" t="s">
        <v>1959</v>
      </c>
      <c r="G1927" s="62" t="s">
        <v>466</v>
      </c>
      <c r="H1927" s="62" t="s">
        <v>373</v>
      </c>
      <c r="I1927" s="64">
        <v>209544.375</v>
      </c>
      <c r="J1927" s="62" t="s">
        <v>373</v>
      </c>
      <c r="K1927" s="62" t="s">
        <v>1693</v>
      </c>
      <c r="L1927" s="65"/>
      <c r="M1927" s="62" t="s">
        <v>424</v>
      </c>
      <c r="N1927" s="62" t="s">
        <v>579</v>
      </c>
      <c r="O1927" s="62" t="s">
        <v>428</v>
      </c>
      <c r="P1927" s="62" t="s">
        <v>2421</v>
      </c>
      <c r="Q1927" s="66" t="s">
        <v>2021</v>
      </c>
    </row>
    <row r="1928" spans="1:17" x14ac:dyDescent="0.3">
      <c r="A1928" s="61" t="s">
        <v>2314</v>
      </c>
      <c r="B1928" s="62" t="s">
        <v>1661</v>
      </c>
      <c r="C1928" s="62" t="s">
        <v>1662</v>
      </c>
      <c r="D1928" s="63">
        <v>45601</v>
      </c>
      <c r="E1928" s="63">
        <v>46440</v>
      </c>
      <c r="F1928" s="62" t="s">
        <v>1959</v>
      </c>
      <c r="G1928" s="62" t="s">
        <v>583</v>
      </c>
      <c r="H1928" s="62" t="s">
        <v>373</v>
      </c>
      <c r="I1928" s="64">
        <v>209544.375</v>
      </c>
      <c r="J1928" s="62" t="s">
        <v>373</v>
      </c>
      <c r="K1928" s="62" t="s">
        <v>1693</v>
      </c>
      <c r="L1928" s="65"/>
      <c r="M1928" s="62" t="s">
        <v>424</v>
      </c>
      <c r="N1928" s="62" t="s">
        <v>579</v>
      </c>
      <c r="O1928" s="62" t="s">
        <v>428</v>
      </c>
      <c r="P1928" s="62" t="s">
        <v>2421</v>
      </c>
      <c r="Q1928" s="66" t="s">
        <v>2021</v>
      </c>
    </row>
    <row r="1929" spans="1:17" x14ac:dyDescent="0.3">
      <c r="A1929" s="61" t="s">
        <v>2314</v>
      </c>
      <c r="B1929" s="62" t="s">
        <v>1661</v>
      </c>
      <c r="C1929" s="62" t="s">
        <v>1662</v>
      </c>
      <c r="D1929" s="63">
        <v>45601</v>
      </c>
      <c r="E1929" s="63">
        <v>46440</v>
      </c>
      <c r="F1929" s="62" t="s">
        <v>1959</v>
      </c>
      <c r="G1929" s="62" t="s">
        <v>795</v>
      </c>
      <c r="H1929" s="62" t="s">
        <v>373</v>
      </c>
      <c r="I1929" s="64">
        <v>209544.375</v>
      </c>
      <c r="J1929" s="62" t="s">
        <v>373</v>
      </c>
      <c r="K1929" s="62" t="s">
        <v>1693</v>
      </c>
      <c r="L1929" s="65"/>
      <c r="M1929" s="62" t="s">
        <v>424</v>
      </c>
      <c r="N1929" s="62" t="s">
        <v>579</v>
      </c>
      <c r="O1929" s="62" t="s">
        <v>428</v>
      </c>
      <c r="P1929" s="62" t="s">
        <v>2421</v>
      </c>
      <c r="Q1929" s="66" t="s">
        <v>2021</v>
      </c>
    </row>
    <row r="1930" spans="1:17" x14ac:dyDescent="0.3">
      <c r="A1930" s="61" t="s">
        <v>2314</v>
      </c>
      <c r="B1930" s="62" t="s">
        <v>1661</v>
      </c>
      <c r="C1930" s="62" t="s">
        <v>1662</v>
      </c>
      <c r="D1930" s="63">
        <v>45601</v>
      </c>
      <c r="E1930" s="63">
        <v>46440</v>
      </c>
      <c r="F1930" s="62" t="s">
        <v>1959</v>
      </c>
      <c r="G1930" s="62" t="s">
        <v>808</v>
      </c>
      <c r="H1930" s="62" t="s">
        <v>373</v>
      </c>
      <c r="I1930" s="64">
        <v>209544.375</v>
      </c>
      <c r="J1930" s="62" t="s">
        <v>373</v>
      </c>
      <c r="K1930" s="62" t="s">
        <v>1693</v>
      </c>
      <c r="L1930" s="65"/>
      <c r="M1930" s="62" t="s">
        <v>424</v>
      </c>
      <c r="N1930" s="62" t="s">
        <v>579</v>
      </c>
      <c r="O1930" s="62" t="s">
        <v>428</v>
      </c>
      <c r="P1930" s="62" t="s">
        <v>2421</v>
      </c>
      <c r="Q1930" s="66" t="s">
        <v>2021</v>
      </c>
    </row>
    <row r="1931" spans="1:17" x14ac:dyDescent="0.3">
      <c r="A1931" s="61" t="s">
        <v>2314</v>
      </c>
      <c r="B1931" s="62" t="s">
        <v>1661</v>
      </c>
      <c r="C1931" s="62" t="s">
        <v>1662</v>
      </c>
      <c r="D1931" s="63">
        <v>45601</v>
      </c>
      <c r="E1931" s="63">
        <v>46440</v>
      </c>
      <c r="F1931" s="62" t="s">
        <v>1945</v>
      </c>
      <c r="G1931" s="62" t="s">
        <v>402</v>
      </c>
      <c r="H1931" s="62" t="s">
        <v>373</v>
      </c>
      <c r="I1931" s="64">
        <v>279392.5</v>
      </c>
      <c r="J1931" s="62" t="s">
        <v>373</v>
      </c>
      <c r="K1931" s="62" t="s">
        <v>1693</v>
      </c>
      <c r="L1931" s="65"/>
      <c r="M1931" s="62" t="s">
        <v>424</v>
      </c>
      <c r="N1931" s="62" t="s">
        <v>579</v>
      </c>
      <c r="O1931" s="62" t="s">
        <v>428</v>
      </c>
      <c r="P1931" s="62" t="s">
        <v>2421</v>
      </c>
      <c r="Q1931" s="66" t="s">
        <v>2021</v>
      </c>
    </row>
    <row r="1932" spans="1:17" x14ac:dyDescent="0.3">
      <c r="A1932" s="61" t="s">
        <v>2314</v>
      </c>
      <c r="B1932" s="62" t="s">
        <v>1661</v>
      </c>
      <c r="C1932" s="62" t="s">
        <v>1662</v>
      </c>
      <c r="D1932" s="63">
        <v>45601</v>
      </c>
      <c r="E1932" s="63">
        <v>46440</v>
      </c>
      <c r="F1932" s="62" t="s">
        <v>1945</v>
      </c>
      <c r="G1932" s="62" t="s">
        <v>403</v>
      </c>
      <c r="H1932" s="62" t="s">
        <v>373</v>
      </c>
      <c r="I1932" s="64">
        <v>279392.5</v>
      </c>
      <c r="J1932" s="62" t="s">
        <v>373</v>
      </c>
      <c r="K1932" s="62" t="s">
        <v>1693</v>
      </c>
      <c r="L1932" s="65"/>
      <c r="M1932" s="62" t="s">
        <v>424</v>
      </c>
      <c r="N1932" s="62" t="s">
        <v>579</v>
      </c>
      <c r="O1932" s="62" t="s">
        <v>428</v>
      </c>
      <c r="P1932" s="62" t="s">
        <v>2421</v>
      </c>
      <c r="Q1932" s="66" t="s">
        <v>2021</v>
      </c>
    </row>
    <row r="1933" spans="1:17" x14ac:dyDescent="0.3">
      <c r="A1933" s="61" t="s">
        <v>2314</v>
      </c>
      <c r="B1933" s="62" t="s">
        <v>1661</v>
      </c>
      <c r="C1933" s="62" t="s">
        <v>1662</v>
      </c>
      <c r="D1933" s="63">
        <v>45601</v>
      </c>
      <c r="E1933" s="63">
        <v>46440</v>
      </c>
      <c r="F1933" s="62" t="s">
        <v>1945</v>
      </c>
      <c r="G1933" s="62" t="s">
        <v>404</v>
      </c>
      <c r="H1933" s="62" t="s">
        <v>373</v>
      </c>
      <c r="I1933" s="64">
        <v>279392.5</v>
      </c>
      <c r="J1933" s="62" t="s">
        <v>373</v>
      </c>
      <c r="K1933" s="62" t="s">
        <v>1693</v>
      </c>
      <c r="L1933" s="65"/>
      <c r="M1933" s="62" t="s">
        <v>424</v>
      </c>
      <c r="N1933" s="62" t="s">
        <v>579</v>
      </c>
      <c r="O1933" s="62" t="s">
        <v>428</v>
      </c>
      <c r="P1933" s="62" t="s">
        <v>2421</v>
      </c>
      <c r="Q1933" s="66" t="s">
        <v>2021</v>
      </c>
    </row>
    <row r="1934" spans="1:17" x14ac:dyDescent="0.3">
      <c r="A1934" s="61" t="s">
        <v>2315</v>
      </c>
      <c r="B1934" s="62" t="s">
        <v>1663</v>
      </c>
      <c r="C1934" s="62" t="s">
        <v>1664</v>
      </c>
      <c r="D1934" s="63">
        <v>43770</v>
      </c>
      <c r="E1934" s="63">
        <v>46387</v>
      </c>
      <c r="F1934" s="62" t="s">
        <v>287</v>
      </c>
      <c r="G1934" s="62" t="s">
        <v>589</v>
      </c>
      <c r="H1934" s="62" t="s">
        <v>533</v>
      </c>
      <c r="I1934" s="64">
        <v>8823.5294117647099</v>
      </c>
      <c r="J1934" s="62" t="s">
        <v>1665</v>
      </c>
      <c r="K1934" s="62" t="s">
        <v>533</v>
      </c>
      <c r="L1934" s="65"/>
      <c r="M1934" s="62" t="s">
        <v>457</v>
      </c>
      <c r="N1934" s="62" t="s">
        <v>458</v>
      </c>
      <c r="O1934" s="62" t="s">
        <v>459</v>
      </c>
      <c r="P1934" s="62" t="s">
        <v>2421</v>
      </c>
      <c r="Q1934" s="66" t="s">
        <v>1977</v>
      </c>
    </row>
    <row r="1935" spans="1:17" x14ac:dyDescent="0.3">
      <c r="A1935" s="61" t="s">
        <v>2315</v>
      </c>
      <c r="B1935" s="62" t="s">
        <v>1663</v>
      </c>
      <c r="C1935" s="62" t="s">
        <v>1664</v>
      </c>
      <c r="D1935" s="63">
        <v>43770</v>
      </c>
      <c r="E1935" s="63">
        <v>46387</v>
      </c>
      <c r="F1935" s="62" t="s">
        <v>287</v>
      </c>
      <c r="G1935" s="62" t="s">
        <v>768</v>
      </c>
      <c r="H1935" s="62" t="s">
        <v>533</v>
      </c>
      <c r="I1935" s="64">
        <v>8823.5294117647099</v>
      </c>
      <c r="J1935" s="62" t="s">
        <v>1665</v>
      </c>
      <c r="K1935" s="62" t="s">
        <v>533</v>
      </c>
      <c r="L1935" s="65"/>
      <c r="M1935" s="62" t="s">
        <v>457</v>
      </c>
      <c r="N1935" s="62" t="s">
        <v>458</v>
      </c>
      <c r="O1935" s="62" t="s">
        <v>459</v>
      </c>
      <c r="P1935" s="62" t="s">
        <v>2421</v>
      </c>
      <c r="Q1935" s="66" t="s">
        <v>1977</v>
      </c>
    </row>
    <row r="1936" spans="1:17" x14ac:dyDescent="0.3">
      <c r="A1936" s="61" t="s">
        <v>2315</v>
      </c>
      <c r="B1936" s="62" t="s">
        <v>1663</v>
      </c>
      <c r="C1936" s="62" t="s">
        <v>1664</v>
      </c>
      <c r="D1936" s="63">
        <v>43770</v>
      </c>
      <c r="E1936" s="63">
        <v>46387</v>
      </c>
      <c r="F1936" s="62" t="s">
        <v>287</v>
      </c>
      <c r="G1936" s="62" t="s">
        <v>1083</v>
      </c>
      <c r="H1936" s="62" t="s">
        <v>533</v>
      </c>
      <c r="I1936" s="64">
        <v>8823.5294117647099</v>
      </c>
      <c r="J1936" s="62" t="s">
        <v>1665</v>
      </c>
      <c r="K1936" s="62" t="s">
        <v>533</v>
      </c>
      <c r="L1936" s="65"/>
      <c r="M1936" s="62" t="s">
        <v>457</v>
      </c>
      <c r="N1936" s="62" t="s">
        <v>458</v>
      </c>
      <c r="O1936" s="62" t="s">
        <v>459</v>
      </c>
      <c r="P1936" s="62" t="s">
        <v>2421</v>
      </c>
      <c r="Q1936" s="66" t="s">
        <v>1977</v>
      </c>
    </row>
    <row r="1937" spans="1:17" x14ac:dyDescent="0.3">
      <c r="A1937" s="61" t="s">
        <v>2315</v>
      </c>
      <c r="B1937" s="62" t="s">
        <v>1663</v>
      </c>
      <c r="C1937" s="62" t="s">
        <v>1664</v>
      </c>
      <c r="D1937" s="63">
        <v>43770</v>
      </c>
      <c r="E1937" s="63">
        <v>46387</v>
      </c>
      <c r="F1937" s="62" t="s">
        <v>287</v>
      </c>
      <c r="G1937" s="62" t="s">
        <v>769</v>
      </c>
      <c r="H1937" s="62" t="s">
        <v>533</v>
      </c>
      <c r="I1937" s="64">
        <v>8823.5294117647099</v>
      </c>
      <c r="J1937" s="62" t="s">
        <v>1665</v>
      </c>
      <c r="K1937" s="62" t="s">
        <v>533</v>
      </c>
      <c r="L1937" s="65"/>
      <c r="M1937" s="62" t="s">
        <v>457</v>
      </c>
      <c r="N1937" s="62" t="s">
        <v>458</v>
      </c>
      <c r="O1937" s="62" t="s">
        <v>459</v>
      </c>
      <c r="P1937" s="62" t="s">
        <v>2421</v>
      </c>
      <c r="Q1937" s="66" t="s">
        <v>1977</v>
      </c>
    </row>
    <row r="1938" spans="1:17" x14ac:dyDescent="0.3">
      <c r="A1938" s="61" t="s">
        <v>2315</v>
      </c>
      <c r="B1938" s="62" t="s">
        <v>1663</v>
      </c>
      <c r="C1938" s="62" t="s">
        <v>1664</v>
      </c>
      <c r="D1938" s="63">
        <v>43770</v>
      </c>
      <c r="E1938" s="63">
        <v>46387</v>
      </c>
      <c r="F1938" s="62" t="s">
        <v>287</v>
      </c>
      <c r="G1938" s="62" t="s">
        <v>770</v>
      </c>
      <c r="H1938" s="62" t="s">
        <v>533</v>
      </c>
      <c r="I1938" s="64">
        <v>8823.5294117647099</v>
      </c>
      <c r="J1938" s="62" t="s">
        <v>1665</v>
      </c>
      <c r="K1938" s="62" t="s">
        <v>533</v>
      </c>
      <c r="L1938" s="65"/>
      <c r="M1938" s="62" t="s">
        <v>457</v>
      </c>
      <c r="N1938" s="62" t="s">
        <v>458</v>
      </c>
      <c r="O1938" s="62" t="s">
        <v>459</v>
      </c>
      <c r="P1938" s="62" t="s">
        <v>2421</v>
      </c>
      <c r="Q1938" s="66" t="s">
        <v>1977</v>
      </c>
    </row>
    <row r="1939" spans="1:17" x14ac:dyDescent="0.3">
      <c r="A1939" s="61" t="s">
        <v>2315</v>
      </c>
      <c r="B1939" s="62" t="s">
        <v>1663</v>
      </c>
      <c r="C1939" s="62" t="s">
        <v>1664</v>
      </c>
      <c r="D1939" s="63">
        <v>43770</v>
      </c>
      <c r="E1939" s="63">
        <v>46387</v>
      </c>
      <c r="F1939" s="62" t="s">
        <v>287</v>
      </c>
      <c r="G1939" s="62" t="s">
        <v>591</v>
      </c>
      <c r="H1939" s="62" t="s">
        <v>533</v>
      </c>
      <c r="I1939" s="64">
        <v>8823.5294117647099</v>
      </c>
      <c r="J1939" s="62" t="s">
        <v>1665</v>
      </c>
      <c r="K1939" s="62" t="s">
        <v>533</v>
      </c>
      <c r="L1939" s="65"/>
      <c r="M1939" s="62" t="s">
        <v>457</v>
      </c>
      <c r="N1939" s="62" t="s">
        <v>458</v>
      </c>
      <c r="O1939" s="62" t="s">
        <v>459</v>
      </c>
      <c r="P1939" s="62" t="s">
        <v>2421</v>
      </c>
      <c r="Q1939" s="66" t="s">
        <v>1977</v>
      </c>
    </row>
    <row r="1940" spans="1:17" x14ac:dyDescent="0.3">
      <c r="A1940" s="61" t="s">
        <v>2315</v>
      </c>
      <c r="B1940" s="62" t="s">
        <v>1663</v>
      </c>
      <c r="C1940" s="62" t="s">
        <v>1664</v>
      </c>
      <c r="D1940" s="63">
        <v>43770</v>
      </c>
      <c r="E1940" s="63">
        <v>46387</v>
      </c>
      <c r="F1940" s="62" t="s">
        <v>287</v>
      </c>
      <c r="G1940" s="62" t="s">
        <v>392</v>
      </c>
      <c r="H1940" s="62" t="s">
        <v>533</v>
      </c>
      <c r="I1940" s="64">
        <v>8823.5294117647099</v>
      </c>
      <c r="J1940" s="62" t="s">
        <v>1665</v>
      </c>
      <c r="K1940" s="62" t="s">
        <v>533</v>
      </c>
      <c r="L1940" s="65"/>
      <c r="M1940" s="62" t="s">
        <v>457</v>
      </c>
      <c r="N1940" s="62" t="s">
        <v>458</v>
      </c>
      <c r="O1940" s="62" t="s">
        <v>459</v>
      </c>
      <c r="P1940" s="62" t="s">
        <v>2421</v>
      </c>
      <c r="Q1940" s="66" t="s">
        <v>1977</v>
      </c>
    </row>
    <row r="1941" spans="1:17" x14ac:dyDescent="0.3">
      <c r="A1941" s="61" t="s">
        <v>2315</v>
      </c>
      <c r="B1941" s="62" t="s">
        <v>1663</v>
      </c>
      <c r="C1941" s="62" t="s">
        <v>1664</v>
      </c>
      <c r="D1941" s="63">
        <v>43770</v>
      </c>
      <c r="E1941" s="63">
        <v>46387</v>
      </c>
      <c r="F1941" s="62" t="s">
        <v>287</v>
      </c>
      <c r="G1941" s="62" t="s">
        <v>592</v>
      </c>
      <c r="H1941" s="62" t="s">
        <v>533</v>
      </c>
      <c r="I1941" s="64">
        <v>8823.5294117647099</v>
      </c>
      <c r="J1941" s="62" t="s">
        <v>1665</v>
      </c>
      <c r="K1941" s="62" t="s">
        <v>533</v>
      </c>
      <c r="L1941" s="65"/>
      <c r="M1941" s="62" t="s">
        <v>457</v>
      </c>
      <c r="N1941" s="62" t="s">
        <v>458</v>
      </c>
      <c r="O1941" s="62" t="s">
        <v>459</v>
      </c>
      <c r="P1941" s="62" t="s">
        <v>2421</v>
      </c>
      <c r="Q1941" s="66" t="s">
        <v>1977</v>
      </c>
    </row>
    <row r="1942" spans="1:17" x14ac:dyDescent="0.3">
      <c r="A1942" s="61" t="s">
        <v>2315</v>
      </c>
      <c r="B1942" s="62" t="s">
        <v>1663</v>
      </c>
      <c r="C1942" s="62" t="s">
        <v>1664</v>
      </c>
      <c r="D1942" s="63">
        <v>43770</v>
      </c>
      <c r="E1942" s="63">
        <v>46387</v>
      </c>
      <c r="F1942" s="62" t="s">
        <v>287</v>
      </c>
      <c r="G1942" s="62" t="s">
        <v>1262</v>
      </c>
      <c r="H1942" s="62" t="s">
        <v>533</v>
      </c>
      <c r="I1942" s="64">
        <v>8823.5294117647099</v>
      </c>
      <c r="J1942" s="62" t="s">
        <v>1665</v>
      </c>
      <c r="K1942" s="62" t="s">
        <v>533</v>
      </c>
      <c r="L1942" s="65"/>
      <c r="M1942" s="62" t="s">
        <v>457</v>
      </c>
      <c r="N1942" s="62" t="s">
        <v>458</v>
      </c>
      <c r="O1942" s="62" t="s">
        <v>459</v>
      </c>
      <c r="P1942" s="62" t="s">
        <v>2421</v>
      </c>
      <c r="Q1942" s="66" t="s">
        <v>1977</v>
      </c>
    </row>
    <row r="1943" spans="1:17" x14ac:dyDescent="0.3">
      <c r="A1943" s="61" t="s">
        <v>2315</v>
      </c>
      <c r="B1943" s="62" t="s">
        <v>1663</v>
      </c>
      <c r="C1943" s="62" t="s">
        <v>1664</v>
      </c>
      <c r="D1943" s="63">
        <v>43770</v>
      </c>
      <c r="E1943" s="63">
        <v>46387</v>
      </c>
      <c r="F1943" s="62" t="s">
        <v>287</v>
      </c>
      <c r="G1943" s="62" t="s">
        <v>1540</v>
      </c>
      <c r="H1943" s="62" t="s">
        <v>533</v>
      </c>
      <c r="I1943" s="64">
        <v>8823.5294117647099</v>
      </c>
      <c r="J1943" s="62" t="s">
        <v>1665</v>
      </c>
      <c r="K1943" s="62" t="s">
        <v>533</v>
      </c>
      <c r="L1943" s="65"/>
      <c r="M1943" s="62" t="s">
        <v>457</v>
      </c>
      <c r="N1943" s="62" t="s">
        <v>458</v>
      </c>
      <c r="O1943" s="62" t="s">
        <v>459</v>
      </c>
      <c r="P1943" s="62" t="s">
        <v>2421</v>
      </c>
      <c r="Q1943" s="66" t="s">
        <v>1977</v>
      </c>
    </row>
    <row r="1944" spans="1:17" x14ac:dyDescent="0.3">
      <c r="A1944" s="61" t="s">
        <v>2315</v>
      </c>
      <c r="B1944" s="62" t="s">
        <v>1663</v>
      </c>
      <c r="C1944" s="62" t="s">
        <v>1664</v>
      </c>
      <c r="D1944" s="63">
        <v>43770</v>
      </c>
      <c r="E1944" s="63">
        <v>46387</v>
      </c>
      <c r="F1944" s="62" t="s">
        <v>287</v>
      </c>
      <c r="G1944" s="62" t="s">
        <v>1108</v>
      </c>
      <c r="H1944" s="62" t="s">
        <v>533</v>
      </c>
      <c r="I1944" s="64">
        <v>8823.5294117647099</v>
      </c>
      <c r="J1944" s="62" t="s">
        <v>1665</v>
      </c>
      <c r="K1944" s="62" t="s">
        <v>533</v>
      </c>
      <c r="L1944" s="65"/>
      <c r="M1944" s="62" t="s">
        <v>457</v>
      </c>
      <c r="N1944" s="62" t="s">
        <v>458</v>
      </c>
      <c r="O1944" s="62" t="s">
        <v>459</v>
      </c>
      <c r="P1944" s="62" t="s">
        <v>2421</v>
      </c>
      <c r="Q1944" s="66" t="s">
        <v>1977</v>
      </c>
    </row>
    <row r="1945" spans="1:17" x14ac:dyDescent="0.3">
      <c r="A1945" s="61" t="s">
        <v>2315</v>
      </c>
      <c r="B1945" s="62" t="s">
        <v>1663</v>
      </c>
      <c r="C1945" s="62" t="s">
        <v>1664</v>
      </c>
      <c r="D1945" s="63">
        <v>43770</v>
      </c>
      <c r="E1945" s="63">
        <v>46387</v>
      </c>
      <c r="F1945" s="62" t="s">
        <v>287</v>
      </c>
      <c r="G1945" s="62" t="s">
        <v>394</v>
      </c>
      <c r="H1945" s="62" t="s">
        <v>533</v>
      </c>
      <c r="I1945" s="64">
        <v>8823.5294117647099</v>
      </c>
      <c r="J1945" s="62" t="s">
        <v>1665</v>
      </c>
      <c r="K1945" s="62" t="s">
        <v>533</v>
      </c>
      <c r="L1945" s="65"/>
      <c r="M1945" s="62" t="s">
        <v>457</v>
      </c>
      <c r="N1945" s="62" t="s">
        <v>458</v>
      </c>
      <c r="O1945" s="62" t="s">
        <v>459</v>
      </c>
      <c r="P1945" s="62" t="s">
        <v>2421</v>
      </c>
      <c r="Q1945" s="66" t="s">
        <v>1977</v>
      </c>
    </row>
    <row r="1946" spans="1:17" x14ac:dyDescent="0.3">
      <c r="A1946" s="61" t="s">
        <v>2315</v>
      </c>
      <c r="B1946" s="62" t="s">
        <v>1663</v>
      </c>
      <c r="C1946" s="62" t="s">
        <v>1664</v>
      </c>
      <c r="D1946" s="63">
        <v>43770</v>
      </c>
      <c r="E1946" s="63">
        <v>46387</v>
      </c>
      <c r="F1946" s="62" t="s">
        <v>287</v>
      </c>
      <c r="G1946" s="62" t="s">
        <v>593</v>
      </c>
      <c r="H1946" s="62" t="s">
        <v>533</v>
      </c>
      <c r="I1946" s="64">
        <v>8823.5294117647099</v>
      </c>
      <c r="J1946" s="62" t="s">
        <v>1665</v>
      </c>
      <c r="K1946" s="62" t="s">
        <v>533</v>
      </c>
      <c r="L1946" s="65"/>
      <c r="M1946" s="62" t="s">
        <v>457</v>
      </c>
      <c r="N1946" s="62" t="s">
        <v>458</v>
      </c>
      <c r="O1946" s="62" t="s">
        <v>459</v>
      </c>
      <c r="P1946" s="62" t="s">
        <v>2421</v>
      </c>
      <c r="Q1946" s="66" t="s">
        <v>1977</v>
      </c>
    </row>
    <row r="1947" spans="1:17" x14ac:dyDescent="0.3">
      <c r="A1947" s="61" t="s">
        <v>2315</v>
      </c>
      <c r="B1947" s="62" t="s">
        <v>1663</v>
      </c>
      <c r="C1947" s="62" t="s">
        <v>1664</v>
      </c>
      <c r="D1947" s="63">
        <v>43770</v>
      </c>
      <c r="E1947" s="63">
        <v>46387</v>
      </c>
      <c r="F1947" s="62" t="s">
        <v>287</v>
      </c>
      <c r="G1947" s="62" t="s">
        <v>395</v>
      </c>
      <c r="H1947" s="62" t="s">
        <v>533</v>
      </c>
      <c r="I1947" s="64">
        <v>8823.5294117647099</v>
      </c>
      <c r="J1947" s="62" t="s">
        <v>1665</v>
      </c>
      <c r="K1947" s="62" t="s">
        <v>533</v>
      </c>
      <c r="L1947" s="65"/>
      <c r="M1947" s="62" t="s">
        <v>457</v>
      </c>
      <c r="N1947" s="62" t="s">
        <v>458</v>
      </c>
      <c r="O1947" s="62" t="s">
        <v>459</v>
      </c>
      <c r="P1947" s="62" t="s">
        <v>2421</v>
      </c>
      <c r="Q1947" s="66" t="s">
        <v>1977</v>
      </c>
    </row>
    <row r="1948" spans="1:17" x14ac:dyDescent="0.3">
      <c r="A1948" s="61" t="s">
        <v>2315</v>
      </c>
      <c r="B1948" s="62" t="s">
        <v>1663</v>
      </c>
      <c r="C1948" s="62" t="s">
        <v>1664</v>
      </c>
      <c r="D1948" s="63">
        <v>43770</v>
      </c>
      <c r="E1948" s="63">
        <v>46387</v>
      </c>
      <c r="F1948" s="62" t="s">
        <v>287</v>
      </c>
      <c r="G1948" s="62" t="s">
        <v>396</v>
      </c>
      <c r="H1948" s="62" t="s">
        <v>533</v>
      </c>
      <c r="I1948" s="64">
        <v>8823.5294117647099</v>
      </c>
      <c r="J1948" s="62" t="s">
        <v>1665</v>
      </c>
      <c r="K1948" s="62" t="s">
        <v>533</v>
      </c>
      <c r="L1948" s="65"/>
      <c r="M1948" s="62" t="s">
        <v>457</v>
      </c>
      <c r="N1948" s="62" t="s">
        <v>458</v>
      </c>
      <c r="O1948" s="62" t="s">
        <v>459</v>
      </c>
      <c r="P1948" s="62" t="s">
        <v>2421</v>
      </c>
      <c r="Q1948" s="66" t="s">
        <v>1977</v>
      </c>
    </row>
    <row r="1949" spans="1:17" x14ac:dyDescent="0.3">
      <c r="A1949" s="61" t="s">
        <v>2315</v>
      </c>
      <c r="B1949" s="62" t="s">
        <v>1663</v>
      </c>
      <c r="C1949" s="62" t="s">
        <v>1664</v>
      </c>
      <c r="D1949" s="63">
        <v>43770</v>
      </c>
      <c r="E1949" s="63">
        <v>46387</v>
      </c>
      <c r="F1949" s="62" t="s">
        <v>287</v>
      </c>
      <c r="G1949" s="62" t="s">
        <v>697</v>
      </c>
      <c r="H1949" s="62" t="s">
        <v>533</v>
      </c>
      <c r="I1949" s="64">
        <v>8823.5294117647099</v>
      </c>
      <c r="J1949" s="62" t="s">
        <v>1665</v>
      </c>
      <c r="K1949" s="62" t="s">
        <v>533</v>
      </c>
      <c r="L1949" s="65"/>
      <c r="M1949" s="62" t="s">
        <v>457</v>
      </c>
      <c r="N1949" s="62" t="s">
        <v>458</v>
      </c>
      <c r="O1949" s="62" t="s">
        <v>459</v>
      </c>
      <c r="P1949" s="62" t="s">
        <v>2421</v>
      </c>
      <c r="Q1949" s="66" t="s">
        <v>1977</v>
      </c>
    </row>
    <row r="1950" spans="1:17" x14ac:dyDescent="0.3">
      <c r="A1950" s="61" t="s">
        <v>2315</v>
      </c>
      <c r="B1950" s="62" t="s">
        <v>1663</v>
      </c>
      <c r="C1950" s="62" t="s">
        <v>1664</v>
      </c>
      <c r="D1950" s="63">
        <v>43770</v>
      </c>
      <c r="E1950" s="63">
        <v>46387</v>
      </c>
      <c r="F1950" s="62" t="s">
        <v>287</v>
      </c>
      <c r="G1950" s="62" t="s">
        <v>423</v>
      </c>
      <c r="H1950" s="62" t="s">
        <v>533</v>
      </c>
      <c r="I1950" s="64">
        <v>8823.5294117647099</v>
      </c>
      <c r="J1950" s="62" t="s">
        <v>1665</v>
      </c>
      <c r="K1950" s="62" t="s">
        <v>533</v>
      </c>
      <c r="L1950" s="65"/>
      <c r="M1950" s="62" t="s">
        <v>457</v>
      </c>
      <c r="N1950" s="62" t="s">
        <v>458</v>
      </c>
      <c r="O1950" s="62" t="s">
        <v>459</v>
      </c>
      <c r="P1950" s="62" t="s">
        <v>2421</v>
      </c>
      <c r="Q1950" s="66" t="s">
        <v>1977</v>
      </c>
    </row>
    <row r="1951" spans="1:17" x14ac:dyDescent="0.3">
      <c r="A1951" s="61" t="s">
        <v>2315</v>
      </c>
      <c r="B1951" s="62" t="s">
        <v>1663</v>
      </c>
      <c r="C1951" s="62" t="s">
        <v>1664</v>
      </c>
      <c r="D1951" s="63">
        <v>43770</v>
      </c>
      <c r="E1951" s="63">
        <v>46387</v>
      </c>
      <c r="F1951" s="62" t="s">
        <v>1930</v>
      </c>
      <c r="G1951" s="62" t="s">
        <v>572</v>
      </c>
      <c r="H1951" s="62" t="s">
        <v>533</v>
      </c>
      <c r="I1951" s="64">
        <v>9375</v>
      </c>
      <c r="J1951" s="62" t="s">
        <v>1665</v>
      </c>
      <c r="K1951" s="62" t="s">
        <v>533</v>
      </c>
      <c r="L1951" s="65"/>
      <c r="M1951" s="62" t="s">
        <v>457</v>
      </c>
      <c r="N1951" s="62" t="s">
        <v>458</v>
      </c>
      <c r="O1951" s="62" t="s">
        <v>459</v>
      </c>
      <c r="P1951" s="62" t="s">
        <v>2421</v>
      </c>
      <c r="Q1951" s="66" t="s">
        <v>1977</v>
      </c>
    </row>
    <row r="1952" spans="1:17" x14ac:dyDescent="0.3">
      <c r="A1952" s="61" t="s">
        <v>2315</v>
      </c>
      <c r="B1952" s="62" t="s">
        <v>1663</v>
      </c>
      <c r="C1952" s="62" t="s">
        <v>1664</v>
      </c>
      <c r="D1952" s="63">
        <v>43770</v>
      </c>
      <c r="E1952" s="63">
        <v>46387</v>
      </c>
      <c r="F1952" s="62" t="s">
        <v>1930</v>
      </c>
      <c r="G1952" s="62" t="s">
        <v>760</v>
      </c>
      <c r="H1952" s="62" t="s">
        <v>533</v>
      </c>
      <c r="I1952" s="64">
        <v>9375</v>
      </c>
      <c r="J1952" s="62" t="s">
        <v>1665</v>
      </c>
      <c r="K1952" s="62" t="s">
        <v>533</v>
      </c>
      <c r="L1952" s="65"/>
      <c r="M1952" s="62" t="s">
        <v>457</v>
      </c>
      <c r="N1952" s="62" t="s">
        <v>458</v>
      </c>
      <c r="O1952" s="62" t="s">
        <v>459</v>
      </c>
      <c r="P1952" s="62" t="s">
        <v>2421</v>
      </c>
      <c r="Q1952" s="66" t="s">
        <v>1977</v>
      </c>
    </row>
    <row r="1953" spans="1:17" x14ac:dyDescent="0.3">
      <c r="A1953" s="61" t="s">
        <v>2315</v>
      </c>
      <c r="B1953" s="62" t="s">
        <v>1663</v>
      </c>
      <c r="C1953" s="62" t="s">
        <v>1664</v>
      </c>
      <c r="D1953" s="63">
        <v>43770</v>
      </c>
      <c r="E1953" s="63">
        <v>46387</v>
      </c>
      <c r="F1953" s="62" t="s">
        <v>1930</v>
      </c>
      <c r="G1953" s="62" t="s">
        <v>563</v>
      </c>
      <c r="H1953" s="62" t="s">
        <v>533</v>
      </c>
      <c r="I1953" s="64">
        <v>9375</v>
      </c>
      <c r="J1953" s="62" t="s">
        <v>1665</v>
      </c>
      <c r="K1953" s="62" t="s">
        <v>533</v>
      </c>
      <c r="L1953" s="65"/>
      <c r="M1953" s="62" t="s">
        <v>457</v>
      </c>
      <c r="N1953" s="62" t="s">
        <v>458</v>
      </c>
      <c r="O1953" s="62" t="s">
        <v>459</v>
      </c>
      <c r="P1953" s="62" t="s">
        <v>2421</v>
      </c>
      <c r="Q1953" s="66" t="s">
        <v>1977</v>
      </c>
    </row>
    <row r="1954" spans="1:17" x14ac:dyDescent="0.3">
      <c r="A1954" s="61" t="s">
        <v>2315</v>
      </c>
      <c r="B1954" s="62" t="s">
        <v>1663</v>
      </c>
      <c r="C1954" s="62" t="s">
        <v>1664</v>
      </c>
      <c r="D1954" s="63">
        <v>43770</v>
      </c>
      <c r="E1954" s="63">
        <v>46387</v>
      </c>
      <c r="F1954" s="62" t="s">
        <v>1930</v>
      </c>
      <c r="G1954" s="62" t="s">
        <v>580</v>
      </c>
      <c r="H1954" s="62" t="s">
        <v>533</v>
      </c>
      <c r="I1954" s="64">
        <v>9375</v>
      </c>
      <c r="J1954" s="62" t="s">
        <v>1665</v>
      </c>
      <c r="K1954" s="62" t="s">
        <v>533</v>
      </c>
      <c r="L1954" s="65"/>
      <c r="M1954" s="62" t="s">
        <v>457</v>
      </c>
      <c r="N1954" s="62" t="s">
        <v>458</v>
      </c>
      <c r="O1954" s="62" t="s">
        <v>459</v>
      </c>
      <c r="P1954" s="62" t="s">
        <v>2421</v>
      </c>
      <c r="Q1954" s="66" t="s">
        <v>1977</v>
      </c>
    </row>
    <row r="1955" spans="1:17" x14ac:dyDescent="0.3">
      <c r="A1955" s="61" t="s">
        <v>2315</v>
      </c>
      <c r="B1955" s="62" t="s">
        <v>1663</v>
      </c>
      <c r="C1955" s="62" t="s">
        <v>1664</v>
      </c>
      <c r="D1955" s="63">
        <v>43770</v>
      </c>
      <c r="E1955" s="63">
        <v>46387</v>
      </c>
      <c r="F1955" s="62" t="s">
        <v>1930</v>
      </c>
      <c r="G1955" s="62" t="s">
        <v>284</v>
      </c>
      <c r="H1955" s="62" t="s">
        <v>533</v>
      </c>
      <c r="I1955" s="64">
        <v>9375</v>
      </c>
      <c r="J1955" s="62" t="s">
        <v>1665</v>
      </c>
      <c r="K1955" s="62" t="s">
        <v>533</v>
      </c>
      <c r="L1955" s="65"/>
      <c r="M1955" s="62" t="s">
        <v>457</v>
      </c>
      <c r="N1955" s="62" t="s">
        <v>458</v>
      </c>
      <c r="O1955" s="62" t="s">
        <v>459</v>
      </c>
      <c r="P1955" s="62" t="s">
        <v>2421</v>
      </c>
      <c r="Q1955" s="66" t="s">
        <v>1977</v>
      </c>
    </row>
    <row r="1956" spans="1:17" x14ac:dyDescent="0.3">
      <c r="A1956" s="61" t="s">
        <v>2315</v>
      </c>
      <c r="B1956" s="62" t="s">
        <v>1663</v>
      </c>
      <c r="C1956" s="62" t="s">
        <v>1664</v>
      </c>
      <c r="D1956" s="63">
        <v>43770</v>
      </c>
      <c r="E1956" s="63">
        <v>46387</v>
      </c>
      <c r="F1956" s="62" t="s">
        <v>1930</v>
      </c>
      <c r="G1956" s="62" t="s">
        <v>995</v>
      </c>
      <c r="H1956" s="62" t="s">
        <v>533</v>
      </c>
      <c r="I1956" s="64">
        <v>9375</v>
      </c>
      <c r="J1956" s="62" t="s">
        <v>1665</v>
      </c>
      <c r="K1956" s="62" t="s">
        <v>533</v>
      </c>
      <c r="L1956" s="65"/>
      <c r="M1956" s="62" t="s">
        <v>457</v>
      </c>
      <c r="N1956" s="62" t="s">
        <v>458</v>
      </c>
      <c r="O1956" s="62" t="s">
        <v>459</v>
      </c>
      <c r="P1956" s="62" t="s">
        <v>2421</v>
      </c>
      <c r="Q1956" s="66" t="s">
        <v>1977</v>
      </c>
    </row>
    <row r="1957" spans="1:17" x14ac:dyDescent="0.3">
      <c r="A1957" s="61" t="s">
        <v>2315</v>
      </c>
      <c r="B1957" s="62" t="s">
        <v>1663</v>
      </c>
      <c r="C1957" s="62" t="s">
        <v>1664</v>
      </c>
      <c r="D1957" s="63">
        <v>43770</v>
      </c>
      <c r="E1957" s="63">
        <v>46387</v>
      </c>
      <c r="F1957" s="62" t="s">
        <v>1930</v>
      </c>
      <c r="G1957" s="62" t="s">
        <v>419</v>
      </c>
      <c r="H1957" s="62" t="s">
        <v>533</v>
      </c>
      <c r="I1957" s="64">
        <v>9375</v>
      </c>
      <c r="J1957" s="62" t="s">
        <v>1665</v>
      </c>
      <c r="K1957" s="62" t="s">
        <v>533</v>
      </c>
      <c r="L1957" s="65"/>
      <c r="M1957" s="62" t="s">
        <v>457</v>
      </c>
      <c r="N1957" s="62" t="s">
        <v>458</v>
      </c>
      <c r="O1957" s="62" t="s">
        <v>459</v>
      </c>
      <c r="P1957" s="62" t="s">
        <v>2421</v>
      </c>
      <c r="Q1957" s="66" t="s">
        <v>1977</v>
      </c>
    </row>
    <row r="1958" spans="1:17" x14ac:dyDescent="0.3">
      <c r="A1958" s="61" t="s">
        <v>2315</v>
      </c>
      <c r="B1958" s="62" t="s">
        <v>1663</v>
      </c>
      <c r="C1958" s="62" t="s">
        <v>1664</v>
      </c>
      <c r="D1958" s="63">
        <v>43770</v>
      </c>
      <c r="E1958" s="63">
        <v>46387</v>
      </c>
      <c r="F1958" s="62" t="s">
        <v>1930</v>
      </c>
      <c r="G1958" s="62" t="s">
        <v>641</v>
      </c>
      <c r="H1958" s="62" t="s">
        <v>533</v>
      </c>
      <c r="I1958" s="64">
        <v>9375</v>
      </c>
      <c r="J1958" s="62" t="s">
        <v>1665</v>
      </c>
      <c r="K1958" s="62" t="s">
        <v>533</v>
      </c>
      <c r="L1958" s="65"/>
      <c r="M1958" s="62" t="s">
        <v>457</v>
      </c>
      <c r="N1958" s="62" t="s">
        <v>458</v>
      </c>
      <c r="O1958" s="62" t="s">
        <v>459</v>
      </c>
      <c r="P1958" s="62" t="s">
        <v>2421</v>
      </c>
      <c r="Q1958" s="66" t="s">
        <v>1977</v>
      </c>
    </row>
    <row r="1959" spans="1:17" x14ac:dyDescent="0.3">
      <c r="A1959" s="61" t="s">
        <v>2315</v>
      </c>
      <c r="B1959" s="62" t="s">
        <v>1663</v>
      </c>
      <c r="C1959" s="62" t="s">
        <v>1664</v>
      </c>
      <c r="D1959" s="63">
        <v>43770</v>
      </c>
      <c r="E1959" s="63">
        <v>46387</v>
      </c>
      <c r="F1959" s="62" t="s">
        <v>1930</v>
      </c>
      <c r="G1959" s="62" t="s">
        <v>996</v>
      </c>
      <c r="H1959" s="62" t="s">
        <v>533</v>
      </c>
      <c r="I1959" s="64">
        <v>9375</v>
      </c>
      <c r="J1959" s="62" t="s">
        <v>1665</v>
      </c>
      <c r="K1959" s="62" t="s">
        <v>533</v>
      </c>
      <c r="L1959" s="65"/>
      <c r="M1959" s="62" t="s">
        <v>457</v>
      </c>
      <c r="N1959" s="62" t="s">
        <v>458</v>
      </c>
      <c r="O1959" s="62" t="s">
        <v>459</v>
      </c>
      <c r="P1959" s="62" t="s">
        <v>2421</v>
      </c>
      <c r="Q1959" s="66" t="s">
        <v>1977</v>
      </c>
    </row>
    <row r="1960" spans="1:17" x14ac:dyDescent="0.3">
      <c r="A1960" s="61" t="s">
        <v>2315</v>
      </c>
      <c r="B1960" s="62" t="s">
        <v>1663</v>
      </c>
      <c r="C1960" s="62" t="s">
        <v>1664</v>
      </c>
      <c r="D1960" s="63">
        <v>43770</v>
      </c>
      <c r="E1960" s="63">
        <v>46387</v>
      </c>
      <c r="F1960" s="62" t="s">
        <v>1930</v>
      </c>
      <c r="G1960" s="62" t="s">
        <v>642</v>
      </c>
      <c r="H1960" s="62" t="s">
        <v>533</v>
      </c>
      <c r="I1960" s="64">
        <v>9375</v>
      </c>
      <c r="J1960" s="62" t="s">
        <v>1665</v>
      </c>
      <c r="K1960" s="62" t="s">
        <v>533</v>
      </c>
      <c r="L1960" s="65"/>
      <c r="M1960" s="62" t="s">
        <v>457</v>
      </c>
      <c r="N1960" s="62" t="s">
        <v>458</v>
      </c>
      <c r="O1960" s="62" t="s">
        <v>459</v>
      </c>
      <c r="P1960" s="62" t="s">
        <v>2421</v>
      </c>
      <c r="Q1960" s="66" t="s">
        <v>1977</v>
      </c>
    </row>
    <row r="1961" spans="1:17" x14ac:dyDescent="0.3">
      <c r="A1961" s="61" t="s">
        <v>2315</v>
      </c>
      <c r="B1961" s="62" t="s">
        <v>1663</v>
      </c>
      <c r="C1961" s="62" t="s">
        <v>1664</v>
      </c>
      <c r="D1961" s="63">
        <v>43770</v>
      </c>
      <c r="E1961" s="63">
        <v>46387</v>
      </c>
      <c r="F1961" s="62" t="s">
        <v>1930</v>
      </c>
      <c r="G1961" s="62" t="s">
        <v>581</v>
      </c>
      <c r="H1961" s="62" t="s">
        <v>533</v>
      </c>
      <c r="I1961" s="64">
        <v>9375</v>
      </c>
      <c r="J1961" s="62" t="s">
        <v>1665</v>
      </c>
      <c r="K1961" s="62" t="s">
        <v>533</v>
      </c>
      <c r="L1961" s="65"/>
      <c r="M1961" s="62" t="s">
        <v>457</v>
      </c>
      <c r="N1961" s="62" t="s">
        <v>458</v>
      </c>
      <c r="O1961" s="62" t="s">
        <v>459</v>
      </c>
      <c r="P1961" s="62" t="s">
        <v>2421</v>
      </c>
      <c r="Q1961" s="66" t="s">
        <v>1977</v>
      </c>
    </row>
    <row r="1962" spans="1:17" x14ac:dyDescent="0.3">
      <c r="A1962" s="61" t="s">
        <v>2315</v>
      </c>
      <c r="B1962" s="62" t="s">
        <v>1663</v>
      </c>
      <c r="C1962" s="62" t="s">
        <v>1664</v>
      </c>
      <c r="D1962" s="63">
        <v>43770</v>
      </c>
      <c r="E1962" s="63">
        <v>46387</v>
      </c>
      <c r="F1962" s="62" t="s">
        <v>1930</v>
      </c>
      <c r="G1962" s="62" t="s">
        <v>997</v>
      </c>
      <c r="H1962" s="62" t="s">
        <v>533</v>
      </c>
      <c r="I1962" s="64">
        <v>9375</v>
      </c>
      <c r="J1962" s="62" t="s">
        <v>1665</v>
      </c>
      <c r="K1962" s="62" t="s">
        <v>533</v>
      </c>
      <c r="L1962" s="65"/>
      <c r="M1962" s="62" t="s">
        <v>457</v>
      </c>
      <c r="N1962" s="62" t="s">
        <v>458</v>
      </c>
      <c r="O1962" s="62" t="s">
        <v>459</v>
      </c>
      <c r="P1962" s="62" t="s">
        <v>2421</v>
      </c>
      <c r="Q1962" s="66" t="s">
        <v>1977</v>
      </c>
    </row>
    <row r="1963" spans="1:17" x14ac:dyDescent="0.3">
      <c r="A1963" s="61" t="s">
        <v>2315</v>
      </c>
      <c r="B1963" s="62" t="s">
        <v>1663</v>
      </c>
      <c r="C1963" s="62" t="s">
        <v>1664</v>
      </c>
      <c r="D1963" s="63">
        <v>43770</v>
      </c>
      <c r="E1963" s="63">
        <v>46387</v>
      </c>
      <c r="F1963" s="62" t="s">
        <v>1930</v>
      </c>
      <c r="G1963" s="62" t="s">
        <v>453</v>
      </c>
      <c r="H1963" s="62" t="s">
        <v>533</v>
      </c>
      <c r="I1963" s="64">
        <v>9375</v>
      </c>
      <c r="J1963" s="62" t="s">
        <v>1665</v>
      </c>
      <c r="K1963" s="62" t="s">
        <v>533</v>
      </c>
      <c r="L1963" s="65"/>
      <c r="M1963" s="62" t="s">
        <v>457</v>
      </c>
      <c r="N1963" s="62" t="s">
        <v>458</v>
      </c>
      <c r="O1963" s="62" t="s">
        <v>459</v>
      </c>
      <c r="P1963" s="62" t="s">
        <v>2421</v>
      </c>
      <c r="Q1963" s="66" t="s">
        <v>1977</v>
      </c>
    </row>
    <row r="1964" spans="1:17" x14ac:dyDescent="0.3">
      <c r="A1964" s="61" t="s">
        <v>2315</v>
      </c>
      <c r="B1964" s="62" t="s">
        <v>1663</v>
      </c>
      <c r="C1964" s="62" t="s">
        <v>1664</v>
      </c>
      <c r="D1964" s="63">
        <v>43770</v>
      </c>
      <c r="E1964" s="63">
        <v>46387</v>
      </c>
      <c r="F1964" s="62" t="s">
        <v>1930</v>
      </c>
      <c r="G1964" s="62" t="s">
        <v>998</v>
      </c>
      <c r="H1964" s="62" t="s">
        <v>533</v>
      </c>
      <c r="I1964" s="64">
        <v>9375</v>
      </c>
      <c r="J1964" s="62" t="s">
        <v>1665</v>
      </c>
      <c r="K1964" s="62" t="s">
        <v>533</v>
      </c>
      <c r="L1964" s="65"/>
      <c r="M1964" s="62" t="s">
        <v>457</v>
      </c>
      <c r="N1964" s="62" t="s">
        <v>458</v>
      </c>
      <c r="O1964" s="62" t="s">
        <v>459</v>
      </c>
      <c r="P1964" s="62" t="s">
        <v>2421</v>
      </c>
      <c r="Q1964" s="66" t="s">
        <v>1977</v>
      </c>
    </row>
    <row r="1965" spans="1:17" x14ac:dyDescent="0.3">
      <c r="A1965" s="61" t="s">
        <v>2315</v>
      </c>
      <c r="B1965" s="62" t="s">
        <v>1663</v>
      </c>
      <c r="C1965" s="62" t="s">
        <v>1664</v>
      </c>
      <c r="D1965" s="63">
        <v>43770</v>
      </c>
      <c r="E1965" s="63">
        <v>46387</v>
      </c>
      <c r="F1965" s="62" t="s">
        <v>1930</v>
      </c>
      <c r="G1965" s="62" t="s">
        <v>502</v>
      </c>
      <c r="H1965" s="62" t="s">
        <v>533</v>
      </c>
      <c r="I1965" s="64">
        <v>9375</v>
      </c>
      <c r="J1965" s="62" t="s">
        <v>1665</v>
      </c>
      <c r="K1965" s="62" t="s">
        <v>533</v>
      </c>
      <c r="L1965" s="65"/>
      <c r="M1965" s="62" t="s">
        <v>457</v>
      </c>
      <c r="N1965" s="62" t="s">
        <v>458</v>
      </c>
      <c r="O1965" s="62" t="s">
        <v>459</v>
      </c>
      <c r="P1965" s="62" t="s">
        <v>2421</v>
      </c>
      <c r="Q1965" s="66" t="s">
        <v>1977</v>
      </c>
    </row>
    <row r="1966" spans="1:17" x14ac:dyDescent="0.3">
      <c r="A1966" s="61" t="s">
        <v>2315</v>
      </c>
      <c r="B1966" s="62" t="s">
        <v>1663</v>
      </c>
      <c r="C1966" s="62" t="s">
        <v>1664</v>
      </c>
      <c r="D1966" s="63">
        <v>43770</v>
      </c>
      <c r="E1966" s="63">
        <v>46387</v>
      </c>
      <c r="F1966" s="62" t="s">
        <v>1930</v>
      </c>
      <c r="G1966" s="62" t="s">
        <v>573</v>
      </c>
      <c r="H1966" s="62" t="s">
        <v>533</v>
      </c>
      <c r="I1966" s="64">
        <v>9375</v>
      </c>
      <c r="J1966" s="62" t="s">
        <v>1665</v>
      </c>
      <c r="K1966" s="62" t="s">
        <v>533</v>
      </c>
      <c r="L1966" s="65"/>
      <c r="M1966" s="62" t="s">
        <v>457</v>
      </c>
      <c r="N1966" s="62" t="s">
        <v>458</v>
      </c>
      <c r="O1966" s="62" t="s">
        <v>459</v>
      </c>
      <c r="P1966" s="62" t="s">
        <v>2421</v>
      </c>
      <c r="Q1966" s="66" t="s">
        <v>1977</v>
      </c>
    </row>
    <row r="1967" spans="1:17" x14ac:dyDescent="0.3">
      <c r="A1967" s="61" t="s">
        <v>2315</v>
      </c>
      <c r="B1967" s="62" t="s">
        <v>1663</v>
      </c>
      <c r="C1967" s="62" t="s">
        <v>1664</v>
      </c>
      <c r="D1967" s="63">
        <v>43770</v>
      </c>
      <c r="E1967" s="63">
        <v>46387</v>
      </c>
      <c r="F1967" s="62" t="s">
        <v>1941</v>
      </c>
      <c r="G1967" s="62" t="s">
        <v>319</v>
      </c>
      <c r="H1967" s="62" t="s">
        <v>533</v>
      </c>
      <c r="I1967" s="64">
        <v>16666.666666666701</v>
      </c>
      <c r="J1967" s="62" t="s">
        <v>1665</v>
      </c>
      <c r="K1967" s="62" t="s">
        <v>533</v>
      </c>
      <c r="L1967" s="65"/>
      <c r="M1967" s="62" t="s">
        <v>457</v>
      </c>
      <c r="N1967" s="62" t="s">
        <v>458</v>
      </c>
      <c r="O1967" s="62" t="s">
        <v>459</v>
      </c>
      <c r="P1967" s="62" t="s">
        <v>2421</v>
      </c>
      <c r="Q1967" s="66" t="s">
        <v>1977</v>
      </c>
    </row>
    <row r="1968" spans="1:17" x14ac:dyDescent="0.3">
      <c r="A1968" s="61" t="s">
        <v>2315</v>
      </c>
      <c r="B1968" s="62" t="s">
        <v>1663</v>
      </c>
      <c r="C1968" s="62" t="s">
        <v>1664</v>
      </c>
      <c r="D1968" s="63">
        <v>43770</v>
      </c>
      <c r="E1968" s="63">
        <v>46387</v>
      </c>
      <c r="F1968" s="62" t="s">
        <v>1941</v>
      </c>
      <c r="G1968" s="62" t="s">
        <v>494</v>
      </c>
      <c r="H1968" s="62" t="s">
        <v>533</v>
      </c>
      <c r="I1968" s="64">
        <v>16666.666666666701</v>
      </c>
      <c r="J1968" s="62" t="s">
        <v>1665</v>
      </c>
      <c r="K1968" s="62" t="s">
        <v>533</v>
      </c>
      <c r="L1968" s="65"/>
      <c r="M1968" s="62" t="s">
        <v>457</v>
      </c>
      <c r="N1968" s="62" t="s">
        <v>458</v>
      </c>
      <c r="O1968" s="62" t="s">
        <v>459</v>
      </c>
      <c r="P1968" s="62" t="s">
        <v>2421</v>
      </c>
      <c r="Q1968" s="66" t="s">
        <v>1977</v>
      </c>
    </row>
    <row r="1969" spans="1:17" x14ac:dyDescent="0.3">
      <c r="A1969" s="61" t="s">
        <v>2315</v>
      </c>
      <c r="B1969" s="62" t="s">
        <v>1663</v>
      </c>
      <c r="C1969" s="62" t="s">
        <v>1664</v>
      </c>
      <c r="D1969" s="63">
        <v>43770</v>
      </c>
      <c r="E1969" s="63">
        <v>46387</v>
      </c>
      <c r="F1969" s="62" t="s">
        <v>1941</v>
      </c>
      <c r="G1969" s="62" t="s">
        <v>495</v>
      </c>
      <c r="H1969" s="62" t="s">
        <v>533</v>
      </c>
      <c r="I1969" s="64">
        <v>16666.666666666701</v>
      </c>
      <c r="J1969" s="62" t="s">
        <v>1665</v>
      </c>
      <c r="K1969" s="62" t="s">
        <v>533</v>
      </c>
      <c r="L1969" s="65"/>
      <c r="M1969" s="62" t="s">
        <v>457</v>
      </c>
      <c r="N1969" s="62" t="s">
        <v>458</v>
      </c>
      <c r="O1969" s="62" t="s">
        <v>459</v>
      </c>
      <c r="P1969" s="62" t="s">
        <v>2421</v>
      </c>
      <c r="Q1969" s="66" t="s">
        <v>1977</v>
      </c>
    </row>
    <row r="1970" spans="1:17" x14ac:dyDescent="0.3">
      <c r="A1970" s="61" t="s">
        <v>2315</v>
      </c>
      <c r="B1970" s="62" t="s">
        <v>1663</v>
      </c>
      <c r="C1970" s="62" t="s">
        <v>1664</v>
      </c>
      <c r="D1970" s="63">
        <v>43770</v>
      </c>
      <c r="E1970" s="63">
        <v>46387</v>
      </c>
      <c r="F1970" s="62" t="s">
        <v>1941</v>
      </c>
      <c r="G1970" s="62" t="s">
        <v>322</v>
      </c>
      <c r="H1970" s="62" t="s">
        <v>533</v>
      </c>
      <c r="I1970" s="64">
        <v>16666.666666666701</v>
      </c>
      <c r="J1970" s="62" t="s">
        <v>1665</v>
      </c>
      <c r="K1970" s="62" t="s">
        <v>533</v>
      </c>
      <c r="L1970" s="65"/>
      <c r="M1970" s="62" t="s">
        <v>457</v>
      </c>
      <c r="N1970" s="62" t="s">
        <v>458</v>
      </c>
      <c r="O1970" s="62" t="s">
        <v>459</v>
      </c>
      <c r="P1970" s="62" t="s">
        <v>2421</v>
      </c>
      <c r="Q1970" s="66" t="s">
        <v>1977</v>
      </c>
    </row>
    <row r="1971" spans="1:17" x14ac:dyDescent="0.3">
      <c r="A1971" s="61" t="s">
        <v>2315</v>
      </c>
      <c r="B1971" s="62" t="s">
        <v>1663</v>
      </c>
      <c r="C1971" s="62" t="s">
        <v>1664</v>
      </c>
      <c r="D1971" s="63">
        <v>43770</v>
      </c>
      <c r="E1971" s="63">
        <v>46387</v>
      </c>
      <c r="F1971" s="62" t="s">
        <v>1941</v>
      </c>
      <c r="G1971" s="62" t="s">
        <v>496</v>
      </c>
      <c r="H1971" s="62" t="s">
        <v>533</v>
      </c>
      <c r="I1971" s="64">
        <v>16666.666666666701</v>
      </c>
      <c r="J1971" s="62" t="s">
        <v>1665</v>
      </c>
      <c r="K1971" s="62" t="s">
        <v>533</v>
      </c>
      <c r="L1971" s="65"/>
      <c r="M1971" s="62" t="s">
        <v>457</v>
      </c>
      <c r="N1971" s="62" t="s">
        <v>458</v>
      </c>
      <c r="O1971" s="62" t="s">
        <v>459</v>
      </c>
      <c r="P1971" s="62" t="s">
        <v>2421</v>
      </c>
      <c r="Q1971" s="66" t="s">
        <v>1977</v>
      </c>
    </row>
    <row r="1972" spans="1:17" x14ac:dyDescent="0.3">
      <c r="A1972" s="61" t="s">
        <v>2315</v>
      </c>
      <c r="B1972" s="62" t="s">
        <v>1663</v>
      </c>
      <c r="C1972" s="62" t="s">
        <v>1664</v>
      </c>
      <c r="D1972" s="63">
        <v>43770</v>
      </c>
      <c r="E1972" s="63">
        <v>46387</v>
      </c>
      <c r="F1972" s="62" t="s">
        <v>1941</v>
      </c>
      <c r="G1972" s="62" t="s">
        <v>397</v>
      </c>
      <c r="H1972" s="62" t="s">
        <v>533</v>
      </c>
      <c r="I1972" s="64">
        <v>16666.666666666701</v>
      </c>
      <c r="J1972" s="62" t="s">
        <v>1665</v>
      </c>
      <c r="K1972" s="62" t="s">
        <v>533</v>
      </c>
      <c r="L1972" s="65"/>
      <c r="M1972" s="62" t="s">
        <v>457</v>
      </c>
      <c r="N1972" s="62" t="s">
        <v>458</v>
      </c>
      <c r="O1972" s="62" t="s">
        <v>459</v>
      </c>
      <c r="P1972" s="62" t="s">
        <v>2421</v>
      </c>
      <c r="Q1972" s="66" t="s">
        <v>1977</v>
      </c>
    </row>
    <row r="1973" spans="1:17" x14ac:dyDescent="0.3">
      <c r="A1973" s="61" t="s">
        <v>2315</v>
      </c>
      <c r="B1973" s="62" t="s">
        <v>1663</v>
      </c>
      <c r="C1973" s="62" t="s">
        <v>1664</v>
      </c>
      <c r="D1973" s="63">
        <v>43770</v>
      </c>
      <c r="E1973" s="63">
        <v>46387</v>
      </c>
      <c r="F1973" s="62" t="s">
        <v>1941</v>
      </c>
      <c r="G1973" s="62" t="s">
        <v>1329</v>
      </c>
      <c r="H1973" s="62" t="s">
        <v>533</v>
      </c>
      <c r="I1973" s="64">
        <v>16666.666666666701</v>
      </c>
      <c r="J1973" s="62" t="s">
        <v>1665</v>
      </c>
      <c r="K1973" s="62" t="s">
        <v>533</v>
      </c>
      <c r="L1973" s="65"/>
      <c r="M1973" s="62" t="s">
        <v>457</v>
      </c>
      <c r="N1973" s="62" t="s">
        <v>458</v>
      </c>
      <c r="O1973" s="62" t="s">
        <v>459</v>
      </c>
      <c r="P1973" s="62" t="s">
        <v>2421</v>
      </c>
      <c r="Q1973" s="66" t="s">
        <v>1977</v>
      </c>
    </row>
    <row r="1974" spans="1:17" x14ac:dyDescent="0.3">
      <c r="A1974" s="61" t="s">
        <v>2315</v>
      </c>
      <c r="B1974" s="62" t="s">
        <v>1663</v>
      </c>
      <c r="C1974" s="62" t="s">
        <v>1664</v>
      </c>
      <c r="D1974" s="63">
        <v>43770</v>
      </c>
      <c r="E1974" s="63">
        <v>46387</v>
      </c>
      <c r="F1974" s="62" t="s">
        <v>1941</v>
      </c>
      <c r="G1974" s="62" t="s">
        <v>398</v>
      </c>
      <c r="H1974" s="62" t="s">
        <v>533</v>
      </c>
      <c r="I1974" s="64">
        <v>16666.666666666701</v>
      </c>
      <c r="J1974" s="62" t="s">
        <v>1665</v>
      </c>
      <c r="K1974" s="62" t="s">
        <v>533</v>
      </c>
      <c r="L1974" s="65"/>
      <c r="M1974" s="62" t="s">
        <v>457</v>
      </c>
      <c r="N1974" s="62" t="s">
        <v>458</v>
      </c>
      <c r="O1974" s="62" t="s">
        <v>459</v>
      </c>
      <c r="P1974" s="62" t="s">
        <v>2421</v>
      </c>
      <c r="Q1974" s="66" t="s">
        <v>1977</v>
      </c>
    </row>
    <row r="1975" spans="1:17" x14ac:dyDescent="0.3">
      <c r="A1975" s="61" t="s">
        <v>2315</v>
      </c>
      <c r="B1975" s="62" t="s">
        <v>1663</v>
      </c>
      <c r="C1975" s="62" t="s">
        <v>1664</v>
      </c>
      <c r="D1975" s="63">
        <v>43770</v>
      </c>
      <c r="E1975" s="63">
        <v>46387</v>
      </c>
      <c r="F1975" s="62" t="s">
        <v>1941</v>
      </c>
      <c r="G1975" s="62" t="s">
        <v>399</v>
      </c>
      <c r="H1975" s="62" t="s">
        <v>533</v>
      </c>
      <c r="I1975" s="64">
        <v>16666.666666666701</v>
      </c>
      <c r="J1975" s="62" t="s">
        <v>1665</v>
      </c>
      <c r="K1975" s="62" t="s">
        <v>533</v>
      </c>
      <c r="L1975" s="65"/>
      <c r="M1975" s="62" t="s">
        <v>457</v>
      </c>
      <c r="N1975" s="62" t="s">
        <v>458</v>
      </c>
      <c r="O1975" s="62" t="s">
        <v>459</v>
      </c>
      <c r="P1975" s="62" t="s">
        <v>2421</v>
      </c>
      <c r="Q1975" s="66" t="s">
        <v>1977</v>
      </c>
    </row>
    <row r="1976" spans="1:17" x14ac:dyDescent="0.3">
      <c r="A1976" s="61" t="s">
        <v>2315</v>
      </c>
      <c r="B1976" s="62" t="s">
        <v>1663</v>
      </c>
      <c r="C1976" s="62" t="s">
        <v>1664</v>
      </c>
      <c r="D1976" s="63">
        <v>43770</v>
      </c>
      <c r="E1976" s="63">
        <v>46387</v>
      </c>
      <c r="F1976" s="62" t="s">
        <v>1934</v>
      </c>
      <c r="G1976" s="62" t="s">
        <v>497</v>
      </c>
      <c r="H1976" s="62" t="s">
        <v>533</v>
      </c>
      <c r="I1976" s="64">
        <v>50000</v>
      </c>
      <c r="J1976" s="62" t="s">
        <v>1665</v>
      </c>
      <c r="K1976" s="62" t="s">
        <v>533</v>
      </c>
      <c r="L1976" s="65"/>
      <c r="M1976" s="62" t="s">
        <v>457</v>
      </c>
      <c r="N1976" s="62" t="s">
        <v>458</v>
      </c>
      <c r="O1976" s="62" t="s">
        <v>459</v>
      </c>
      <c r="P1976" s="62" t="s">
        <v>2421</v>
      </c>
      <c r="Q1976" s="66" t="s">
        <v>1977</v>
      </c>
    </row>
    <row r="1977" spans="1:17" x14ac:dyDescent="0.3">
      <c r="A1977" s="61" t="s">
        <v>2315</v>
      </c>
      <c r="B1977" s="62" t="s">
        <v>1663</v>
      </c>
      <c r="C1977" s="62" t="s">
        <v>1664</v>
      </c>
      <c r="D1977" s="63">
        <v>43770</v>
      </c>
      <c r="E1977" s="63">
        <v>46387</v>
      </c>
      <c r="F1977" s="62" t="s">
        <v>1934</v>
      </c>
      <c r="G1977" s="62" t="s">
        <v>477</v>
      </c>
      <c r="H1977" s="62" t="s">
        <v>533</v>
      </c>
      <c r="I1977" s="64">
        <v>50000</v>
      </c>
      <c r="J1977" s="62" t="s">
        <v>1665</v>
      </c>
      <c r="K1977" s="62" t="s">
        <v>533</v>
      </c>
      <c r="L1977" s="65"/>
      <c r="M1977" s="62" t="s">
        <v>457</v>
      </c>
      <c r="N1977" s="62" t="s">
        <v>458</v>
      </c>
      <c r="O1977" s="62" t="s">
        <v>459</v>
      </c>
      <c r="P1977" s="62" t="s">
        <v>2421</v>
      </c>
      <c r="Q1977" s="66" t="s">
        <v>1977</v>
      </c>
    </row>
    <row r="1978" spans="1:17" x14ac:dyDescent="0.3">
      <c r="A1978" s="61" t="s">
        <v>2315</v>
      </c>
      <c r="B1978" s="62" t="s">
        <v>1663</v>
      </c>
      <c r="C1978" s="62" t="s">
        <v>1664</v>
      </c>
      <c r="D1978" s="63">
        <v>43770</v>
      </c>
      <c r="E1978" s="63">
        <v>46387</v>
      </c>
      <c r="F1978" s="62" t="s">
        <v>1934</v>
      </c>
      <c r="G1978" s="62" t="s">
        <v>499</v>
      </c>
      <c r="H1978" s="62" t="s">
        <v>533</v>
      </c>
      <c r="I1978" s="64">
        <v>50000</v>
      </c>
      <c r="J1978" s="62" t="s">
        <v>1665</v>
      </c>
      <c r="K1978" s="62" t="s">
        <v>533</v>
      </c>
      <c r="L1978" s="65"/>
      <c r="M1978" s="62" t="s">
        <v>457</v>
      </c>
      <c r="N1978" s="62" t="s">
        <v>458</v>
      </c>
      <c r="O1978" s="62" t="s">
        <v>459</v>
      </c>
      <c r="P1978" s="62" t="s">
        <v>2421</v>
      </c>
      <c r="Q1978" s="66" t="s">
        <v>1977</v>
      </c>
    </row>
    <row r="1979" spans="1:17" x14ac:dyDescent="0.3">
      <c r="A1979" s="61" t="s">
        <v>2315</v>
      </c>
      <c r="B1979" s="62" t="s">
        <v>1663</v>
      </c>
      <c r="C1979" s="62" t="s">
        <v>1664</v>
      </c>
      <c r="D1979" s="63">
        <v>43770</v>
      </c>
      <c r="E1979" s="63">
        <v>46387</v>
      </c>
      <c r="F1979" s="62" t="s">
        <v>1945</v>
      </c>
      <c r="G1979" s="62" t="s">
        <v>400</v>
      </c>
      <c r="H1979" s="62" t="s">
        <v>533</v>
      </c>
      <c r="I1979" s="64">
        <v>75000</v>
      </c>
      <c r="J1979" s="62" t="s">
        <v>1665</v>
      </c>
      <c r="K1979" s="62" t="s">
        <v>533</v>
      </c>
      <c r="L1979" s="65"/>
      <c r="M1979" s="62" t="s">
        <v>457</v>
      </c>
      <c r="N1979" s="62" t="s">
        <v>458</v>
      </c>
      <c r="O1979" s="62" t="s">
        <v>459</v>
      </c>
      <c r="P1979" s="62" t="s">
        <v>2421</v>
      </c>
      <c r="Q1979" s="66" t="s">
        <v>1977</v>
      </c>
    </row>
    <row r="1980" spans="1:17" x14ac:dyDescent="0.3">
      <c r="A1980" s="61" t="s">
        <v>2315</v>
      </c>
      <c r="B1980" s="62" t="s">
        <v>1663</v>
      </c>
      <c r="C1980" s="62" t="s">
        <v>1664</v>
      </c>
      <c r="D1980" s="63">
        <v>43770</v>
      </c>
      <c r="E1980" s="63">
        <v>46387</v>
      </c>
      <c r="F1980" s="62" t="s">
        <v>1945</v>
      </c>
      <c r="G1980" s="62" t="s">
        <v>403</v>
      </c>
      <c r="H1980" s="62" t="s">
        <v>533</v>
      </c>
      <c r="I1980" s="64">
        <v>75000</v>
      </c>
      <c r="J1980" s="62" t="s">
        <v>1665</v>
      </c>
      <c r="K1980" s="62" t="s">
        <v>533</v>
      </c>
      <c r="L1980" s="65"/>
      <c r="M1980" s="62" t="s">
        <v>457</v>
      </c>
      <c r="N1980" s="62" t="s">
        <v>458</v>
      </c>
      <c r="O1980" s="62" t="s">
        <v>459</v>
      </c>
      <c r="P1980" s="62" t="s">
        <v>2421</v>
      </c>
      <c r="Q1980" s="66" t="s">
        <v>1977</v>
      </c>
    </row>
    <row r="1981" spans="1:17" x14ac:dyDescent="0.3">
      <c r="A1981" s="61" t="s">
        <v>2315</v>
      </c>
      <c r="B1981" s="62" t="s">
        <v>1663</v>
      </c>
      <c r="C1981" s="62" t="s">
        <v>1664</v>
      </c>
      <c r="D1981" s="63">
        <v>43770</v>
      </c>
      <c r="E1981" s="63">
        <v>46387</v>
      </c>
      <c r="F1981" s="62" t="s">
        <v>282</v>
      </c>
      <c r="G1981" s="62" t="s">
        <v>507</v>
      </c>
      <c r="H1981" s="62" t="s">
        <v>533</v>
      </c>
      <c r="I1981" s="64">
        <v>150000</v>
      </c>
      <c r="J1981" s="62" t="s">
        <v>1665</v>
      </c>
      <c r="K1981" s="62" t="s">
        <v>533</v>
      </c>
      <c r="L1981" s="65"/>
      <c r="M1981" s="62" t="s">
        <v>457</v>
      </c>
      <c r="N1981" s="62" t="s">
        <v>458</v>
      </c>
      <c r="O1981" s="62" t="s">
        <v>459</v>
      </c>
      <c r="P1981" s="62" t="s">
        <v>2421</v>
      </c>
      <c r="Q1981" s="66" t="s">
        <v>1977</v>
      </c>
    </row>
    <row r="1982" spans="1:17" x14ac:dyDescent="0.3">
      <c r="A1982" s="61" t="s">
        <v>2315</v>
      </c>
      <c r="B1982" s="62" t="s">
        <v>1663</v>
      </c>
      <c r="C1982" s="62" t="s">
        <v>1664</v>
      </c>
      <c r="D1982" s="63">
        <v>43770</v>
      </c>
      <c r="E1982" s="63">
        <v>46387</v>
      </c>
      <c r="F1982" s="62" t="s">
        <v>1921</v>
      </c>
      <c r="G1982" s="62" t="s">
        <v>487</v>
      </c>
      <c r="H1982" s="62" t="s">
        <v>533</v>
      </c>
      <c r="I1982" s="64">
        <v>150000</v>
      </c>
      <c r="J1982" s="62" t="s">
        <v>1665</v>
      </c>
      <c r="K1982" s="62" t="s">
        <v>533</v>
      </c>
      <c r="L1982" s="65"/>
      <c r="M1982" s="62" t="s">
        <v>457</v>
      </c>
      <c r="N1982" s="62" t="s">
        <v>458</v>
      </c>
      <c r="O1982" s="62" t="s">
        <v>459</v>
      </c>
      <c r="P1982" s="62" t="s">
        <v>2421</v>
      </c>
      <c r="Q1982" s="66" t="s">
        <v>1977</v>
      </c>
    </row>
    <row r="1983" spans="1:17" x14ac:dyDescent="0.3">
      <c r="A1983" s="61" t="s">
        <v>2315</v>
      </c>
      <c r="B1983" s="62" t="s">
        <v>1663</v>
      </c>
      <c r="C1983" s="62" t="s">
        <v>1664</v>
      </c>
      <c r="D1983" s="63">
        <v>43770</v>
      </c>
      <c r="E1983" s="63">
        <v>46387</v>
      </c>
      <c r="F1983" s="62" t="s">
        <v>1943</v>
      </c>
      <c r="G1983" s="62" t="s">
        <v>878</v>
      </c>
      <c r="H1983" s="62" t="s">
        <v>533</v>
      </c>
      <c r="I1983" s="64">
        <v>150000</v>
      </c>
      <c r="J1983" s="62" t="s">
        <v>1665</v>
      </c>
      <c r="K1983" s="62" t="s">
        <v>533</v>
      </c>
      <c r="L1983" s="65"/>
      <c r="M1983" s="62" t="s">
        <v>457</v>
      </c>
      <c r="N1983" s="62" t="s">
        <v>458</v>
      </c>
      <c r="O1983" s="62" t="s">
        <v>459</v>
      </c>
      <c r="P1983" s="62" t="s">
        <v>2421</v>
      </c>
      <c r="Q1983" s="66" t="s">
        <v>1977</v>
      </c>
    </row>
    <row r="1984" spans="1:17" x14ac:dyDescent="0.3">
      <c r="A1984" s="61" t="s">
        <v>2315</v>
      </c>
      <c r="B1984" s="62" t="s">
        <v>1663</v>
      </c>
      <c r="C1984" s="62" t="s">
        <v>1664</v>
      </c>
      <c r="D1984" s="63">
        <v>43770</v>
      </c>
      <c r="E1984" s="63">
        <v>46387</v>
      </c>
      <c r="F1984" s="62" t="s">
        <v>1938</v>
      </c>
      <c r="G1984" s="62" t="s">
        <v>506</v>
      </c>
      <c r="H1984" s="62" t="s">
        <v>533</v>
      </c>
      <c r="I1984" s="64">
        <v>150000</v>
      </c>
      <c r="J1984" s="62" t="s">
        <v>1665</v>
      </c>
      <c r="K1984" s="62" t="s">
        <v>533</v>
      </c>
      <c r="L1984" s="65"/>
      <c r="M1984" s="62" t="s">
        <v>457</v>
      </c>
      <c r="N1984" s="62" t="s">
        <v>458</v>
      </c>
      <c r="O1984" s="62" t="s">
        <v>459</v>
      </c>
      <c r="P1984" s="62" t="s">
        <v>2421</v>
      </c>
      <c r="Q1984" s="66" t="s">
        <v>1977</v>
      </c>
    </row>
    <row r="1985" spans="1:17" x14ac:dyDescent="0.3">
      <c r="A1985" s="61" t="s">
        <v>2315</v>
      </c>
      <c r="B1985" s="62" t="s">
        <v>1663</v>
      </c>
      <c r="C1985" s="62" t="s">
        <v>1664</v>
      </c>
      <c r="D1985" s="63">
        <v>43770</v>
      </c>
      <c r="E1985" s="63">
        <v>46387</v>
      </c>
      <c r="F1985" s="62" t="s">
        <v>1936</v>
      </c>
      <c r="G1985" s="62" t="s">
        <v>411</v>
      </c>
      <c r="H1985" s="62" t="s">
        <v>533</v>
      </c>
      <c r="I1985" s="64">
        <v>150000</v>
      </c>
      <c r="J1985" s="62" t="s">
        <v>1665</v>
      </c>
      <c r="K1985" s="62" t="s">
        <v>533</v>
      </c>
      <c r="L1985" s="65"/>
      <c r="M1985" s="62" t="s">
        <v>457</v>
      </c>
      <c r="N1985" s="62" t="s">
        <v>458</v>
      </c>
      <c r="O1985" s="62" t="s">
        <v>459</v>
      </c>
      <c r="P1985" s="62" t="s">
        <v>2421</v>
      </c>
      <c r="Q1985" s="66" t="s">
        <v>1977</v>
      </c>
    </row>
    <row r="1986" spans="1:17" x14ac:dyDescent="0.3">
      <c r="A1986" s="61" t="s">
        <v>2316</v>
      </c>
      <c r="B1986" s="62" t="s">
        <v>1666</v>
      </c>
      <c r="C1986" s="62" t="s">
        <v>1667</v>
      </c>
      <c r="D1986" s="63">
        <v>45748</v>
      </c>
      <c r="E1986" s="63">
        <v>46356</v>
      </c>
      <c r="F1986" s="62" t="s">
        <v>1930</v>
      </c>
      <c r="G1986" s="62" t="s">
        <v>287</v>
      </c>
      <c r="H1986" s="62" t="s">
        <v>443</v>
      </c>
      <c r="I1986" s="64">
        <v>70000</v>
      </c>
      <c r="J1986" s="62" t="s">
        <v>1668</v>
      </c>
      <c r="K1986" s="62" t="s">
        <v>377</v>
      </c>
      <c r="L1986" s="65"/>
      <c r="M1986" s="62" t="s">
        <v>424</v>
      </c>
      <c r="N1986" s="62" t="s">
        <v>971</v>
      </c>
      <c r="O1986" s="62" t="s">
        <v>358</v>
      </c>
      <c r="P1986" s="62" t="s">
        <v>2421</v>
      </c>
      <c r="Q1986" s="66" t="s">
        <v>1975</v>
      </c>
    </row>
    <row r="1987" spans="1:17" x14ac:dyDescent="0.3">
      <c r="A1987" s="61" t="s">
        <v>2317</v>
      </c>
      <c r="B1987" s="62" t="s">
        <v>1669</v>
      </c>
      <c r="C1987" s="62" t="s">
        <v>1670</v>
      </c>
      <c r="D1987" s="63">
        <v>45732</v>
      </c>
      <c r="E1987" s="63">
        <v>46387</v>
      </c>
      <c r="F1987" s="62" t="s">
        <v>1987</v>
      </c>
      <c r="G1987" s="62" t="s">
        <v>304</v>
      </c>
      <c r="H1987" s="62" t="s">
        <v>443</v>
      </c>
      <c r="I1987" s="64">
        <v>1250</v>
      </c>
      <c r="J1987" s="62" t="s">
        <v>1668</v>
      </c>
      <c r="K1987" s="62" t="s">
        <v>377</v>
      </c>
      <c r="L1987" s="65"/>
      <c r="M1987" s="62" t="s">
        <v>1518</v>
      </c>
      <c r="N1987" s="62" t="s">
        <v>464</v>
      </c>
      <c r="O1987" s="62" t="s">
        <v>465</v>
      </c>
      <c r="P1987" s="62" t="s">
        <v>2421</v>
      </c>
      <c r="Q1987" s="66" t="s">
        <v>1971</v>
      </c>
    </row>
    <row r="1988" spans="1:17" x14ac:dyDescent="0.3">
      <c r="A1988" s="61" t="s">
        <v>2317</v>
      </c>
      <c r="B1988" s="62" t="s">
        <v>1669</v>
      </c>
      <c r="C1988" s="62" t="s">
        <v>1670</v>
      </c>
      <c r="D1988" s="63">
        <v>45732</v>
      </c>
      <c r="E1988" s="63">
        <v>46387</v>
      </c>
      <c r="F1988" s="62" t="s">
        <v>1931</v>
      </c>
      <c r="G1988" s="62" t="s">
        <v>304</v>
      </c>
      <c r="H1988" s="62" t="s">
        <v>443</v>
      </c>
      <c r="I1988" s="64">
        <v>1250</v>
      </c>
      <c r="J1988" s="62" t="s">
        <v>1668</v>
      </c>
      <c r="K1988" s="62" t="s">
        <v>377</v>
      </c>
      <c r="L1988" s="65"/>
      <c r="M1988" s="62" t="s">
        <v>1518</v>
      </c>
      <c r="N1988" s="62" t="s">
        <v>464</v>
      </c>
      <c r="O1988" s="62" t="s">
        <v>465</v>
      </c>
      <c r="P1988" s="62" t="s">
        <v>2421</v>
      </c>
      <c r="Q1988" s="66" t="s">
        <v>1971</v>
      </c>
    </row>
    <row r="1989" spans="1:17" x14ac:dyDescent="0.3">
      <c r="A1989" s="61" t="s">
        <v>2317</v>
      </c>
      <c r="B1989" s="62" t="s">
        <v>1669</v>
      </c>
      <c r="C1989" s="62" t="s">
        <v>1670</v>
      </c>
      <c r="D1989" s="63">
        <v>45732</v>
      </c>
      <c r="E1989" s="63">
        <v>46387</v>
      </c>
      <c r="F1989" s="62" t="s">
        <v>1935</v>
      </c>
      <c r="G1989" s="62" t="s">
        <v>304</v>
      </c>
      <c r="H1989" s="62" t="s">
        <v>443</v>
      </c>
      <c r="I1989" s="64">
        <v>1250</v>
      </c>
      <c r="J1989" s="62" t="s">
        <v>1668</v>
      </c>
      <c r="K1989" s="62" t="s">
        <v>377</v>
      </c>
      <c r="L1989" s="65"/>
      <c r="M1989" s="62" t="s">
        <v>1518</v>
      </c>
      <c r="N1989" s="62" t="s">
        <v>464</v>
      </c>
      <c r="O1989" s="62" t="s">
        <v>465</v>
      </c>
      <c r="P1989" s="62" t="s">
        <v>2421</v>
      </c>
      <c r="Q1989" s="66" t="s">
        <v>1971</v>
      </c>
    </row>
    <row r="1990" spans="1:17" x14ac:dyDescent="0.3">
      <c r="A1990" s="61" t="s">
        <v>2317</v>
      </c>
      <c r="B1990" s="62" t="s">
        <v>1669</v>
      </c>
      <c r="C1990" s="62" t="s">
        <v>1670</v>
      </c>
      <c r="D1990" s="63">
        <v>45732</v>
      </c>
      <c r="E1990" s="63">
        <v>46387</v>
      </c>
      <c r="F1990" s="62" t="s">
        <v>1921</v>
      </c>
      <c r="G1990" s="62" t="s">
        <v>304</v>
      </c>
      <c r="H1990" s="62" t="s">
        <v>443</v>
      </c>
      <c r="I1990" s="64">
        <v>1250</v>
      </c>
      <c r="J1990" s="62" t="s">
        <v>1668</v>
      </c>
      <c r="K1990" s="62" t="s">
        <v>377</v>
      </c>
      <c r="L1990" s="65"/>
      <c r="M1990" s="62" t="s">
        <v>1518</v>
      </c>
      <c r="N1990" s="62" t="s">
        <v>464</v>
      </c>
      <c r="O1990" s="62" t="s">
        <v>465</v>
      </c>
      <c r="P1990" s="62" t="s">
        <v>2421</v>
      </c>
      <c r="Q1990" s="66" t="s">
        <v>1971</v>
      </c>
    </row>
    <row r="1991" spans="1:17" x14ac:dyDescent="0.3">
      <c r="A1991" s="61" t="s">
        <v>2317</v>
      </c>
      <c r="B1991" s="62" t="s">
        <v>1669</v>
      </c>
      <c r="C1991" s="62" t="s">
        <v>1670</v>
      </c>
      <c r="D1991" s="63">
        <v>45732</v>
      </c>
      <c r="E1991" s="63">
        <v>46387</v>
      </c>
      <c r="F1991" s="62" t="s">
        <v>1940</v>
      </c>
      <c r="G1991" s="62" t="s">
        <v>304</v>
      </c>
      <c r="H1991" s="62" t="s">
        <v>443</v>
      </c>
      <c r="I1991" s="64">
        <v>1250</v>
      </c>
      <c r="J1991" s="62" t="s">
        <v>1668</v>
      </c>
      <c r="K1991" s="62" t="s">
        <v>377</v>
      </c>
      <c r="L1991" s="65"/>
      <c r="M1991" s="62" t="s">
        <v>1518</v>
      </c>
      <c r="N1991" s="62" t="s">
        <v>464</v>
      </c>
      <c r="O1991" s="62" t="s">
        <v>465</v>
      </c>
      <c r="P1991" s="62" t="s">
        <v>2421</v>
      </c>
      <c r="Q1991" s="66" t="s">
        <v>1971</v>
      </c>
    </row>
    <row r="1992" spans="1:17" x14ac:dyDescent="0.3">
      <c r="A1992" s="61" t="s">
        <v>2317</v>
      </c>
      <c r="B1992" s="62" t="s">
        <v>1669</v>
      </c>
      <c r="C1992" s="62" t="s">
        <v>1670</v>
      </c>
      <c r="D1992" s="63">
        <v>45732</v>
      </c>
      <c r="E1992" s="63">
        <v>46387</v>
      </c>
      <c r="F1992" s="62" t="s">
        <v>1939</v>
      </c>
      <c r="G1992" s="62" t="s">
        <v>304</v>
      </c>
      <c r="H1992" s="62" t="s">
        <v>443</v>
      </c>
      <c r="I1992" s="64">
        <v>1250</v>
      </c>
      <c r="J1992" s="62" t="s">
        <v>1668</v>
      </c>
      <c r="K1992" s="62" t="s">
        <v>377</v>
      </c>
      <c r="L1992" s="65"/>
      <c r="M1992" s="62" t="s">
        <v>1518</v>
      </c>
      <c r="N1992" s="62" t="s">
        <v>464</v>
      </c>
      <c r="O1992" s="62" t="s">
        <v>465</v>
      </c>
      <c r="P1992" s="62" t="s">
        <v>2421</v>
      </c>
      <c r="Q1992" s="66" t="s">
        <v>1971</v>
      </c>
    </row>
    <row r="1993" spans="1:17" x14ac:dyDescent="0.3">
      <c r="A1993" s="61" t="s">
        <v>2317</v>
      </c>
      <c r="B1993" s="62" t="s">
        <v>1669</v>
      </c>
      <c r="C1993" s="62" t="s">
        <v>1670</v>
      </c>
      <c r="D1993" s="63">
        <v>45732</v>
      </c>
      <c r="E1993" s="63">
        <v>46387</v>
      </c>
      <c r="F1993" s="62" t="s">
        <v>1948</v>
      </c>
      <c r="G1993" s="62" t="s">
        <v>304</v>
      </c>
      <c r="H1993" s="62" t="s">
        <v>443</v>
      </c>
      <c r="I1993" s="64">
        <v>1250</v>
      </c>
      <c r="J1993" s="62" t="s">
        <v>1668</v>
      </c>
      <c r="K1993" s="62" t="s">
        <v>377</v>
      </c>
      <c r="L1993" s="65"/>
      <c r="M1993" s="62" t="s">
        <v>1518</v>
      </c>
      <c r="N1993" s="62" t="s">
        <v>464</v>
      </c>
      <c r="O1993" s="62" t="s">
        <v>465</v>
      </c>
      <c r="P1993" s="62" t="s">
        <v>2421</v>
      </c>
      <c r="Q1993" s="66" t="s">
        <v>1971</v>
      </c>
    </row>
    <row r="1994" spans="1:17" x14ac:dyDescent="0.3">
      <c r="A1994" s="61" t="s">
        <v>2317</v>
      </c>
      <c r="B1994" s="62" t="s">
        <v>1669</v>
      </c>
      <c r="C1994" s="62" t="s">
        <v>1670</v>
      </c>
      <c r="D1994" s="63">
        <v>45732</v>
      </c>
      <c r="E1994" s="63">
        <v>46387</v>
      </c>
      <c r="F1994" s="62" t="s">
        <v>1945</v>
      </c>
      <c r="G1994" s="62" t="s">
        <v>304</v>
      </c>
      <c r="H1994" s="62" t="s">
        <v>443</v>
      </c>
      <c r="I1994" s="64">
        <v>1250</v>
      </c>
      <c r="J1994" s="62" t="s">
        <v>1668</v>
      </c>
      <c r="K1994" s="62" t="s">
        <v>377</v>
      </c>
      <c r="L1994" s="65"/>
      <c r="M1994" s="62" t="s">
        <v>1518</v>
      </c>
      <c r="N1994" s="62" t="s">
        <v>464</v>
      </c>
      <c r="O1994" s="62" t="s">
        <v>465</v>
      </c>
      <c r="P1994" s="62" t="s">
        <v>2421</v>
      </c>
      <c r="Q1994" s="66" t="s">
        <v>1971</v>
      </c>
    </row>
    <row r="1995" spans="1:17" x14ac:dyDescent="0.3">
      <c r="A1995" s="61" t="s">
        <v>2318</v>
      </c>
      <c r="B1995" s="62" t="s">
        <v>1671</v>
      </c>
      <c r="C1995" s="62" t="s">
        <v>1662</v>
      </c>
      <c r="D1995" s="63">
        <v>45659</v>
      </c>
      <c r="E1995" s="63">
        <v>46440</v>
      </c>
      <c r="F1995" s="62" t="s">
        <v>1959</v>
      </c>
      <c r="G1995" s="62" t="s">
        <v>466</v>
      </c>
      <c r="H1995" s="62" t="s">
        <v>373</v>
      </c>
      <c r="I1995" s="64">
        <v>84919.375</v>
      </c>
      <c r="J1995" s="62" t="s">
        <v>373</v>
      </c>
      <c r="K1995" s="62" t="s">
        <v>1693</v>
      </c>
      <c r="L1995" s="65"/>
      <c r="M1995" s="62" t="s">
        <v>424</v>
      </c>
      <c r="N1995" s="62" t="s">
        <v>579</v>
      </c>
      <c r="O1995" s="62" t="s">
        <v>428</v>
      </c>
      <c r="P1995" s="62" t="s">
        <v>2421</v>
      </c>
      <c r="Q1995" s="66" t="s">
        <v>2021</v>
      </c>
    </row>
    <row r="1996" spans="1:17" x14ac:dyDescent="0.3">
      <c r="A1996" s="61" t="s">
        <v>2318</v>
      </c>
      <c r="B1996" s="62" t="s">
        <v>1671</v>
      </c>
      <c r="C1996" s="62" t="s">
        <v>1662</v>
      </c>
      <c r="D1996" s="63">
        <v>45659</v>
      </c>
      <c r="E1996" s="63">
        <v>46440</v>
      </c>
      <c r="F1996" s="62" t="s">
        <v>1959</v>
      </c>
      <c r="G1996" s="62" t="s">
        <v>583</v>
      </c>
      <c r="H1996" s="62" t="s">
        <v>373</v>
      </c>
      <c r="I1996" s="64">
        <v>84919.375</v>
      </c>
      <c r="J1996" s="62" t="s">
        <v>373</v>
      </c>
      <c r="K1996" s="62" t="s">
        <v>1693</v>
      </c>
      <c r="L1996" s="65"/>
      <c r="M1996" s="62" t="s">
        <v>424</v>
      </c>
      <c r="N1996" s="62" t="s">
        <v>579</v>
      </c>
      <c r="O1996" s="62" t="s">
        <v>428</v>
      </c>
      <c r="P1996" s="62" t="s">
        <v>2421</v>
      </c>
      <c r="Q1996" s="66" t="s">
        <v>2021</v>
      </c>
    </row>
    <row r="1997" spans="1:17" x14ac:dyDescent="0.3">
      <c r="A1997" s="61" t="s">
        <v>2318</v>
      </c>
      <c r="B1997" s="62" t="s">
        <v>1671</v>
      </c>
      <c r="C1997" s="62" t="s">
        <v>1662</v>
      </c>
      <c r="D1997" s="63">
        <v>45659</v>
      </c>
      <c r="E1997" s="63">
        <v>46440</v>
      </c>
      <c r="F1997" s="62" t="s">
        <v>1959</v>
      </c>
      <c r="G1997" s="62" t="s">
        <v>795</v>
      </c>
      <c r="H1997" s="62" t="s">
        <v>373</v>
      </c>
      <c r="I1997" s="64">
        <v>84919.375</v>
      </c>
      <c r="J1997" s="62" t="s">
        <v>373</v>
      </c>
      <c r="K1997" s="62" t="s">
        <v>1693</v>
      </c>
      <c r="L1997" s="65"/>
      <c r="M1997" s="62" t="s">
        <v>424</v>
      </c>
      <c r="N1997" s="62" t="s">
        <v>579</v>
      </c>
      <c r="O1997" s="62" t="s">
        <v>428</v>
      </c>
      <c r="P1997" s="62" t="s">
        <v>2421</v>
      </c>
      <c r="Q1997" s="66" t="s">
        <v>2021</v>
      </c>
    </row>
    <row r="1998" spans="1:17" x14ac:dyDescent="0.3">
      <c r="A1998" s="61" t="s">
        <v>2318</v>
      </c>
      <c r="B1998" s="62" t="s">
        <v>1671</v>
      </c>
      <c r="C1998" s="62" t="s">
        <v>1662</v>
      </c>
      <c r="D1998" s="63">
        <v>45659</v>
      </c>
      <c r="E1998" s="63">
        <v>46440</v>
      </c>
      <c r="F1998" s="62" t="s">
        <v>1959</v>
      </c>
      <c r="G1998" s="62" t="s">
        <v>808</v>
      </c>
      <c r="H1998" s="62" t="s">
        <v>373</v>
      </c>
      <c r="I1998" s="64">
        <v>84919.375</v>
      </c>
      <c r="J1998" s="62" t="s">
        <v>373</v>
      </c>
      <c r="K1998" s="62" t="s">
        <v>1693</v>
      </c>
      <c r="L1998" s="65"/>
      <c r="M1998" s="62" t="s">
        <v>424</v>
      </c>
      <c r="N1998" s="62" t="s">
        <v>579</v>
      </c>
      <c r="O1998" s="62" t="s">
        <v>428</v>
      </c>
      <c r="P1998" s="62" t="s">
        <v>2421</v>
      </c>
      <c r="Q1998" s="66" t="s">
        <v>2021</v>
      </c>
    </row>
    <row r="1999" spans="1:17" x14ac:dyDescent="0.3">
      <c r="A1999" s="61" t="s">
        <v>2318</v>
      </c>
      <c r="B1999" s="62" t="s">
        <v>1671</v>
      </c>
      <c r="C1999" s="62" t="s">
        <v>1662</v>
      </c>
      <c r="D1999" s="63">
        <v>45659</v>
      </c>
      <c r="E1999" s="63">
        <v>46440</v>
      </c>
      <c r="F1999" s="62" t="s">
        <v>1945</v>
      </c>
      <c r="G1999" s="62" t="s">
        <v>402</v>
      </c>
      <c r="H1999" s="62" t="s">
        <v>373</v>
      </c>
      <c r="I1999" s="64">
        <v>113225.83333333299</v>
      </c>
      <c r="J1999" s="62" t="s">
        <v>373</v>
      </c>
      <c r="K1999" s="62" t="s">
        <v>1693</v>
      </c>
      <c r="L1999" s="65"/>
      <c r="M1999" s="62" t="s">
        <v>424</v>
      </c>
      <c r="N1999" s="62" t="s">
        <v>579</v>
      </c>
      <c r="O1999" s="62" t="s">
        <v>428</v>
      </c>
      <c r="P1999" s="62" t="s">
        <v>2421</v>
      </c>
      <c r="Q1999" s="66" t="s">
        <v>2021</v>
      </c>
    </row>
    <row r="2000" spans="1:17" x14ac:dyDescent="0.3">
      <c r="A2000" s="61" t="s">
        <v>2318</v>
      </c>
      <c r="B2000" s="62" t="s">
        <v>1671</v>
      </c>
      <c r="C2000" s="62" t="s">
        <v>1662</v>
      </c>
      <c r="D2000" s="63">
        <v>45659</v>
      </c>
      <c r="E2000" s="63">
        <v>46440</v>
      </c>
      <c r="F2000" s="62" t="s">
        <v>1945</v>
      </c>
      <c r="G2000" s="62" t="s">
        <v>403</v>
      </c>
      <c r="H2000" s="62" t="s">
        <v>373</v>
      </c>
      <c r="I2000" s="64">
        <v>113225.83333333299</v>
      </c>
      <c r="J2000" s="62" t="s">
        <v>373</v>
      </c>
      <c r="K2000" s="62" t="s">
        <v>1693</v>
      </c>
      <c r="L2000" s="65"/>
      <c r="M2000" s="62" t="s">
        <v>424</v>
      </c>
      <c r="N2000" s="62" t="s">
        <v>579</v>
      </c>
      <c r="O2000" s="62" t="s">
        <v>428</v>
      </c>
      <c r="P2000" s="62" t="s">
        <v>2421</v>
      </c>
      <c r="Q2000" s="66" t="s">
        <v>2021</v>
      </c>
    </row>
    <row r="2001" spans="1:17" x14ac:dyDescent="0.3">
      <c r="A2001" s="61" t="s">
        <v>2318</v>
      </c>
      <c r="B2001" s="62" t="s">
        <v>1671</v>
      </c>
      <c r="C2001" s="62" t="s">
        <v>1662</v>
      </c>
      <c r="D2001" s="63">
        <v>45659</v>
      </c>
      <c r="E2001" s="63">
        <v>46440</v>
      </c>
      <c r="F2001" s="62" t="s">
        <v>1945</v>
      </c>
      <c r="G2001" s="62" t="s">
        <v>404</v>
      </c>
      <c r="H2001" s="62" t="s">
        <v>373</v>
      </c>
      <c r="I2001" s="64">
        <v>113225.83333333299</v>
      </c>
      <c r="J2001" s="62" t="s">
        <v>373</v>
      </c>
      <c r="K2001" s="62" t="s">
        <v>1693</v>
      </c>
      <c r="L2001" s="65"/>
      <c r="M2001" s="62" t="s">
        <v>424</v>
      </c>
      <c r="N2001" s="62" t="s">
        <v>579</v>
      </c>
      <c r="O2001" s="62" t="s">
        <v>428</v>
      </c>
      <c r="P2001" s="62" t="s">
        <v>2421</v>
      </c>
      <c r="Q2001" s="66" t="s">
        <v>2021</v>
      </c>
    </row>
    <row r="2002" spans="1:17" x14ac:dyDescent="0.3">
      <c r="A2002" s="61" t="s">
        <v>2319</v>
      </c>
      <c r="B2002" s="62" t="s">
        <v>1672</v>
      </c>
      <c r="C2002" s="62" t="s">
        <v>1673</v>
      </c>
      <c r="D2002" s="63">
        <v>45532</v>
      </c>
      <c r="E2002" s="63">
        <v>46112</v>
      </c>
      <c r="F2002" s="62" t="s">
        <v>350</v>
      </c>
      <c r="G2002" s="62" t="s">
        <v>304</v>
      </c>
      <c r="H2002" s="62" t="s">
        <v>489</v>
      </c>
      <c r="I2002" s="64">
        <v>737285</v>
      </c>
      <c r="J2002" s="62" t="s">
        <v>549</v>
      </c>
      <c r="K2002" s="62" t="s">
        <v>489</v>
      </c>
      <c r="L2002" s="65"/>
      <c r="M2002" s="62" t="s">
        <v>1518</v>
      </c>
      <c r="N2002" s="62" t="s">
        <v>911</v>
      </c>
      <c r="O2002" s="62" t="s">
        <v>375</v>
      </c>
      <c r="P2002" s="62" t="s">
        <v>2421</v>
      </c>
      <c r="Q2002" s="66" t="s">
        <v>1971</v>
      </c>
    </row>
    <row r="2003" spans="1:17" x14ac:dyDescent="0.3">
      <c r="A2003" s="61" t="s">
        <v>2320</v>
      </c>
      <c r="B2003" s="62" t="s">
        <v>1674</v>
      </c>
      <c r="C2003" s="62" t="s">
        <v>1675</v>
      </c>
      <c r="D2003" s="63">
        <v>45625</v>
      </c>
      <c r="E2003" s="63">
        <v>46752</v>
      </c>
      <c r="F2003" s="62" t="s">
        <v>350</v>
      </c>
      <c r="G2003" s="62" t="s">
        <v>304</v>
      </c>
      <c r="H2003" s="62" t="s">
        <v>345</v>
      </c>
      <c r="I2003" s="64">
        <v>3861386</v>
      </c>
      <c r="J2003" s="62" t="s">
        <v>441</v>
      </c>
      <c r="K2003" s="62" t="s">
        <v>345</v>
      </c>
      <c r="L2003" s="65"/>
      <c r="M2003" s="62" t="s">
        <v>1518</v>
      </c>
      <c r="N2003" s="62" t="s">
        <v>314</v>
      </c>
      <c r="O2003" s="62" t="s">
        <v>315</v>
      </c>
      <c r="P2003" s="62" t="s">
        <v>2421</v>
      </c>
      <c r="Q2003" s="66" t="s">
        <v>1969</v>
      </c>
    </row>
    <row r="2004" spans="1:17" x14ac:dyDescent="0.3">
      <c r="A2004" s="61" t="s">
        <v>2321</v>
      </c>
      <c r="B2004" s="62" t="s">
        <v>1676</v>
      </c>
      <c r="C2004" s="62" t="s">
        <v>1677</v>
      </c>
      <c r="D2004" s="63">
        <v>43469</v>
      </c>
      <c r="E2004" s="63">
        <v>46387</v>
      </c>
      <c r="F2004" s="62" t="s">
        <v>1958</v>
      </c>
      <c r="G2004" s="62" t="s">
        <v>328</v>
      </c>
      <c r="H2004" s="62" t="s">
        <v>345</v>
      </c>
      <c r="I2004" s="64">
        <v>1060.6031746031699</v>
      </c>
      <c r="J2004" s="62" t="s">
        <v>441</v>
      </c>
      <c r="K2004" s="62" t="s">
        <v>345</v>
      </c>
      <c r="L2004" s="65"/>
      <c r="M2004" s="62" t="s">
        <v>457</v>
      </c>
      <c r="N2004" s="62" t="s">
        <v>314</v>
      </c>
      <c r="O2004" s="62" t="s">
        <v>315</v>
      </c>
      <c r="P2004" s="62" t="s">
        <v>2421</v>
      </c>
      <c r="Q2004" s="66" t="s">
        <v>1969</v>
      </c>
    </row>
    <row r="2005" spans="1:17" x14ac:dyDescent="0.3">
      <c r="A2005" s="61" t="s">
        <v>2321</v>
      </c>
      <c r="B2005" s="62" t="s">
        <v>1676</v>
      </c>
      <c r="C2005" s="62" t="s">
        <v>1677</v>
      </c>
      <c r="D2005" s="63">
        <v>43469</v>
      </c>
      <c r="E2005" s="63">
        <v>46387</v>
      </c>
      <c r="F2005" s="62" t="s">
        <v>1958</v>
      </c>
      <c r="G2005" s="62" t="s">
        <v>329</v>
      </c>
      <c r="H2005" s="62" t="s">
        <v>345</v>
      </c>
      <c r="I2005" s="64">
        <v>1060.6031746031699</v>
      </c>
      <c r="J2005" s="62" t="s">
        <v>441</v>
      </c>
      <c r="K2005" s="62" t="s">
        <v>345</v>
      </c>
      <c r="L2005" s="65"/>
      <c r="M2005" s="62" t="s">
        <v>457</v>
      </c>
      <c r="N2005" s="62" t="s">
        <v>314</v>
      </c>
      <c r="O2005" s="62" t="s">
        <v>315</v>
      </c>
      <c r="P2005" s="62" t="s">
        <v>2421</v>
      </c>
      <c r="Q2005" s="66" t="s">
        <v>1969</v>
      </c>
    </row>
    <row r="2006" spans="1:17" x14ac:dyDescent="0.3">
      <c r="A2006" s="61" t="s">
        <v>2321</v>
      </c>
      <c r="B2006" s="62" t="s">
        <v>1676</v>
      </c>
      <c r="C2006" s="62" t="s">
        <v>1677</v>
      </c>
      <c r="D2006" s="63">
        <v>43469</v>
      </c>
      <c r="E2006" s="63">
        <v>46387</v>
      </c>
      <c r="F2006" s="62" t="s">
        <v>1958</v>
      </c>
      <c r="G2006" s="62" t="s">
        <v>330</v>
      </c>
      <c r="H2006" s="62" t="s">
        <v>345</v>
      </c>
      <c r="I2006" s="64">
        <v>1060.6031746031699</v>
      </c>
      <c r="J2006" s="62" t="s">
        <v>441</v>
      </c>
      <c r="K2006" s="62" t="s">
        <v>345</v>
      </c>
      <c r="L2006" s="65"/>
      <c r="M2006" s="62" t="s">
        <v>457</v>
      </c>
      <c r="N2006" s="62" t="s">
        <v>314</v>
      </c>
      <c r="O2006" s="62" t="s">
        <v>315</v>
      </c>
      <c r="P2006" s="62" t="s">
        <v>2421</v>
      </c>
      <c r="Q2006" s="66" t="s">
        <v>1969</v>
      </c>
    </row>
    <row r="2007" spans="1:17" x14ac:dyDescent="0.3">
      <c r="A2007" s="61" t="s">
        <v>2321</v>
      </c>
      <c r="B2007" s="62" t="s">
        <v>1676</v>
      </c>
      <c r="C2007" s="62" t="s">
        <v>1677</v>
      </c>
      <c r="D2007" s="63">
        <v>43469</v>
      </c>
      <c r="E2007" s="63">
        <v>46387</v>
      </c>
      <c r="F2007" s="62" t="s">
        <v>1958</v>
      </c>
      <c r="G2007" s="62" t="s">
        <v>331</v>
      </c>
      <c r="H2007" s="62" t="s">
        <v>345</v>
      </c>
      <c r="I2007" s="64">
        <v>1060.6031746031699</v>
      </c>
      <c r="J2007" s="62" t="s">
        <v>441</v>
      </c>
      <c r="K2007" s="62" t="s">
        <v>345</v>
      </c>
      <c r="L2007" s="65"/>
      <c r="M2007" s="62" t="s">
        <v>457</v>
      </c>
      <c r="N2007" s="62" t="s">
        <v>314</v>
      </c>
      <c r="O2007" s="62" t="s">
        <v>315</v>
      </c>
      <c r="P2007" s="62" t="s">
        <v>2421</v>
      </c>
      <c r="Q2007" s="66" t="s">
        <v>1969</v>
      </c>
    </row>
    <row r="2008" spans="1:17" x14ac:dyDescent="0.3">
      <c r="A2008" s="61" t="s">
        <v>2321</v>
      </c>
      <c r="B2008" s="62" t="s">
        <v>1676</v>
      </c>
      <c r="C2008" s="62" t="s">
        <v>1677</v>
      </c>
      <c r="D2008" s="63">
        <v>43469</v>
      </c>
      <c r="E2008" s="63">
        <v>46387</v>
      </c>
      <c r="F2008" s="62" t="s">
        <v>1958</v>
      </c>
      <c r="G2008" s="62" t="s">
        <v>333</v>
      </c>
      <c r="H2008" s="62" t="s">
        <v>345</v>
      </c>
      <c r="I2008" s="64">
        <v>1060.6031746031699</v>
      </c>
      <c r="J2008" s="62" t="s">
        <v>441</v>
      </c>
      <c r="K2008" s="62" t="s">
        <v>345</v>
      </c>
      <c r="L2008" s="65"/>
      <c r="M2008" s="62" t="s">
        <v>457</v>
      </c>
      <c r="N2008" s="62" t="s">
        <v>314</v>
      </c>
      <c r="O2008" s="62" t="s">
        <v>315</v>
      </c>
      <c r="P2008" s="62" t="s">
        <v>2421</v>
      </c>
      <c r="Q2008" s="66" t="s">
        <v>1969</v>
      </c>
    </row>
    <row r="2009" spans="1:17" x14ac:dyDescent="0.3">
      <c r="A2009" s="61" t="s">
        <v>2321</v>
      </c>
      <c r="B2009" s="62" t="s">
        <v>1676</v>
      </c>
      <c r="C2009" s="62" t="s">
        <v>1677</v>
      </c>
      <c r="D2009" s="63">
        <v>43469</v>
      </c>
      <c r="E2009" s="63">
        <v>46387</v>
      </c>
      <c r="F2009" s="62" t="s">
        <v>1958</v>
      </c>
      <c r="G2009" s="62" t="s">
        <v>334</v>
      </c>
      <c r="H2009" s="62" t="s">
        <v>345</v>
      </c>
      <c r="I2009" s="64">
        <v>1060.6031746031699</v>
      </c>
      <c r="J2009" s="62" t="s">
        <v>441</v>
      </c>
      <c r="K2009" s="62" t="s">
        <v>345</v>
      </c>
      <c r="L2009" s="65"/>
      <c r="M2009" s="62" t="s">
        <v>457</v>
      </c>
      <c r="N2009" s="62" t="s">
        <v>314</v>
      </c>
      <c r="O2009" s="62" t="s">
        <v>315</v>
      </c>
      <c r="P2009" s="62" t="s">
        <v>2421</v>
      </c>
      <c r="Q2009" s="66" t="s">
        <v>1969</v>
      </c>
    </row>
    <row r="2010" spans="1:17" x14ac:dyDescent="0.3">
      <c r="A2010" s="61" t="s">
        <v>2321</v>
      </c>
      <c r="B2010" s="62" t="s">
        <v>1676</v>
      </c>
      <c r="C2010" s="62" t="s">
        <v>1677</v>
      </c>
      <c r="D2010" s="63">
        <v>43469</v>
      </c>
      <c r="E2010" s="63">
        <v>46387</v>
      </c>
      <c r="F2010" s="62" t="s">
        <v>1958</v>
      </c>
      <c r="G2010" s="62" t="s">
        <v>335</v>
      </c>
      <c r="H2010" s="62" t="s">
        <v>345</v>
      </c>
      <c r="I2010" s="64">
        <v>1060.6031746031699</v>
      </c>
      <c r="J2010" s="62" t="s">
        <v>441</v>
      </c>
      <c r="K2010" s="62" t="s">
        <v>345</v>
      </c>
      <c r="L2010" s="65"/>
      <c r="M2010" s="62" t="s">
        <v>457</v>
      </c>
      <c r="N2010" s="62" t="s">
        <v>314</v>
      </c>
      <c r="O2010" s="62" t="s">
        <v>315</v>
      </c>
      <c r="P2010" s="62" t="s">
        <v>2421</v>
      </c>
      <c r="Q2010" s="66" t="s">
        <v>1969</v>
      </c>
    </row>
    <row r="2011" spans="1:17" x14ac:dyDescent="0.3">
      <c r="A2011" s="61" t="s">
        <v>2321</v>
      </c>
      <c r="B2011" s="62" t="s">
        <v>1676</v>
      </c>
      <c r="C2011" s="62" t="s">
        <v>1677</v>
      </c>
      <c r="D2011" s="63">
        <v>43469</v>
      </c>
      <c r="E2011" s="63">
        <v>46387</v>
      </c>
      <c r="F2011" s="62" t="s">
        <v>1922</v>
      </c>
      <c r="G2011" s="62" t="s">
        <v>376</v>
      </c>
      <c r="H2011" s="62" t="s">
        <v>345</v>
      </c>
      <c r="I2011" s="64">
        <v>1237.37037037037</v>
      </c>
      <c r="J2011" s="62" t="s">
        <v>441</v>
      </c>
      <c r="K2011" s="62" t="s">
        <v>345</v>
      </c>
      <c r="L2011" s="65"/>
      <c r="M2011" s="62" t="s">
        <v>457</v>
      </c>
      <c r="N2011" s="62" t="s">
        <v>314</v>
      </c>
      <c r="O2011" s="62" t="s">
        <v>315</v>
      </c>
      <c r="P2011" s="62" t="s">
        <v>2421</v>
      </c>
      <c r="Q2011" s="66" t="s">
        <v>1969</v>
      </c>
    </row>
    <row r="2012" spans="1:17" x14ac:dyDescent="0.3">
      <c r="A2012" s="61" t="s">
        <v>2321</v>
      </c>
      <c r="B2012" s="62" t="s">
        <v>1676</v>
      </c>
      <c r="C2012" s="62" t="s">
        <v>1677</v>
      </c>
      <c r="D2012" s="63">
        <v>43469</v>
      </c>
      <c r="E2012" s="63">
        <v>46387</v>
      </c>
      <c r="F2012" s="62" t="s">
        <v>1922</v>
      </c>
      <c r="G2012" s="62" t="s">
        <v>381</v>
      </c>
      <c r="H2012" s="62" t="s">
        <v>345</v>
      </c>
      <c r="I2012" s="64">
        <v>1237.37037037037</v>
      </c>
      <c r="J2012" s="62" t="s">
        <v>441</v>
      </c>
      <c r="K2012" s="62" t="s">
        <v>345</v>
      </c>
      <c r="L2012" s="65"/>
      <c r="M2012" s="62" t="s">
        <v>457</v>
      </c>
      <c r="N2012" s="62" t="s">
        <v>314</v>
      </c>
      <c r="O2012" s="62" t="s">
        <v>315</v>
      </c>
      <c r="P2012" s="62" t="s">
        <v>2421</v>
      </c>
      <c r="Q2012" s="66" t="s">
        <v>1969</v>
      </c>
    </row>
    <row r="2013" spans="1:17" x14ac:dyDescent="0.3">
      <c r="A2013" s="61" t="s">
        <v>2321</v>
      </c>
      <c r="B2013" s="62" t="s">
        <v>1676</v>
      </c>
      <c r="C2013" s="62" t="s">
        <v>1677</v>
      </c>
      <c r="D2013" s="63">
        <v>43469</v>
      </c>
      <c r="E2013" s="63">
        <v>46387</v>
      </c>
      <c r="F2013" s="62" t="s">
        <v>1922</v>
      </c>
      <c r="G2013" s="62" t="s">
        <v>1678</v>
      </c>
      <c r="H2013" s="62" t="s">
        <v>345</v>
      </c>
      <c r="I2013" s="64">
        <v>1237.37037037037</v>
      </c>
      <c r="J2013" s="62" t="s">
        <v>441</v>
      </c>
      <c r="K2013" s="62" t="s">
        <v>345</v>
      </c>
      <c r="L2013" s="65"/>
      <c r="M2013" s="62" t="s">
        <v>457</v>
      </c>
      <c r="N2013" s="62" t="s">
        <v>314</v>
      </c>
      <c r="O2013" s="62" t="s">
        <v>315</v>
      </c>
      <c r="P2013" s="62" t="s">
        <v>2421</v>
      </c>
      <c r="Q2013" s="66" t="s">
        <v>1969</v>
      </c>
    </row>
    <row r="2014" spans="1:17" x14ac:dyDescent="0.3">
      <c r="A2014" s="61" t="s">
        <v>2321</v>
      </c>
      <c r="B2014" s="62" t="s">
        <v>1676</v>
      </c>
      <c r="C2014" s="62" t="s">
        <v>1677</v>
      </c>
      <c r="D2014" s="63">
        <v>43469</v>
      </c>
      <c r="E2014" s="63">
        <v>46387</v>
      </c>
      <c r="F2014" s="62" t="s">
        <v>1922</v>
      </c>
      <c r="G2014" s="62" t="s">
        <v>383</v>
      </c>
      <c r="H2014" s="62" t="s">
        <v>345</v>
      </c>
      <c r="I2014" s="64">
        <v>1237.37037037037</v>
      </c>
      <c r="J2014" s="62" t="s">
        <v>441</v>
      </c>
      <c r="K2014" s="62" t="s">
        <v>345</v>
      </c>
      <c r="L2014" s="65"/>
      <c r="M2014" s="62" t="s">
        <v>457</v>
      </c>
      <c r="N2014" s="62" t="s">
        <v>314</v>
      </c>
      <c r="O2014" s="62" t="s">
        <v>315</v>
      </c>
      <c r="P2014" s="62" t="s">
        <v>2421</v>
      </c>
      <c r="Q2014" s="66" t="s">
        <v>1969</v>
      </c>
    </row>
    <row r="2015" spans="1:17" x14ac:dyDescent="0.3">
      <c r="A2015" s="61" t="s">
        <v>2321</v>
      </c>
      <c r="B2015" s="62" t="s">
        <v>1676</v>
      </c>
      <c r="C2015" s="62" t="s">
        <v>1677</v>
      </c>
      <c r="D2015" s="63">
        <v>43469</v>
      </c>
      <c r="E2015" s="63">
        <v>46387</v>
      </c>
      <c r="F2015" s="62" t="s">
        <v>1922</v>
      </c>
      <c r="G2015" s="62" t="s">
        <v>386</v>
      </c>
      <c r="H2015" s="62" t="s">
        <v>345</v>
      </c>
      <c r="I2015" s="64">
        <v>1237.37037037037</v>
      </c>
      <c r="J2015" s="62" t="s">
        <v>441</v>
      </c>
      <c r="K2015" s="62" t="s">
        <v>345</v>
      </c>
      <c r="L2015" s="65"/>
      <c r="M2015" s="62" t="s">
        <v>457</v>
      </c>
      <c r="N2015" s="62" t="s">
        <v>314</v>
      </c>
      <c r="O2015" s="62" t="s">
        <v>315</v>
      </c>
      <c r="P2015" s="62" t="s">
        <v>2421</v>
      </c>
      <c r="Q2015" s="66" t="s">
        <v>1969</v>
      </c>
    </row>
    <row r="2016" spans="1:17" x14ac:dyDescent="0.3">
      <c r="A2016" s="61" t="s">
        <v>2321</v>
      </c>
      <c r="B2016" s="62" t="s">
        <v>1676</v>
      </c>
      <c r="C2016" s="62" t="s">
        <v>1677</v>
      </c>
      <c r="D2016" s="63">
        <v>43469</v>
      </c>
      <c r="E2016" s="63">
        <v>46387</v>
      </c>
      <c r="F2016" s="62" t="s">
        <v>1922</v>
      </c>
      <c r="G2016" s="62" t="s">
        <v>387</v>
      </c>
      <c r="H2016" s="62" t="s">
        <v>345</v>
      </c>
      <c r="I2016" s="64">
        <v>1237.37037037037</v>
      </c>
      <c r="J2016" s="62" t="s">
        <v>441</v>
      </c>
      <c r="K2016" s="62" t="s">
        <v>345</v>
      </c>
      <c r="L2016" s="65"/>
      <c r="M2016" s="62" t="s">
        <v>457</v>
      </c>
      <c r="N2016" s="62" t="s">
        <v>314</v>
      </c>
      <c r="O2016" s="62" t="s">
        <v>315</v>
      </c>
      <c r="P2016" s="62" t="s">
        <v>2421</v>
      </c>
      <c r="Q2016" s="66" t="s">
        <v>1969</v>
      </c>
    </row>
    <row r="2017" spans="1:17" x14ac:dyDescent="0.3">
      <c r="A2017" s="61" t="s">
        <v>2321</v>
      </c>
      <c r="B2017" s="62" t="s">
        <v>1676</v>
      </c>
      <c r="C2017" s="62" t="s">
        <v>1677</v>
      </c>
      <c r="D2017" s="63">
        <v>43469</v>
      </c>
      <c r="E2017" s="63">
        <v>46387</v>
      </c>
      <c r="F2017" s="62" t="s">
        <v>1934</v>
      </c>
      <c r="G2017" s="62" t="s">
        <v>497</v>
      </c>
      <c r="H2017" s="62" t="s">
        <v>345</v>
      </c>
      <c r="I2017" s="64">
        <v>1237.37037037037</v>
      </c>
      <c r="J2017" s="62" t="s">
        <v>441</v>
      </c>
      <c r="K2017" s="62" t="s">
        <v>345</v>
      </c>
      <c r="L2017" s="65"/>
      <c r="M2017" s="62" t="s">
        <v>457</v>
      </c>
      <c r="N2017" s="62" t="s">
        <v>314</v>
      </c>
      <c r="O2017" s="62" t="s">
        <v>315</v>
      </c>
      <c r="P2017" s="62" t="s">
        <v>2421</v>
      </c>
      <c r="Q2017" s="66" t="s">
        <v>1969</v>
      </c>
    </row>
    <row r="2018" spans="1:17" x14ac:dyDescent="0.3">
      <c r="A2018" s="61" t="s">
        <v>2321</v>
      </c>
      <c r="B2018" s="62" t="s">
        <v>1676</v>
      </c>
      <c r="C2018" s="62" t="s">
        <v>1677</v>
      </c>
      <c r="D2018" s="63">
        <v>43469</v>
      </c>
      <c r="E2018" s="63">
        <v>46387</v>
      </c>
      <c r="F2018" s="62" t="s">
        <v>1934</v>
      </c>
      <c r="G2018" s="62" t="s">
        <v>524</v>
      </c>
      <c r="H2018" s="62" t="s">
        <v>345</v>
      </c>
      <c r="I2018" s="64">
        <v>1237.37037037037</v>
      </c>
      <c r="J2018" s="62" t="s">
        <v>441</v>
      </c>
      <c r="K2018" s="62" t="s">
        <v>345</v>
      </c>
      <c r="L2018" s="65"/>
      <c r="M2018" s="62" t="s">
        <v>457</v>
      </c>
      <c r="N2018" s="62" t="s">
        <v>314</v>
      </c>
      <c r="O2018" s="62" t="s">
        <v>315</v>
      </c>
      <c r="P2018" s="62" t="s">
        <v>2421</v>
      </c>
      <c r="Q2018" s="66" t="s">
        <v>1969</v>
      </c>
    </row>
    <row r="2019" spans="1:17" x14ac:dyDescent="0.3">
      <c r="A2019" s="61" t="s">
        <v>2321</v>
      </c>
      <c r="B2019" s="62" t="s">
        <v>1676</v>
      </c>
      <c r="C2019" s="62" t="s">
        <v>1677</v>
      </c>
      <c r="D2019" s="63">
        <v>43469</v>
      </c>
      <c r="E2019" s="63">
        <v>46387</v>
      </c>
      <c r="F2019" s="62" t="s">
        <v>1934</v>
      </c>
      <c r="G2019" s="62" t="s">
        <v>525</v>
      </c>
      <c r="H2019" s="62" t="s">
        <v>345</v>
      </c>
      <c r="I2019" s="64">
        <v>1237.37037037037</v>
      </c>
      <c r="J2019" s="62" t="s">
        <v>441</v>
      </c>
      <c r="K2019" s="62" t="s">
        <v>345</v>
      </c>
      <c r="L2019" s="65"/>
      <c r="M2019" s="62" t="s">
        <v>457</v>
      </c>
      <c r="N2019" s="62" t="s">
        <v>314</v>
      </c>
      <c r="O2019" s="62" t="s">
        <v>315</v>
      </c>
      <c r="P2019" s="62" t="s">
        <v>2421</v>
      </c>
      <c r="Q2019" s="66" t="s">
        <v>1969</v>
      </c>
    </row>
    <row r="2020" spans="1:17" x14ac:dyDescent="0.3">
      <c r="A2020" s="61" t="s">
        <v>2321</v>
      </c>
      <c r="B2020" s="62" t="s">
        <v>1676</v>
      </c>
      <c r="C2020" s="62" t="s">
        <v>1677</v>
      </c>
      <c r="D2020" s="63">
        <v>43469</v>
      </c>
      <c r="E2020" s="63">
        <v>46387</v>
      </c>
      <c r="F2020" s="62" t="s">
        <v>1934</v>
      </c>
      <c r="G2020" s="62" t="s">
        <v>477</v>
      </c>
      <c r="H2020" s="62" t="s">
        <v>345</v>
      </c>
      <c r="I2020" s="64">
        <v>1237.37037037037</v>
      </c>
      <c r="J2020" s="62" t="s">
        <v>441</v>
      </c>
      <c r="K2020" s="62" t="s">
        <v>345</v>
      </c>
      <c r="L2020" s="65"/>
      <c r="M2020" s="62" t="s">
        <v>457</v>
      </c>
      <c r="N2020" s="62" t="s">
        <v>314</v>
      </c>
      <c r="O2020" s="62" t="s">
        <v>315</v>
      </c>
      <c r="P2020" s="62" t="s">
        <v>2421</v>
      </c>
      <c r="Q2020" s="66" t="s">
        <v>1969</v>
      </c>
    </row>
    <row r="2021" spans="1:17" x14ac:dyDescent="0.3">
      <c r="A2021" s="61" t="s">
        <v>2321</v>
      </c>
      <c r="B2021" s="62" t="s">
        <v>1676</v>
      </c>
      <c r="C2021" s="62" t="s">
        <v>1677</v>
      </c>
      <c r="D2021" s="63">
        <v>43469</v>
      </c>
      <c r="E2021" s="63">
        <v>46387</v>
      </c>
      <c r="F2021" s="62" t="s">
        <v>1934</v>
      </c>
      <c r="G2021" s="62" t="s">
        <v>526</v>
      </c>
      <c r="H2021" s="62" t="s">
        <v>345</v>
      </c>
      <c r="I2021" s="64">
        <v>1237.37037037037</v>
      </c>
      <c r="J2021" s="62" t="s">
        <v>441</v>
      </c>
      <c r="K2021" s="62" t="s">
        <v>345</v>
      </c>
      <c r="L2021" s="65"/>
      <c r="M2021" s="62" t="s">
        <v>457</v>
      </c>
      <c r="N2021" s="62" t="s">
        <v>314</v>
      </c>
      <c r="O2021" s="62" t="s">
        <v>315</v>
      </c>
      <c r="P2021" s="62" t="s">
        <v>2421</v>
      </c>
      <c r="Q2021" s="66" t="s">
        <v>1969</v>
      </c>
    </row>
    <row r="2022" spans="1:17" x14ac:dyDescent="0.3">
      <c r="A2022" s="61" t="s">
        <v>2321</v>
      </c>
      <c r="B2022" s="62" t="s">
        <v>1676</v>
      </c>
      <c r="C2022" s="62" t="s">
        <v>1677</v>
      </c>
      <c r="D2022" s="63">
        <v>43469</v>
      </c>
      <c r="E2022" s="63">
        <v>46387</v>
      </c>
      <c r="F2022" s="62" t="s">
        <v>1934</v>
      </c>
      <c r="G2022" s="62" t="s">
        <v>631</v>
      </c>
      <c r="H2022" s="62" t="s">
        <v>345</v>
      </c>
      <c r="I2022" s="64">
        <v>1237.37037037037</v>
      </c>
      <c r="J2022" s="62" t="s">
        <v>441</v>
      </c>
      <c r="K2022" s="62" t="s">
        <v>345</v>
      </c>
      <c r="L2022" s="65"/>
      <c r="M2022" s="62" t="s">
        <v>457</v>
      </c>
      <c r="N2022" s="62" t="s">
        <v>314</v>
      </c>
      <c r="O2022" s="62" t="s">
        <v>315</v>
      </c>
      <c r="P2022" s="62" t="s">
        <v>2421</v>
      </c>
      <c r="Q2022" s="66" t="s">
        <v>1969</v>
      </c>
    </row>
    <row r="2023" spans="1:17" x14ac:dyDescent="0.3">
      <c r="A2023" s="61" t="s">
        <v>2321</v>
      </c>
      <c r="B2023" s="62" t="s">
        <v>1676</v>
      </c>
      <c r="C2023" s="62" t="s">
        <v>1677</v>
      </c>
      <c r="D2023" s="63">
        <v>43469</v>
      </c>
      <c r="E2023" s="63">
        <v>46387</v>
      </c>
      <c r="F2023" s="62" t="s">
        <v>284</v>
      </c>
      <c r="G2023" s="62" t="s">
        <v>1679</v>
      </c>
      <c r="H2023" s="62" t="s">
        <v>345</v>
      </c>
      <c r="I2023" s="64">
        <v>1237.37037037037</v>
      </c>
      <c r="J2023" s="62" t="s">
        <v>441</v>
      </c>
      <c r="K2023" s="62" t="s">
        <v>345</v>
      </c>
      <c r="L2023" s="65"/>
      <c r="M2023" s="62" t="s">
        <v>457</v>
      </c>
      <c r="N2023" s="62" t="s">
        <v>314</v>
      </c>
      <c r="O2023" s="62" t="s">
        <v>315</v>
      </c>
      <c r="P2023" s="62" t="s">
        <v>2421</v>
      </c>
      <c r="Q2023" s="66" t="s">
        <v>1969</v>
      </c>
    </row>
    <row r="2024" spans="1:17" x14ac:dyDescent="0.3">
      <c r="A2024" s="61" t="s">
        <v>2321</v>
      </c>
      <c r="B2024" s="62" t="s">
        <v>1676</v>
      </c>
      <c r="C2024" s="62" t="s">
        <v>1677</v>
      </c>
      <c r="D2024" s="63">
        <v>43469</v>
      </c>
      <c r="E2024" s="63">
        <v>46387</v>
      </c>
      <c r="F2024" s="62" t="s">
        <v>284</v>
      </c>
      <c r="G2024" s="62" t="s">
        <v>1367</v>
      </c>
      <c r="H2024" s="62" t="s">
        <v>345</v>
      </c>
      <c r="I2024" s="64">
        <v>1237.37037037037</v>
      </c>
      <c r="J2024" s="62" t="s">
        <v>441</v>
      </c>
      <c r="K2024" s="62" t="s">
        <v>345</v>
      </c>
      <c r="L2024" s="65"/>
      <c r="M2024" s="62" t="s">
        <v>457</v>
      </c>
      <c r="N2024" s="62" t="s">
        <v>314</v>
      </c>
      <c r="O2024" s="62" t="s">
        <v>315</v>
      </c>
      <c r="P2024" s="62" t="s">
        <v>2421</v>
      </c>
      <c r="Q2024" s="66" t="s">
        <v>1969</v>
      </c>
    </row>
    <row r="2025" spans="1:17" x14ac:dyDescent="0.3">
      <c r="A2025" s="61" t="s">
        <v>2321</v>
      </c>
      <c r="B2025" s="62" t="s">
        <v>1676</v>
      </c>
      <c r="C2025" s="62" t="s">
        <v>1677</v>
      </c>
      <c r="D2025" s="63">
        <v>43469</v>
      </c>
      <c r="E2025" s="63">
        <v>46387</v>
      </c>
      <c r="F2025" s="62" t="s">
        <v>284</v>
      </c>
      <c r="G2025" s="62" t="s">
        <v>285</v>
      </c>
      <c r="H2025" s="62" t="s">
        <v>345</v>
      </c>
      <c r="I2025" s="64">
        <v>1237.37037037037</v>
      </c>
      <c r="J2025" s="62" t="s">
        <v>441</v>
      </c>
      <c r="K2025" s="62" t="s">
        <v>345</v>
      </c>
      <c r="L2025" s="65"/>
      <c r="M2025" s="62" t="s">
        <v>457</v>
      </c>
      <c r="N2025" s="62" t="s">
        <v>314</v>
      </c>
      <c r="O2025" s="62" t="s">
        <v>315</v>
      </c>
      <c r="P2025" s="62" t="s">
        <v>2421</v>
      </c>
      <c r="Q2025" s="66" t="s">
        <v>1969</v>
      </c>
    </row>
    <row r="2026" spans="1:17" x14ac:dyDescent="0.3">
      <c r="A2026" s="61" t="s">
        <v>2321</v>
      </c>
      <c r="B2026" s="62" t="s">
        <v>1676</v>
      </c>
      <c r="C2026" s="62" t="s">
        <v>1677</v>
      </c>
      <c r="D2026" s="63">
        <v>43469</v>
      </c>
      <c r="E2026" s="63">
        <v>46387</v>
      </c>
      <c r="F2026" s="62" t="s">
        <v>284</v>
      </c>
      <c r="G2026" s="62" t="s">
        <v>412</v>
      </c>
      <c r="H2026" s="62" t="s">
        <v>345</v>
      </c>
      <c r="I2026" s="64">
        <v>1237.37037037037</v>
      </c>
      <c r="J2026" s="62" t="s">
        <v>441</v>
      </c>
      <c r="K2026" s="62" t="s">
        <v>345</v>
      </c>
      <c r="L2026" s="65"/>
      <c r="M2026" s="62" t="s">
        <v>457</v>
      </c>
      <c r="N2026" s="62" t="s">
        <v>314</v>
      </c>
      <c r="O2026" s="62" t="s">
        <v>315</v>
      </c>
      <c r="P2026" s="62" t="s">
        <v>2421</v>
      </c>
      <c r="Q2026" s="66" t="s">
        <v>1969</v>
      </c>
    </row>
    <row r="2027" spans="1:17" x14ac:dyDescent="0.3">
      <c r="A2027" s="61" t="s">
        <v>2321</v>
      </c>
      <c r="B2027" s="62" t="s">
        <v>1676</v>
      </c>
      <c r="C2027" s="62" t="s">
        <v>1677</v>
      </c>
      <c r="D2027" s="63">
        <v>43469</v>
      </c>
      <c r="E2027" s="63">
        <v>46387</v>
      </c>
      <c r="F2027" s="62" t="s">
        <v>284</v>
      </c>
      <c r="G2027" s="62" t="s">
        <v>818</v>
      </c>
      <c r="H2027" s="62" t="s">
        <v>345</v>
      </c>
      <c r="I2027" s="64">
        <v>1237.37037037037</v>
      </c>
      <c r="J2027" s="62" t="s">
        <v>441</v>
      </c>
      <c r="K2027" s="62" t="s">
        <v>345</v>
      </c>
      <c r="L2027" s="65"/>
      <c r="M2027" s="62" t="s">
        <v>457</v>
      </c>
      <c r="N2027" s="62" t="s">
        <v>314</v>
      </c>
      <c r="O2027" s="62" t="s">
        <v>315</v>
      </c>
      <c r="P2027" s="62" t="s">
        <v>2421</v>
      </c>
      <c r="Q2027" s="66" t="s">
        <v>1969</v>
      </c>
    </row>
    <row r="2028" spans="1:17" x14ac:dyDescent="0.3">
      <c r="A2028" s="61" t="s">
        <v>2321</v>
      </c>
      <c r="B2028" s="62" t="s">
        <v>1676</v>
      </c>
      <c r="C2028" s="62" t="s">
        <v>1677</v>
      </c>
      <c r="D2028" s="63">
        <v>43469</v>
      </c>
      <c r="E2028" s="63">
        <v>46387</v>
      </c>
      <c r="F2028" s="62" t="s">
        <v>284</v>
      </c>
      <c r="G2028" s="62" t="s">
        <v>1680</v>
      </c>
      <c r="H2028" s="62" t="s">
        <v>345</v>
      </c>
      <c r="I2028" s="64">
        <v>1237.37037037037</v>
      </c>
      <c r="J2028" s="62" t="s">
        <v>441</v>
      </c>
      <c r="K2028" s="62" t="s">
        <v>345</v>
      </c>
      <c r="L2028" s="65"/>
      <c r="M2028" s="62" t="s">
        <v>457</v>
      </c>
      <c r="N2028" s="62" t="s">
        <v>314</v>
      </c>
      <c r="O2028" s="62" t="s">
        <v>315</v>
      </c>
      <c r="P2028" s="62" t="s">
        <v>2421</v>
      </c>
      <c r="Q2028" s="66" t="s">
        <v>1969</v>
      </c>
    </row>
    <row r="2029" spans="1:17" x14ac:dyDescent="0.3">
      <c r="A2029" s="61" t="s">
        <v>2321</v>
      </c>
      <c r="B2029" s="62" t="s">
        <v>1676</v>
      </c>
      <c r="C2029" s="62" t="s">
        <v>1677</v>
      </c>
      <c r="D2029" s="63">
        <v>43469</v>
      </c>
      <c r="E2029" s="63">
        <v>46387</v>
      </c>
      <c r="F2029" s="62" t="s">
        <v>1941</v>
      </c>
      <c r="G2029" s="62" t="s">
        <v>494</v>
      </c>
      <c r="H2029" s="62" t="s">
        <v>345</v>
      </c>
      <c r="I2029" s="64">
        <v>1484.8444444444399</v>
      </c>
      <c r="J2029" s="62" t="s">
        <v>441</v>
      </c>
      <c r="K2029" s="62" t="s">
        <v>345</v>
      </c>
      <c r="L2029" s="65"/>
      <c r="M2029" s="62" t="s">
        <v>457</v>
      </c>
      <c r="N2029" s="62" t="s">
        <v>314</v>
      </c>
      <c r="O2029" s="62" t="s">
        <v>315</v>
      </c>
      <c r="P2029" s="62" t="s">
        <v>2421</v>
      </c>
      <c r="Q2029" s="66" t="s">
        <v>1969</v>
      </c>
    </row>
    <row r="2030" spans="1:17" x14ac:dyDescent="0.3">
      <c r="A2030" s="61" t="s">
        <v>2321</v>
      </c>
      <c r="B2030" s="62" t="s">
        <v>1676</v>
      </c>
      <c r="C2030" s="62" t="s">
        <v>1677</v>
      </c>
      <c r="D2030" s="63">
        <v>43469</v>
      </c>
      <c r="E2030" s="63">
        <v>46387</v>
      </c>
      <c r="F2030" s="62" t="s">
        <v>1941</v>
      </c>
      <c r="G2030" s="62" t="s">
        <v>495</v>
      </c>
      <c r="H2030" s="62" t="s">
        <v>345</v>
      </c>
      <c r="I2030" s="64">
        <v>1484.8444444444399</v>
      </c>
      <c r="J2030" s="62" t="s">
        <v>441</v>
      </c>
      <c r="K2030" s="62" t="s">
        <v>345</v>
      </c>
      <c r="L2030" s="65"/>
      <c r="M2030" s="62" t="s">
        <v>457</v>
      </c>
      <c r="N2030" s="62" t="s">
        <v>314</v>
      </c>
      <c r="O2030" s="62" t="s">
        <v>315</v>
      </c>
      <c r="P2030" s="62" t="s">
        <v>2421</v>
      </c>
      <c r="Q2030" s="66" t="s">
        <v>1969</v>
      </c>
    </row>
    <row r="2031" spans="1:17" x14ac:dyDescent="0.3">
      <c r="A2031" s="61" t="s">
        <v>2321</v>
      </c>
      <c r="B2031" s="62" t="s">
        <v>1676</v>
      </c>
      <c r="C2031" s="62" t="s">
        <v>1677</v>
      </c>
      <c r="D2031" s="63">
        <v>43469</v>
      </c>
      <c r="E2031" s="63">
        <v>46387</v>
      </c>
      <c r="F2031" s="62" t="s">
        <v>1941</v>
      </c>
      <c r="G2031" s="62" t="s">
        <v>496</v>
      </c>
      <c r="H2031" s="62" t="s">
        <v>345</v>
      </c>
      <c r="I2031" s="64">
        <v>1484.8444444444399</v>
      </c>
      <c r="J2031" s="62" t="s">
        <v>441</v>
      </c>
      <c r="K2031" s="62" t="s">
        <v>345</v>
      </c>
      <c r="L2031" s="65"/>
      <c r="M2031" s="62" t="s">
        <v>457</v>
      </c>
      <c r="N2031" s="62" t="s">
        <v>314</v>
      </c>
      <c r="O2031" s="62" t="s">
        <v>315</v>
      </c>
      <c r="P2031" s="62" t="s">
        <v>2421</v>
      </c>
      <c r="Q2031" s="66" t="s">
        <v>1969</v>
      </c>
    </row>
    <row r="2032" spans="1:17" x14ac:dyDescent="0.3">
      <c r="A2032" s="61" t="s">
        <v>2321</v>
      </c>
      <c r="B2032" s="62" t="s">
        <v>1676</v>
      </c>
      <c r="C2032" s="62" t="s">
        <v>1677</v>
      </c>
      <c r="D2032" s="63">
        <v>43469</v>
      </c>
      <c r="E2032" s="63">
        <v>46387</v>
      </c>
      <c r="F2032" s="62" t="s">
        <v>1941</v>
      </c>
      <c r="G2032" s="62" t="s">
        <v>398</v>
      </c>
      <c r="H2032" s="62" t="s">
        <v>345</v>
      </c>
      <c r="I2032" s="64">
        <v>1484.8444444444399</v>
      </c>
      <c r="J2032" s="62" t="s">
        <v>441</v>
      </c>
      <c r="K2032" s="62" t="s">
        <v>345</v>
      </c>
      <c r="L2032" s="65"/>
      <c r="M2032" s="62" t="s">
        <v>457</v>
      </c>
      <c r="N2032" s="62" t="s">
        <v>314</v>
      </c>
      <c r="O2032" s="62" t="s">
        <v>315</v>
      </c>
      <c r="P2032" s="62" t="s">
        <v>2421</v>
      </c>
      <c r="Q2032" s="66" t="s">
        <v>1969</v>
      </c>
    </row>
    <row r="2033" spans="1:17" x14ac:dyDescent="0.3">
      <c r="A2033" s="61" t="s">
        <v>2321</v>
      </c>
      <c r="B2033" s="62" t="s">
        <v>1676</v>
      </c>
      <c r="C2033" s="62" t="s">
        <v>1677</v>
      </c>
      <c r="D2033" s="63">
        <v>43469</v>
      </c>
      <c r="E2033" s="63">
        <v>46387</v>
      </c>
      <c r="F2033" s="62" t="s">
        <v>1941</v>
      </c>
      <c r="G2033" s="62" t="s">
        <v>399</v>
      </c>
      <c r="H2033" s="62" t="s">
        <v>345</v>
      </c>
      <c r="I2033" s="64">
        <v>1484.8444444444399</v>
      </c>
      <c r="J2033" s="62" t="s">
        <v>441</v>
      </c>
      <c r="K2033" s="62" t="s">
        <v>345</v>
      </c>
      <c r="L2033" s="65"/>
      <c r="M2033" s="62" t="s">
        <v>457</v>
      </c>
      <c r="N2033" s="62" t="s">
        <v>314</v>
      </c>
      <c r="O2033" s="62" t="s">
        <v>315</v>
      </c>
      <c r="P2033" s="62" t="s">
        <v>2421</v>
      </c>
      <c r="Q2033" s="66" t="s">
        <v>1969</v>
      </c>
    </row>
    <row r="2034" spans="1:17" x14ac:dyDescent="0.3">
      <c r="A2034" s="61" t="s">
        <v>2321</v>
      </c>
      <c r="B2034" s="62" t="s">
        <v>1676</v>
      </c>
      <c r="C2034" s="62" t="s">
        <v>1677</v>
      </c>
      <c r="D2034" s="63">
        <v>43469</v>
      </c>
      <c r="E2034" s="63">
        <v>46387</v>
      </c>
      <c r="F2034" s="62" t="s">
        <v>282</v>
      </c>
      <c r="G2034" s="62" t="s">
        <v>668</v>
      </c>
      <c r="H2034" s="62" t="s">
        <v>345</v>
      </c>
      <c r="I2034" s="64">
        <v>1856.05555555556</v>
      </c>
      <c r="J2034" s="62" t="s">
        <v>441</v>
      </c>
      <c r="K2034" s="62" t="s">
        <v>345</v>
      </c>
      <c r="L2034" s="65"/>
      <c r="M2034" s="62" t="s">
        <v>457</v>
      </c>
      <c r="N2034" s="62" t="s">
        <v>314</v>
      </c>
      <c r="O2034" s="62" t="s">
        <v>315</v>
      </c>
      <c r="P2034" s="62" t="s">
        <v>2421</v>
      </c>
      <c r="Q2034" s="66" t="s">
        <v>1969</v>
      </c>
    </row>
    <row r="2035" spans="1:17" x14ac:dyDescent="0.3">
      <c r="A2035" s="61" t="s">
        <v>2321</v>
      </c>
      <c r="B2035" s="62" t="s">
        <v>1676</v>
      </c>
      <c r="C2035" s="62" t="s">
        <v>1677</v>
      </c>
      <c r="D2035" s="63">
        <v>43469</v>
      </c>
      <c r="E2035" s="63">
        <v>46387</v>
      </c>
      <c r="F2035" s="62" t="s">
        <v>282</v>
      </c>
      <c r="G2035" s="62" t="s">
        <v>786</v>
      </c>
      <c r="H2035" s="62" t="s">
        <v>345</v>
      </c>
      <c r="I2035" s="64">
        <v>1856.05555555556</v>
      </c>
      <c r="J2035" s="62" t="s">
        <v>441</v>
      </c>
      <c r="K2035" s="62" t="s">
        <v>345</v>
      </c>
      <c r="L2035" s="65"/>
      <c r="M2035" s="62" t="s">
        <v>457</v>
      </c>
      <c r="N2035" s="62" t="s">
        <v>314</v>
      </c>
      <c r="O2035" s="62" t="s">
        <v>315</v>
      </c>
      <c r="P2035" s="62" t="s">
        <v>2421</v>
      </c>
      <c r="Q2035" s="66" t="s">
        <v>1969</v>
      </c>
    </row>
    <row r="2036" spans="1:17" x14ac:dyDescent="0.3">
      <c r="A2036" s="61" t="s">
        <v>2321</v>
      </c>
      <c r="B2036" s="62" t="s">
        <v>1676</v>
      </c>
      <c r="C2036" s="62" t="s">
        <v>1677</v>
      </c>
      <c r="D2036" s="63">
        <v>43469</v>
      </c>
      <c r="E2036" s="63">
        <v>46387</v>
      </c>
      <c r="F2036" s="62" t="s">
        <v>282</v>
      </c>
      <c r="G2036" s="62" t="s">
        <v>507</v>
      </c>
      <c r="H2036" s="62" t="s">
        <v>345</v>
      </c>
      <c r="I2036" s="64">
        <v>1856.05555555556</v>
      </c>
      <c r="J2036" s="62" t="s">
        <v>441</v>
      </c>
      <c r="K2036" s="62" t="s">
        <v>345</v>
      </c>
      <c r="L2036" s="65"/>
      <c r="M2036" s="62" t="s">
        <v>457</v>
      </c>
      <c r="N2036" s="62" t="s">
        <v>314</v>
      </c>
      <c r="O2036" s="62" t="s">
        <v>315</v>
      </c>
      <c r="P2036" s="62" t="s">
        <v>2421</v>
      </c>
      <c r="Q2036" s="66" t="s">
        <v>1969</v>
      </c>
    </row>
    <row r="2037" spans="1:17" x14ac:dyDescent="0.3">
      <c r="A2037" s="61" t="s">
        <v>2321</v>
      </c>
      <c r="B2037" s="62" t="s">
        <v>1676</v>
      </c>
      <c r="C2037" s="62" t="s">
        <v>1677</v>
      </c>
      <c r="D2037" s="63">
        <v>43469</v>
      </c>
      <c r="E2037" s="63">
        <v>46387</v>
      </c>
      <c r="F2037" s="62" t="s">
        <v>282</v>
      </c>
      <c r="G2037" s="62" t="s">
        <v>787</v>
      </c>
      <c r="H2037" s="62" t="s">
        <v>345</v>
      </c>
      <c r="I2037" s="64">
        <v>1856.05555555556</v>
      </c>
      <c r="J2037" s="62" t="s">
        <v>441</v>
      </c>
      <c r="K2037" s="62" t="s">
        <v>345</v>
      </c>
      <c r="L2037" s="65"/>
      <c r="M2037" s="62" t="s">
        <v>457</v>
      </c>
      <c r="N2037" s="62" t="s">
        <v>314</v>
      </c>
      <c r="O2037" s="62" t="s">
        <v>315</v>
      </c>
      <c r="P2037" s="62" t="s">
        <v>2421</v>
      </c>
      <c r="Q2037" s="66" t="s">
        <v>1969</v>
      </c>
    </row>
    <row r="2038" spans="1:17" x14ac:dyDescent="0.3">
      <c r="A2038" s="61" t="s">
        <v>2321</v>
      </c>
      <c r="B2038" s="62" t="s">
        <v>1676</v>
      </c>
      <c r="C2038" s="62" t="s">
        <v>1677</v>
      </c>
      <c r="D2038" s="63">
        <v>43469</v>
      </c>
      <c r="E2038" s="63">
        <v>46387</v>
      </c>
      <c r="F2038" s="62" t="s">
        <v>1959</v>
      </c>
      <c r="G2038" s="62" t="s">
        <v>582</v>
      </c>
      <c r="H2038" s="62" t="s">
        <v>345</v>
      </c>
      <c r="I2038" s="64">
        <v>1856.05555555556</v>
      </c>
      <c r="J2038" s="62" t="s">
        <v>441</v>
      </c>
      <c r="K2038" s="62" t="s">
        <v>345</v>
      </c>
      <c r="L2038" s="65"/>
      <c r="M2038" s="62" t="s">
        <v>457</v>
      </c>
      <c r="N2038" s="62" t="s">
        <v>314</v>
      </c>
      <c r="O2038" s="62" t="s">
        <v>315</v>
      </c>
      <c r="P2038" s="62" t="s">
        <v>2421</v>
      </c>
      <c r="Q2038" s="66" t="s">
        <v>1969</v>
      </c>
    </row>
    <row r="2039" spans="1:17" x14ac:dyDescent="0.3">
      <c r="A2039" s="61" t="s">
        <v>2321</v>
      </c>
      <c r="B2039" s="62" t="s">
        <v>1676</v>
      </c>
      <c r="C2039" s="62" t="s">
        <v>1677</v>
      </c>
      <c r="D2039" s="63">
        <v>43469</v>
      </c>
      <c r="E2039" s="63">
        <v>46387</v>
      </c>
      <c r="F2039" s="62" t="s">
        <v>1959</v>
      </c>
      <c r="G2039" s="62" t="s">
        <v>584</v>
      </c>
      <c r="H2039" s="62" t="s">
        <v>345</v>
      </c>
      <c r="I2039" s="64">
        <v>1856.05555555556</v>
      </c>
      <c r="J2039" s="62" t="s">
        <v>441</v>
      </c>
      <c r="K2039" s="62" t="s">
        <v>345</v>
      </c>
      <c r="L2039" s="65"/>
      <c r="M2039" s="62" t="s">
        <v>457</v>
      </c>
      <c r="N2039" s="62" t="s">
        <v>314</v>
      </c>
      <c r="O2039" s="62" t="s">
        <v>315</v>
      </c>
      <c r="P2039" s="62" t="s">
        <v>2421</v>
      </c>
      <c r="Q2039" s="66" t="s">
        <v>1969</v>
      </c>
    </row>
    <row r="2040" spans="1:17" x14ac:dyDescent="0.3">
      <c r="A2040" s="61" t="s">
        <v>2321</v>
      </c>
      <c r="B2040" s="62" t="s">
        <v>1676</v>
      </c>
      <c r="C2040" s="62" t="s">
        <v>1677</v>
      </c>
      <c r="D2040" s="63">
        <v>43469</v>
      </c>
      <c r="E2040" s="63">
        <v>46387</v>
      </c>
      <c r="F2040" s="62" t="s">
        <v>1959</v>
      </c>
      <c r="G2040" s="62" t="s">
        <v>585</v>
      </c>
      <c r="H2040" s="62" t="s">
        <v>345</v>
      </c>
      <c r="I2040" s="64">
        <v>1856.05555555556</v>
      </c>
      <c r="J2040" s="62" t="s">
        <v>441</v>
      </c>
      <c r="K2040" s="62" t="s">
        <v>345</v>
      </c>
      <c r="L2040" s="65"/>
      <c r="M2040" s="62" t="s">
        <v>457</v>
      </c>
      <c r="N2040" s="62" t="s">
        <v>314</v>
      </c>
      <c r="O2040" s="62" t="s">
        <v>315</v>
      </c>
      <c r="P2040" s="62" t="s">
        <v>2421</v>
      </c>
      <c r="Q2040" s="66" t="s">
        <v>1969</v>
      </c>
    </row>
    <row r="2041" spans="1:17" x14ac:dyDescent="0.3">
      <c r="A2041" s="61" t="s">
        <v>2321</v>
      </c>
      <c r="B2041" s="62" t="s">
        <v>1676</v>
      </c>
      <c r="C2041" s="62" t="s">
        <v>1677</v>
      </c>
      <c r="D2041" s="63">
        <v>43469</v>
      </c>
      <c r="E2041" s="63">
        <v>46387</v>
      </c>
      <c r="F2041" s="62" t="s">
        <v>1959</v>
      </c>
      <c r="G2041" s="62" t="s">
        <v>588</v>
      </c>
      <c r="H2041" s="62" t="s">
        <v>345</v>
      </c>
      <c r="I2041" s="64">
        <v>1856.05555555556</v>
      </c>
      <c r="J2041" s="62" t="s">
        <v>441</v>
      </c>
      <c r="K2041" s="62" t="s">
        <v>345</v>
      </c>
      <c r="L2041" s="65"/>
      <c r="M2041" s="62" t="s">
        <v>457</v>
      </c>
      <c r="N2041" s="62" t="s">
        <v>314</v>
      </c>
      <c r="O2041" s="62" t="s">
        <v>315</v>
      </c>
      <c r="P2041" s="62" t="s">
        <v>2421</v>
      </c>
      <c r="Q2041" s="66" t="s">
        <v>1969</v>
      </c>
    </row>
    <row r="2042" spans="1:17" x14ac:dyDescent="0.3">
      <c r="A2042" s="61" t="s">
        <v>2321</v>
      </c>
      <c r="B2042" s="62" t="s">
        <v>1676</v>
      </c>
      <c r="C2042" s="62" t="s">
        <v>1677</v>
      </c>
      <c r="D2042" s="63">
        <v>43469</v>
      </c>
      <c r="E2042" s="63">
        <v>46387</v>
      </c>
      <c r="F2042" s="62" t="s">
        <v>1938</v>
      </c>
      <c r="G2042" s="62" t="s">
        <v>503</v>
      </c>
      <c r="H2042" s="62" t="s">
        <v>345</v>
      </c>
      <c r="I2042" s="64">
        <v>2474.74074074074</v>
      </c>
      <c r="J2042" s="62" t="s">
        <v>441</v>
      </c>
      <c r="K2042" s="62" t="s">
        <v>345</v>
      </c>
      <c r="L2042" s="65"/>
      <c r="M2042" s="62" t="s">
        <v>457</v>
      </c>
      <c r="N2042" s="62" t="s">
        <v>314</v>
      </c>
      <c r="O2042" s="62" t="s">
        <v>315</v>
      </c>
      <c r="P2042" s="62" t="s">
        <v>2421</v>
      </c>
      <c r="Q2042" s="66" t="s">
        <v>1969</v>
      </c>
    </row>
    <row r="2043" spans="1:17" x14ac:dyDescent="0.3">
      <c r="A2043" s="61" t="s">
        <v>2321</v>
      </c>
      <c r="B2043" s="62" t="s">
        <v>1676</v>
      </c>
      <c r="C2043" s="62" t="s">
        <v>1677</v>
      </c>
      <c r="D2043" s="63">
        <v>43469</v>
      </c>
      <c r="E2043" s="63">
        <v>46387</v>
      </c>
      <c r="F2043" s="62" t="s">
        <v>1938</v>
      </c>
      <c r="G2043" s="62" t="s">
        <v>504</v>
      </c>
      <c r="H2043" s="62" t="s">
        <v>345</v>
      </c>
      <c r="I2043" s="64">
        <v>2474.74074074074</v>
      </c>
      <c r="J2043" s="62" t="s">
        <v>441</v>
      </c>
      <c r="K2043" s="62" t="s">
        <v>345</v>
      </c>
      <c r="L2043" s="65"/>
      <c r="M2043" s="62" t="s">
        <v>457</v>
      </c>
      <c r="N2043" s="62" t="s">
        <v>314</v>
      </c>
      <c r="O2043" s="62" t="s">
        <v>315</v>
      </c>
      <c r="P2043" s="62" t="s">
        <v>2421</v>
      </c>
      <c r="Q2043" s="66" t="s">
        <v>1969</v>
      </c>
    </row>
    <row r="2044" spans="1:17" x14ac:dyDescent="0.3">
      <c r="A2044" s="61" t="s">
        <v>2321</v>
      </c>
      <c r="B2044" s="62" t="s">
        <v>1676</v>
      </c>
      <c r="C2044" s="62" t="s">
        <v>1677</v>
      </c>
      <c r="D2044" s="63">
        <v>43469</v>
      </c>
      <c r="E2044" s="63">
        <v>46387</v>
      </c>
      <c r="F2044" s="62" t="s">
        <v>1938</v>
      </c>
      <c r="G2044" s="62" t="s">
        <v>506</v>
      </c>
      <c r="H2044" s="62" t="s">
        <v>345</v>
      </c>
      <c r="I2044" s="64">
        <v>2474.74074074074</v>
      </c>
      <c r="J2044" s="62" t="s">
        <v>441</v>
      </c>
      <c r="K2044" s="62" t="s">
        <v>345</v>
      </c>
      <c r="L2044" s="65"/>
      <c r="M2044" s="62" t="s">
        <v>457</v>
      </c>
      <c r="N2044" s="62" t="s">
        <v>314</v>
      </c>
      <c r="O2044" s="62" t="s">
        <v>315</v>
      </c>
      <c r="P2044" s="62" t="s">
        <v>2421</v>
      </c>
      <c r="Q2044" s="66" t="s">
        <v>1969</v>
      </c>
    </row>
    <row r="2045" spans="1:17" x14ac:dyDescent="0.3">
      <c r="A2045" s="61" t="s">
        <v>2321</v>
      </c>
      <c r="B2045" s="62" t="s">
        <v>1676</v>
      </c>
      <c r="C2045" s="62" t="s">
        <v>1677</v>
      </c>
      <c r="D2045" s="63">
        <v>43469</v>
      </c>
      <c r="E2045" s="63">
        <v>46387</v>
      </c>
      <c r="F2045" s="62" t="s">
        <v>287</v>
      </c>
      <c r="G2045" s="62" t="s">
        <v>554</v>
      </c>
      <c r="H2045" s="62" t="s">
        <v>345</v>
      </c>
      <c r="I2045" s="64">
        <v>2474.74074074074</v>
      </c>
      <c r="J2045" s="62" t="s">
        <v>441</v>
      </c>
      <c r="K2045" s="62" t="s">
        <v>345</v>
      </c>
      <c r="L2045" s="65"/>
      <c r="M2045" s="62" t="s">
        <v>457</v>
      </c>
      <c r="N2045" s="62" t="s">
        <v>314</v>
      </c>
      <c r="O2045" s="62" t="s">
        <v>315</v>
      </c>
      <c r="P2045" s="62" t="s">
        <v>2421</v>
      </c>
      <c r="Q2045" s="66" t="s">
        <v>1969</v>
      </c>
    </row>
    <row r="2046" spans="1:17" x14ac:dyDescent="0.3">
      <c r="A2046" s="61" t="s">
        <v>2321</v>
      </c>
      <c r="B2046" s="62" t="s">
        <v>1676</v>
      </c>
      <c r="C2046" s="62" t="s">
        <v>1677</v>
      </c>
      <c r="D2046" s="63">
        <v>43469</v>
      </c>
      <c r="E2046" s="63">
        <v>46387</v>
      </c>
      <c r="F2046" s="62" t="s">
        <v>287</v>
      </c>
      <c r="G2046" s="62" t="s">
        <v>396</v>
      </c>
      <c r="H2046" s="62" t="s">
        <v>345</v>
      </c>
      <c r="I2046" s="64">
        <v>2474.74074074074</v>
      </c>
      <c r="J2046" s="62" t="s">
        <v>441</v>
      </c>
      <c r="K2046" s="62" t="s">
        <v>345</v>
      </c>
      <c r="L2046" s="65"/>
      <c r="M2046" s="62" t="s">
        <v>457</v>
      </c>
      <c r="N2046" s="62" t="s">
        <v>314</v>
      </c>
      <c r="O2046" s="62" t="s">
        <v>315</v>
      </c>
      <c r="P2046" s="62" t="s">
        <v>2421</v>
      </c>
      <c r="Q2046" s="66" t="s">
        <v>1969</v>
      </c>
    </row>
    <row r="2047" spans="1:17" x14ac:dyDescent="0.3">
      <c r="A2047" s="61" t="s">
        <v>2321</v>
      </c>
      <c r="B2047" s="62" t="s">
        <v>1676</v>
      </c>
      <c r="C2047" s="62" t="s">
        <v>1677</v>
      </c>
      <c r="D2047" s="63">
        <v>43469</v>
      </c>
      <c r="E2047" s="63">
        <v>46387</v>
      </c>
      <c r="F2047" s="62" t="s">
        <v>287</v>
      </c>
      <c r="G2047" s="62" t="s">
        <v>1545</v>
      </c>
      <c r="H2047" s="62" t="s">
        <v>345</v>
      </c>
      <c r="I2047" s="64">
        <v>2474.74074074074</v>
      </c>
      <c r="J2047" s="62" t="s">
        <v>441</v>
      </c>
      <c r="K2047" s="62" t="s">
        <v>345</v>
      </c>
      <c r="L2047" s="65"/>
      <c r="M2047" s="62" t="s">
        <v>457</v>
      </c>
      <c r="N2047" s="62" t="s">
        <v>314</v>
      </c>
      <c r="O2047" s="62" t="s">
        <v>315</v>
      </c>
      <c r="P2047" s="62" t="s">
        <v>2421</v>
      </c>
      <c r="Q2047" s="66" t="s">
        <v>1969</v>
      </c>
    </row>
    <row r="2048" spans="1:17" x14ac:dyDescent="0.3">
      <c r="A2048" s="61" t="s">
        <v>2321</v>
      </c>
      <c r="B2048" s="62" t="s">
        <v>1676</v>
      </c>
      <c r="C2048" s="62" t="s">
        <v>1677</v>
      </c>
      <c r="D2048" s="63">
        <v>43469</v>
      </c>
      <c r="E2048" s="63">
        <v>46387</v>
      </c>
      <c r="F2048" s="62" t="s">
        <v>1945</v>
      </c>
      <c r="G2048" s="62" t="s">
        <v>282</v>
      </c>
      <c r="H2048" s="62" t="s">
        <v>345</v>
      </c>
      <c r="I2048" s="64">
        <v>2474.74074074074</v>
      </c>
      <c r="J2048" s="62" t="s">
        <v>441</v>
      </c>
      <c r="K2048" s="62" t="s">
        <v>345</v>
      </c>
      <c r="L2048" s="65"/>
      <c r="M2048" s="62" t="s">
        <v>457</v>
      </c>
      <c r="N2048" s="62" t="s">
        <v>314</v>
      </c>
      <c r="O2048" s="62" t="s">
        <v>315</v>
      </c>
      <c r="P2048" s="62" t="s">
        <v>2421</v>
      </c>
      <c r="Q2048" s="66" t="s">
        <v>1969</v>
      </c>
    </row>
    <row r="2049" spans="1:17" x14ac:dyDescent="0.3">
      <c r="A2049" s="61" t="s">
        <v>2321</v>
      </c>
      <c r="B2049" s="62" t="s">
        <v>1676</v>
      </c>
      <c r="C2049" s="62" t="s">
        <v>1677</v>
      </c>
      <c r="D2049" s="63">
        <v>43469</v>
      </c>
      <c r="E2049" s="63">
        <v>46387</v>
      </c>
      <c r="F2049" s="62" t="s">
        <v>1945</v>
      </c>
      <c r="G2049" s="62" t="s">
        <v>400</v>
      </c>
      <c r="H2049" s="62" t="s">
        <v>345</v>
      </c>
      <c r="I2049" s="64">
        <v>2474.74074074074</v>
      </c>
      <c r="J2049" s="62" t="s">
        <v>441</v>
      </c>
      <c r="K2049" s="62" t="s">
        <v>345</v>
      </c>
      <c r="L2049" s="65"/>
      <c r="M2049" s="62" t="s">
        <v>457</v>
      </c>
      <c r="N2049" s="62" t="s">
        <v>314</v>
      </c>
      <c r="O2049" s="62" t="s">
        <v>315</v>
      </c>
      <c r="P2049" s="62" t="s">
        <v>2421</v>
      </c>
      <c r="Q2049" s="66" t="s">
        <v>1969</v>
      </c>
    </row>
    <row r="2050" spans="1:17" x14ac:dyDescent="0.3">
      <c r="A2050" s="61" t="s">
        <v>2321</v>
      </c>
      <c r="B2050" s="62" t="s">
        <v>1676</v>
      </c>
      <c r="C2050" s="62" t="s">
        <v>1677</v>
      </c>
      <c r="D2050" s="63">
        <v>43469</v>
      </c>
      <c r="E2050" s="63">
        <v>46387</v>
      </c>
      <c r="F2050" s="62" t="s">
        <v>1945</v>
      </c>
      <c r="G2050" s="62" t="s">
        <v>401</v>
      </c>
      <c r="H2050" s="62" t="s">
        <v>345</v>
      </c>
      <c r="I2050" s="64">
        <v>2474.74074074074</v>
      </c>
      <c r="J2050" s="62" t="s">
        <v>441</v>
      </c>
      <c r="K2050" s="62" t="s">
        <v>345</v>
      </c>
      <c r="L2050" s="65"/>
      <c r="M2050" s="62" t="s">
        <v>457</v>
      </c>
      <c r="N2050" s="62" t="s">
        <v>314</v>
      </c>
      <c r="O2050" s="62" t="s">
        <v>315</v>
      </c>
      <c r="P2050" s="62" t="s">
        <v>2421</v>
      </c>
      <c r="Q2050" s="66" t="s">
        <v>1969</v>
      </c>
    </row>
    <row r="2051" spans="1:17" x14ac:dyDescent="0.3">
      <c r="A2051" s="61" t="s">
        <v>2321</v>
      </c>
      <c r="B2051" s="62" t="s">
        <v>1676</v>
      </c>
      <c r="C2051" s="62" t="s">
        <v>1677</v>
      </c>
      <c r="D2051" s="63">
        <v>43469</v>
      </c>
      <c r="E2051" s="63">
        <v>46387</v>
      </c>
      <c r="F2051" s="62" t="s">
        <v>1944</v>
      </c>
      <c r="G2051" s="62" t="s">
        <v>676</v>
      </c>
      <c r="H2051" s="62" t="s">
        <v>345</v>
      </c>
      <c r="I2051" s="64">
        <v>3712.1111111111099</v>
      </c>
      <c r="J2051" s="62" t="s">
        <v>441</v>
      </c>
      <c r="K2051" s="62" t="s">
        <v>345</v>
      </c>
      <c r="L2051" s="65"/>
      <c r="M2051" s="62" t="s">
        <v>457</v>
      </c>
      <c r="N2051" s="62" t="s">
        <v>314</v>
      </c>
      <c r="O2051" s="62" t="s">
        <v>315</v>
      </c>
      <c r="P2051" s="62" t="s">
        <v>2421</v>
      </c>
      <c r="Q2051" s="66" t="s">
        <v>1969</v>
      </c>
    </row>
    <row r="2052" spans="1:17" x14ac:dyDescent="0.3">
      <c r="A2052" s="61" t="s">
        <v>2321</v>
      </c>
      <c r="B2052" s="62" t="s">
        <v>1676</v>
      </c>
      <c r="C2052" s="62" t="s">
        <v>1677</v>
      </c>
      <c r="D2052" s="63">
        <v>43469</v>
      </c>
      <c r="E2052" s="63">
        <v>46387</v>
      </c>
      <c r="F2052" s="62" t="s">
        <v>1944</v>
      </c>
      <c r="G2052" s="62" t="s">
        <v>1330</v>
      </c>
      <c r="H2052" s="62" t="s">
        <v>345</v>
      </c>
      <c r="I2052" s="64">
        <v>3712.1111111111099</v>
      </c>
      <c r="J2052" s="62" t="s">
        <v>441</v>
      </c>
      <c r="K2052" s="62" t="s">
        <v>345</v>
      </c>
      <c r="L2052" s="65"/>
      <c r="M2052" s="62" t="s">
        <v>457</v>
      </c>
      <c r="N2052" s="62" t="s">
        <v>314</v>
      </c>
      <c r="O2052" s="62" t="s">
        <v>315</v>
      </c>
      <c r="P2052" s="62" t="s">
        <v>2421</v>
      </c>
      <c r="Q2052" s="66" t="s">
        <v>1969</v>
      </c>
    </row>
    <row r="2053" spans="1:17" x14ac:dyDescent="0.3">
      <c r="A2053" s="61" t="s">
        <v>2321</v>
      </c>
      <c r="B2053" s="62" t="s">
        <v>1676</v>
      </c>
      <c r="C2053" s="62" t="s">
        <v>1677</v>
      </c>
      <c r="D2053" s="63">
        <v>43469</v>
      </c>
      <c r="E2053" s="63">
        <v>46387</v>
      </c>
      <c r="F2053" s="62" t="s">
        <v>1930</v>
      </c>
      <c r="G2053" s="62" t="s">
        <v>415</v>
      </c>
      <c r="H2053" s="62" t="s">
        <v>345</v>
      </c>
      <c r="I2053" s="64">
        <v>3712.1111111111099</v>
      </c>
      <c r="J2053" s="62" t="s">
        <v>441</v>
      </c>
      <c r="K2053" s="62" t="s">
        <v>345</v>
      </c>
      <c r="L2053" s="65"/>
      <c r="M2053" s="62" t="s">
        <v>457</v>
      </c>
      <c r="N2053" s="62" t="s">
        <v>314</v>
      </c>
      <c r="O2053" s="62" t="s">
        <v>315</v>
      </c>
      <c r="P2053" s="62" t="s">
        <v>2421</v>
      </c>
      <c r="Q2053" s="66" t="s">
        <v>1969</v>
      </c>
    </row>
    <row r="2054" spans="1:17" x14ac:dyDescent="0.3">
      <c r="A2054" s="61" t="s">
        <v>2321</v>
      </c>
      <c r="B2054" s="62" t="s">
        <v>1676</v>
      </c>
      <c r="C2054" s="62" t="s">
        <v>1677</v>
      </c>
      <c r="D2054" s="63">
        <v>43469</v>
      </c>
      <c r="E2054" s="63">
        <v>46387</v>
      </c>
      <c r="F2054" s="62" t="s">
        <v>1930</v>
      </c>
      <c r="G2054" s="62" t="s">
        <v>1135</v>
      </c>
      <c r="H2054" s="62" t="s">
        <v>345</v>
      </c>
      <c r="I2054" s="64">
        <v>3712.1111111111099</v>
      </c>
      <c r="J2054" s="62" t="s">
        <v>441</v>
      </c>
      <c r="K2054" s="62" t="s">
        <v>345</v>
      </c>
      <c r="L2054" s="65"/>
      <c r="M2054" s="62" t="s">
        <v>457</v>
      </c>
      <c r="N2054" s="62" t="s">
        <v>314</v>
      </c>
      <c r="O2054" s="62" t="s">
        <v>315</v>
      </c>
      <c r="P2054" s="62" t="s">
        <v>2421</v>
      </c>
      <c r="Q2054" s="66" t="s">
        <v>1969</v>
      </c>
    </row>
    <row r="2055" spans="1:17" x14ac:dyDescent="0.3">
      <c r="A2055" s="61" t="s">
        <v>2321</v>
      </c>
      <c r="B2055" s="62" t="s">
        <v>1676</v>
      </c>
      <c r="C2055" s="62" t="s">
        <v>1677</v>
      </c>
      <c r="D2055" s="63">
        <v>43469</v>
      </c>
      <c r="E2055" s="63">
        <v>46387</v>
      </c>
      <c r="F2055" s="62" t="s">
        <v>280</v>
      </c>
      <c r="G2055" s="62" t="s">
        <v>409</v>
      </c>
      <c r="H2055" s="62" t="s">
        <v>345</v>
      </c>
      <c r="I2055" s="64">
        <v>3712.1111111111099</v>
      </c>
      <c r="J2055" s="62" t="s">
        <v>441</v>
      </c>
      <c r="K2055" s="62" t="s">
        <v>345</v>
      </c>
      <c r="L2055" s="65"/>
      <c r="M2055" s="62" t="s">
        <v>457</v>
      </c>
      <c r="N2055" s="62" t="s">
        <v>314</v>
      </c>
      <c r="O2055" s="62" t="s">
        <v>315</v>
      </c>
      <c r="P2055" s="62" t="s">
        <v>2421</v>
      </c>
      <c r="Q2055" s="66" t="s">
        <v>1969</v>
      </c>
    </row>
    <row r="2056" spans="1:17" x14ac:dyDescent="0.3">
      <c r="A2056" s="61" t="s">
        <v>2321</v>
      </c>
      <c r="B2056" s="62" t="s">
        <v>1676</v>
      </c>
      <c r="C2056" s="62" t="s">
        <v>1677</v>
      </c>
      <c r="D2056" s="63">
        <v>43469</v>
      </c>
      <c r="E2056" s="63">
        <v>46387</v>
      </c>
      <c r="F2056" s="62" t="s">
        <v>280</v>
      </c>
      <c r="G2056" s="62" t="s">
        <v>410</v>
      </c>
      <c r="H2056" s="62" t="s">
        <v>345</v>
      </c>
      <c r="I2056" s="64">
        <v>3712.1111111111099</v>
      </c>
      <c r="J2056" s="62" t="s">
        <v>441</v>
      </c>
      <c r="K2056" s="62" t="s">
        <v>345</v>
      </c>
      <c r="L2056" s="65"/>
      <c r="M2056" s="62" t="s">
        <v>457</v>
      </c>
      <c r="N2056" s="62" t="s">
        <v>314</v>
      </c>
      <c r="O2056" s="62" t="s">
        <v>315</v>
      </c>
      <c r="P2056" s="62" t="s">
        <v>2421</v>
      </c>
      <c r="Q2056" s="66" t="s">
        <v>1969</v>
      </c>
    </row>
    <row r="2057" spans="1:17" x14ac:dyDescent="0.3">
      <c r="A2057" s="61" t="s">
        <v>2321</v>
      </c>
      <c r="B2057" s="62" t="s">
        <v>1676</v>
      </c>
      <c r="C2057" s="62" t="s">
        <v>1677</v>
      </c>
      <c r="D2057" s="63">
        <v>43469</v>
      </c>
      <c r="E2057" s="63">
        <v>46387</v>
      </c>
      <c r="F2057" s="62" t="s">
        <v>286</v>
      </c>
      <c r="G2057" s="62" t="s">
        <v>476</v>
      </c>
      <c r="H2057" s="62" t="s">
        <v>345</v>
      </c>
      <c r="I2057" s="64">
        <v>7424.2222222222199</v>
      </c>
      <c r="J2057" s="62" t="s">
        <v>441</v>
      </c>
      <c r="K2057" s="62" t="s">
        <v>345</v>
      </c>
      <c r="L2057" s="65"/>
      <c r="M2057" s="62" t="s">
        <v>457</v>
      </c>
      <c r="N2057" s="62" t="s">
        <v>314</v>
      </c>
      <c r="O2057" s="62" t="s">
        <v>315</v>
      </c>
      <c r="P2057" s="62" t="s">
        <v>2421</v>
      </c>
      <c r="Q2057" s="66" t="s">
        <v>1969</v>
      </c>
    </row>
    <row r="2058" spans="1:17" x14ac:dyDescent="0.3">
      <c r="A2058" s="61" t="s">
        <v>2321</v>
      </c>
      <c r="B2058" s="62" t="s">
        <v>1676</v>
      </c>
      <c r="C2058" s="62" t="s">
        <v>1677</v>
      </c>
      <c r="D2058" s="63">
        <v>43469</v>
      </c>
      <c r="E2058" s="63">
        <v>46387</v>
      </c>
      <c r="F2058" s="62" t="s">
        <v>1921</v>
      </c>
      <c r="G2058" s="62" t="s">
        <v>487</v>
      </c>
      <c r="H2058" s="62" t="s">
        <v>345</v>
      </c>
      <c r="I2058" s="64">
        <v>7424.2222222222199</v>
      </c>
      <c r="J2058" s="62" t="s">
        <v>441</v>
      </c>
      <c r="K2058" s="62" t="s">
        <v>345</v>
      </c>
      <c r="L2058" s="65"/>
      <c r="M2058" s="62" t="s">
        <v>457</v>
      </c>
      <c r="N2058" s="62" t="s">
        <v>314</v>
      </c>
      <c r="O2058" s="62" t="s">
        <v>315</v>
      </c>
      <c r="P2058" s="62" t="s">
        <v>2421</v>
      </c>
      <c r="Q2058" s="66" t="s">
        <v>1969</v>
      </c>
    </row>
    <row r="2059" spans="1:17" x14ac:dyDescent="0.3">
      <c r="A2059" s="61" t="s">
        <v>2321</v>
      </c>
      <c r="B2059" s="62" t="s">
        <v>1676</v>
      </c>
      <c r="C2059" s="62" t="s">
        <v>1677</v>
      </c>
      <c r="D2059" s="63">
        <v>43469</v>
      </c>
      <c r="E2059" s="63">
        <v>46387</v>
      </c>
      <c r="F2059" s="62" t="s">
        <v>1940</v>
      </c>
      <c r="G2059" s="62" t="s">
        <v>451</v>
      </c>
      <c r="H2059" s="62" t="s">
        <v>345</v>
      </c>
      <c r="I2059" s="64">
        <v>7424.2222222222199</v>
      </c>
      <c r="J2059" s="62" t="s">
        <v>441</v>
      </c>
      <c r="K2059" s="62" t="s">
        <v>345</v>
      </c>
      <c r="L2059" s="65"/>
      <c r="M2059" s="62" t="s">
        <v>457</v>
      </c>
      <c r="N2059" s="62" t="s">
        <v>314</v>
      </c>
      <c r="O2059" s="62" t="s">
        <v>315</v>
      </c>
      <c r="P2059" s="62" t="s">
        <v>2421</v>
      </c>
      <c r="Q2059" s="66" t="s">
        <v>1969</v>
      </c>
    </row>
    <row r="2060" spans="1:17" x14ac:dyDescent="0.3">
      <c r="A2060" s="61" t="s">
        <v>2321</v>
      </c>
      <c r="B2060" s="62" t="s">
        <v>1676</v>
      </c>
      <c r="C2060" s="62" t="s">
        <v>1677</v>
      </c>
      <c r="D2060" s="63">
        <v>43469</v>
      </c>
      <c r="E2060" s="63">
        <v>46387</v>
      </c>
      <c r="F2060" s="62" t="s">
        <v>348</v>
      </c>
      <c r="G2060" s="62" t="s">
        <v>348</v>
      </c>
      <c r="H2060" s="62" t="s">
        <v>345</v>
      </c>
      <c r="I2060" s="64">
        <v>7424.2222222222199</v>
      </c>
      <c r="J2060" s="62" t="s">
        <v>441</v>
      </c>
      <c r="K2060" s="62" t="s">
        <v>345</v>
      </c>
      <c r="L2060" s="65"/>
      <c r="M2060" s="62" t="s">
        <v>457</v>
      </c>
      <c r="N2060" s="62" t="s">
        <v>314</v>
      </c>
      <c r="O2060" s="62" t="s">
        <v>315</v>
      </c>
      <c r="P2060" s="62" t="s">
        <v>2421</v>
      </c>
      <c r="Q2060" s="66" t="s">
        <v>1969</v>
      </c>
    </row>
    <row r="2061" spans="1:17" x14ac:dyDescent="0.3">
      <c r="A2061" s="61" t="s">
        <v>2321</v>
      </c>
      <c r="B2061" s="62" t="s">
        <v>1676</v>
      </c>
      <c r="C2061" s="62" t="s">
        <v>1677</v>
      </c>
      <c r="D2061" s="63">
        <v>43469</v>
      </c>
      <c r="E2061" s="63">
        <v>46387</v>
      </c>
      <c r="F2061" s="62" t="s">
        <v>1939</v>
      </c>
      <c r="G2061" s="62" t="s">
        <v>539</v>
      </c>
      <c r="H2061" s="62" t="s">
        <v>345</v>
      </c>
      <c r="I2061" s="64">
        <v>7424.2222222222199</v>
      </c>
      <c r="J2061" s="62" t="s">
        <v>441</v>
      </c>
      <c r="K2061" s="62" t="s">
        <v>345</v>
      </c>
      <c r="L2061" s="65"/>
      <c r="M2061" s="62" t="s">
        <v>457</v>
      </c>
      <c r="N2061" s="62" t="s">
        <v>314</v>
      </c>
      <c r="O2061" s="62" t="s">
        <v>315</v>
      </c>
      <c r="P2061" s="62" t="s">
        <v>2421</v>
      </c>
      <c r="Q2061" s="66" t="s">
        <v>1969</v>
      </c>
    </row>
    <row r="2062" spans="1:17" x14ac:dyDescent="0.3">
      <c r="A2062" s="61" t="s">
        <v>2322</v>
      </c>
      <c r="B2062" s="62" t="s">
        <v>1681</v>
      </c>
      <c r="C2062" s="62" t="s">
        <v>1682</v>
      </c>
      <c r="D2062" s="63">
        <v>45615</v>
      </c>
      <c r="E2062" s="63">
        <v>46160</v>
      </c>
      <c r="F2062" s="62" t="s">
        <v>350</v>
      </c>
      <c r="G2062" s="62" t="s">
        <v>350</v>
      </c>
      <c r="H2062" s="62" t="s">
        <v>467</v>
      </c>
      <c r="I2062" s="64">
        <v>137624</v>
      </c>
      <c r="J2062" s="62" t="s">
        <v>468</v>
      </c>
      <c r="K2062" s="62" t="s">
        <v>467</v>
      </c>
      <c r="L2062" s="65"/>
      <c r="M2062" s="62" t="s">
        <v>825</v>
      </c>
      <c r="N2062" s="62" t="s">
        <v>603</v>
      </c>
      <c r="O2062" s="62" t="s">
        <v>371</v>
      </c>
      <c r="P2062" s="62" t="s">
        <v>2421</v>
      </c>
      <c r="Q2062" s="66" t="s">
        <v>2021</v>
      </c>
    </row>
    <row r="2063" spans="1:17" x14ac:dyDescent="0.3">
      <c r="A2063" s="61" t="s">
        <v>2323</v>
      </c>
      <c r="B2063" s="62" t="s">
        <v>1683</v>
      </c>
      <c r="C2063" s="62" t="s">
        <v>1684</v>
      </c>
      <c r="D2063" s="63">
        <v>45627</v>
      </c>
      <c r="E2063" s="63">
        <v>46905</v>
      </c>
      <c r="F2063" s="62" t="s">
        <v>1939</v>
      </c>
      <c r="G2063" s="62" t="s">
        <v>304</v>
      </c>
      <c r="H2063" s="62" t="s">
        <v>489</v>
      </c>
      <c r="I2063" s="64">
        <v>132082</v>
      </c>
      <c r="J2063" s="62" t="s">
        <v>2505</v>
      </c>
      <c r="K2063" s="62" t="s">
        <v>489</v>
      </c>
      <c r="L2063" s="65"/>
      <c r="M2063" s="62" t="s">
        <v>2443</v>
      </c>
      <c r="N2063" s="62" t="s">
        <v>911</v>
      </c>
      <c r="O2063" s="62" t="s">
        <v>375</v>
      </c>
      <c r="P2063" s="62" t="s">
        <v>2421</v>
      </c>
      <c r="Q2063" s="66" t="s">
        <v>1968</v>
      </c>
    </row>
    <row r="2064" spans="1:17" x14ac:dyDescent="0.3">
      <c r="A2064" s="61" t="s">
        <v>2323</v>
      </c>
      <c r="B2064" s="62" t="s">
        <v>1683</v>
      </c>
      <c r="C2064" s="62" t="s">
        <v>1684</v>
      </c>
      <c r="D2064" s="63">
        <v>45627</v>
      </c>
      <c r="E2064" s="63">
        <v>46905</v>
      </c>
      <c r="F2064" s="62" t="s">
        <v>1930</v>
      </c>
      <c r="G2064" s="62" t="s">
        <v>304</v>
      </c>
      <c r="H2064" s="62" t="s">
        <v>489</v>
      </c>
      <c r="I2064" s="64">
        <v>132082</v>
      </c>
      <c r="J2064" s="62" t="s">
        <v>2505</v>
      </c>
      <c r="K2064" s="62" t="s">
        <v>489</v>
      </c>
      <c r="L2064" s="65"/>
      <c r="M2064" s="62" t="s">
        <v>2443</v>
      </c>
      <c r="N2064" s="62" t="s">
        <v>911</v>
      </c>
      <c r="O2064" s="62" t="s">
        <v>375</v>
      </c>
      <c r="P2064" s="62" t="s">
        <v>2421</v>
      </c>
      <c r="Q2064" s="66" t="s">
        <v>1968</v>
      </c>
    </row>
    <row r="2065" spans="1:17" x14ac:dyDescent="0.3">
      <c r="A2065" s="61" t="s">
        <v>2323</v>
      </c>
      <c r="B2065" s="62" t="s">
        <v>1683</v>
      </c>
      <c r="C2065" s="62" t="s">
        <v>1684</v>
      </c>
      <c r="D2065" s="63">
        <v>45627</v>
      </c>
      <c r="E2065" s="63">
        <v>46905</v>
      </c>
      <c r="F2065" s="62" t="s">
        <v>1939</v>
      </c>
      <c r="G2065" s="62" t="s">
        <v>304</v>
      </c>
      <c r="H2065" s="62" t="s">
        <v>373</v>
      </c>
      <c r="I2065" s="64">
        <v>1056199.5</v>
      </c>
      <c r="J2065" s="62" t="s">
        <v>373</v>
      </c>
      <c r="K2065" s="62" t="s">
        <v>489</v>
      </c>
      <c r="L2065" s="65"/>
      <c r="M2065" s="62" t="s">
        <v>2443</v>
      </c>
      <c r="N2065" s="62" t="s">
        <v>911</v>
      </c>
      <c r="O2065" s="62" t="s">
        <v>375</v>
      </c>
      <c r="P2065" s="62" t="s">
        <v>2421</v>
      </c>
      <c r="Q2065" s="66" t="s">
        <v>1968</v>
      </c>
    </row>
    <row r="2066" spans="1:17" x14ac:dyDescent="0.3">
      <c r="A2066" s="61" t="s">
        <v>2323</v>
      </c>
      <c r="B2066" s="62" t="s">
        <v>1683</v>
      </c>
      <c r="C2066" s="62" t="s">
        <v>1684</v>
      </c>
      <c r="D2066" s="63">
        <v>45627</v>
      </c>
      <c r="E2066" s="63">
        <v>46905</v>
      </c>
      <c r="F2066" s="62" t="s">
        <v>1930</v>
      </c>
      <c r="G2066" s="62" t="s">
        <v>304</v>
      </c>
      <c r="H2066" s="62" t="s">
        <v>373</v>
      </c>
      <c r="I2066" s="64">
        <v>1056199.5</v>
      </c>
      <c r="J2066" s="62" t="s">
        <v>373</v>
      </c>
      <c r="K2066" s="62" t="s">
        <v>489</v>
      </c>
      <c r="L2066" s="65"/>
      <c r="M2066" s="62" t="s">
        <v>2443</v>
      </c>
      <c r="N2066" s="62" t="s">
        <v>911</v>
      </c>
      <c r="O2066" s="62" t="s">
        <v>375</v>
      </c>
      <c r="P2066" s="62" t="s">
        <v>2421</v>
      </c>
      <c r="Q2066" s="66" t="s">
        <v>1968</v>
      </c>
    </row>
    <row r="2067" spans="1:17" x14ac:dyDescent="0.3">
      <c r="A2067" s="61" t="s">
        <v>2324</v>
      </c>
      <c r="B2067" s="62" t="s">
        <v>1685</v>
      </c>
      <c r="C2067" s="62" t="s">
        <v>1686</v>
      </c>
      <c r="D2067" s="63">
        <v>45303</v>
      </c>
      <c r="E2067" s="63">
        <v>46028</v>
      </c>
      <c r="F2067" s="62" t="s">
        <v>350</v>
      </c>
      <c r="G2067" s="62" t="s">
        <v>304</v>
      </c>
      <c r="H2067" s="62" t="s">
        <v>443</v>
      </c>
      <c r="I2067" s="64">
        <v>100000</v>
      </c>
      <c r="J2067" s="62" t="s">
        <v>1668</v>
      </c>
      <c r="K2067" s="62" t="s">
        <v>377</v>
      </c>
      <c r="L2067" s="65"/>
      <c r="M2067" s="62" t="s">
        <v>424</v>
      </c>
      <c r="N2067" s="62" t="s">
        <v>374</v>
      </c>
      <c r="O2067" s="62" t="s">
        <v>375</v>
      </c>
      <c r="P2067" s="62" t="s">
        <v>2421</v>
      </c>
      <c r="Q2067" s="66" t="s">
        <v>1975</v>
      </c>
    </row>
    <row r="2068" spans="1:17" x14ac:dyDescent="0.3">
      <c r="A2068" s="61" t="s">
        <v>2325</v>
      </c>
      <c r="B2068" s="62" t="s">
        <v>1687</v>
      </c>
      <c r="C2068" s="62" t="s">
        <v>1688</v>
      </c>
      <c r="D2068" s="63">
        <v>44382</v>
      </c>
      <c r="E2068" s="63">
        <v>46387</v>
      </c>
      <c r="F2068" s="62" t="s">
        <v>1959</v>
      </c>
      <c r="G2068" s="62" t="s">
        <v>304</v>
      </c>
      <c r="H2068" s="62" t="s">
        <v>443</v>
      </c>
      <c r="I2068" s="64">
        <v>20000</v>
      </c>
      <c r="J2068" s="62" t="s">
        <v>1668</v>
      </c>
      <c r="K2068" s="62" t="s">
        <v>377</v>
      </c>
      <c r="L2068" s="65"/>
      <c r="M2068" s="62" t="s">
        <v>424</v>
      </c>
      <c r="N2068" s="62" t="s">
        <v>743</v>
      </c>
      <c r="O2068" s="62" t="s">
        <v>744</v>
      </c>
      <c r="P2068" s="62" t="s">
        <v>2421</v>
      </c>
      <c r="Q2068" s="66" t="s">
        <v>1971</v>
      </c>
    </row>
    <row r="2069" spans="1:17" x14ac:dyDescent="0.3">
      <c r="A2069" s="61" t="s">
        <v>2325</v>
      </c>
      <c r="B2069" s="62" t="s">
        <v>1687</v>
      </c>
      <c r="C2069" s="62" t="s">
        <v>1688</v>
      </c>
      <c r="D2069" s="63">
        <v>44382</v>
      </c>
      <c r="E2069" s="63">
        <v>46387</v>
      </c>
      <c r="F2069" s="62" t="s">
        <v>1936</v>
      </c>
      <c r="G2069" s="62" t="s">
        <v>304</v>
      </c>
      <c r="H2069" s="62" t="s">
        <v>443</v>
      </c>
      <c r="I2069" s="64">
        <v>20000</v>
      </c>
      <c r="J2069" s="62" t="s">
        <v>1668</v>
      </c>
      <c r="K2069" s="62" t="s">
        <v>377</v>
      </c>
      <c r="L2069" s="65"/>
      <c r="M2069" s="62" t="s">
        <v>424</v>
      </c>
      <c r="N2069" s="62" t="s">
        <v>743</v>
      </c>
      <c r="O2069" s="62" t="s">
        <v>744</v>
      </c>
      <c r="P2069" s="62" t="s">
        <v>2421</v>
      </c>
      <c r="Q2069" s="66" t="s">
        <v>1971</v>
      </c>
    </row>
    <row r="2070" spans="1:17" x14ac:dyDescent="0.3">
      <c r="A2070" s="61" t="s">
        <v>2325</v>
      </c>
      <c r="B2070" s="62" t="s">
        <v>1687</v>
      </c>
      <c r="C2070" s="62" t="s">
        <v>1688</v>
      </c>
      <c r="D2070" s="63">
        <v>44382</v>
      </c>
      <c r="E2070" s="63">
        <v>46387</v>
      </c>
      <c r="F2070" s="62" t="s">
        <v>1945</v>
      </c>
      <c r="G2070" s="62" t="s">
        <v>304</v>
      </c>
      <c r="H2070" s="62" t="s">
        <v>443</v>
      </c>
      <c r="I2070" s="64">
        <v>20000</v>
      </c>
      <c r="J2070" s="62" t="s">
        <v>1668</v>
      </c>
      <c r="K2070" s="62" t="s">
        <v>377</v>
      </c>
      <c r="L2070" s="65"/>
      <c r="M2070" s="62" t="s">
        <v>424</v>
      </c>
      <c r="N2070" s="62" t="s">
        <v>743</v>
      </c>
      <c r="O2070" s="62" t="s">
        <v>744</v>
      </c>
      <c r="P2070" s="62" t="s">
        <v>2421</v>
      </c>
      <c r="Q2070" s="66" t="s">
        <v>1971</v>
      </c>
    </row>
    <row r="2071" spans="1:17" x14ac:dyDescent="0.3">
      <c r="A2071" s="61" t="s">
        <v>2326</v>
      </c>
      <c r="B2071" s="62" t="s">
        <v>1689</v>
      </c>
      <c r="C2071" s="62" t="s">
        <v>1226</v>
      </c>
      <c r="D2071" s="63">
        <v>45748</v>
      </c>
      <c r="E2071" s="63">
        <v>46112</v>
      </c>
      <c r="F2071" s="62" t="s">
        <v>1931</v>
      </c>
      <c r="G2071" s="62" t="s">
        <v>304</v>
      </c>
      <c r="H2071" s="62" t="s">
        <v>608</v>
      </c>
      <c r="I2071" s="64">
        <v>89444.444444444394</v>
      </c>
      <c r="J2071" s="62" t="s">
        <v>609</v>
      </c>
      <c r="K2071" s="62" t="s">
        <v>1957</v>
      </c>
      <c r="L2071" s="65"/>
      <c r="M2071" s="62" t="s">
        <v>2465</v>
      </c>
      <c r="N2071" s="62" t="s">
        <v>1227</v>
      </c>
      <c r="O2071" s="62" t="s">
        <v>596</v>
      </c>
      <c r="P2071" s="62" t="s">
        <v>2421</v>
      </c>
      <c r="Q2071" s="66" t="s">
        <v>1985</v>
      </c>
    </row>
    <row r="2072" spans="1:17" x14ac:dyDescent="0.3">
      <c r="A2072" s="61" t="s">
        <v>2326</v>
      </c>
      <c r="B2072" s="62" t="s">
        <v>1689</v>
      </c>
      <c r="C2072" s="62" t="s">
        <v>1226</v>
      </c>
      <c r="D2072" s="63">
        <v>45748</v>
      </c>
      <c r="E2072" s="63">
        <v>46112</v>
      </c>
      <c r="F2072" s="62" t="s">
        <v>282</v>
      </c>
      <c r="G2072" s="62" t="s">
        <v>304</v>
      </c>
      <c r="H2072" s="62" t="s">
        <v>608</v>
      </c>
      <c r="I2072" s="64">
        <v>89444.444444444394</v>
      </c>
      <c r="J2072" s="62" t="s">
        <v>609</v>
      </c>
      <c r="K2072" s="62" t="s">
        <v>1957</v>
      </c>
      <c r="L2072" s="65"/>
      <c r="M2072" s="62" t="s">
        <v>2465</v>
      </c>
      <c r="N2072" s="62" t="s">
        <v>1227</v>
      </c>
      <c r="O2072" s="62" t="s">
        <v>596</v>
      </c>
      <c r="P2072" s="62" t="s">
        <v>2421</v>
      </c>
      <c r="Q2072" s="66" t="s">
        <v>1985</v>
      </c>
    </row>
    <row r="2073" spans="1:17" x14ac:dyDescent="0.3">
      <c r="A2073" s="61" t="s">
        <v>2326</v>
      </c>
      <c r="B2073" s="62" t="s">
        <v>1689</v>
      </c>
      <c r="C2073" s="62" t="s">
        <v>1226</v>
      </c>
      <c r="D2073" s="63">
        <v>45748</v>
      </c>
      <c r="E2073" s="63">
        <v>46112</v>
      </c>
      <c r="F2073" s="62" t="s">
        <v>286</v>
      </c>
      <c r="G2073" s="62" t="s">
        <v>304</v>
      </c>
      <c r="H2073" s="62" t="s">
        <v>608</v>
      </c>
      <c r="I2073" s="64">
        <v>89444.444444444394</v>
      </c>
      <c r="J2073" s="62" t="s">
        <v>609</v>
      </c>
      <c r="K2073" s="62" t="s">
        <v>1957</v>
      </c>
      <c r="L2073" s="65"/>
      <c r="M2073" s="62" t="s">
        <v>2465</v>
      </c>
      <c r="N2073" s="62" t="s">
        <v>1227</v>
      </c>
      <c r="O2073" s="62" t="s">
        <v>596</v>
      </c>
      <c r="P2073" s="62" t="s">
        <v>2421</v>
      </c>
      <c r="Q2073" s="66" t="s">
        <v>1985</v>
      </c>
    </row>
    <row r="2074" spans="1:17" x14ac:dyDescent="0.3">
      <c r="A2074" s="61" t="s">
        <v>2326</v>
      </c>
      <c r="B2074" s="62" t="s">
        <v>1689</v>
      </c>
      <c r="C2074" s="62" t="s">
        <v>1226</v>
      </c>
      <c r="D2074" s="63">
        <v>45748</v>
      </c>
      <c r="E2074" s="63">
        <v>46112</v>
      </c>
      <c r="F2074" s="62" t="s">
        <v>1921</v>
      </c>
      <c r="G2074" s="62" t="s">
        <v>304</v>
      </c>
      <c r="H2074" s="62" t="s">
        <v>608</v>
      </c>
      <c r="I2074" s="64">
        <v>89444.444444444394</v>
      </c>
      <c r="J2074" s="62" t="s">
        <v>609</v>
      </c>
      <c r="K2074" s="62" t="s">
        <v>1957</v>
      </c>
      <c r="L2074" s="65"/>
      <c r="M2074" s="62" t="s">
        <v>2465</v>
      </c>
      <c r="N2074" s="62" t="s">
        <v>1227</v>
      </c>
      <c r="O2074" s="62" t="s">
        <v>596</v>
      </c>
      <c r="P2074" s="62" t="s">
        <v>2421</v>
      </c>
      <c r="Q2074" s="66" t="s">
        <v>1985</v>
      </c>
    </row>
    <row r="2075" spans="1:17" x14ac:dyDescent="0.3">
      <c r="A2075" s="61" t="s">
        <v>2326</v>
      </c>
      <c r="B2075" s="62" t="s">
        <v>1689</v>
      </c>
      <c r="C2075" s="62" t="s">
        <v>1226</v>
      </c>
      <c r="D2075" s="63">
        <v>45748</v>
      </c>
      <c r="E2075" s="63">
        <v>46112</v>
      </c>
      <c r="F2075" s="62" t="s">
        <v>1940</v>
      </c>
      <c r="G2075" s="62" t="s">
        <v>304</v>
      </c>
      <c r="H2075" s="62" t="s">
        <v>608</v>
      </c>
      <c r="I2075" s="64">
        <v>89444.444444444394</v>
      </c>
      <c r="J2075" s="62" t="s">
        <v>609</v>
      </c>
      <c r="K2075" s="62" t="s">
        <v>1957</v>
      </c>
      <c r="L2075" s="65"/>
      <c r="M2075" s="62" t="s">
        <v>2465</v>
      </c>
      <c r="N2075" s="62" t="s">
        <v>1227</v>
      </c>
      <c r="O2075" s="62" t="s">
        <v>596</v>
      </c>
      <c r="P2075" s="62" t="s">
        <v>2421</v>
      </c>
      <c r="Q2075" s="66" t="s">
        <v>1985</v>
      </c>
    </row>
    <row r="2076" spans="1:17" x14ac:dyDescent="0.3">
      <c r="A2076" s="61" t="s">
        <v>2326</v>
      </c>
      <c r="B2076" s="62" t="s">
        <v>1689</v>
      </c>
      <c r="C2076" s="62" t="s">
        <v>1226</v>
      </c>
      <c r="D2076" s="63">
        <v>45748</v>
      </c>
      <c r="E2076" s="63">
        <v>46112</v>
      </c>
      <c r="F2076" s="62" t="s">
        <v>289</v>
      </c>
      <c r="G2076" s="62" t="s">
        <v>304</v>
      </c>
      <c r="H2076" s="62" t="s">
        <v>608</v>
      </c>
      <c r="I2076" s="64">
        <v>89444.444444444394</v>
      </c>
      <c r="J2076" s="62" t="s">
        <v>609</v>
      </c>
      <c r="K2076" s="62" t="s">
        <v>1957</v>
      </c>
      <c r="L2076" s="65"/>
      <c r="M2076" s="62" t="s">
        <v>2465</v>
      </c>
      <c r="N2076" s="62" t="s">
        <v>1227</v>
      </c>
      <c r="O2076" s="62" t="s">
        <v>596</v>
      </c>
      <c r="P2076" s="62" t="s">
        <v>2421</v>
      </c>
      <c r="Q2076" s="66" t="s">
        <v>1985</v>
      </c>
    </row>
    <row r="2077" spans="1:17" x14ac:dyDescent="0.3">
      <c r="A2077" s="61" t="s">
        <v>2326</v>
      </c>
      <c r="B2077" s="62" t="s">
        <v>1689</v>
      </c>
      <c r="C2077" s="62" t="s">
        <v>1226</v>
      </c>
      <c r="D2077" s="63">
        <v>45748</v>
      </c>
      <c r="E2077" s="63">
        <v>46112</v>
      </c>
      <c r="F2077" s="62" t="s">
        <v>348</v>
      </c>
      <c r="G2077" s="62" t="s">
        <v>304</v>
      </c>
      <c r="H2077" s="62" t="s">
        <v>608</v>
      </c>
      <c r="I2077" s="64">
        <v>89444.444444444394</v>
      </c>
      <c r="J2077" s="62" t="s">
        <v>609</v>
      </c>
      <c r="K2077" s="62" t="s">
        <v>1957</v>
      </c>
      <c r="L2077" s="65"/>
      <c r="M2077" s="62" t="s">
        <v>2465</v>
      </c>
      <c r="N2077" s="62" t="s">
        <v>1227</v>
      </c>
      <c r="O2077" s="62" t="s">
        <v>596</v>
      </c>
      <c r="P2077" s="62" t="s">
        <v>2421</v>
      </c>
      <c r="Q2077" s="66" t="s">
        <v>1985</v>
      </c>
    </row>
    <row r="2078" spans="1:17" x14ac:dyDescent="0.3">
      <c r="A2078" s="61" t="s">
        <v>2326</v>
      </c>
      <c r="B2078" s="62" t="s">
        <v>1689</v>
      </c>
      <c r="C2078" s="62" t="s">
        <v>1226</v>
      </c>
      <c r="D2078" s="63">
        <v>45748</v>
      </c>
      <c r="E2078" s="63">
        <v>46112</v>
      </c>
      <c r="F2078" s="62" t="s">
        <v>1933</v>
      </c>
      <c r="G2078" s="62" t="s">
        <v>304</v>
      </c>
      <c r="H2078" s="62" t="s">
        <v>608</v>
      </c>
      <c r="I2078" s="64">
        <v>89444.444444444394</v>
      </c>
      <c r="J2078" s="62" t="s">
        <v>609</v>
      </c>
      <c r="K2078" s="62" t="s">
        <v>1957</v>
      </c>
      <c r="L2078" s="65"/>
      <c r="M2078" s="62" t="s">
        <v>2465</v>
      </c>
      <c r="N2078" s="62" t="s">
        <v>1227</v>
      </c>
      <c r="O2078" s="62" t="s">
        <v>596</v>
      </c>
      <c r="P2078" s="62" t="s">
        <v>2421</v>
      </c>
      <c r="Q2078" s="66" t="s">
        <v>1985</v>
      </c>
    </row>
    <row r="2079" spans="1:17" x14ac:dyDescent="0.3">
      <c r="A2079" s="61" t="s">
        <v>2326</v>
      </c>
      <c r="B2079" s="62" t="s">
        <v>1689</v>
      </c>
      <c r="C2079" s="62" t="s">
        <v>1226</v>
      </c>
      <c r="D2079" s="63">
        <v>45748</v>
      </c>
      <c r="E2079" s="63">
        <v>46112</v>
      </c>
      <c r="F2079" s="62" t="s">
        <v>1937</v>
      </c>
      <c r="G2079" s="62" t="s">
        <v>304</v>
      </c>
      <c r="H2079" s="62" t="s">
        <v>608</v>
      </c>
      <c r="I2079" s="64">
        <v>89444.444444444394</v>
      </c>
      <c r="J2079" s="62" t="s">
        <v>609</v>
      </c>
      <c r="K2079" s="62" t="s">
        <v>1957</v>
      </c>
      <c r="L2079" s="65"/>
      <c r="M2079" s="62" t="s">
        <v>2465</v>
      </c>
      <c r="N2079" s="62" t="s">
        <v>1227</v>
      </c>
      <c r="O2079" s="62" t="s">
        <v>596</v>
      </c>
      <c r="P2079" s="62" t="s">
        <v>2421</v>
      </c>
      <c r="Q2079" s="66" t="s">
        <v>1985</v>
      </c>
    </row>
    <row r="2080" spans="1:17" x14ac:dyDescent="0.3">
      <c r="A2080" s="61" t="s">
        <v>2326</v>
      </c>
      <c r="B2080" s="62" t="s">
        <v>1689</v>
      </c>
      <c r="C2080" s="62" t="s">
        <v>1226</v>
      </c>
      <c r="D2080" s="63">
        <v>45748</v>
      </c>
      <c r="E2080" s="63">
        <v>46112</v>
      </c>
      <c r="F2080" s="62" t="s">
        <v>1943</v>
      </c>
      <c r="G2080" s="62" t="s">
        <v>304</v>
      </c>
      <c r="H2080" s="62" t="s">
        <v>608</v>
      </c>
      <c r="I2080" s="64">
        <v>89444.444444444394</v>
      </c>
      <c r="J2080" s="62" t="s">
        <v>609</v>
      </c>
      <c r="K2080" s="62" t="s">
        <v>1957</v>
      </c>
      <c r="L2080" s="65"/>
      <c r="M2080" s="62" t="s">
        <v>2465</v>
      </c>
      <c r="N2080" s="62" t="s">
        <v>1227</v>
      </c>
      <c r="O2080" s="62" t="s">
        <v>596</v>
      </c>
      <c r="P2080" s="62" t="s">
        <v>2421</v>
      </c>
      <c r="Q2080" s="66" t="s">
        <v>1985</v>
      </c>
    </row>
    <row r="2081" spans="1:17" x14ac:dyDescent="0.3">
      <c r="A2081" s="61" t="s">
        <v>2326</v>
      </c>
      <c r="B2081" s="62" t="s">
        <v>1689</v>
      </c>
      <c r="C2081" s="62" t="s">
        <v>1226</v>
      </c>
      <c r="D2081" s="63">
        <v>45748</v>
      </c>
      <c r="E2081" s="63">
        <v>46112</v>
      </c>
      <c r="F2081" s="62" t="s">
        <v>1939</v>
      </c>
      <c r="G2081" s="62" t="s">
        <v>304</v>
      </c>
      <c r="H2081" s="62" t="s">
        <v>608</v>
      </c>
      <c r="I2081" s="64">
        <v>89444.444444444394</v>
      </c>
      <c r="J2081" s="62" t="s">
        <v>609</v>
      </c>
      <c r="K2081" s="62" t="s">
        <v>1957</v>
      </c>
      <c r="L2081" s="65"/>
      <c r="M2081" s="62" t="s">
        <v>2465</v>
      </c>
      <c r="N2081" s="62" t="s">
        <v>1227</v>
      </c>
      <c r="O2081" s="62" t="s">
        <v>596</v>
      </c>
      <c r="P2081" s="62" t="s">
        <v>2421</v>
      </c>
      <c r="Q2081" s="66" t="s">
        <v>1985</v>
      </c>
    </row>
    <row r="2082" spans="1:17" x14ac:dyDescent="0.3">
      <c r="A2082" s="61" t="s">
        <v>2326</v>
      </c>
      <c r="B2082" s="62" t="s">
        <v>1689</v>
      </c>
      <c r="C2082" s="62" t="s">
        <v>1226</v>
      </c>
      <c r="D2082" s="63">
        <v>45748</v>
      </c>
      <c r="E2082" s="63">
        <v>46112</v>
      </c>
      <c r="F2082" s="62" t="s">
        <v>1944</v>
      </c>
      <c r="G2082" s="62" t="s">
        <v>304</v>
      </c>
      <c r="H2082" s="62" t="s">
        <v>608</v>
      </c>
      <c r="I2082" s="64">
        <v>89444.444444444394</v>
      </c>
      <c r="J2082" s="62" t="s">
        <v>609</v>
      </c>
      <c r="K2082" s="62" t="s">
        <v>1957</v>
      </c>
      <c r="L2082" s="65"/>
      <c r="M2082" s="62" t="s">
        <v>2465</v>
      </c>
      <c r="N2082" s="62" t="s">
        <v>1227</v>
      </c>
      <c r="O2082" s="62" t="s">
        <v>596</v>
      </c>
      <c r="P2082" s="62" t="s">
        <v>2421</v>
      </c>
      <c r="Q2082" s="66" t="s">
        <v>1985</v>
      </c>
    </row>
    <row r="2083" spans="1:17" x14ac:dyDescent="0.3">
      <c r="A2083" s="61" t="s">
        <v>2326</v>
      </c>
      <c r="B2083" s="62" t="s">
        <v>1689</v>
      </c>
      <c r="C2083" s="62" t="s">
        <v>1226</v>
      </c>
      <c r="D2083" s="63">
        <v>45748</v>
      </c>
      <c r="E2083" s="63">
        <v>46112</v>
      </c>
      <c r="F2083" s="62" t="s">
        <v>1930</v>
      </c>
      <c r="G2083" s="62" t="s">
        <v>304</v>
      </c>
      <c r="H2083" s="62" t="s">
        <v>608</v>
      </c>
      <c r="I2083" s="64">
        <v>89444.444444444394</v>
      </c>
      <c r="J2083" s="62" t="s">
        <v>609</v>
      </c>
      <c r="K2083" s="62" t="s">
        <v>1957</v>
      </c>
      <c r="L2083" s="65"/>
      <c r="M2083" s="62" t="s">
        <v>2465</v>
      </c>
      <c r="N2083" s="62" t="s">
        <v>1227</v>
      </c>
      <c r="O2083" s="62" t="s">
        <v>596</v>
      </c>
      <c r="P2083" s="62" t="s">
        <v>2421</v>
      </c>
      <c r="Q2083" s="66" t="s">
        <v>1985</v>
      </c>
    </row>
    <row r="2084" spans="1:17" x14ac:dyDescent="0.3">
      <c r="A2084" s="61" t="s">
        <v>2326</v>
      </c>
      <c r="B2084" s="62" t="s">
        <v>1689</v>
      </c>
      <c r="C2084" s="62" t="s">
        <v>1226</v>
      </c>
      <c r="D2084" s="63">
        <v>45748</v>
      </c>
      <c r="E2084" s="63">
        <v>46112</v>
      </c>
      <c r="F2084" s="62" t="s">
        <v>284</v>
      </c>
      <c r="G2084" s="62" t="s">
        <v>304</v>
      </c>
      <c r="H2084" s="62" t="s">
        <v>608</v>
      </c>
      <c r="I2084" s="64">
        <v>89444.444444444394</v>
      </c>
      <c r="J2084" s="62" t="s">
        <v>609</v>
      </c>
      <c r="K2084" s="62" t="s">
        <v>1957</v>
      </c>
      <c r="L2084" s="65"/>
      <c r="M2084" s="62" t="s">
        <v>2465</v>
      </c>
      <c r="N2084" s="62" t="s">
        <v>1227</v>
      </c>
      <c r="O2084" s="62" t="s">
        <v>596</v>
      </c>
      <c r="P2084" s="62" t="s">
        <v>2421</v>
      </c>
      <c r="Q2084" s="66" t="s">
        <v>1985</v>
      </c>
    </row>
    <row r="2085" spans="1:17" x14ac:dyDescent="0.3">
      <c r="A2085" s="61" t="s">
        <v>2326</v>
      </c>
      <c r="B2085" s="62" t="s">
        <v>1689</v>
      </c>
      <c r="C2085" s="62" t="s">
        <v>1226</v>
      </c>
      <c r="D2085" s="63">
        <v>45748</v>
      </c>
      <c r="E2085" s="63">
        <v>46112</v>
      </c>
      <c r="F2085" s="62" t="s">
        <v>1942</v>
      </c>
      <c r="G2085" s="62" t="s">
        <v>304</v>
      </c>
      <c r="H2085" s="62" t="s">
        <v>608</v>
      </c>
      <c r="I2085" s="64">
        <v>89444.444444444394</v>
      </c>
      <c r="J2085" s="62" t="s">
        <v>609</v>
      </c>
      <c r="K2085" s="62" t="s">
        <v>1957</v>
      </c>
      <c r="L2085" s="65"/>
      <c r="M2085" s="62" t="s">
        <v>2465</v>
      </c>
      <c r="N2085" s="62" t="s">
        <v>1227</v>
      </c>
      <c r="O2085" s="62" t="s">
        <v>596</v>
      </c>
      <c r="P2085" s="62" t="s">
        <v>2421</v>
      </c>
      <c r="Q2085" s="66" t="s">
        <v>1985</v>
      </c>
    </row>
    <row r="2086" spans="1:17" x14ac:dyDescent="0.3">
      <c r="A2086" s="61" t="s">
        <v>2326</v>
      </c>
      <c r="B2086" s="62" t="s">
        <v>1689</v>
      </c>
      <c r="C2086" s="62" t="s">
        <v>1226</v>
      </c>
      <c r="D2086" s="63">
        <v>45748</v>
      </c>
      <c r="E2086" s="63">
        <v>46112</v>
      </c>
      <c r="F2086" s="62" t="s">
        <v>288</v>
      </c>
      <c r="G2086" s="62" t="s">
        <v>304</v>
      </c>
      <c r="H2086" s="62" t="s">
        <v>608</v>
      </c>
      <c r="I2086" s="64">
        <v>89444.444444444394</v>
      </c>
      <c r="J2086" s="62" t="s">
        <v>609</v>
      </c>
      <c r="K2086" s="62" t="s">
        <v>1957</v>
      </c>
      <c r="L2086" s="65"/>
      <c r="M2086" s="62" t="s">
        <v>2465</v>
      </c>
      <c r="N2086" s="62" t="s">
        <v>1227</v>
      </c>
      <c r="O2086" s="62" t="s">
        <v>596</v>
      </c>
      <c r="P2086" s="62" t="s">
        <v>2421</v>
      </c>
      <c r="Q2086" s="66" t="s">
        <v>1985</v>
      </c>
    </row>
    <row r="2087" spans="1:17" x14ac:dyDescent="0.3">
      <c r="A2087" s="61" t="s">
        <v>2326</v>
      </c>
      <c r="B2087" s="62" t="s">
        <v>1689</v>
      </c>
      <c r="C2087" s="62" t="s">
        <v>1226</v>
      </c>
      <c r="D2087" s="63">
        <v>45748</v>
      </c>
      <c r="E2087" s="63">
        <v>46112</v>
      </c>
      <c r="F2087" s="62" t="s">
        <v>1960</v>
      </c>
      <c r="G2087" s="62" t="s">
        <v>304</v>
      </c>
      <c r="H2087" s="62" t="s">
        <v>608</v>
      </c>
      <c r="I2087" s="64">
        <v>89444.444444444394</v>
      </c>
      <c r="J2087" s="62" t="s">
        <v>609</v>
      </c>
      <c r="K2087" s="62" t="s">
        <v>1957</v>
      </c>
      <c r="L2087" s="65"/>
      <c r="M2087" s="62" t="s">
        <v>2465</v>
      </c>
      <c r="N2087" s="62" t="s">
        <v>1227</v>
      </c>
      <c r="O2087" s="62" t="s">
        <v>596</v>
      </c>
      <c r="P2087" s="62" t="s">
        <v>2421</v>
      </c>
      <c r="Q2087" s="66" t="s">
        <v>1985</v>
      </c>
    </row>
    <row r="2088" spans="1:17" x14ac:dyDescent="0.3">
      <c r="A2088" s="61" t="s">
        <v>2326</v>
      </c>
      <c r="B2088" s="62" t="s">
        <v>1689</v>
      </c>
      <c r="C2088" s="62" t="s">
        <v>1226</v>
      </c>
      <c r="D2088" s="63">
        <v>45748</v>
      </c>
      <c r="E2088" s="63">
        <v>46112</v>
      </c>
      <c r="F2088" s="62" t="s">
        <v>1945</v>
      </c>
      <c r="G2088" s="62" t="s">
        <v>304</v>
      </c>
      <c r="H2088" s="62" t="s">
        <v>608</v>
      </c>
      <c r="I2088" s="64">
        <v>89444.444444444394</v>
      </c>
      <c r="J2088" s="62" t="s">
        <v>609</v>
      </c>
      <c r="K2088" s="62" t="s">
        <v>1957</v>
      </c>
      <c r="L2088" s="65"/>
      <c r="M2088" s="62" t="s">
        <v>2465</v>
      </c>
      <c r="N2088" s="62" t="s">
        <v>1227</v>
      </c>
      <c r="O2088" s="62" t="s">
        <v>596</v>
      </c>
      <c r="P2088" s="62" t="s">
        <v>2421</v>
      </c>
      <c r="Q2088" s="66" t="s">
        <v>1985</v>
      </c>
    </row>
    <row r="2089" spans="1:17" x14ac:dyDescent="0.3">
      <c r="A2089" s="61" t="s">
        <v>2327</v>
      </c>
      <c r="B2089" s="62" t="s">
        <v>1691</v>
      </c>
      <c r="C2089" s="62" t="s">
        <v>1692</v>
      </c>
      <c r="D2089" s="63">
        <v>45260</v>
      </c>
      <c r="E2089" s="63">
        <v>46752</v>
      </c>
      <c r="F2089" s="62" t="s">
        <v>1939</v>
      </c>
      <c r="G2089" s="62" t="s">
        <v>304</v>
      </c>
      <c r="H2089" s="62" t="s">
        <v>443</v>
      </c>
      <c r="I2089" s="64">
        <v>117569</v>
      </c>
      <c r="J2089" s="62" t="s">
        <v>939</v>
      </c>
      <c r="K2089" s="62" t="s">
        <v>377</v>
      </c>
      <c r="L2089" s="65"/>
      <c r="M2089" s="62" t="s">
        <v>825</v>
      </c>
      <c r="N2089" s="62" t="s">
        <v>370</v>
      </c>
      <c r="O2089" s="62" t="s">
        <v>371</v>
      </c>
      <c r="P2089" s="62" t="s">
        <v>2421</v>
      </c>
      <c r="Q2089" s="66" t="s">
        <v>1969</v>
      </c>
    </row>
    <row r="2090" spans="1:17" x14ac:dyDescent="0.3">
      <c r="A2090" s="61" t="s">
        <v>2328</v>
      </c>
      <c r="B2090" s="62" t="s">
        <v>1694</v>
      </c>
      <c r="C2090" s="62" t="s">
        <v>1695</v>
      </c>
      <c r="D2090" s="63">
        <v>45643</v>
      </c>
      <c r="E2090" s="63">
        <v>46373</v>
      </c>
      <c r="F2090" s="62" t="s">
        <v>350</v>
      </c>
      <c r="G2090" s="62" t="s">
        <v>304</v>
      </c>
      <c r="H2090" s="62" t="s">
        <v>373</v>
      </c>
      <c r="I2090" s="64">
        <v>4788399</v>
      </c>
      <c r="J2090" s="62" t="s">
        <v>1696</v>
      </c>
      <c r="K2090" s="62" t="s">
        <v>1693</v>
      </c>
      <c r="L2090" s="65"/>
      <c r="M2090" s="62" t="s">
        <v>2465</v>
      </c>
      <c r="N2090" s="62" t="s">
        <v>1697</v>
      </c>
      <c r="O2090" s="62" t="s">
        <v>596</v>
      </c>
      <c r="P2090" s="62" t="s">
        <v>2421</v>
      </c>
      <c r="Q2090" s="66" t="s">
        <v>1973</v>
      </c>
    </row>
    <row r="2091" spans="1:17" x14ac:dyDescent="0.3">
      <c r="A2091" s="61" t="s">
        <v>2329</v>
      </c>
      <c r="B2091" s="62" t="s">
        <v>1698</v>
      </c>
      <c r="C2091" s="62" t="s">
        <v>1699</v>
      </c>
      <c r="D2091" s="63">
        <v>45488</v>
      </c>
      <c r="E2091" s="63">
        <v>46218</v>
      </c>
      <c r="F2091" s="62" t="s">
        <v>1940</v>
      </c>
      <c r="G2091" s="62" t="s">
        <v>304</v>
      </c>
      <c r="H2091" s="62" t="s">
        <v>2420</v>
      </c>
      <c r="I2091" s="64">
        <v>450000</v>
      </c>
      <c r="J2091" s="62" t="s">
        <v>2453</v>
      </c>
      <c r="K2091" s="62" t="s">
        <v>1962</v>
      </c>
      <c r="L2091" s="65"/>
      <c r="M2091" s="62" t="s">
        <v>2465</v>
      </c>
      <c r="N2091" s="62" t="s">
        <v>644</v>
      </c>
      <c r="O2091" s="62" t="s">
        <v>371</v>
      </c>
      <c r="P2091" s="62" t="s">
        <v>2421</v>
      </c>
      <c r="Q2091" s="66" t="s">
        <v>1972</v>
      </c>
    </row>
    <row r="2092" spans="1:17" x14ac:dyDescent="0.3">
      <c r="A2092" s="61" t="s">
        <v>2330</v>
      </c>
      <c r="B2092" s="62" t="s">
        <v>1700</v>
      </c>
      <c r="C2092" s="62" t="s">
        <v>1701</v>
      </c>
      <c r="D2092" s="63">
        <v>45456</v>
      </c>
      <c r="E2092" s="63">
        <v>46673</v>
      </c>
      <c r="F2092" s="62" t="s">
        <v>350</v>
      </c>
      <c r="G2092" s="62" t="s">
        <v>304</v>
      </c>
      <c r="H2092" s="62" t="s">
        <v>2426</v>
      </c>
      <c r="I2092" s="64">
        <v>289138</v>
      </c>
      <c r="J2092" s="62" t="s">
        <v>601</v>
      </c>
      <c r="K2092" s="62" t="s">
        <v>377</v>
      </c>
      <c r="L2092" s="65"/>
      <c r="M2092" s="62" t="s">
        <v>1518</v>
      </c>
      <c r="N2092" s="62" t="s">
        <v>949</v>
      </c>
      <c r="O2092" s="62" t="s">
        <v>309</v>
      </c>
      <c r="P2092" s="62" t="s">
        <v>2421</v>
      </c>
      <c r="Q2092" s="66" t="s">
        <v>1971</v>
      </c>
    </row>
    <row r="2093" spans="1:17" x14ac:dyDescent="0.3">
      <c r="A2093" s="61" t="s">
        <v>2331</v>
      </c>
      <c r="B2093" s="62" t="s">
        <v>1702</v>
      </c>
      <c r="C2093" s="62" t="s">
        <v>1703</v>
      </c>
      <c r="D2093" s="63">
        <v>44927</v>
      </c>
      <c r="E2093" s="63">
        <v>46537</v>
      </c>
      <c r="F2093" s="62" t="s">
        <v>350</v>
      </c>
      <c r="G2093" s="62" t="s">
        <v>304</v>
      </c>
      <c r="H2093" s="62" t="s">
        <v>2422</v>
      </c>
      <c r="I2093" s="64">
        <v>334630</v>
      </c>
      <c r="J2093" s="62" t="s">
        <v>1704</v>
      </c>
      <c r="K2093" s="62" t="s">
        <v>311</v>
      </c>
      <c r="L2093" s="65"/>
      <c r="M2093" s="62" t="s">
        <v>1518</v>
      </c>
      <c r="N2093" s="62" t="s">
        <v>755</v>
      </c>
      <c r="O2093" s="62" t="s">
        <v>365</v>
      </c>
      <c r="P2093" s="62" t="s">
        <v>2421</v>
      </c>
      <c r="Q2093" s="66" t="s">
        <v>1971</v>
      </c>
    </row>
    <row r="2094" spans="1:17" x14ac:dyDescent="0.3">
      <c r="A2094" s="61" t="s">
        <v>2332</v>
      </c>
      <c r="B2094" s="62" t="s">
        <v>1705</v>
      </c>
      <c r="C2094" s="62" t="s">
        <v>1706</v>
      </c>
      <c r="D2094" s="63">
        <v>45444</v>
      </c>
      <c r="E2094" s="63">
        <v>46356</v>
      </c>
      <c r="F2094" s="62" t="s">
        <v>350</v>
      </c>
      <c r="G2094" s="62" t="s">
        <v>304</v>
      </c>
      <c r="H2094" s="62" t="s">
        <v>362</v>
      </c>
      <c r="I2094" s="64">
        <v>477900</v>
      </c>
      <c r="J2094" s="62" t="s">
        <v>1707</v>
      </c>
      <c r="K2094" s="62" t="s">
        <v>1957</v>
      </c>
      <c r="L2094" s="65"/>
      <c r="M2094" s="62" t="s">
        <v>424</v>
      </c>
      <c r="N2094" s="62" t="s">
        <v>971</v>
      </c>
      <c r="O2094" s="62" t="s">
        <v>358</v>
      </c>
      <c r="P2094" s="62" t="s">
        <v>2421</v>
      </c>
      <c r="Q2094" s="66" t="s">
        <v>1975</v>
      </c>
    </row>
    <row r="2095" spans="1:17" x14ac:dyDescent="0.3">
      <c r="A2095" s="61" t="s">
        <v>2333</v>
      </c>
      <c r="B2095" s="62" t="s">
        <v>1708</v>
      </c>
      <c r="C2095" s="62" t="s">
        <v>1692</v>
      </c>
      <c r="D2095" s="63">
        <v>45260</v>
      </c>
      <c r="E2095" s="63">
        <v>46752</v>
      </c>
      <c r="F2095" s="62" t="s">
        <v>1934</v>
      </c>
      <c r="G2095" s="62" t="s">
        <v>304</v>
      </c>
      <c r="H2095" s="62" t="s">
        <v>443</v>
      </c>
      <c r="I2095" s="64">
        <v>699128</v>
      </c>
      <c r="J2095" s="62" t="s">
        <v>939</v>
      </c>
      <c r="K2095" s="62" t="s">
        <v>377</v>
      </c>
      <c r="L2095" s="65"/>
      <c r="M2095" s="62" t="s">
        <v>825</v>
      </c>
      <c r="N2095" s="62" t="s">
        <v>370</v>
      </c>
      <c r="O2095" s="62" t="s">
        <v>371</v>
      </c>
      <c r="P2095" s="62" t="s">
        <v>2421</v>
      </c>
      <c r="Q2095" s="66" t="s">
        <v>1969</v>
      </c>
    </row>
    <row r="2096" spans="1:17" x14ac:dyDescent="0.3">
      <c r="A2096" s="61" t="s">
        <v>2333</v>
      </c>
      <c r="B2096" s="62" t="s">
        <v>1708</v>
      </c>
      <c r="C2096" s="62" t="s">
        <v>1692</v>
      </c>
      <c r="D2096" s="63">
        <v>45260</v>
      </c>
      <c r="E2096" s="63">
        <v>46752</v>
      </c>
      <c r="F2096" s="62" t="s">
        <v>1930</v>
      </c>
      <c r="G2096" s="62" t="s">
        <v>304</v>
      </c>
      <c r="H2096" s="62" t="s">
        <v>443</v>
      </c>
      <c r="I2096" s="64">
        <v>699128</v>
      </c>
      <c r="J2096" s="62" t="s">
        <v>939</v>
      </c>
      <c r="K2096" s="62" t="s">
        <v>377</v>
      </c>
      <c r="L2096" s="65"/>
      <c r="M2096" s="62" t="s">
        <v>825</v>
      </c>
      <c r="N2096" s="62" t="s">
        <v>370</v>
      </c>
      <c r="O2096" s="62" t="s">
        <v>371</v>
      </c>
      <c r="P2096" s="62" t="s">
        <v>2421</v>
      </c>
      <c r="Q2096" s="66" t="s">
        <v>1969</v>
      </c>
    </row>
    <row r="2097" spans="1:17" x14ac:dyDescent="0.3">
      <c r="A2097" s="61" t="s">
        <v>2334</v>
      </c>
      <c r="B2097" s="62" t="s">
        <v>1709</v>
      </c>
      <c r="C2097" s="62" t="s">
        <v>1710</v>
      </c>
      <c r="D2097" s="63">
        <v>45348</v>
      </c>
      <c r="E2097" s="63">
        <v>46443</v>
      </c>
      <c r="F2097" s="62" t="s">
        <v>350</v>
      </c>
      <c r="G2097" s="62" t="s">
        <v>304</v>
      </c>
      <c r="H2097" s="62" t="s">
        <v>443</v>
      </c>
      <c r="I2097" s="64">
        <v>179593</v>
      </c>
      <c r="J2097" s="62" t="s">
        <v>939</v>
      </c>
      <c r="K2097" s="62" t="s">
        <v>377</v>
      </c>
      <c r="L2097" s="65"/>
      <c r="M2097" s="62" t="s">
        <v>1518</v>
      </c>
      <c r="N2097" s="62" t="s">
        <v>558</v>
      </c>
      <c r="O2097" s="62" t="s">
        <v>426</v>
      </c>
      <c r="P2097" s="62" t="s">
        <v>2421</v>
      </c>
      <c r="Q2097" s="66" t="s">
        <v>1970</v>
      </c>
    </row>
    <row r="2098" spans="1:17" x14ac:dyDescent="0.3">
      <c r="A2098" s="61" t="s">
        <v>2335</v>
      </c>
      <c r="B2098" s="62" t="s">
        <v>1711</v>
      </c>
      <c r="C2098" s="62" t="s">
        <v>1712</v>
      </c>
      <c r="D2098" s="63">
        <v>45536</v>
      </c>
      <c r="E2098" s="63">
        <v>46112</v>
      </c>
      <c r="F2098" s="62" t="s">
        <v>350</v>
      </c>
      <c r="G2098" s="62" t="s">
        <v>304</v>
      </c>
      <c r="H2098" s="62" t="s">
        <v>443</v>
      </c>
      <c r="I2098" s="64">
        <v>74000</v>
      </c>
      <c r="J2098" s="62" t="s">
        <v>939</v>
      </c>
      <c r="K2098" s="62" t="s">
        <v>377</v>
      </c>
      <c r="L2098" s="65"/>
      <c r="M2098" s="62" t="s">
        <v>825</v>
      </c>
      <c r="N2098" s="62" t="s">
        <v>370</v>
      </c>
      <c r="O2098" s="62" t="s">
        <v>371</v>
      </c>
      <c r="P2098" s="62" t="s">
        <v>2421</v>
      </c>
      <c r="Q2098" s="66" t="s">
        <v>1969</v>
      </c>
    </row>
    <row r="2099" spans="1:17" x14ac:dyDescent="0.3">
      <c r="A2099" s="61" t="s">
        <v>2336</v>
      </c>
      <c r="B2099" s="62" t="s">
        <v>1713</v>
      </c>
      <c r="C2099" s="62" t="s">
        <v>1714</v>
      </c>
      <c r="D2099" s="63">
        <v>45505</v>
      </c>
      <c r="E2099" s="63">
        <v>46600</v>
      </c>
      <c r="F2099" s="62" t="s">
        <v>1987</v>
      </c>
      <c r="G2099" s="62" t="s">
        <v>962</v>
      </c>
      <c r="H2099" s="62" t="s">
        <v>521</v>
      </c>
      <c r="I2099" s="64">
        <v>1377166</v>
      </c>
      <c r="J2099" s="62" t="s">
        <v>522</v>
      </c>
      <c r="K2099" s="62" t="s">
        <v>521</v>
      </c>
      <c r="L2099" s="65"/>
      <c r="M2099" s="62" t="s">
        <v>1518</v>
      </c>
      <c r="N2099" s="62" t="s">
        <v>960</v>
      </c>
      <c r="O2099" s="62" t="s">
        <v>358</v>
      </c>
      <c r="P2099" s="62" t="s">
        <v>2421</v>
      </c>
      <c r="Q2099" s="66" t="s">
        <v>1971</v>
      </c>
    </row>
    <row r="2100" spans="1:17" x14ac:dyDescent="0.3">
      <c r="A2100" s="61" t="s">
        <v>2336</v>
      </c>
      <c r="B2100" s="62" t="s">
        <v>1713</v>
      </c>
      <c r="C2100" s="62" t="s">
        <v>1714</v>
      </c>
      <c r="D2100" s="63">
        <v>45505</v>
      </c>
      <c r="E2100" s="63">
        <v>46600</v>
      </c>
      <c r="F2100" s="62" t="s">
        <v>1916</v>
      </c>
      <c r="G2100" s="62" t="s">
        <v>630</v>
      </c>
      <c r="H2100" s="62" t="s">
        <v>521</v>
      </c>
      <c r="I2100" s="64">
        <v>1377166</v>
      </c>
      <c r="J2100" s="62" t="s">
        <v>522</v>
      </c>
      <c r="K2100" s="62" t="s">
        <v>521</v>
      </c>
      <c r="L2100" s="65"/>
      <c r="M2100" s="62" t="s">
        <v>1518</v>
      </c>
      <c r="N2100" s="62" t="s">
        <v>960</v>
      </c>
      <c r="O2100" s="62" t="s">
        <v>358</v>
      </c>
      <c r="P2100" s="62" t="s">
        <v>2421</v>
      </c>
      <c r="Q2100" s="66" t="s">
        <v>1971</v>
      </c>
    </row>
    <row r="2101" spans="1:17" x14ac:dyDescent="0.3">
      <c r="A2101" s="61" t="s">
        <v>2337</v>
      </c>
      <c r="B2101" s="62" t="s">
        <v>1715</v>
      </c>
      <c r="C2101" s="62" t="s">
        <v>1716</v>
      </c>
      <c r="D2101" s="63">
        <v>45293</v>
      </c>
      <c r="E2101" s="63">
        <v>46142</v>
      </c>
      <c r="F2101" s="62" t="s">
        <v>282</v>
      </c>
      <c r="G2101" s="62" t="s">
        <v>304</v>
      </c>
      <c r="H2101" s="62" t="s">
        <v>638</v>
      </c>
      <c r="I2101" s="64">
        <v>166163</v>
      </c>
      <c r="J2101" s="62" t="s">
        <v>645</v>
      </c>
      <c r="K2101" s="62" t="s">
        <v>638</v>
      </c>
      <c r="L2101" s="65"/>
      <c r="M2101" s="62" t="s">
        <v>825</v>
      </c>
      <c r="N2101" s="62" t="s">
        <v>2424</v>
      </c>
      <c r="O2101" s="62" t="s">
        <v>426</v>
      </c>
      <c r="P2101" s="62" t="s">
        <v>2421</v>
      </c>
      <c r="Q2101" s="66" t="s">
        <v>1970</v>
      </c>
    </row>
    <row r="2102" spans="1:17" x14ac:dyDescent="0.3">
      <c r="A2102" s="61" t="s">
        <v>2337</v>
      </c>
      <c r="B2102" s="62" t="s">
        <v>1715</v>
      </c>
      <c r="C2102" s="62" t="s">
        <v>1716</v>
      </c>
      <c r="D2102" s="63">
        <v>45293</v>
      </c>
      <c r="E2102" s="63">
        <v>46142</v>
      </c>
      <c r="F2102" s="62" t="s">
        <v>286</v>
      </c>
      <c r="G2102" s="62" t="s">
        <v>304</v>
      </c>
      <c r="H2102" s="62" t="s">
        <v>638</v>
      </c>
      <c r="I2102" s="64">
        <v>166163</v>
      </c>
      <c r="J2102" s="62" t="s">
        <v>645</v>
      </c>
      <c r="K2102" s="62" t="s">
        <v>638</v>
      </c>
      <c r="L2102" s="65"/>
      <c r="M2102" s="62" t="s">
        <v>825</v>
      </c>
      <c r="N2102" s="62" t="s">
        <v>2424</v>
      </c>
      <c r="O2102" s="62" t="s">
        <v>426</v>
      </c>
      <c r="P2102" s="62" t="s">
        <v>2421</v>
      </c>
      <c r="Q2102" s="66" t="s">
        <v>1970</v>
      </c>
    </row>
    <row r="2103" spans="1:17" x14ac:dyDescent="0.3">
      <c r="A2103" s="61" t="s">
        <v>2337</v>
      </c>
      <c r="B2103" s="62" t="s">
        <v>1715</v>
      </c>
      <c r="C2103" s="62" t="s">
        <v>1716</v>
      </c>
      <c r="D2103" s="63">
        <v>45293</v>
      </c>
      <c r="E2103" s="63">
        <v>46142</v>
      </c>
      <c r="F2103" s="62" t="s">
        <v>289</v>
      </c>
      <c r="G2103" s="62" t="s">
        <v>304</v>
      </c>
      <c r="H2103" s="62" t="s">
        <v>638</v>
      </c>
      <c r="I2103" s="64">
        <v>166163</v>
      </c>
      <c r="J2103" s="62" t="s">
        <v>645</v>
      </c>
      <c r="K2103" s="62" t="s">
        <v>638</v>
      </c>
      <c r="L2103" s="65"/>
      <c r="M2103" s="62" t="s">
        <v>825</v>
      </c>
      <c r="N2103" s="62" t="s">
        <v>2424</v>
      </c>
      <c r="O2103" s="62" t="s">
        <v>426</v>
      </c>
      <c r="P2103" s="62" t="s">
        <v>2421</v>
      </c>
      <c r="Q2103" s="66" t="s">
        <v>1970</v>
      </c>
    </row>
    <row r="2104" spans="1:17" x14ac:dyDescent="0.3">
      <c r="A2104" s="61" t="s">
        <v>2338</v>
      </c>
      <c r="B2104" s="62" t="s">
        <v>1717</v>
      </c>
      <c r="C2104" s="62" t="s">
        <v>1718</v>
      </c>
      <c r="D2104" s="63">
        <v>45413</v>
      </c>
      <c r="E2104" s="63">
        <v>46508</v>
      </c>
      <c r="F2104" s="62" t="s">
        <v>350</v>
      </c>
      <c r="G2104" s="62" t="s">
        <v>304</v>
      </c>
      <c r="H2104" s="62" t="s">
        <v>2422</v>
      </c>
      <c r="I2104" s="64">
        <v>194634</v>
      </c>
      <c r="J2104" s="62" t="s">
        <v>1704</v>
      </c>
      <c r="K2104" s="62" t="s">
        <v>311</v>
      </c>
      <c r="L2104" s="65"/>
      <c r="M2104" s="62" t="s">
        <v>1518</v>
      </c>
      <c r="N2104" s="62" t="s">
        <v>755</v>
      </c>
      <c r="O2104" s="62" t="s">
        <v>365</v>
      </c>
      <c r="P2104" s="62" t="s">
        <v>2421</v>
      </c>
      <c r="Q2104" s="66" t="s">
        <v>1971</v>
      </c>
    </row>
    <row r="2105" spans="1:17" x14ac:dyDescent="0.3">
      <c r="A2105" s="61" t="s">
        <v>2339</v>
      </c>
      <c r="B2105" s="62" t="s">
        <v>1719</v>
      </c>
      <c r="C2105" s="62" t="s">
        <v>1720</v>
      </c>
      <c r="D2105" s="63">
        <v>45649</v>
      </c>
      <c r="E2105" s="63">
        <v>46190</v>
      </c>
      <c r="F2105" s="62" t="s">
        <v>350</v>
      </c>
      <c r="G2105" s="62" t="s">
        <v>304</v>
      </c>
      <c r="H2105" s="62" t="s">
        <v>443</v>
      </c>
      <c r="I2105" s="64">
        <v>500000</v>
      </c>
      <c r="J2105" s="62" t="s">
        <v>1721</v>
      </c>
      <c r="K2105" s="62" t="s">
        <v>1990</v>
      </c>
      <c r="L2105" s="65"/>
      <c r="M2105" s="62" t="s">
        <v>825</v>
      </c>
      <c r="N2105" s="62" t="s">
        <v>799</v>
      </c>
      <c r="O2105" s="62" t="s">
        <v>428</v>
      </c>
      <c r="P2105" s="62" t="s">
        <v>2421</v>
      </c>
      <c r="Q2105" s="66" t="s">
        <v>2021</v>
      </c>
    </row>
    <row r="2106" spans="1:17" x14ac:dyDescent="0.3">
      <c r="A2106" s="61" t="s">
        <v>2340</v>
      </c>
      <c r="B2106" s="62" t="s">
        <v>1722</v>
      </c>
      <c r="C2106" s="62" t="s">
        <v>1723</v>
      </c>
      <c r="D2106" s="63">
        <v>45474</v>
      </c>
      <c r="E2106" s="63">
        <v>46934</v>
      </c>
      <c r="F2106" s="62" t="s">
        <v>350</v>
      </c>
      <c r="G2106" s="62" t="s">
        <v>304</v>
      </c>
      <c r="H2106" s="62" t="s">
        <v>373</v>
      </c>
      <c r="I2106" s="64">
        <v>38172</v>
      </c>
      <c r="J2106" s="62" t="s">
        <v>373</v>
      </c>
      <c r="K2106" s="62" t="s">
        <v>1693</v>
      </c>
      <c r="L2106" s="65"/>
      <c r="M2106" s="62" t="s">
        <v>424</v>
      </c>
      <c r="N2106" s="62" t="s">
        <v>416</v>
      </c>
      <c r="O2106" s="62" t="s">
        <v>417</v>
      </c>
      <c r="P2106" s="62" t="s">
        <v>2421</v>
      </c>
      <c r="Q2106" s="66" t="s">
        <v>1967</v>
      </c>
    </row>
    <row r="2107" spans="1:17" x14ac:dyDescent="0.3">
      <c r="A2107" s="61" t="s">
        <v>2341</v>
      </c>
      <c r="B2107" s="62" t="s">
        <v>1724</v>
      </c>
      <c r="C2107" s="62" t="s">
        <v>1725</v>
      </c>
      <c r="D2107" s="63">
        <v>45602</v>
      </c>
      <c r="E2107" s="63">
        <v>46697</v>
      </c>
      <c r="F2107" s="62" t="s">
        <v>1933</v>
      </c>
      <c r="G2107" s="62" t="s">
        <v>304</v>
      </c>
      <c r="H2107" s="62" t="s">
        <v>521</v>
      </c>
      <c r="I2107" s="64">
        <v>1047002.75</v>
      </c>
      <c r="J2107" s="62" t="s">
        <v>522</v>
      </c>
      <c r="K2107" s="62" t="s">
        <v>521</v>
      </c>
      <c r="L2107" s="65"/>
      <c r="M2107" s="62" t="s">
        <v>1518</v>
      </c>
      <c r="N2107" s="62" t="s">
        <v>926</v>
      </c>
      <c r="O2107" s="62" t="s">
        <v>365</v>
      </c>
      <c r="P2107" s="62" t="s">
        <v>2421</v>
      </c>
      <c r="Q2107" s="66" t="s">
        <v>1971</v>
      </c>
    </row>
    <row r="2108" spans="1:17" x14ac:dyDescent="0.3">
      <c r="A2108" s="61" t="s">
        <v>2341</v>
      </c>
      <c r="B2108" s="62" t="s">
        <v>1724</v>
      </c>
      <c r="C2108" s="62" t="s">
        <v>1725</v>
      </c>
      <c r="D2108" s="63">
        <v>45602</v>
      </c>
      <c r="E2108" s="63">
        <v>46697</v>
      </c>
      <c r="F2108" s="62" t="s">
        <v>1937</v>
      </c>
      <c r="G2108" s="62" t="s">
        <v>304</v>
      </c>
      <c r="H2108" s="62" t="s">
        <v>521</v>
      </c>
      <c r="I2108" s="64">
        <v>1047002.75</v>
      </c>
      <c r="J2108" s="62" t="s">
        <v>522</v>
      </c>
      <c r="K2108" s="62" t="s">
        <v>521</v>
      </c>
      <c r="L2108" s="65"/>
      <c r="M2108" s="62" t="s">
        <v>1518</v>
      </c>
      <c r="N2108" s="62" t="s">
        <v>926</v>
      </c>
      <c r="O2108" s="62" t="s">
        <v>365</v>
      </c>
      <c r="P2108" s="62" t="s">
        <v>2421</v>
      </c>
      <c r="Q2108" s="66" t="s">
        <v>1971</v>
      </c>
    </row>
    <row r="2109" spans="1:17" x14ac:dyDescent="0.3">
      <c r="A2109" s="61" t="s">
        <v>2341</v>
      </c>
      <c r="B2109" s="62" t="s">
        <v>1724</v>
      </c>
      <c r="C2109" s="62" t="s">
        <v>1725</v>
      </c>
      <c r="D2109" s="63">
        <v>45602</v>
      </c>
      <c r="E2109" s="63">
        <v>46697</v>
      </c>
      <c r="F2109" s="62" t="s">
        <v>1939</v>
      </c>
      <c r="G2109" s="62" t="s">
        <v>304</v>
      </c>
      <c r="H2109" s="62" t="s">
        <v>521</v>
      </c>
      <c r="I2109" s="64">
        <v>1047002.75</v>
      </c>
      <c r="J2109" s="62" t="s">
        <v>522</v>
      </c>
      <c r="K2109" s="62" t="s">
        <v>521</v>
      </c>
      <c r="L2109" s="65"/>
      <c r="M2109" s="62" t="s">
        <v>1518</v>
      </c>
      <c r="N2109" s="62" t="s">
        <v>926</v>
      </c>
      <c r="O2109" s="62" t="s">
        <v>365</v>
      </c>
      <c r="P2109" s="62" t="s">
        <v>2421</v>
      </c>
      <c r="Q2109" s="66" t="s">
        <v>1971</v>
      </c>
    </row>
    <row r="2110" spans="1:17" x14ac:dyDescent="0.3">
      <c r="A2110" s="61" t="s">
        <v>2341</v>
      </c>
      <c r="B2110" s="62" t="s">
        <v>1724</v>
      </c>
      <c r="C2110" s="62" t="s">
        <v>1725</v>
      </c>
      <c r="D2110" s="63">
        <v>45602</v>
      </c>
      <c r="E2110" s="63">
        <v>46697</v>
      </c>
      <c r="F2110" s="62" t="s">
        <v>1944</v>
      </c>
      <c r="G2110" s="62" t="s">
        <v>304</v>
      </c>
      <c r="H2110" s="62" t="s">
        <v>521</v>
      </c>
      <c r="I2110" s="64">
        <v>1047002.75</v>
      </c>
      <c r="J2110" s="62" t="s">
        <v>522</v>
      </c>
      <c r="K2110" s="62" t="s">
        <v>521</v>
      </c>
      <c r="L2110" s="65"/>
      <c r="M2110" s="62" t="s">
        <v>1518</v>
      </c>
      <c r="N2110" s="62" t="s">
        <v>926</v>
      </c>
      <c r="O2110" s="62" t="s">
        <v>365</v>
      </c>
      <c r="P2110" s="62" t="s">
        <v>2421</v>
      </c>
      <c r="Q2110" s="66" t="s">
        <v>1971</v>
      </c>
    </row>
    <row r="2111" spans="1:17" x14ac:dyDescent="0.3">
      <c r="A2111" s="61" t="s">
        <v>2342</v>
      </c>
      <c r="B2111" s="62" t="s">
        <v>1726</v>
      </c>
      <c r="C2111" s="62" t="s">
        <v>1727</v>
      </c>
      <c r="D2111" s="63">
        <v>45200</v>
      </c>
      <c r="E2111" s="63">
        <v>46387</v>
      </c>
      <c r="F2111" s="62" t="s">
        <v>350</v>
      </c>
      <c r="G2111" s="62" t="s">
        <v>304</v>
      </c>
      <c r="H2111" s="62" t="s">
        <v>362</v>
      </c>
      <c r="I2111" s="64">
        <v>463367</v>
      </c>
      <c r="J2111" s="62" t="s">
        <v>363</v>
      </c>
      <c r="K2111" s="62" t="s">
        <v>362</v>
      </c>
      <c r="L2111" s="65"/>
      <c r="M2111" s="62" t="s">
        <v>825</v>
      </c>
      <c r="N2111" s="62" t="s">
        <v>948</v>
      </c>
      <c r="O2111" s="62" t="s">
        <v>428</v>
      </c>
      <c r="P2111" s="62" t="s">
        <v>2421</v>
      </c>
      <c r="Q2111" s="66" t="s">
        <v>2021</v>
      </c>
    </row>
    <row r="2112" spans="1:17" x14ac:dyDescent="0.3">
      <c r="A2112" s="61" t="s">
        <v>2343</v>
      </c>
      <c r="B2112" s="62" t="s">
        <v>1728</v>
      </c>
      <c r="C2112" s="62" t="s">
        <v>1729</v>
      </c>
      <c r="D2112" s="63">
        <v>45444</v>
      </c>
      <c r="E2112" s="63">
        <v>46356</v>
      </c>
      <c r="F2112" s="62" t="s">
        <v>1930</v>
      </c>
      <c r="G2112" s="62" t="s">
        <v>284</v>
      </c>
      <c r="H2112" s="62" t="s">
        <v>362</v>
      </c>
      <c r="I2112" s="64">
        <v>8904.25</v>
      </c>
      <c r="J2112" s="62" t="s">
        <v>1293</v>
      </c>
      <c r="K2112" s="62" t="s">
        <v>362</v>
      </c>
      <c r="L2112" s="65"/>
      <c r="M2112" s="62" t="s">
        <v>825</v>
      </c>
      <c r="N2112" s="62" t="s">
        <v>551</v>
      </c>
      <c r="O2112" s="62" t="s">
        <v>428</v>
      </c>
      <c r="P2112" s="62" t="s">
        <v>2421</v>
      </c>
      <c r="Q2112" s="66" t="s">
        <v>2021</v>
      </c>
    </row>
    <row r="2113" spans="1:17" x14ac:dyDescent="0.3">
      <c r="A2113" s="61" t="s">
        <v>2343</v>
      </c>
      <c r="B2113" s="62" t="s">
        <v>1728</v>
      </c>
      <c r="C2113" s="62" t="s">
        <v>1729</v>
      </c>
      <c r="D2113" s="63">
        <v>45444</v>
      </c>
      <c r="E2113" s="63">
        <v>46356</v>
      </c>
      <c r="F2113" s="62" t="s">
        <v>1930</v>
      </c>
      <c r="G2113" s="62" t="s">
        <v>642</v>
      </c>
      <c r="H2113" s="62" t="s">
        <v>362</v>
      </c>
      <c r="I2113" s="64">
        <v>8904.25</v>
      </c>
      <c r="J2113" s="62" t="s">
        <v>1293</v>
      </c>
      <c r="K2113" s="62" t="s">
        <v>362</v>
      </c>
      <c r="L2113" s="65"/>
      <c r="M2113" s="62" t="s">
        <v>825</v>
      </c>
      <c r="N2113" s="62" t="s">
        <v>551</v>
      </c>
      <c r="O2113" s="62" t="s">
        <v>428</v>
      </c>
      <c r="P2113" s="62" t="s">
        <v>2421</v>
      </c>
      <c r="Q2113" s="66" t="s">
        <v>2021</v>
      </c>
    </row>
    <row r="2114" spans="1:17" x14ac:dyDescent="0.3">
      <c r="A2114" s="61" t="s">
        <v>2343</v>
      </c>
      <c r="B2114" s="62" t="s">
        <v>1728</v>
      </c>
      <c r="C2114" s="62" t="s">
        <v>1729</v>
      </c>
      <c r="D2114" s="63">
        <v>45444</v>
      </c>
      <c r="E2114" s="63">
        <v>46356</v>
      </c>
      <c r="F2114" s="62" t="s">
        <v>1930</v>
      </c>
      <c r="G2114" s="62" t="s">
        <v>997</v>
      </c>
      <c r="H2114" s="62" t="s">
        <v>362</v>
      </c>
      <c r="I2114" s="64">
        <v>8904.25</v>
      </c>
      <c r="J2114" s="62" t="s">
        <v>1293</v>
      </c>
      <c r="K2114" s="62" t="s">
        <v>362</v>
      </c>
      <c r="L2114" s="65"/>
      <c r="M2114" s="62" t="s">
        <v>825</v>
      </c>
      <c r="N2114" s="62" t="s">
        <v>551</v>
      </c>
      <c r="O2114" s="62" t="s">
        <v>428</v>
      </c>
      <c r="P2114" s="62" t="s">
        <v>2421</v>
      </c>
      <c r="Q2114" s="66" t="s">
        <v>2021</v>
      </c>
    </row>
    <row r="2115" spans="1:17" x14ac:dyDescent="0.3">
      <c r="A2115" s="61" t="s">
        <v>2343</v>
      </c>
      <c r="B2115" s="62" t="s">
        <v>1728</v>
      </c>
      <c r="C2115" s="62" t="s">
        <v>1729</v>
      </c>
      <c r="D2115" s="63">
        <v>45444</v>
      </c>
      <c r="E2115" s="63">
        <v>46356</v>
      </c>
      <c r="F2115" s="62" t="s">
        <v>1930</v>
      </c>
      <c r="G2115" s="62" t="s">
        <v>998</v>
      </c>
      <c r="H2115" s="62" t="s">
        <v>362</v>
      </c>
      <c r="I2115" s="64">
        <v>8904.25</v>
      </c>
      <c r="J2115" s="62" t="s">
        <v>1293</v>
      </c>
      <c r="K2115" s="62" t="s">
        <v>362</v>
      </c>
      <c r="L2115" s="65"/>
      <c r="M2115" s="62" t="s">
        <v>825</v>
      </c>
      <c r="N2115" s="62" t="s">
        <v>551</v>
      </c>
      <c r="O2115" s="62" t="s">
        <v>428</v>
      </c>
      <c r="P2115" s="62" t="s">
        <v>2421</v>
      </c>
      <c r="Q2115" s="66" t="s">
        <v>2021</v>
      </c>
    </row>
    <row r="2116" spans="1:17" x14ac:dyDescent="0.3">
      <c r="A2116" s="61" t="s">
        <v>2343</v>
      </c>
      <c r="B2116" s="62" t="s">
        <v>1728</v>
      </c>
      <c r="C2116" s="62" t="s">
        <v>1729</v>
      </c>
      <c r="D2116" s="63">
        <v>45444</v>
      </c>
      <c r="E2116" s="63">
        <v>46356</v>
      </c>
      <c r="F2116" s="62" t="s">
        <v>1941</v>
      </c>
      <c r="G2116" s="62" t="s">
        <v>310</v>
      </c>
      <c r="H2116" s="62" t="s">
        <v>362</v>
      </c>
      <c r="I2116" s="64">
        <v>11872.333333333299</v>
      </c>
      <c r="J2116" s="62" t="s">
        <v>1293</v>
      </c>
      <c r="K2116" s="62" t="s">
        <v>362</v>
      </c>
      <c r="L2116" s="65"/>
      <c r="M2116" s="62" t="s">
        <v>825</v>
      </c>
      <c r="N2116" s="62" t="s">
        <v>551</v>
      </c>
      <c r="O2116" s="62" t="s">
        <v>428</v>
      </c>
      <c r="P2116" s="62" t="s">
        <v>2421</v>
      </c>
      <c r="Q2116" s="66" t="s">
        <v>2021</v>
      </c>
    </row>
    <row r="2117" spans="1:17" x14ac:dyDescent="0.3">
      <c r="A2117" s="61" t="s">
        <v>2343</v>
      </c>
      <c r="B2117" s="62" t="s">
        <v>1728</v>
      </c>
      <c r="C2117" s="62" t="s">
        <v>1729</v>
      </c>
      <c r="D2117" s="63">
        <v>45444</v>
      </c>
      <c r="E2117" s="63">
        <v>46356</v>
      </c>
      <c r="F2117" s="62" t="s">
        <v>1941</v>
      </c>
      <c r="G2117" s="62" t="s">
        <v>319</v>
      </c>
      <c r="H2117" s="62" t="s">
        <v>362</v>
      </c>
      <c r="I2117" s="64">
        <v>11872.333333333299</v>
      </c>
      <c r="J2117" s="62" t="s">
        <v>1293</v>
      </c>
      <c r="K2117" s="62" t="s">
        <v>362</v>
      </c>
      <c r="L2117" s="65"/>
      <c r="M2117" s="62" t="s">
        <v>825</v>
      </c>
      <c r="N2117" s="62" t="s">
        <v>551</v>
      </c>
      <c r="O2117" s="62" t="s">
        <v>428</v>
      </c>
      <c r="P2117" s="62" t="s">
        <v>2421</v>
      </c>
      <c r="Q2117" s="66" t="s">
        <v>2021</v>
      </c>
    </row>
    <row r="2118" spans="1:17" x14ac:dyDescent="0.3">
      <c r="A2118" s="61" t="s">
        <v>2343</v>
      </c>
      <c r="B2118" s="62" t="s">
        <v>1728</v>
      </c>
      <c r="C2118" s="62" t="s">
        <v>1729</v>
      </c>
      <c r="D2118" s="63">
        <v>45444</v>
      </c>
      <c r="E2118" s="63">
        <v>46356</v>
      </c>
      <c r="F2118" s="62" t="s">
        <v>1941</v>
      </c>
      <c r="G2118" s="62" t="s">
        <v>325</v>
      </c>
      <c r="H2118" s="62" t="s">
        <v>362</v>
      </c>
      <c r="I2118" s="64">
        <v>11872.333333333299</v>
      </c>
      <c r="J2118" s="62" t="s">
        <v>1293</v>
      </c>
      <c r="K2118" s="62" t="s">
        <v>362</v>
      </c>
      <c r="L2118" s="65"/>
      <c r="M2118" s="62" t="s">
        <v>825</v>
      </c>
      <c r="N2118" s="62" t="s">
        <v>551</v>
      </c>
      <c r="O2118" s="62" t="s">
        <v>428</v>
      </c>
      <c r="P2118" s="62" t="s">
        <v>2421</v>
      </c>
      <c r="Q2118" s="66" t="s">
        <v>2021</v>
      </c>
    </row>
    <row r="2119" spans="1:17" x14ac:dyDescent="0.3">
      <c r="A2119" s="61" t="s">
        <v>2343</v>
      </c>
      <c r="B2119" s="62" t="s">
        <v>1728</v>
      </c>
      <c r="C2119" s="62" t="s">
        <v>1729</v>
      </c>
      <c r="D2119" s="63">
        <v>45444</v>
      </c>
      <c r="E2119" s="63">
        <v>46356</v>
      </c>
      <c r="F2119" s="62" t="s">
        <v>1921</v>
      </c>
      <c r="G2119" s="62" t="s">
        <v>484</v>
      </c>
      <c r="H2119" s="62" t="s">
        <v>362</v>
      </c>
      <c r="I2119" s="64">
        <v>17808.5</v>
      </c>
      <c r="J2119" s="62" t="s">
        <v>1293</v>
      </c>
      <c r="K2119" s="62" t="s">
        <v>362</v>
      </c>
      <c r="L2119" s="65"/>
      <c r="M2119" s="62" t="s">
        <v>825</v>
      </c>
      <c r="N2119" s="62" t="s">
        <v>551</v>
      </c>
      <c r="O2119" s="62" t="s">
        <v>428</v>
      </c>
      <c r="P2119" s="62" t="s">
        <v>2421</v>
      </c>
      <c r="Q2119" s="66" t="s">
        <v>2021</v>
      </c>
    </row>
    <row r="2120" spans="1:17" x14ac:dyDescent="0.3">
      <c r="A2120" s="61" t="s">
        <v>2343</v>
      </c>
      <c r="B2120" s="62" t="s">
        <v>1728</v>
      </c>
      <c r="C2120" s="62" t="s">
        <v>1729</v>
      </c>
      <c r="D2120" s="63">
        <v>45444</v>
      </c>
      <c r="E2120" s="63">
        <v>46356</v>
      </c>
      <c r="F2120" s="62" t="s">
        <v>1921</v>
      </c>
      <c r="G2120" s="62" t="s">
        <v>559</v>
      </c>
      <c r="H2120" s="62" t="s">
        <v>362</v>
      </c>
      <c r="I2120" s="64">
        <v>17808.5</v>
      </c>
      <c r="J2120" s="62" t="s">
        <v>1293</v>
      </c>
      <c r="K2120" s="62" t="s">
        <v>362</v>
      </c>
      <c r="L2120" s="65"/>
      <c r="M2120" s="62" t="s">
        <v>825</v>
      </c>
      <c r="N2120" s="62" t="s">
        <v>551</v>
      </c>
      <c r="O2120" s="62" t="s">
        <v>428</v>
      </c>
      <c r="P2120" s="62" t="s">
        <v>2421</v>
      </c>
      <c r="Q2120" s="66" t="s">
        <v>2021</v>
      </c>
    </row>
    <row r="2121" spans="1:17" x14ac:dyDescent="0.3">
      <c r="A2121" s="61" t="s">
        <v>2344</v>
      </c>
      <c r="B2121" s="62" t="s">
        <v>1730</v>
      </c>
      <c r="C2121" s="62" t="s">
        <v>1731</v>
      </c>
      <c r="D2121" s="63">
        <v>45292</v>
      </c>
      <c r="E2121" s="63">
        <v>46387</v>
      </c>
      <c r="F2121" s="62" t="s">
        <v>350</v>
      </c>
      <c r="G2121" s="62" t="s">
        <v>304</v>
      </c>
      <c r="H2121" s="62" t="s">
        <v>311</v>
      </c>
      <c r="I2121" s="64">
        <v>163711</v>
      </c>
      <c r="J2121" s="62" t="s">
        <v>1732</v>
      </c>
      <c r="K2121" s="62" t="s">
        <v>311</v>
      </c>
      <c r="L2121" s="65"/>
      <c r="M2121" s="62" t="s">
        <v>1518</v>
      </c>
      <c r="N2121" s="62" t="s">
        <v>1733</v>
      </c>
      <c r="O2121" s="62" t="s">
        <v>358</v>
      </c>
      <c r="P2121" s="62" t="s">
        <v>2421</v>
      </c>
      <c r="Q2121" s="66" t="s">
        <v>1971</v>
      </c>
    </row>
    <row r="2122" spans="1:17" x14ac:dyDescent="0.3">
      <c r="A2122" s="61" t="s">
        <v>2345</v>
      </c>
      <c r="B2122" s="62" t="s">
        <v>1734</v>
      </c>
      <c r="C2122" s="62" t="s">
        <v>1735</v>
      </c>
      <c r="D2122" s="63">
        <v>45078</v>
      </c>
      <c r="E2122" s="63">
        <v>46173</v>
      </c>
      <c r="F2122" s="62" t="s">
        <v>1945</v>
      </c>
      <c r="G2122" s="62" t="s">
        <v>304</v>
      </c>
      <c r="H2122" s="62" t="s">
        <v>362</v>
      </c>
      <c r="I2122" s="64">
        <v>4133546</v>
      </c>
      <c r="J2122" s="62" t="s">
        <v>363</v>
      </c>
      <c r="K2122" s="62" t="s">
        <v>362</v>
      </c>
      <c r="L2122" s="65"/>
      <c r="M2122" s="62" t="s">
        <v>825</v>
      </c>
      <c r="N2122" s="62" t="s">
        <v>640</v>
      </c>
      <c r="O2122" s="62" t="s">
        <v>417</v>
      </c>
      <c r="P2122" s="62" t="s">
        <v>2421</v>
      </c>
      <c r="Q2122" s="66" t="s">
        <v>2021</v>
      </c>
    </row>
    <row r="2123" spans="1:17" x14ac:dyDescent="0.3">
      <c r="A2123" s="61" t="s">
        <v>2346</v>
      </c>
      <c r="B2123" s="62" t="s">
        <v>2506</v>
      </c>
      <c r="C2123" s="62" t="s">
        <v>1736</v>
      </c>
      <c r="D2123" s="63">
        <v>45444</v>
      </c>
      <c r="E2123" s="63">
        <v>46235</v>
      </c>
      <c r="F2123" s="62" t="s">
        <v>286</v>
      </c>
      <c r="G2123" s="62" t="s">
        <v>304</v>
      </c>
      <c r="H2123" s="62" t="s">
        <v>362</v>
      </c>
      <c r="I2123" s="64">
        <v>271425.5</v>
      </c>
      <c r="J2123" s="62" t="s">
        <v>1293</v>
      </c>
      <c r="K2123" s="62" t="s">
        <v>362</v>
      </c>
      <c r="L2123" s="65"/>
      <c r="M2123" s="62" t="s">
        <v>825</v>
      </c>
      <c r="N2123" s="62" t="s">
        <v>442</v>
      </c>
      <c r="O2123" s="62" t="s">
        <v>315</v>
      </c>
      <c r="P2123" s="62" t="s">
        <v>2421</v>
      </c>
      <c r="Q2123" s="66" t="s">
        <v>1969</v>
      </c>
    </row>
    <row r="2124" spans="1:17" x14ac:dyDescent="0.3">
      <c r="A2124" s="61" t="s">
        <v>2346</v>
      </c>
      <c r="B2124" s="62" t="s">
        <v>2506</v>
      </c>
      <c r="C2124" s="62" t="s">
        <v>1736</v>
      </c>
      <c r="D2124" s="63">
        <v>45444</v>
      </c>
      <c r="E2124" s="63">
        <v>46235</v>
      </c>
      <c r="F2124" s="62" t="s">
        <v>1921</v>
      </c>
      <c r="G2124" s="62" t="s">
        <v>304</v>
      </c>
      <c r="H2124" s="62" t="s">
        <v>362</v>
      </c>
      <c r="I2124" s="64">
        <v>271425.5</v>
      </c>
      <c r="J2124" s="62" t="s">
        <v>1293</v>
      </c>
      <c r="K2124" s="62" t="s">
        <v>362</v>
      </c>
      <c r="L2124" s="65"/>
      <c r="M2124" s="62" t="s">
        <v>825</v>
      </c>
      <c r="N2124" s="62" t="s">
        <v>442</v>
      </c>
      <c r="O2124" s="62" t="s">
        <v>315</v>
      </c>
      <c r="P2124" s="62" t="s">
        <v>2421</v>
      </c>
      <c r="Q2124" s="66" t="s">
        <v>1969</v>
      </c>
    </row>
    <row r="2125" spans="1:17" x14ac:dyDescent="0.3">
      <c r="A2125" s="61" t="s">
        <v>2346</v>
      </c>
      <c r="B2125" s="62" t="s">
        <v>2506</v>
      </c>
      <c r="C2125" s="62" t="s">
        <v>1736</v>
      </c>
      <c r="D2125" s="63">
        <v>45444</v>
      </c>
      <c r="E2125" s="63">
        <v>46235</v>
      </c>
      <c r="F2125" s="62" t="s">
        <v>289</v>
      </c>
      <c r="G2125" s="62" t="s">
        <v>304</v>
      </c>
      <c r="H2125" s="62" t="s">
        <v>362</v>
      </c>
      <c r="I2125" s="64">
        <v>271425.5</v>
      </c>
      <c r="J2125" s="62" t="s">
        <v>1293</v>
      </c>
      <c r="K2125" s="62" t="s">
        <v>362</v>
      </c>
      <c r="L2125" s="65"/>
      <c r="M2125" s="62" t="s">
        <v>825</v>
      </c>
      <c r="N2125" s="62" t="s">
        <v>442</v>
      </c>
      <c r="O2125" s="62" t="s">
        <v>315</v>
      </c>
      <c r="P2125" s="62" t="s">
        <v>2421</v>
      </c>
      <c r="Q2125" s="66" t="s">
        <v>1969</v>
      </c>
    </row>
    <row r="2126" spans="1:17" x14ac:dyDescent="0.3">
      <c r="A2126" s="61" t="s">
        <v>2346</v>
      </c>
      <c r="B2126" s="62" t="s">
        <v>2506</v>
      </c>
      <c r="C2126" s="62" t="s">
        <v>1736</v>
      </c>
      <c r="D2126" s="63">
        <v>45444</v>
      </c>
      <c r="E2126" s="63">
        <v>46235</v>
      </c>
      <c r="F2126" s="62" t="s">
        <v>284</v>
      </c>
      <c r="G2126" s="62" t="s">
        <v>304</v>
      </c>
      <c r="H2126" s="62" t="s">
        <v>362</v>
      </c>
      <c r="I2126" s="64">
        <v>271425.5</v>
      </c>
      <c r="J2126" s="62" t="s">
        <v>1293</v>
      </c>
      <c r="K2126" s="62" t="s">
        <v>362</v>
      </c>
      <c r="L2126" s="65"/>
      <c r="M2126" s="62" t="s">
        <v>825</v>
      </c>
      <c r="N2126" s="62" t="s">
        <v>442</v>
      </c>
      <c r="O2126" s="62" t="s">
        <v>315</v>
      </c>
      <c r="P2126" s="62" t="s">
        <v>2421</v>
      </c>
      <c r="Q2126" s="66" t="s">
        <v>1969</v>
      </c>
    </row>
    <row r="2127" spans="1:17" x14ac:dyDescent="0.3">
      <c r="A2127" s="61" t="s">
        <v>2347</v>
      </c>
      <c r="B2127" s="62" t="s">
        <v>1737</v>
      </c>
      <c r="C2127" s="62" t="s">
        <v>1738</v>
      </c>
      <c r="D2127" s="63">
        <v>45464</v>
      </c>
      <c r="E2127" s="63">
        <v>46326</v>
      </c>
      <c r="F2127" s="62" t="s">
        <v>1940</v>
      </c>
      <c r="G2127" s="62" t="s">
        <v>304</v>
      </c>
      <c r="H2127" s="62" t="s">
        <v>489</v>
      </c>
      <c r="I2127" s="64">
        <v>173714.5</v>
      </c>
      <c r="J2127" s="62" t="s">
        <v>984</v>
      </c>
      <c r="K2127" s="62" t="s">
        <v>489</v>
      </c>
      <c r="L2127" s="65"/>
      <c r="M2127" s="62" t="s">
        <v>1518</v>
      </c>
      <c r="N2127" s="62" t="s">
        <v>314</v>
      </c>
      <c r="O2127" s="62" t="s">
        <v>315</v>
      </c>
      <c r="P2127" s="62" t="s">
        <v>2421</v>
      </c>
      <c r="Q2127" s="66" t="s">
        <v>1971</v>
      </c>
    </row>
    <row r="2128" spans="1:17" x14ac:dyDescent="0.3">
      <c r="A2128" s="61" t="s">
        <v>2347</v>
      </c>
      <c r="B2128" s="62" t="s">
        <v>1737</v>
      </c>
      <c r="C2128" s="62" t="s">
        <v>1738</v>
      </c>
      <c r="D2128" s="63">
        <v>45464</v>
      </c>
      <c r="E2128" s="63">
        <v>46326</v>
      </c>
      <c r="F2128" s="62" t="s">
        <v>348</v>
      </c>
      <c r="G2128" s="62" t="s">
        <v>304</v>
      </c>
      <c r="H2128" s="62" t="s">
        <v>489</v>
      </c>
      <c r="I2128" s="64">
        <v>173714.5</v>
      </c>
      <c r="J2128" s="62" t="s">
        <v>984</v>
      </c>
      <c r="K2128" s="62" t="s">
        <v>489</v>
      </c>
      <c r="L2128" s="65"/>
      <c r="M2128" s="62" t="s">
        <v>1518</v>
      </c>
      <c r="N2128" s="62" t="s">
        <v>314</v>
      </c>
      <c r="O2128" s="62" t="s">
        <v>315</v>
      </c>
      <c r="P2128" s="62" t="s">
        <v>2421</v>
      </c>
      <c r="Q2128" s="66" t="s">
        <v>1971</v>
      </c>
    </row>
    <row r="2129" spans="1:17" x14ac:dyDescent="0.3">
      <c r="A2129" s="61" t="s">
        <v>2348</v>
      </c>
      <c r="B2129" s="62" t="s">
        <v>1739</v>
      </c>
      <c r="C2129" s="62" t="s">
        <v>1740</v>
      </c>
      <c r="D2129" s="63">
        <v>45293</v>
      </c>
      <c r="E2129" s="63">
        <v>46112</v>
      </c>
      <c r="F2129" s="62" t="s">
        <v>350</v>
      </c>
      <c r="G2129" s="62" t="s">
        <v>304</v>
      </c>
      <c r="H2129" s="62" t="s">
        <v>638</v>
      </c>
      <c r="I2129" s="64">
        <v>235136</v>
      </c>
      <c r="J2129" s="62" t="s">
        <v>645</v>
      </c>
      <c r="K2129" s="62" t="s">
        <v>638</v>
      </c>
      <c r="L2129" s="65"/>
      <c r="M2129" s="62" t="s">
        <v>825</v>
      </c>
      <c r="N2129" s="62" t="s">
        <v>370</v>
      </c>
      <c r="O2129" s="62" t="s">
        <v>371</v>
      </c>
      <c r="P2129" s="62" t="s">
        <v>2421</v>
      </c>
      <c r="Q2129" s="66" t="s">
        <v>1978</v>
      </c>
    </row>
    <row r="2130" spans="1:17" x14ac:dyDescent="0.3">
      <c r="A2130" s="61" t="s">
        <v>2349</v>
      </c>
      <c r="B2130" s="62" t="s">
        <v>1741</v>
      </c>
      <c r="C2130" s="62" t="s">
        <v>1742</v>
      </c>
      <c r="D2130" s="63">
        <v>45231</v>
      </c>
      <c r="E2130" s="63">
        <v>46327</v>
      </c>
      <c r="F2130" s="62" t="s">
        <v>1935</v>
      </c>
      <c r="G2130" s="62" t="s">
        <v>304</v>
      </c>
      <c r="H2130" s="62" t="s">
        <v>362</v>
      </c>
      <c r="I2130" s="64">
        <v>426376</v>
      </c>
      <c r="J2130" s="62" t="s">
        <v>363</v>
      </c>
      <c r="K2130" s="62" t="s">
        <v>362</v>
      </c>
      <c r="L2130" s="65"/>
      <c r="M2130" s="62" t="s">
        <v>1518</v>
      </c>
      <c r="N2130" s="62" t="s">
        <v>960</v>
      </c>
      <c r="O2130" s="62" t="s">
        <v>358</v>
      </c>
      <c r="P2130" s="62" t="s">
        <v>2421</v>
      </c>
      <c r="Q2130" s="66" t="s">
        <v>1971</v>
      </c>
    </row>
    <row r="2131" spans="1:17" x14ac:dyDescent="0.3">
      <c r="A2131" s="61" t="s">
        <v>2350</v>
      </c>
      <c r="B2131" s="62" t="s">
        <v>1743</v>
      </c>
      <c r="C2131" s="62" t="s">
        <v>1744</v>
      </c>
      <c r="D2131" s="63">
        <v>45292</v>
      </c>
      <c r="E2131" s="63">
        <v>46568</v>
      </c>
      <c r="F2131" s="62" t="s">
        <v>350</v>
      </c>
      <c r="G2131" s="62" t="s">
        <v>304</v>
      </c>
      <c r="H2131" s="62" t="s">
        <v>638</v>
      </c>
      <c r="I2131" s="64">
        <v>282164</v>
      </c>
      <c r="J2131" s="62" t="s">
        <v>645</v>
      </c>
      <c r="K2131" s="62" t="s">
        <v>638</v>
      </c>
      <c r="L2131" s="65"/>
      <c r="M2131" s="62" t="s">
        <v>1518</v>
      </c>
      <c r="N2131" s="62" t="s">
        <v>364</v>
      </c>
      <c r="O2131" s="62" t="s">
        <v>365</v>
      </c>
      <c r="P2131" s="62" t="s">
        <v>2421</v>
      </c>
      <c r="Q2131" s="66" t="s">
        <v>1974</v>
      </c>
    </row>
    <row r="2132" spans="1:17" x14ac:dyDescent="0.3">
      <c r="A2132" s="61" t="s">
        <v>2351</v>
      </c>
      <c r="B2132" s="62" t="s">
        <v>1745</v>
      </c>
      <c r="C2132" s="62" t="s">
        <v>1746</v>
      </c>
      <c r="D2132" s="63">
        <v>45292</v>
      </c>
      <c r="E2132" s="63">
        <v>46477</v>
      </c>
      <c r="F2132" s="62" t="s">
        <v>350</v>
      </c>
      <c r="G2132" s="62" t="s">
        <v>304</v>
      </c>
      <c r="H2132" s="62" t="s">
        <v>638</v>
      </c>
      <c r="I2132" s="64">
        <v>235136</v>
      </c>
      <c r="J2132" s="62" t="s">
        <v>645</v>
      </c>
      <c r="K2132" s="62" t="s">
        <v>638</v>
      </c>
      <c r="L2132" s="65"/>
      <c r="M2132" s="62" t="s">
        <v>825</v>
      </c>
      <c r="N2132" s="62" t="s">
        <v>1218</v>
      </c>
      <c r="O2132" s="62" t="s">
        <v>596</v>
      </c>
      <c r="P2132" s="62" t="s">
        <v>2421</v>
      </c>
      <c r="Q2132" s="66" t="s">
        <v>1972</v>
      </c>
    </row>
    <row r="2133" spans="1:17" x14ac:dyDescent="0.3">
      <c r="A2133" s="61" t="s">
        <v>2352</v>
      </c>
      <c r="B2133" s="62" t="s">
        <v>1747</v>
      </c>
      <c r="C2133" s="62" t="s">
        <v>1748</v>
      </c>
      <c r="D2133" s="63">
        <v>45642</v>
      </c>
      <c r="E2133" s="63">
        <v>47118</v>
      </c>
      <c r="F2133" s="62" t="s">
        <v>282</v>
      </c>
      <c r="G2133" s="62" t="s">
        <v>283</v>
      </c>
      <c r="H2133" s="62" t="s">
        <v>521</v>
      </c>
      <c r="I2133" s="64">
        <v>3152096</v>
      </c>
      <c r="J2133" s="62" t="s">
        <v>522</v>
      </c>
      <c r="K2133" s="62" t="s">
        <v>521</v>
      </c>
      <c r="L2133" s="65"/>
      <c r="M2133" s="62" t="s">
        <v>424</v>
      </c>
      <c r="N2133" s="62" t="s">
        <v>971</v>
      </c>
      <c r="O2133" s="62" t="s">
        <v>358</v>
      </c>
      <c r="P2133" s="62" t="s">
        <v>2421</v>
      </c>
      <c r="Q2133" s="66" t="s">
        <v>1975</v>
      </c>
    </row>
    <row r="2134" spans="1:17" x14ac:dyDescent="0.3">
      <c r="A2134" s="61" t="s">
        <v>2353</v>
      </c>
      <c r="B2134" s="62" t="s">
        <v>1749</v>
      </c>
      <c r="C2134" s="62" t="s">
        <v>1750</v>
      </c>
      <c r="D2134" s="63">
        <v>45383</v>
      </c>
      <c r="E2134" s="63">
        <v>46477</v>
      </c>
      <c r="F2134" s="62" t="s">
        <v>350</v>
      </c>
      <c r="G2134" s="62" t="s">
        <v>350</v>
      </c>
      <c r="H2134" s="62" t="s">
        <v>638</v>
      </c>
      <c r="I2134" s="64">
        <v>526705</v>
      </c>
      <c r="J2134" s="62" t="s">
        <v>645</v>
      </c>
      <c r="K2134" s="62" t="s">
        <v>638</v>
      </c>
      <c r="L2134" s="65"/>
      <c r="M2134" s="62" t="s">
        <v>2465</v>
      </c>
      <c r="N2134" s="62" t="s">
        <v>644</v>
      </c>
      <c r="O2134" s="62" t="s">
        <v>371</v>
      </c>
      <c r="P2134" s="62" t="s">
        <v>2421</v>
      </c>
      <c r="Q2134" s="66" t="s">
        <v>1986</v>
      </c>
    </row>
    <row r="2135" spans="1:17" x14ac:dyDescent="0.3">
      <c r="A2135" s="61" t="s">
        <v>2354</v>
      </c>
      <c r="B2135" s="62" t="s">
        <v>1751</v>
      </c>
      <c r="C2135" s="62" t="s">
        <v>1752</v>
      </c>
      <c r="D2135" s="63">
        <v>45525</v>
      </c>
      <c r="E2135" s="63">
        <v>46356</v>
      </c>
      <c r="F2135" s="62" t="s">
        <v>350</v>
      </c>
      <c r="G2135" s="62" t="s">
        <v>304</v>
      </c>
      <c r="H2135" s="62" t="s">
        <v>362</v>
      </c>
      <c r="I2135" s="64">
        <v>370350.3</v>
      </c>
      <c r="J2135" s="62" t="s">
        <v>1753</v>
      </c>
      <c r="K2135" s="62" t="s">
        <v>362</v>
      </c>
      <c r="L2135" s="65"/>
      <c r="M2135" s="62" t="s">
        <v>825</v>
      </c>
      <c r="N2135" s="62" t="s">
        <v>551</v>
      </c>
      <c r="O2135" s="62" t="s">
        <v>428</v>
      </c>
      <c r="P2135" s="62" t="s">
        <v>2421</v>
      </c>
      <c r="Q2135" s="66" t="s">
        <v>2021</v>
      </c>
    </row>
    <row r="2136" spans="1:17" x14ac:dyDescent="0.3">
      <c r="A2136" s="61" t="s">
        <v>2355</v>
      </c>
      <c r="B2136" s="62" t="s">
        <v>1754</v>
      </c>
      <c r="C2136" s="62" t="s">
        <v>1755</v>
      </c>
      <c r="D2136" s="63">
        <v>45231</v>
      </c>
      <c r="E2136" s="63">
        <v>46327</v>
      </c>
      <c r="F2136" s="62" t="s">
        <v>1930</v>
      </c>
      <c r="G2136" s="62" t="s">
        <v>304</v>
      </c>
      <c r="H2136" s="62" t="s">
        <v>362</v>
      </c>
      <c r="I2136" s="64">
        <v>345711</v>
      </c>
      <c r="J2136" s="62" t="s">
        <v>363</v>
      </c>
      <c r="K2136" s="62" t="s">
        <v>362</v>
      </c>
      <c r="L2136" s="65"/>
      <c r="M2136" s="62" t="s">
        <v>825</v>
      </c>
      <c r="N2136" s="62" t="s">
        <v>639</v>
      </c>
      <c r="O2136" s="62" t="s">
        <v>371</v>
      </c>
      <c r="P2136" s="62" t="s">
        <v>2421</v>
      </c>
      <c r="Q2136" s="66" t="s">
        <v>1970</v>
      </c>
    </row>
    <row r="2137" spans="1:17" x14ac:dyDescent="0.3">
      <c r="A2137" s="61" t="s">
        <v>2355</v>
      </c>
      <c r="B2137" s="62" t="s">
        <v>1754</v>
      </c>
      <c r="C2137" s="62" t="s">
        <v>1755</v>
      </c>
      <c r="D2137" s="63">
        <v>45231</v>
      </c>
      <c r="E2137" s="63">
        <v>46327</v>
      </c>
      <c r="F2137" s="62" t="s">
        <v>1959</v>
      </c>
      <c r="G2137" s="62" t="s">
        <v>304</v>
      </c>
      <c r="H2137" s="62" t="s">
        <v>362</v>
      </c>
      <c r="I2137" s="64">
        <v>345711</v>
      </c>
      <c r="J2137" s="62" t="s">
        <v>363</v>
      </c>
      <c r="K2137" s="62" t="s">
        <v>362</v>
      </c>
      <c r="L2137" s="65"/>
      <c r="M2137" s="62" t="s">
        <v>825</v>
      </c>
      <c r="N2137" s="62" t="s">
        <v>639</v>
      </c>
      <c r="O2137" s="62" t="s">
        <v>371</v>
      </c>
      <c r="P2137" s="62" t="s">
        <v>2421</v>
      </c>
      <c r="Q2137" s="66" t="s">
        <v>1970</v>
      </c>
    </row>
    <row r="2138" spans="1:17" x14ac:dyDescent="0.3">
      <c r="A2138" s="61" t="s">
        <v>2355</v>
      </c>
      <c r="B2138" s="62" t="s">
        <v>1754</v>
      </c>
      <c r="C2138" s="62" t="s">
        <v>1755</v>
      </c>
      <c r="D2138" s="63">
        <v>45231</v>
      </c>
      <c r="E2138" s="63">
        <v>46327</v>
      </c>
      <c r="F2138" s="62" t="s">
        <v>1936</v>
      </c>
      <c r="G2138" s="62" t="s">
        <v>304</v>
      </c>
      <c r="H2138" s="62" t="s">
        <v>362</v>
      </c>
      <c r="I2138" s="64">
        <v>345711</v>
      </c>
      <c r="J2138" s="62" t="s">
        <v>363</v>
      </c>
      <c r="K2138" s="62" t="s">
        <v>362</v>
      </c>
      <c r="L2138" s="65"/>
      <c r="M2138" s="62" t="s">
        <v>825</v>
      </c>
      <c r="N2138" s="62" t="s">
        <v>639</v>
      </c>
      <c r="O2138" s="62" t="s">
        <v>371</v>
      </c>
      <c r="P2138" s="62" t="s">
        <v>2421</v>
      </c>
      <c r="Q2138" s="66" t="s">
        <v>1970</v>
      </c>
    </row>
    <row r="2139" spans="1:17" x14ac:dyDescent="0.3">
      <c r="A2139" s="61" t="s">
        <v>2356</v>
      </c>
      <c r="B2139" s="62" t="s">
        <v>1756</v>
      </c>
      <c r="C2139" s="62" t="s">
        <v>1757</v>
      </c>
      <c r="D2139" s="63">
        <v>45292</v>
      </c>
      <c r="E2139" s="63">
        <v>46904</v>
      </c>
      <c r="F2139" s="62" t="s">
        <v>1987</v>
      </c>
      <c r="G2139" s="62" t="s">
        <v>304</v>
      </c>
      <c r="H2139" s="62" t="s">
        <v>638</v>
      </c>
      <c r="I2139" s="64">
        <v>73153.555555555606</v>
      </c>
      <c r="J2139" s="62" t="s">
        <v>645</v>
      </c>
      <c r="K2139" s="62" t="s">
        <v>638</v>
      </c>
      <c r="L2139" s="65"/>
      <c r="M2139" s="62" t="s">
        <v>1518</v>
      </c>
      <c r="N2139" s="62" t="s">
        <v>864</v>
      </c>
      <c r="O2139" s="62" t="s">
        <v>309</v>
      </c>
      <c r="P2139" s="62" t="s">
        <v>2421</v>
      </c>
      <c r="Q2139" s="66" t="s">
        <v>1971</v>
      </c>
    </row>
    <row r="2140" spans="1:17" x14ac:dyDescent="0.3">
      <c r="A2140" s="61" t="s">
        <v>2356</v>
      </c>
      <c r="B2140" s="62" t="s">
        <v>1756</v>
      </c>
      <c r="C2140" s="62" t="s">
        <v>1757</v>
      </c>
      <c r="D2140" s="63">
        <v>45292</v>
      </c>
      <c r="E2140" s="63">
        <v>46904</v>
      </c>
      <c r="F2140" s="62" t="s">
        <v>1935</v>
      </c>
      <c r="G2140" s="62" t="s">
        <v>304</v>
      </c>
      <c r="H2140" s="62" t="s">
        <v>638</v>
      </c>
      <c r="I2140" s="64">
        <v>73153.555555555606</v>
      </c>
      <c r="J2140" s="62" t="s">
        <v>645</v>
      </c>
      <c r="K2140" s="62" t="s">
        <v>638</v>
      </c>
      <c r="L2140" s="65"/>
      <c r="M2140" s="62" t="s">
        <v>1518</v>
      </c>
      <c r="N2140" s="62" t="s">
        <v>864</v>
      </c>
      <c r="O2140" s="62" t="s">
        <v>309</v>
      </c>
      <c r="P2140" s="62" t="s">
        <v>2421</v>
      </c>
      <c r="Q2140" s="66" t="s">
        <v>1971</v>
      </c>
    </row>
    <row r="2141" spans="1:17" x14ac:dyDescent="0.3">
      <c r="A2141" s="61" t="s">
        <v>2356</v>
      </c>
      <c r="B2141" s="62" t="s">
        <v>1756</v>
      </c>
      <c r="C2141" s="62" t="s">
        <v>1757</v>
      </c>
      <c r="D2141" s="63">
        <v>45292</v>
      </c>
      <c r="E2141" s="63">
        <v>46904</v>
      </c>
      <c r="F2141" s="62" t="s">
        <v>1921</v>
      </c>
      <c r="G2141" s="62" t="s">
        <v>304</v>
      </c>
      <c r="H2141" s="62" t="s">
        <v>638</v>
      </c>
      <c r="I2141" s="64">
        <v>73153.555555555606</v>
      </c>
      <c r="J2141" s="62" t="s">
        <v>645</v>
      </c>
      <c r="K2141" s="62" t="s">
        <v>638</v>
      </c>
      <c r="L2141" s="65"/>
      <c r="M2141" s="62" t="s">
        <v>1518</v>
      </c>
      <c r="N2141" s="62" t="s">
        <v>864</v>
      </c>
      <c r="O2141" s="62" t="s">
        <v>309</v>
      </c>
      <c r="P2141" s="62" t="s">
        <v>2421</v>
      </c>
      <c r="Q2141" s="66" t="s">
        <v>1971</v>
      </c>
    </row>
    <row r="2142" spans="1:17" x14ac:dyDescent="0.3">
      <c r="A2142" s="61" t="s">
        <v>2356</v>
      </c>
      <c r="B2142" s="62" t="s">
        <v>1756</v>
      </c>
      <c r="C2142" s="62" t="s">
        <v>1757</v>
      </c>
      <c r="D2142" s="63">
        <v>45292</v>
      </c>
      <c r="E2142" s="63">
        <v>46904</v>
      </c>
      <c r="F2142" s="62" t="s">
        <v>1916</v>
      </c>
      <c r="G2142" s="62" t="s">
        <v>304</v>
      </c>
      <c r="H2142" s="62" t="s">
        <v>638</v>
      </c>
      <c r="I2142" s="64">
        <v>73153.555555555606</v>
      </c>
      <c r="J2142" s="62" t="s">
        <v>645</v>
      </c>
      <c r="K2142" s="62" t="s">
        <v>638</v>
      </c>
      <c r="L2142" s="65"/>
      <c r="M2142" s="62" t="s">
        <v>1518</v>
      </c>
      <c r="N2142" s="62" t="s">
        <v>864</v>
      </c>
      <c r="O2142" s="62" t="s">
        <v>309</v>
      </c>
      <c r="P2142" s="62" t="s">
        <v>2421</v>
      </c>
      <c r="Q2142" s="66" t="s">
        <v>1971</v>
      </c>
    </row>
    <row r="2143" spans="1:17" x14ac:dyDescent="0.3">
      <c r="A2143" s="61" t="s">
        <v>2356</v>
      </c>
      <c r="B2143" s="62" t="s">
        <v>1756</v>
      </c>
      <c r="C2143" s="62" t="s">
        <v>1757</v>
      </c>
      <c r="D2143" s="63">
        <v>45292</v>
      </c>
      <c r="E2143" s="63">
        <v>46904</v>
      </c>
      <c r="F2143" s="62" t="s">
        <v>1934</v>
      </c>
      <c r="G2143" s="62" t="s">
        <v>304</v>
      </c>
      <c r="H2143" s="62" t="s">
        <v>638</v>
      </c>
      <c r="I2143" s="64">
        <v>73153.555555555606</v>
      </c>
      <c r="J2143" s="62" t="s">
        <v>645</v>
      </c>
      <c r="K2143" s="62" t="s">
        <v>638</v>
      </c>
      <c r="L2143" s="65"/>
      <c r="M2143" s="62" t="s">
        <v>1518</v>
      </c>
      <c r="N2143" s="62" t="s">
        <v>864</v>
      </c>
      <c r="O2143" s="62" t="s">
        <v>309</v>
      </c>
      <c r="P2143" s="62" t="s">
        <v>2421</v>
      </c>
      <c r="Q2143" s="66" t="s">
        <v>1971</v>
      </c>
    </row>
    <row r="2144" spans="1:17" x14ac:dyDescent="0.3">
      <c r="A2144" s="61" t="s">
        <v>2356</v>
      </c>
      <c r="B2144" s="62" t="s">
        <v>1756</v>
      </c>
      <c r="C2144" s="62" t="s">
        <v>1757</v>
      </c>
      <c r="D2144" s="63">
        <v>45292</v>
      </c>
      <c r="E2144" s="63">
        <v>46904</v>
      </c>
      <c r="F2144" s="62" t="s">
        <v>1958</v>
      </c>
      <c r="G2144" s="62" t="s">
        <v>304</v>
      </c>
      <c r="H2144" s="62" t="s">
        <v>638</v>
      </c>
      <c r="I2144" s="64">
        <v>73153.555555555606</v>
      </c>
      <c r="J2144" s="62" t="s">
        <v>645</v>
      </c>
      <c r="K2144" s="62" t="s">
        <v>638</v>
      </c>
      <c r="L2144" s="65"/>
      <c r="M2144" s="62" t="s">
        <v>1518</v>
      </c>
      <c r="N2144" s="62" t="s">
        <v>864</v>
      </c>
      <c r="O2144" s="62" t="s">
        <v>309</v>
      </c>
      <c r="P2144" s="62" t="s">
        <v>2421</v>
      </c>
      <c r="Q2144" s="66" t="s">
        <v>1971</v>
      </c>
    </row>
    <row r="2145" spans="1:17" x14ac:dyDescent="0.3">
      <c r="A2145" s="61" t="s">
        <v>2356</v>
      </c>
      <c r="B2145" s="62" t="s">
        <v>1756</v>
      </c>
      <c r="C2145" s="62" t="s">
        <v>1757</v>
      </c>
      <c r="D2145" s="63">
        <v>45292</v>
      </c>
      <c r="E2145" s="63">
        <v>46904</v>
      </c>
      <c r="F2145" s="62" t="s">
        <v>1938</v>
      </c>
      <c r="G2145" s="62" t="s">
        <v>304</v>
      </c>
      <c r="H2145" s="62" t="s">
        <v>638</v>
      </c>
      <c r="I2145" s="64">
        <v>73153.555555555606</v>
      </c>
      <c r="J2145" s="62" t="s">
        <v>645</v>
      </c>
      <c r="K2145" s="62" t="s">
        <v>638</v>
      </c>
      <c r="L2145" s="65"/>
      <c r="M2145" s="62" t="s">
        <v>1518</v>
      </c>
      <c r="N2145" s="62" t="s">
        <v>864</v>
      </c>
      <c r="O2145" s="62" t="s">
        <v>309</v>
      </c>
      <c r="P2145" s="62" t="s">
        <v>2421</v>
      </c>
      <c r="Q2145" s="66" t="s">
        <v>1971</v>
      </c>
    </row>
    <row r="2146" spans="1:17" x14ac:dyDescent="0.3">
      <c r="A2146" s="61" t="s">
        <v>2356</v>
      </c>
      <c r="B2146" s="62" t="s">
        <v>1756</v>
      </c>
      <c r="C2146" s="62" t="s">
        <v>1757</v>
      </c>
      <c r="D2146" s="63">
        <v>45292</v>
      </c>
      <c r="E2146" s="63">
        <v>46904</v>
      </c>
      <c r="F2146" s="62" t="s">
        <v>1936</v>
      </c>
      <c r="G2146" s="62" t="s">
        <v>304</v>
      </c>
      <c r="H2146" s="62" t="s">
        <v>638</v>
      </c>
      <c r="I2146" s="64">
        <v>73153.555555555606</v>
      </c>
      <c r="J2146" s="62" t="s">
        <v>645</v>
      </c>
      <c r="K2146" s="62" t="s">
        <v>638</v>
      </c>
      <c r="L2146" s="65"/>
      <c r="M2146" s="62" t="s">
        <v>1518</v>
      </c>
      <c r="N2146" s="62" t="s">
        <v>864</v>
      </c>
      <c r="O2146" s="62" t="s">
        <v>309</v>
      </c>
      <c r="P2146" s="62" t="s">
        <v>2421</v>
      </c>
      <c r="Q2146" s="66" t="s">
        <v>1971</v>
      </c>
    </row>
    <row r="2147" spans="1:17" x14ac:dyDescent="0.3">
      <c r="A2147" s="61" t="s">
        <v>2356</v>
      </c>
      <c r="B2147" s="62" t="s">
        <v>1756</v>
      </c>
      <c r="C2147" s="62" t="s">
        <v>1757</v>
      </c>
      <c r="D2147" s="63">
        <v>45292</v>
      </c>
      <c r="E2147" s="63">
        <v>46904</v>
      </c>
      <c r="F2147" s="62" t="s">
        <v>287</v>
      </c>
      <c r="G2147" s="62" t="s">
        <v>304</v>
      </c>
      <c r="H2147" s="62" t="s">
        <v>638</v>
      </c>
      <c r="I2147" s="64">
        <v>73153.555555555606</v>
      </c>
      <c r="J2147" s="62" t="s">
        <v>645</v>
      </c>
      <c r="K2147" s="62" t="s">
        <v>638</v>
      </c>
      <c r="L2147" s="65"/>
      <c r="M2147" s="62" t="s">
        <v>1518</v>
      </c>
      <c r="N2147" s="62" t="s">
        <v>864</v>
      </c>
      <c r="O2147" s="62" t="s">
        <v>309</v>
      </c>
      <c r="P2147" s="62" t="s">
        <v>2421</v>
      </c>
      <c r="Q2147" s="66" t="s">
        <v>1971</v>
      </c>
    </row>
    <row r="2148" spans="1:17" x14ac:dyDescent="0.3">
      <c r="A2148" s="61" t="s">
        <v>2357</v>
      </c>
      <c r="B2148" s="62" t="s">
        <v>1758</v>
      </c>
      <c r="C2148" s="62" t="s">
        <v>1759</v>
      </c>
      <c r="D2148" s="63">
        <v>45302</v>
      </c>
      <c r="E2148" s="63">
        <v>46104</v>
      </c>
      <c r="F2148" s="62" t="s">
        <v>1959</v>
      </c>
      <c r="G2148" s="62" t="s">
        <v>582</v>
      </c>
      <c r="H2148" s="62" t="s">
        <v>443</v>
      </c>
      <c r="I2148" s="64">
        <v>33616.375</v>
      </c>
      <c r="J2148" s="62" t="s">
        <v>939</v>
      </c>
      <c r="K2148" s="62" t="s">
        <v>377</v>
      </c>
      <c r="L2148" s="65"/>
      <c r="M2148" s="62" t="s">
        <v>825</v>
      </c>
      <c r="N2148" s="62" t="s">
        <v>639</v>
      </c>
      <c r="O2148" s="62" t="s">
        <v>371</v>
      </c>
      <c r="P2148" s="62" t="s">
        <v>2421</v>
      </c>
      <c r="Q2148" s="66" t="s">
        <v>2021</v>
      </c>
    </row>
    <row r="2149" spans="1:17" x14ac:dyDescent="0.3">
      <c r="A2149" s="61" t="s">
        <v>2357</v>
      </c>
      <c r="B2149" s="62" t="s">
        <v>1758</v>
      </c>
      <c r="C2149" s="62" t="s">
        <v>1759</v>
      </c>
      <c r="D2149" s="63">
        <v>45302</v>
      </c>
      <c r="E2149" s="63">
        <v>46104</v>
      </c>
      <c r="F2149" s="62" t="s">
        <v>1959</v>
      </c>
      <c r="G2149" s="62" t="s">
        <v>679</v>
      </c>
      <c r="H2149" s="62" t="s">
        <v>443</v>
      </c>
      <c r="I2149" s="64">
        <v>33616.375</v>
      </c>
      <c r="J2149" s="62" t="s">
        <v>939</v>
      </c>
      <c r="K2149" s="62" t="s">
        <v>377</v>
      </c>
      <c r="L2149" s="65"/>
      <c r="M2149" s="62" t="s">
        <v>825</v>
      </c>
      <c r="N2149" s="62" t="s">
        <v>639</v>
      </c>
      <c r="O2149" s="62" t="s">
        <v>371</v>
      </c>
      <c r="P2149" s="62" t="s">
        <v>2421</v>
      </c>
      <c r="Q2149" s="66" t="s">
        <v>2021</v>
      </c>
    </row>
    <row r="2150" spans="1:17" x14ac:dyDescent="0.3">
      <c r="A2150" s="61" t="s">
        <v>2357</v>
      </c>
      <c r="B2150" s="62" t="s">
        <v>1758</v>
      </c>
      <c r="C2150" s="62" t="s">
        <v>1759</v>
      </c>
      <c r="D2150" s="63">
        <v>45302</v>
      </c>
      <c r="E2150" s="63">
        <v>46104</v>
      </c>
      <c r="F2150" s="62" t="s">
        <v>1959</v>
      </c>
      <c r="G2150" s="62" t="s">
        <v>586</v>
      </c>
      <c r="H2150" s="62" t="s">
        <v>443</v>
      </c>
      <c r="I2150" s="64">
        <v>33616.375</v>
      </c>
      <c r="J2150" s="62" t="s">
        <v>939</v>
      </c>
      <c r="K2150" s="62" t="s">
        <v>377</v>
      </c>
      <c r="L2150" s="65"/>
      <c r="M2150" s="62" t="s">
        <v>825</v>
      </c>
      <c r="N2150" s="62" t="s">
        <v>639</v>
      </c>
      <c r="O2150" s="62" t="s">
        <v>371</v>
      </c>
      <c r="P2150" s="62" t="s">
        <v>2421</v>
      </c>
      <c r="Q2150" s="66" t="s">
        <v>2021</v>
      </c>
    </row>
    <row r="2151" spans="1:17" x14ac:dyDescent="0.3">
      <c r="A2151" s="61" t="s">
        <v>2357</v>
      </c>
      <c r="B2151" s="62" t="s">
        <v>1758</v>
      </c>
      <c r="C2151" s="62" t="s">
        <v>1759</v>
      </c>
      <c r="D2151" s="63">
        <v>45302</v>
      </c>
      <c r="E2151" s="63">
        <v>46104</v>
      </c>
      <c r="F2151" s="62" t="s">
        <v>1959</v>
      </c>
      <c r="G2151" s="62" t="s">
        <v>808</v>
      </c>
      <c r="H2151" s="62" t="s">
        <v>443</v>
      </c>
      <c r="I2151" s="64">
        <v>33616.375</v>
      </c>
      <c r="J2151" s="62" t="s">
        <v>939</v>
      </c>
      <c r="K2151" s="62" t="s">
        <v>377</v>
      </c>
      <c r="L2151" s="65"/>
      <c r="M2151" s="62" t="s">
        <v>825</v>
      </c>
      <c r="N2151" s="62" t="s">
        <v>639</v>
      </c>
      <c r="O2151" s="62" t="s">
        <v>371</v>
      </c>
      <c r="P2151" s="62" t="s">
        <v>2421</v>
      </c>
      <c r="Q2151" s="66" t="s">
        <v>2021</v>
      </c>
    </row>
    <row r="2152" spans="1:17" x14ac:dyDescent="0.3">
      <c r="A2152" s="61" t="s">
        <v>2357</v>
      </c>
      <c r="B2152" s="62" t="s">
        <v>1758</v>
      </c>
      <c r="C2152" s="62" t="s">
        <v>1759</v>
      </c>
      <c r="D2152" s="63">
        <v>45302</v>
      </c>
      <c r="E2152" s="63">
        <v>46104</v>
      </c>
      <c r="F2152" s="62" t="s">
        <v>1945</v>
      </c>
      <c r="G2152" s="62" t="s">
        <v>404</v>
      </c>
      <c r="H2152" s="62" t="s">
        <v>443</v>
      </c>
      <c r="I2152" s="64">
        <v>134465.5</v>
      </c>
      <c r="J2152" s="62" t="s">
        <v>939</v>
      </c>
      <c r="K2152" s="62" t="s">
        <v>377</v>
      </c>
      <c r="L2152" s="65"/>
      <c r="M2152" s="62" t="s">
        <v>825</v>
      </c>
      <c r="N2152" s="62" t="s">
        <v>639</v>
      </c>
      <c r="O2152" s="62" t="s">
        <v>371</v>
      </c>
      <c r="P2152" s="62" t="s">
        <v>2421</v>
      </c>
      <c r="Q2152" s="66" t="s">
        <v>2021</v>
      </c>
    </row>
    <row r="2153" spans="1:17" x14ac:dyDescent="0.3">
      <c r="A2153" s="61" t="s">
        <v>2358</v>
      </c>
      <c r="B2153" s="62" t="s">
        <v>1760</v>
      </c>
      <c r="C2153" s="62" t="s">
        <v>1761</v>
      </c>
      <c r="D2153" s="63">
        <v>45627</v>
      </c>
      <c r="E2153" s="63">
        <v>46783</v>
      </c>
      <c r="F2153" s="62" t="s">
        <v>350</v>
      </c>
      <c r="G2153" s="62" t="s">
        <v>304</v>
      </c>
      <c r="H2153" s="62" t="s">
        <v>362</v>
      </c>
      <c r="I2153" s="64">
        <v>1087885</v>
      </c>
      <c r="J2153" s="62" t="s">
        <v>363</v>
      </c>
      <c r="K2153" s="62" t="s">
        <v>362</v>
      </c>
      <c r="L2153" s="65"/>
      <c r="M2153" s="62" t="s">
        <v>2443</v>
      </c>
      <c r="N2153" s="62" t="s">
        <v>469</v>
      </c>
      <c r="O2153" s="62" t="s">
        <v>315</v>
      </c>
      <c r="P2153" s="62" t="s">
        <v>2421</v>
      </c>
      <c r="Q2153" s="66" t="s">
        <v>1969</v>
      </c>
    </row>
    <row r="2154" spans="1:17" x14ac:dyDescent="0.3">
      <c r="A2154" s="61" t="s">
        <v>2359</v>
      </c>
      <c r="B2154" s="62" t="s">
        <v>1762</v>
      </c>
      <c r="C2154" s="62" t="s">
        <v>1763</v>
      </c>
      <c r="D2154" s="63">
        <v>45383</v>
      </c>
      <c r="E2154" s="63">
        <v>46507</v>
      </c>
      <c r="F2154" s="62" t="s">
        <v>350</v>
      </c>
      <c r="G2154" s="62" t="s">
        <v>304</v>
      </c>
      <c r="H2154" s="62" t="s">
        <v>362</v>
      </c>
      <c r="I2154" s="64">
        <v>280727</v>
      </c>
      <c r="J2154" s="62" t="s">
        <v>363</v>
      </c>
      <c r="K2154" s="62" t="s">
        <v>362</v>
      </c>
      <c r="L2154" s="65"/>
      <c r="M2154" s="62" t="s">
        <v>825</v>
      </c>
      <c r="N2154" s="62" t="s">
        <v>663</v>
      </c>
      <c r="O2154" s="62" t="s">
        <v>371</v>
      </c>
      <c r="P2154" s="62" t="s">
        <v>2421</v>
      </c>
      <c r="Q2154" s="66" t="s">
        <v>1970</v>
      </c>
    </row>
    <row r="2155" spans="1:17" x14ac:dyDescent="0.3">
      <c r="A2155" s="61" t="s">
        <v>2360</v>
      </c>
      <c r="B2155" s="62" t="s">
        <v>1764</v>
      </c>
      <c r="C2155" s="62" t="s">
        <v>1765</v>
      </c>
      <c r="D2155" s="63">
        <v>45474</v>
      </c>
      <c r="E2155" s="63">
        <v>46234</v>
      </c>
      <c r="F2155" s="62" t="s">
        <v>1922</v>
      </c>
      <c r="G2155" s="62" t="s">
        <v>304</v>
      </c>
      <c r="H2155" s="62" t="s">
        <v>362</v>
      </c>
      <c r="I2155" s="64">
        <v>1030000</v>
      </c>
      <c r="J2155" s="62" t="s">
        <v>363</v>
      </c>
      <c r="K2155" s="62" t="s">
        <v>362</v>
      </c>
      <c r="L2155" s="65"/>
      <c r="M2155" s="62" t="s">
        <v>825</v>
      </c>
      <c r="N2155" s="62" t="s">
        <v>799</v>
      </c>
      <c r="O2155" s="62" t="s">
        <v>428</v>
      </c>
      <c r="P2155" s="62" t="s">
        <v>2421</v>
      </c>
      <c r="Q2155" s="66" t="s">
        <v>2021</v>
      </c>
    </row>
    <row r="2156" spans="1:17" x14ac:dyDescent="0.3">
      <c r="A2156" s="61" t="s">
        <v>2360</v>
      </c>
      <c r="B2156" s="62" t="s">
        <v>1764</v>
      </c>
      <c r="C2156" s="62" t="s">
        <v>1765</v>
      </c>
      <c r="D2156" s="63">
        <v>45474</v>
      </c>
      <c r="E2156" s="63">
        <v>46234</v>
      </c>
      <c r="F2156" s="62" t="s">
        <v>1959</v>
      </c>
      <c r="G2156" s="62" t="s">
        <v>304</v>
      </c>
      <c r="H2156" s="62" t="s">
        <v>362</v>
      </c>
      <c r="I2156" s="64">
        <v>1030000</v>
      </c>
      <c r="J2156" s="62" t="s">
        <v>363</v>
      </c>
      <c r="K2156" s="62" t="s">
        <v>362</v>
      </c>
      <c r="L2156" s="65"/>
      <c r="M2156" s="62" t="s">
        <v>825</v>
      </c>
      <c r="N2156" s="62" t="s">
        <v>799</v>
      </c>
      <c r="O2156" s="62" t="s">
        <v>428</v>
      </c>
      <c r="P2156" s="62" t="s">
        <v>2421</v>
      </c>
      <c r="Q2156" s="66" t="s">
        <v>2021</v>
      </c>
    </row>
    <row r="2157" spans="1:17" x14ac:dyDescent="0.3">
      <c r="A2157" s="61" t="s">
        <v>2361</v>
      </c>
      <c r="B2157" s="62" t="s">
        <v>1766</v>
      </c>
      <c r="C2157" s="62" t="s">
        <v>1767</v>
      </c>
      <c r="D2157" s="63">
        <v>45474</v>
      </c>
      <c r="E2157" s="63">
        <v>46204</v>
      </c>
      <c r="F2157" s="62" t="s">
        <v>350</v>
      </c>
      <c r="G2157" s="62" t="s">
        <v>304</v>
      </c>
      <c r="H2157" s="62" t="s">
        <v>443</v>
      </c>
      <c r="I2157" s="64">
        <v>16044.3</v>
      </c>
      <c r="J2157" s="62" t="s">
        <v>939</v>
      </c>
      <c r="K2157" s="62" t="s">
        <v>377</v>
      </c>
      <c r="L2157" s="65"/>
      <c r="M2157" s="62" t="s">
        <v>2465</v>
      </c>
      <c r="N2157" s="62" t="s">
        <v>579</v>
      </c>
      <c r="O2157" s="62" t="s">
        <v>428</v>
      </c>
      <c r="P2157" s="62" t="s">
        <v>2421</v>
      </c>
      <c r="Q2157" s="66" t="s">
        <v>2021</v>
      </c>
    </row>
    <row r="2158" spans="1:17" x14ac:dyDescent="0.3">
      <c r="A2158" s="61" t="s">
        <v>2362</v>
      </c>
      <c r="B2158" s="62" t="s">
        <v>1768</v>
      </c>
      <c r="C2158" s="62" t="s">
        <v>1769</v>
      </c>
      <c r="D2158" s="63">
        <v>45444</v>
      </c>
      <c r="E2158" s="63">
        <v>46568</v>
      </c>
      <c r="F2158" s="62" t="s">
        <v>1930</v>
      </c>
      <c r="G2158" s="62" t="s">
        <v>304</v>
      </c>
      <c r="H2158" s="62" t="s">
        <v>362</v>
      </c>
      <c r="I2158" s="64">
        <v>492040</v>
      </c>
      <c r="J2158" s="62" t="s">
        <v>363</v>
      </c>
      <c r="K2158" s="62" t="s">
        <v>362</v>
      </c>
      <c r="L2158" s="65"/>
      <c r="M2158" s="62" t="s">
        <v>825</v>
      </c>
      <c r="N2158" s="62" t="s">
        <v>948</v>
      </c>
      <c r="O2158" s="62" t="s">
        <v>428</v>
      </c>
      <c r="P2158" s="62" t="s">
        <v>2421</v>
      </c>
      <c r="Q2158" s="66" t="s">
        <v>2021</v>
      </c>
    </row>
    <row r="2159" spans="1:17" x14ac:dyDescent="0.3">
      <c r="A2159" s="61" t="s">
        <v>2363</v>
      </c>
      <c r="B2159" s="62" t="s">
        <v>1770</v>
      </c>
      <c r="C2159" s="62" t="s">
        <v>1771</v>
      </c>
      <c r="D2159" s="63">
        <v>45566</v>
      </c>
      <c r="E2159" s="63">
        <v>46691</v>
      </c>
      <c r="F2159" s="62" t="s">
        <v>1943</v>
      </c>
      <c r="G2159" s="62" t="s">
        <v>304</v>
      </c>
      <c r="H2159" s="62" t="s">
        <v>362</v>
      </c>
      <c r="I2159" s="64">
        <v>612850</v>
      </c>
      <c r="J2159" s="62" t="s">
        <v>363</v>
      </c>
      <c r="K2159" s="62" t="s">
        <v>1957</v>
      </c>
      <c r="L2159" s="65"/>
      <c r="M2159" s="62" t="s">
        <v>1518</v>
      </c>
      <c r="N2159" s="62" t="s">
        <v>616</v>
      </c>
      <c r="O2159" s="62" t="s">
        <v>459</v>
      </c>
      <c r="P2159" s="62" t="s">
        <v>2421</v>
      </c>
      <c r="Q2159" s="66" t="s">
        <v>1971</v>
      </c>
    </row>
    <row r="2160" spans="1:17" x14ac:dyDescent="0.3">
      <c r="A2160" s="61" t="s">
        <v>2364</v>
      </c>
      <c r="B2160" s="62" t="s">
        <v>1772</v>
      </c>
      <c r="C2160" s="62" t="s">
        <v>1773</v>
      </c>
      <c r="D2160" s="63">
        <v>45454</v>
      </c>
      <c r="E2160" s="63">
        <v>47848</v>
      </c>
      <c r="F2160" s="62" t="s">
        <v>350</v>
      </c>
      <c r="G2160" s="62" t="s">
        <v>304</v>
      </c>
      <c r="H2160" s="62" t="s">
        <v>533</v>
      </c>
      <c r="I2160" s="64">
        <v>468666</v>
      </c>
      <c r="J2160" s="62" t="s">
        <v>534</v>
      </c>
      <c r="K2160" s="62" t="s">
        <v>533</v>
      </c>
      <c r="L2160" s="65"/>
      <c r="M2160" s="62" t="s">
        <v>1518</v>
      </c>
      <c r="N2160" s="62" t="s">
        <v>531</v>
      </c>
      <c r="O2160" s="62" t="s">
        <v>459</v>
      </c>
      <c r="P2160" s="62" t="s">
        <v>2421</v>
      </c>
      <c r="Q2160" s="66" t="s">
        <v>1971</v>
      </c>
    </row>
    <row r="2161" spans="1:17" x14ac:dyDescent="0.3">
      <c r="A2161" s="61" t="s">
        <v>2365</v>
      </c>
      <c r="B2161" s="62" t="s">
        <v>1774</v>
      </c>
      <c r="C2161" s="62" t="s">
        <v>1775</v>
      </c>
      <c r="D2161" s="63">
        <v>45436</v>
      </c>
      <c r="E2161" s="63">
        <v>46715</v>
      </c>
      <c r="F2161" s="62" t="s">
        <v>350</v>
      </c>
      <c r="G2161" s="62" t="s">
        <v>304</v>
      </c>
      <c r="H2161" s="62" t="s">
        <v>2426</v>
      </c>
      <c r="I2161" s="64">
        <v>205000</v>
      </c>
      <c r="J2161" s="62" t="s">
        <v>601</v>
      </c>
      <c r="K2161" s="62" t="s">
        <v>377</v>
      </c>
      <c r="L2161" s="65"/>
      <c r="M2161" s="62" t="s">
        <v>1518</v>
      </c>
      <c r="N2161" s="62" t="s">
        <v>684</v>
      </c>
      <c r="O2161" s="62" t="s">
        <v>459</v>
      </c>
      <c r="P2161" s="62" t="s">
        <v>2421</v>
      </c>
      <c r="Q2161" s="66" t="s">
        <v>1971</v>
      </c>
    </row>
    <row r="2162" spans="1:17" x14ac:dyDescent="0.3">
      <c r="A2162" s="61" t="s">
        <v>2366</v>
      </c>
      <c r="B2162" s="62" t="s">
        <v>1776</v>
      </c>
      <c r="C2162" s="62" t="s">
        <v>1777</v>
      </c>
      <c r="D2162" s="63">
        <v>45642</v>
      </c>
      <c r="E2162" s="63">
        <v>46382</v>
      </c>
      <c r="F2162" s="62" t="s">
        <v>350</v>
      </c>
      <c r="G2162" s="62" t="s">
        <v>304</v>
      </c>
      <c r="H2162" s="62" t="s">
        <v>443</v>
      </c>
      <c r="I2162" s="64">
        <v>125000</v>
      </c>
      <c r="J2162" s="62" t="s">
        <v>939</v>
      </c>
      <c r="K2162" s="62" t="s">
        <v>377</v>
      </c>
      <c r="L2162" s="65"/>
      <c r="M2162" s="62" t="s">
        <v>825</v>
      </c>
      <c r="N2162" s="62" t="s">
        <v>985</v>
      </c>
      <c r="O2162" s="62" t="s">
        <v>375</v>
      </c>
      <c r="P2162" s="62" t="s">
        <v>2421</v>
      </c>
      <c r="Q2162" s="66" t="s">
        <v>1984</v>
      </c>
    </row>
    <row r="2163" spans="1:17" x14ac:dyDescent="0.3">
      <c r="A2163" s="61" t="s">
        <v>2367</v>
      </c>
      <c r="B2163" s="62" t="s">
        <v>1778</v>
      </c>
      <c r="C2163" s="62" t="s">
        <v>1779</v>
      </c>
      <c r="D2163" s="63">
        <v>45505</v>
      </c>
      <c r="E2163" s="63">
        <v>46538</v>
      </c>
      <c r="F2163" s="62" t="s">
        <v>350</v>
      </c>
      <c r="G2163" s="62" t="s">
        <v>304</v>
      </c>
      <c r="H2163" s="62" t="s">
        <v>638</v>
      </c>
      <c r="I2163" s="64">
        <v>422305</v>
      </c>
      <c r="J2163" s="62" t="s">
        <v>645</v>
      </c>
      <c r="K2163" s="62" t="s">
        <v>638</v>
      </c>
      <c r="L2163" s="65"/>
      <c r="M2163" s="62" t="s">
        <v>825</v>
      </c>
      <c r="N2163" s="62" t="s">
        <v>2424</v>
      </c>
      <c r="O2163" s="62" t="s">
        <v>426</v>
      </c>
      <c r="P2163" s="62" t="s">
        <v>2421</v>
      </c>
      <c r="Q2163" s="66" t="s">
        <v>1968</v>
      </c>
    </row>
    <row r="2164" spans="1:17" x14ac:dyDescent="0.3">
      <c r="A2164" s="61" t="s">
        <v>2368</v>
      </c>
      <c r="B2164" s="62" t="s">
        <v>1780</v>
      </c>
      <c r="C2164" s="62" t="s">
        <v>1781</v>
      </c>
      <c r="D2164" s="63">
        <v>45292</v>
      </c>
      <c r="E2164" s="63">
        <v>46387</v>
      </c>
      <c r="F2164" s="62" t="s">
        <v>350</v>
      </c>
      <c r="G2164" s="62" t="s">
        <v>350</v>
      </c>
      <c r="H2164" s="62" t="s">
        <v>345</v>
      </c>
      <c r="I2164" s="64">
        <v>4976988</v>
      </c>
      <c r="J2164" s="62" t="s">
        <v>1782</v>
      </c>
      <c r="K2164" s="62" t="s">
        <v>345</v>
      </c>
      <c r="L2164" s="65"/>
      <c r="M2164" s="62" t="s">
        <v>2443</v>
      </c>
      <c r="N2164" s="62" t="s">
        <v>652</v>
      </c>
      <c r="O2164" s="62" t="s">
        <v>571</v>
      </c>
      <c r="P2164" s="62" t="s">
        <v>2421</v>
      </c>
      <c r="Q2164" s="66" t="s">
        <v>2021</v>
      </c>
    </row>
    <row r="2165" spans="1:17" x14ac:dyDescent="0.3">
      <c r="A2165" s="61" t="s">
        <v>2369</v>
      </c>
      <c r="B2165" s="62" t="s">
        <v>1783</v>
      </c>
      <c r="C2165" s="62" t="s">
        <v>1784</v>
      </c>
      <c r="D2165" s="63">
        <v>45292</v>
      </c>
      <c r="E2165" s="63">
        <v>46752</v>
      </c>
      <c r="F2165" s="62" t="s">
        <v>350</v>
      </c>
      <c r="G2165" s="62" t="s">
        <v>350</v>
      </c>
      <c r="H2165" s="62" t="s">
        <v>2427</v>
      </c>
      <c r="I2165" s="64">
        <v>6725203</v>
      </c>
      <c r="J2165" s="62" t="s">
        <v>1548</v>
      </c>
      <c r="K2165" s="62" t="s">
        <v>345</v>
      </c>
      <c r="L2165" s="65"/>
      <c r="M2165" s="62" t="s">
        <v>2443</v>
      </c>
      <c r="N2165" s="62" t="s">
        <v>636</v>
      </c>
      <c r="O2165" s="62" t="s">
        <v>637</v>
      </c>
      <c r="P2165" s="62" t="s">
        <v>2421</v>
      </c>
      <c r="Q2165" s="66" t="s">
        <v>1973</v>
      </c>
    </row>
    <row r="2166" spans="1:17" x14ac:dyDescent="0.3">
      <c r="A2166" s="61" t="s">
        <v>2370</v>
      </c>
      <c r="B2166" s="62" t="s">
        <v>1785</v>
      </c>
      <c r="C2166" s="62" t="s">
        <v>1786</v>
      </c>
      <c r="D2166" s="63">
        <v>45580</v>
      </c>
      <c r="E2166" s="63">
        <v>46127</v>
      </c>
      <c r="F2166" s="62" t="s">
        <v>1943</v>
      </c>
      <c r="G2166" s="62" t="s">
        <v>304</v>
      </c>
      <c r="H2166" s="62" t="s">
        <v>2420</v>
      </c>
      <c r="I2166" s="64">
        <v>83333.333333333299</v>
      </c>
      <c r="J2166" s="62" t="s">
        <v>2453</v>
      </c>
      <c r="K2166" s="62" t="s">
        <v>1962</v>
      </c>
      <c r="L2166" s="65"/>
      <c r="M2166" s="62" t="s">
        <v>2465</v>
      </c>
      <c r="N2166" s="62" t="s">
        <v>793</v>
      </c>
      <c r="O2166" s="62" t="s">
        <v>358</v>
      </c>
      <c r="P2166" s="62" t="s">
        <v>2421</v>
      </c>
      <c r="Q2166" s="66" t="s">
        <v>1983</v>
      </c>
    </row>
    <row r="2167" spans="1:17" x14ac:dyDescent="0.3">
      <c r="A2167" s="61" t="s">
        <v>2370</v>
      </c>
      <c r="B2167" s="62" t="s">
        <v>1785</v>
      </c>
      <c r="C2167" s="62" t="s">
        <v>1786</v>
      </c>
      <c r="D2167" s="63">
        <v>45580</v>
      </c>
      <c r="E2167" s="63">
        <v>46127</v>
      </c>
      <c r="F2167" s="62" t="s">
        <v>1916</v>
      </c>
      <c r="G2167" s="62" t="s">
        <v>304</v>
      </c>
      <c r="H2167" s="62" t="s">
        <v>2420</v>
      </c>
      <c r="I2167" s="64">
        <v>83333.333333333299</v>
      </c>
      <c r="J2167" s="62" t="s">
        <v>2453</v>
      </c>
      <c r="K2167" s="62" t="s">
        <v>1962</v>
      </c>
      <c r="L2167" s="65"/>
      <c r="M2167" s="62" t="s">
        <v>2465</v>
      </c>
      <c r="N2167" s="62" t="s">
        <v>793</v>
      </c>
      <c r="O2167" s="62" t="s">
        <v>358</v>
      </c>
      <c r="P2167" s="62" t="s">
        <v>2421</v>
      </c>
      <c r="Q2167" s="66" t="s">
        <v>1983</v>
      </c>
    </row>
    <row r="2168" spans="1:17" x14ac:dyDescent="0.3">
      <c r="A2168" s="61" t="s">
        <v>2370</v>
      </c>
      <c r="B2168" s="62" t="s">
        <v>1785</v>
      </c>
      <c r="C2168" s="62" t="s">
        <v>1786</v>
      </c>
      <c r="D2168" s="63">
        <v>45580</v>
      </c>
      <c r="E2168" s="63">
        <v>46127</v>
      </c>
      <c r="F2168" s="62" t="s">
        <v>1958</v>
      </c>
      <c r="G2168" s="62" t="s">
        <v>304</v>
      </c>
      <c r="H2168" s="62" t="s">
        <v>2420</v>
      </c>
      <c r="I2168" s="64">
        <v>83333.333333333299</v>
      </c>
      <c r="J2168" s="62" t="s">
        <v>2453</v>
      </c>
      <c r="K2168" s="62" t="s">
        <v>1962</v>
      </c>
      <c r="L2168" s="65"/>
      <c r="M2168" s="62" t="s">
        <v>2465</v>
      </c>
      <c r="N2168" s="62" t="s">
        <v>793</v>
      </c>
      <c r="O2168" s="62" t="s">
        <v>358</v>
      </c>
      <c r="P2168" s="62" t="s">
        <v>2421</v>
      </c>
      <c r="Q2168" s="66" t="s">
        <v>1983</v>
      </c>
    </row>
    <row r="2169" spans="1:17" x14ac:dyDescent="0.3">
      <c r="A2169" s="61" t="s">
        <v>2370</v>
      </c>
      <c r="B2169" s="62" t="s">
        <v>1785</v>
      </c>
      <c r="C2169" s="62" t="s">
        <v>1786</v>
      </c>
      <c r="D2169" s="63">
        <v>45580</v>
      </c>
      <c r="E2169" s="63">
        <v>46127</v>
      </c>
      <c r="F2169" s="62" t="s">
        <v>1930</v>
      </c>
      <c r="G2169" s="62" t="s">
        <v>304</v>
      </c>
      <c r="H2169" s="62" t="s">
        <v>2420</v>
      </c>
      <c r="I2169" s="64">
        <v>83333.333333333299</v>
      </c>
      <c r="J2169" s="62" t="s">
        <v>2453</v>
      </c>
      <c r="K2169" s="62" t="s">
        <v>1962</v>
      </c>
      <c r="L2169" s="65"/>
      <c r="M2169" s="62" t="s">
        <v>2465</v>
      </c>
      <c r="N2169" s="62" t="s">
        <v>793</v>
      </c>
      <c r="O2169" s="62" t="s">
        <v>358</v>
      </c>
      <c r="P2169" s="62" t="s">
        <v>2421</v>
      </c>
      <c r="Q2169" s="66" t="s">
        <v>1983</v>
      </c>
    </row>
    <row r="2170" spans="1:17" x14ac:dyDescent="0.3">
      <c r="A2170" s="61" t="s">
        <v>2370</v>
      </c>
      <c r="B2170" s="62" t="s">
        <v>1785</v>
      </c>
      <c r="C2170" s="62" t="s">
        <v>1786</v>
      </c>
      <c r="D2170" s="63">
        <v>45580</v>
      </c>
      <c r="E2170" s="63">
        <v>46127</v>
      </c>
      <c r="F2170" s="62" t="s">
        <v>1960</v>
      </c>
      <c r="G2170" s="62" t="s">
        <v>304</v>
      </c>
      <c r="H2170" s="62" t="s">
        <v>2420</v>
      </c>
      <c r="I2170" s="64">
        <v>83333.333333333299</v>
      </c>
      <c r="J2170" s="62" t="s">
        <v>2453</v>
      </c>
      <c r="K2170" s="62" t="s">
        <v>1962</v>
      </c>
      <c r="L2170" s="65"/>
      <c r="M2170" s="62" t="s">
        <v>2465</v>
      </c>
      <c r="N2170" s="62" t="s">
        <v>793</v>
      </c>
      <c r="O2170" s="62" t="s">
        <v>358</v>
      </c>
      <c r="P2170" s="62" t="s">
        <v>2421</v>
      </c>
      <c r="Q2170" s="66" t="s">
        <v>1983</v>
      </c>
    </row>
    <row r="2171" spans="1:17" x14ac:dyDescent="0.3">
      <c r="A2171" s="61" t="s">
        <v>2370</v>
      </c>
      <c r="B2171" s="62" t="s">
        <v>1785</v>
      </c>
      <c r="C2171" s="62" t="s">
        <v>1786</v>
      </c>
      <c r="D2171" s="63">
        <v>45580</v>
      </c>
      <c r="E2171" s="63">
        <v>46127</v>
      </c>
      <c r="F2171" s="62" t="s">
        <v>1961</v>
      </c>
      <c r="G2171" s="62" t="s">
        <v>304</v>
      </c>
      <c r="H2171" s="62" t="s">
        <v>2420</v>
      </c>
      <c r="I2171" s="64">
        <v>83333.333333333299</v>
      </c>
      <c r="J2171" s="62" t="s">
        <v>2453</v>
      </c>
      <c r="K2171" s="62" t="s">
        <v>1962</v>
      </c>
      <c r="L2171" s="65"/>
      <c r="M2171" s="62" t="s">
        <v>2465</v>
      </c>
      <c r="N2171" s="62" t="s">
        <v>793</v>
      </c>
      <c r="O2171" s="62" t="s">
        <v>358</v>
      </c>
      <c r="P2171" s="62" t="s">
        <v>2421</v>
      </c>
      <c r="Q2171" s="66" t="s">
        <v>1983</v>
      </c>
    </row>
    <row r="2172" spans="1:17" x14ac:dyDescent="0.3">
      <c r="A2172" s="61" t="s">
        <v>2370</v>
      </c>
      <c r="B2172" s="62" t="s">
        <v>1785</v>
      </c>
      <c r="C2172" s="62" t="s">
        <v>1786</v>
      </c>
      <c r="D2172" s="63">
        <v>45580</v>
      </c>
      <c r="E2172" s="63">
        <v>46127</v>
      </c>
      <c r="F2172" s="62" t="s">
        <v>1941</v>
      </c>
      <c r="G2172" s="62" t="s">
        <v>304</v>
      </c>
      <c r="H2172" s="62" t="s">
        <v>2420</v>
      </c>
      <c r="I2172" s="64">
        <v>83333.333333333299</v>
      </c>
      <c r="J2172" s="62" t="s">
        <v>2453</v>
      </c>
      <c r="K2172" s="62" t="s">
        <v>1962</v>
      </c>
      <c r="L2172" s="65"/>
      <c r="M2172" s="62" t="s">
        <v>2465</v>
      </c>
      <c r="N2172" s="62" t="s">
        <v>793</v>
      </c>
      <c r="O2172" s="62" t="s">
        <v>358</v>
      </c>
      <c r="P2172" s="62" t="s">
        <v>2421</v>
      </c>
      <c r="Q2172" s="66" t="s">
        <v>1983</v>
      </c>
    </row>
    <row r="2173" spans="1:17" x14ac:dyDescent="0.3">
      <c r="A2173" s="61" t="s">
        <v>2370</v>
      </c>
      <c r="B2173" s="62" t="s">
        <v>1785</v>
      </c>
      <c r="C2173" s="62" t="s">
        <v>1786</v>
      </c>
      <c r="D2173" s="63">
        <v>45580</v>
      </c>
      <c r="E2173" s="63">
        <v>46127</v>
      </c>
      <c r="F2173" s="62" t="s">
        <v>1948</v>
      </c>
      <c r="G2173" s="62" t="s">
        <v>304</v>
      </c>
      <c r="H2173" s="62" t="s">
        <v>2420</v>
      </c>
      <c r="I2173" s="64">
        <v>83333.333333333299</v>
      </c>
      <c r="J2173" s="62" t="s">
        <v>2453</v>
      </c>
      <c r="K2173" s="62" t="s">
        <v>1962</v>
      </c>
      <c r="L2173" s="65"/>
      <c r="M2173" s="62" t="s">
        <v>2465</v>
      </c>
      <c r="N2173" s="62" t="s">
        <v>793</v>
      </c>
      <c r="O2173" s="62" t="s">
        <v>358</v>
      </c>
      <c r="P2173" s="62" t="s">
        <v>2421</v>
      </c>
      <c r="Q2173" s="66" t="s">
        <v>1983</v>
      </c>
    </row>
    <row r="2174" spans="1:17" x14ac:dyDescent="0.3">
      <c r="A2174" s="61" t="s">
        <v>2370</v>
      </c>
      <c r="B2174" s="62" t="s">
        <v>1785</v>
      </c>
      <c r="C2174" s="62" t="s">
        <v>1786</v>
      </c>
      <c r="D2174" s="63">
        <v>45580</v>
      </c>
      <c r="E2174" s="63">
        <v>46127</v>
      </c>
      <c r="F2174" s="62" t="s">
        <v>1959</v>
      </c>
      <c r="G2174" s="62" t="s">
        <v>304</v>
      </c>
      <c r="H2174" s="62" t="s">
        <v>2420</v>
      </c>
      <c r="I2174" s="64">
        <v>83333.333333333299</v>
      </c>
      <c r="J2174" s="62" t="s">
        <v>2453</v>
      </c>
      <c r="K2174" s="62" t="s">
        <v>1962</v>
      </c>
      <c r="L2174" s="65"/>
      <c r="M2174" s="62" t="s">
        <v>2465</v>
      </c>
      <c r="N2174" s="62" t="s">
        <v>793</v>
      </c>
      <c r="O2174" s="62" t="s">
        <v>358</v>
      </c>
      <c r="P2174" s="62" t="s">
        <v>2421</v>
      </c>
      <c r="Q2174" s="66" t="s">
        <v>1983</v>
      </c>
    </row>
    <row r="2175" spans="1:17" x14ac:dyDescent="0.3">
      <c r="A2175" s="61" t="s">
        <v>2370</v>
      </c>
      <c r="B2175" s="62" t="s">
        <v>1785</v>
      </c>
      <c r="C2175" s="62" t="s">
        <v>1786</v>
      </c>
      <c r="D2175" s="63">
        <v>45580</v>
      </c>
      <c r="E2175" s="63">
        <v>46127</v>
      </c>
      <c r="F2175" s="62" t="s">
        <v>1936</v>
      </c>
      <c r="G2175" s="62" t="s">
        <v>304</v>
      </c>
      <c r="H2175" s="62" t="s">
        <v>2420</v>
      </c>
      <c r="I2175" s="64">
        <v>83333.333333333299</v>
      </c>
      <c r="J2175" s="62" t="s">
        <v>2453</v>
      </c>
      <c r="K2175" s="62" t="s">
        <v>1962</v>
      </c>
      <c r="L2175" s="65"/>
      <c r="M2175" s="62" t="s">
        <v>2465</v>
      </c>
      <c r="N2175" s="62" t="s">
        <v>793</v>
      </c>
      <c r="O2175" s="62" t="s">
        <v>358</v>
      </c>
      <c r="P2175" s="62" t="s">
        <v>2421</v>
      </c>
      <c r="Q2175" s="66" t="s">
        <v>1983</v>
      </c>
    </row>
    <row r="2176" spans="1:17" x14ac:dyDescent="0.3">
      <c r="A2176" s="61" t="s">
        <v>2370</v>
      </c>
      <c r="B2176" s="62" t="s">
        <v>1785</v>
      </c>
      <c r="C2176" s="62" t="s">
        <v>1786</v>
      </c>
      <c r="D2176" s="63">
        <v>45580</v>
      </c>
      <c r="E2176" s="63">
        <v>46127</v>
      </c>
      <c r="F2176" s="62" t="s">
        <v>287</v>
      </c>
      <c r="G2176" s="62" t="s">
        <v>304</v>
      </c>
      <c r="H2176" s="62" t="s">
        <v>2420</v>
      </c>
      <c r="I2176" s="64">
        <v>83333.333333333299</v>
      </c>
      <c r="J2176" s="62" t="s">
        <v>2453</v>
      </c>
      <c r="K2176" s="62" t="s">
        <v>1962</v>
      </c>
      <c r="L2176" s="65"/>
      <c r="M2176" s="62" t="s">
        <v>2465</v>
      </c>
      <c r="N2176" s="62" t="s">
        <v>793</v>
      </c>
      <c r="O2176" s="62" t="s">
        <v>358</v>
      </c>
      <c r="P2176" s="62" t="s">
        <v>2421</v>
      </c>
      <c r="Q2176" s="66" t="s">
        <v>1983</v>
      </c>
    </row>
    <row r="2177" spans="1:17" x14ac:dyDescent="0.3">
      <c r="A2177" s="61" t="s">
        <v>2370</v>
      </c>
      <c r="B2177" s="62" t="s">
        <v>1785</v>
      </c>
      <c r="C2177" s="62" t="s">
        <v>1786</v>
      </c>
      <c r="D2177" s="63">
        <v>45580</v>
      </c>
      <c r="E2177" s="63">
        <v>46127</v>
      </c>
      <c r="F2177" s="62" t="s">
        <v>1945</v>
      </c>
      <c r="G2177" s="62" t="s">
        <v>304</v>
      </c>
      <c r="H2177" s="62" t="s">
        <v>2420</v>
      </c>
      <c r="I2177" s="64">
        <v>83333.333333333299</v>
      </c>
      <c r="J2177" s="62" t="s">
        <v>2453</v>
      </c>
      <c r="K2177" s="62" t="s">
        <v>1962</v>
      </c>
      <c r="L2177" s="65"/>
      <c r="M2177" s="62" t="s">
        <v>2465</v>
      </c>
      <c r="N2177" s="62" t="s">
        <v>793</v>
      </c>
      <c r="O2177" s="62" t="s">
        <v>358</v>
      </c>
      <c r="P2177" s="62" t="s">
        <v>2421</v>
      </c>
      <c r="Q2177" s="66" t="s">
        <v>1983</v>
      </c>
    </row>
    <row r="2178" spans="1:17" x14ac:dyDescent="0.3">
      <c r="A2178" s="61" t="s">
        <v>2371</v>
      </c>
      <c r="B2178" s="62" t="s">
        <v>1787</v>
      </c>
      <c r="C2178" s="62" t="s">
        <v>1788</v>
      </c>
      <c r="D2178" s="63">
        <v>45720</v>
      </c>
      <c r="E2178" s="63">
        <v>46084</v>
      </c>
      <c r="F2178" s="62" t="s">
        <v>1945</v>
      </c>
      <c r="G2178" s="62" t="s">
        <v>400</v>
      </c>
      <c r="H2178" s="62" t="s">
        <v>608</v>
      </c>
      <c r="I2178" s="64">
        <v>84948</v>
      </c>
      <c r="J2178" s="62" t="s">
        <v>1110</v>
      </c>
      <c r="K2178" s="62" t="s">
        <v>1957</v>
      </c>
      <c r="L2178" s="65"/>
      <c r="M2178" s="62" t="s">
        <v>2443</v>
      </c>
      <c r="N2178" s="62" t="s">
        <v>442</v>
      </c>
      <c r="O2178" s="62" t="s">
        <v>315</v>
      </c>
      <c r="P2178" s="62" t="s">
        <v>2421</v>
      </c>
      <c r="Q2178" s="66" t="s">
        <v>1969</v>
      </c>
    </row>
    <row r="2179" spans="1:17" x14ac:dyDescent="0.3">
      <c r="A2179" s="61" t="s">
        <v>2372</v>
      </c>
      <c r="B2179" s="62" t="s">
        <v>1789</v>
      </c>
      <c r="C2179" s="62" t="s">
        <v>1790</v>
      </c>
      <c r="D2179" s="63">
        <v>45692</v>
      </c>
      <c r="E2179" s="63">
        <v>46056</v>
      </c>
      <c r="F2179" s="62" t="s">
        <v>1944</v>
      </c>
      <c r="G2179" s="62" t="s">
        <v>992</v>
      </c>
      <c r="H2179" s="62" t="s">
        <v>608</v>
      </c>
      <c r="I2179" s="64">
        <v>70952</v>
      </c>
      <c r="J2179" s="62" t="s">
        <v>1110</v>
      </c>
      <c r="K2179" s="62" t="s">
        <v>1957</v>
      </c>
      <c r="L2179" s="65"/>
      <c r="M2179" s="62" t="s">
        <v>825</v>
      </c>
      <c r="N2179" s="62" t="s">
        <v>1111</v>
      </c>
      <c r="O2179" s="62" t="s">
        <v>571</v>
      </c>
      <c r="P2179" s="62" t="s">
        <v>2421</v>
      </c>
      <c r="Q2179" s="66" t="s">
        <v>1966</v>
      </c>
    </row>
    <row r="2180" spans="1:17" x14ac:dyDescent="0.3">
      <c r="A2180" s="61" t="s">
        <v>2373</v>
      </c>
      <c r="B2180" s="62" t="s">
        <v>1791</v>
      </c>
      <c r="C2180" s="62" t="s">
        <v>1792</v>
      </c>
      <c r="D2180" s="63">
        <v>45610</v>
      </c>
      <c r="E2180" s="63">
        <v>46521</v>
      </c>
      <c r="F2180" s="62" t="s">
        <v>1921</v>
      </c>
      <c r="G2180" s="62" t="s">
        <v>1793</v>
      </c>
      <c r="H2180" s="62" t="s">
        <v>467</v>
      </c>
      <c r="I2180" s="64">
        <v>268009.33333333302</v>
      </c>
      <c r="J2180" s="62" t="s">
        <v>468</v>
      </c>
      <c r="K2180" s="62" t="s">
        <v>467</v>
      </c>
      <c r="L2180" s="65"/>
      <c r="M2180" s="62" t="s">
        <v>2443</v>
      </c>
      <c r="N2180" s="62" t="s">
        <v>469</v>
      </c>
      <c r="O2180" s="62" t="s">
        <v>315</v>
      </c>
      <c r="P2180" s="62" t="s">
        <v>2421</v>
      </c>
      <c r="Q2180" s="66" t="s">
        <v>1969</v>
      </c>
    </row>
    <row r="2181" spans="1:17" x14ac:dyDescent="0.3">
      <c r="A2181" s="61" t="s">
        <v>2373</v>
      </c>
      <c r="B2181" s="62" t="s">
        <v>1791</v>
      </c>
      <c r="C2181" s="62" t="s">
        <v>1792</v>
      </c>
      <c r="D2181" s="63">
        <v>45610</v>
      </c>
      <c r="E2181" s="63">
        <v>46521</v>
      </c>
      <c r="F2181" s="62" t="s">
        <v>1930</v>
      </c>
      <c r="G2181" s="62" t="s">
        <v>581</v>
      </c>
      <c r="H2181" s="62" t="s">
        <v>467</v>
      </c>
      <c r="I2181" s="64">
        <v>268009.33333333302</v>
      </c>
      <c r="J2181" s="62" t="s">
        <v>468</v>
      </c>
      <c r="K2181" s="62" t="s">
        <v>467</v>
      </c>
      <c r="L2181" s="65"/>
      <c r="M2181" s="62" t="s">
        <v>2443</v>
      </c>
      <c r="N2181" s="62" t="s">
        <v>469</v>
      </c>
      <c r="O2181" s="62" t="s">
        <v>315</v>
      </c>
      <c r="P2181" s="62" t="s">
        <v>2421</v>
      </c>
      <c r="Q2181" s="66" t="s">
        <v>1969</v>
      </c>
    </row>
    <row r="2182" spans="1:17" x14ac:dyDescent="0.3">
      <c r="A2182" s="61" t="s">
        <v>2373</v>
      </c>
      <c r="B2182" s="62" t="s">
        <v>1791</v>
      </c>
      <c r="C2182" s="62" t="s">
        <v>1792</v>
      </c>
      <c r="D2182" s="63">
        <v>45610</v>
      </c>
      <c r="E2182" s="63">
        <v>46521</v>
      </c>
      <c r="F2182" s="62" t="s">
        <v>1936</v>
      </c>
      <c r="G2182" s="62" t="s">
        <v>414</v>
      </c>
      <c r="H2182" s="62" t="s">
        <v>467</v>
      </c>
      <c r="I2182" s="64">
        <v>268009.33333333302</v>
      </c>
      <c r="J2182" s="62" t="s">
        <v>468</v>
      </c>
      <c r="K2182" s="62" t="s">
        <v>467</v>
      </c>
      <c r="L2182" s="65"/>
      <c r="M2182" s="62" t="s">
        <v>2443</v>
      </c>
      <c r="N2182" s="62" t="s">
        <v>469</v>
      </c>
      <c r="O2182" s="62" t="s">
        <v>315</v>
      </c>
      <c r="P2182" s="62" t="s">
        <v>2421</v>
      </c>
      <c r="Q2182" s="66" t="s">
        <v>1969</v>
      </c>
    </row>
    <row r="2183" spans="1:17" x14ac:dyDescent="0.3">
      <c r="A2183" s="61" t="s">
        <v>2373</v>
      </c>
      <c r="B2183" s="62" t="s">
        <v>1791</v>
      </c>
      <c r="C2183" s="62" t="s">
        <v>1792</v>
      </c>
      <c r="D2183" s="63">
        <v>45610</v>
      </c>
      <c r="E2183" s="63">
        <v>46521</v>
      </c>
      <c r="F2183" s="62" t="s">
        <v>1921</v>
      </c>
      <c r="G2183" s="62" t="s">
        <v>1793</v>
      </c>
      <c r="H2183" s="62" t="s">
        <v>2427</v>
      </c>
      <c r="I2183" s="64">
        <v>1762.3333333333301</v>
      </c>
      <c r="J2183" s="62" t="s">
        <v>1794</v>
      </c>
      <c r="K2183" s="62" t="s">
        <v>467</v>
      </c>
      <c r="L2183" s="65"/>
      <c r="M2183" s="62" t="s">
        <v>2443</v>
      </c>
      <c r="N2183" s="62" t="s">
        <v>469</v>
      </c>
      <c r="O2183" s="62" t="s">
        <v>315</v>
      </c>
      <c r="P2183" s="62" t="s">
        <v>2421</v>
      </c>
      <c r="Q2183" s="66" t="s">
        <v>1969</v>
      </c>
    </row>
    <row r="2184" spans="1:17" x14ac:dyDescent="0.3">
      <c r="A2184" s="61" t="s">
        <v>2373</v>
      </c>
      <c r="B2184" s="62" t="s">
        <v>1791</v>
      </c>
      <c r="C2184" s="62" t="s">
        <v>1792</v>
      </c>
      <c r="D2184" s="63">
        <v>45610</v>
      </c>
      <c r="E2184" s="63">
        <v>46521</v>
      </c>
      <c r="F2184" s="62" t="s">
        <v>1930</v>
      </c>
      <c r="G2184" s="62" t="s">
        <v>581</v>
      </c>
      <c r="H2184" s="62" t="s">
        <v>2427</v>
      </c>
      <c r="I2184" s="64">
        <v>1762.3333333333301</v>
      </c>
      <c r="J2184" s="62" t="s">
        <v>1794</v>
      </c>
      <c r="K2184" s="62" t="s">
        <v>467</v>
      </c>
      <c r="L2184" s="65"/>
      <c r="M2184" s="62" t="s">
        <v>2443</v>
      </c>
      <c r="N2184" s="62" t="s">
        <v>469</v>
      </c>
      <c r="O2184" s="62" t="s">
        <v>315</v>
      </c>
      <c r="P2184" s="62" t="s">
        <v>2421</v>
      </c>
      <c r="Q2184" s="66" t="s">
        <v>1969</v>
      </c>
    </row>
    <row r="2185" spans="1:17" x14ac:dyDescent="0.3">
      <c r="A2185" s="61" t="s">
        <v>2373</v>
      </c>
      <c r="B2185" s="62" t="s">
        <v>1791</v>
      </c>
      <c r="C2185" s="62" t="s">
        <v>1792</v>
      </c>
      <c r="D2185" s="63">
        <v>45610</v>
      </c>
      <c r="E2185" s="63">
        <v>46521</v>
      </c>
      <c r="F2185" s="62" t="s">
        <v>1936</v>
      </c>
      <c r="G2185" s="62" t="s">
        <v>414</v>
      </c>
      <c r="H2185" s="62" t="s">
        <v>2427</v>
      </c>
      <c r="I2185" s="64">
        <v>1762.3333333333301</v>
      </c>
      <c r="J2185" s="62" t="s">
        <v>1794</v>
      </c>
      <c r="K2185" s="62" t="s">
        <v>467</v>
      </c>
      <c r="L2185" s="65"/>
      <c r="M2185" s="62" t="s">
        <v>2443</v>
      </c>
      <c r="N2185" s="62" t="s">
        <v>469</v>
      </c>
      <c r="O2185" s="62" t="s">
        <v>315</v>
      </c>
      <c r="P2185" s="62" t="s">
        <v>2421</v>
      </c>
      <c r="Q2185" s="66" t="s">
        <v>1969</v>
      </c>
    </row>
    <row r="2186" spans="1:17" x14ac:dyDescent="0.3">
      <c r="A2186" s="61" t="s">
        <v>2373</v>
      </c>
      <c r="B2186" s="62" t="s">
        <v>1791</v>
      </c>
      <c r="C2186" s="62" t="s">
        <v>1792</v>
      </c>
      <c r="D2186" s="63">
        <v>45610</v>
      </c>
      <c r="E2186" s="63">
        <v>46521</v>
      </c>
      <c r="F2186" s="62" t="s">
        <v>1921</v>
      </c>
      <c r="G2186" s="62" t="s">
        <v>1793</v>
      </c>
      <c r="H2186" s="62" t="s">
        <v>2427</v>
      </c>
      <c r="I2186" s="64">
        <v>47944.333333333299</v>
      </c>
      <c r="J2186" s="62" t="s">
        <v>1795</v>
      </c>
      <c r="K2186" s="62" t="s">
        <v>467</v>
      </c>
      <c r="L2186" s="65"/>
      <c r="M2186" s="62" t="s">
        <v>2443</v>
      </c>
      <c r="N2186" s="62" t="s">
        <v>469</v>
      </c>
      <c r="O2186" s="62" t="s">
        <v>315</v>
      </c>
      <c r="P2186" s="62" t="s">
        <v>2421</v>
      </c>
      <c r="Q2186" s="66" t="s">
        <v>1969</v>
      </c>
    </row>
    <row r="2187" spans="1:17" x14ac:dyDescent="0.3">
      <c r="A2187" s="61" t="s">
        <v>2373</v>
      </c>
      <c r="B2187" s="62" t="s">
        <v>1791</v>
      </c>
      <c r="C2187" s="62" t="s">
        <v>1792</v>
      </c>
      <c r="D2187" s="63">
        <v>45610</v>
      </c>
      <c r="E2187" s="63">
        <v>46521</v>
      </c>
      <c r="F2187" s="62" t="s">
        <v>1930</v>
      </c>
      <c r="G2187" s="62" t="s">
        <v>581</v>
      </c>
      <c r="H2187" s="62" t="s">
        <v>2427</v>
      </c>
      <c r="I2187" s="64">
        <v>47944.333333333299</v>
      </c>
      <c r="J2187" s="62" t="s">
        <v>1795</v>
      </c>
      <c r="K2187" s="62" t="s">
        <v>467</v>
      </c>
      <c r="L2187" s="65"/>
      <c r="M2187" s="62" t="s">
        <v>2443</v>
      </c>
      <c r="N2187" s="62" t="s">
        <v>469</v>
      </c>
      <c r="O2187" s="62" t="s">
        <v>315</v>
      </c>
      <c r="P2187" s="62" t="s">
        <v>2421</v>
      </c>
      <c r="Q2187" s="66" t="s">
        <v>1969</v>
      </c>
    </row>
    <row r="2188" spans="1:17" x14ac:dyDescent="0.3">
      <c r="A2188" s="61" t="s">
        <v>2373</v>
      </c>
      <c r="B2188" s="62" t="s">
        <v>1791</v>
      </c>
      <c r="C2188" s="62" t="s">
        <v>1792</v>
      </c>
      <c r="D2188" s="63">
        <v>45610</v>
      </c>
      <c r="E2188" s="63">
        <v>46521</v>
      </c>
      <c r="F2188" s="62" t="s">
        <v>1936</v>
      </c>
      <c r="G2188" s="62" t="s">
        <v>414</v>
      </c>
      <c r="H2188" s="62" t="s">
        <v>2427</v>
      </c>
      <c r="I2188" s="64">
        <v>47944.333333333299</v>
      </c>
      <c r="J2188" s="62" t="s">
        <v>1795</v>
      </c>
      <c r="K2188" s="62" t="s">
        <v>467</v>
      </c>
      <c r="L2188" s="65"/>
      <c r="M2188" s="62" t="s">
        <v>2443</v>
      </c>
      <c r="N2188" s="62" t="s">
        <v>469</v>
      </c>
      <c r="O2188" s="62" t="s">
        <v>315</v>
      </c>
      <c r="P2188" s="62" t="s">
        <v>2421</v>
      </c>
      <c r="Q2188" s="66" t="s">
        <v>1969</v>
      </c>
    </row>
    <row r="2189" spans="1:17" x14ac:dyDescent="0.3">
      <c r="A2189" s="61" t="s">
        <v>2374</v>
      </c>
      <c r="B2189" s="62" t="s">
        <v>1796</v>
      </c>
      <c r="C2189" s="62" t="s">
        <v>1797</v>
      </c>
      <c r="D2189" s="63">
        <v>45809</v>
      </c>
      <c r="E2189" s="63">
        <v>46173</v>
      </c>
      <c r="F2189" s="62" t="s">
        <v>1922</v>
      </c>
      <c r="G2189" s="62" t="s">
        <v>1196</v>
      </c>
      <c r="H2189" s="62" t="s">
        <v>373</v>
      </c>
      <c r="I2189" s="64">
        <v>61037.645833333299</v>
      </c>
      <c r="J2189" s="62" t="s">
        <v>373</v>
      </c>
      <c r="K2189" s="62" t="s">
        <v>1693</v>
      </c>
      <c r="L2189" s="65"/>
      <c r="M2189" s="62" t="s">
        <v>825</v>
      </c>
      <c r="N2189" s="62" t="s">
        <v>935</v>
      </c>
      <c r="O2189" s="62" t="s">
        <v>347</v>
      </c>
      <c r="P2189" s="62" t="s">
        <v>2421</v>
      </c>
      <c r="Q2189" s="66" t="s">
        <v>1972</v>
      </c>
    </row>
    <row r="2190" spans="1:17" x14ac:dyDescent="0.3">
      <c r="A2190" s="61" t="s">
        <v>2374</v>
      </c>
      <c r="B2190" s="62" t="s">
        <v>1796</v>
      </c>
      <c r="C2190" s="62" t="s">
        <v>1797</v>
      </c>
      <c r="D2190" s="63">
        <v>45809</v>
      </c>
      <c r="E2190" s="63">
        <v>46173</v>
      </c>
      <c r="F2190" s="62" t="s">
        <v>1922</v>
      </c>
      <c r="G2190" s="62" t="s">
        <v>1798</v>
      </c>
      <c r="H2190" s="62" t="s">
        <v>373</v>
      </c>
      <c r="I2190" s="64">
        <v>61037.645833333299</v>
      </c>
      <c r="J2190" s="62" t="s">
        <v>373</v>
      </c>
      <c r="K2190" s="62" t="s">
        <v>1693</v>
      </c>
      <c r="L2190" s="65"/>
      <c r="M2190" s="62" t="s">
        <v>825</v>
      </c>
      <c r="N2190" s="62" t="s">
        <v>935</v>
      </c>
      <c r="O2190" s="62" t="s">
        <v>347</v>
      </c>
      <c r="P2190" s="62" t="s">
        <v>2421</v>
      </c>
      <c r="Q2190" s="66" t="s">
        <v>1972</v>
      </c>
    </row>
    <row r="2191" spans="1:17" x14ac:dyDescent="0.3">
      <c r="A2191" s="61" t="s">
        <v>2374</v>
      </c>
      <c r="B2191" s="62" t="s">
        <v>1796</v>
      </c>
      <c r="C2191" s="62" t="s">
        <v>1797</v>
      </c>
      <c r="D2191" s="63">
        <v>45809</v>
      </c>
      <c r="E2191" s="63">
        <v>46173</v>
      </c>
      <c r="F2191" s="62" t="s">
        <v>1922</v>
      </c>
      <c r="G2191" s="62" t="s">
        <v>376</v>
      </c>
      <c r="H2191" s="62" t="s">
        <v>373</v>
      </c>
      <c r="I2191" s="64">
        <v>61037.645833333299</v>
      </c>
      <c r="J2191" s="62" t="s">
        <v>373</v>
      </c>
      <c r="K2191" s="62" t="s">
        <v>1693</v>
      </c>
      <c r="L2191" s="65"/>
      <c r="M2191" s="62" t="s">
        <v>825</v>
      </c>
      <c r="N2191" s="62" t="s">
        <v>935</v>
      </c>
      <c r="O2191" s="62" t="s">
        <v>347</v>
      </c>
      <c r="P2191" s="62" t="s">
        <v>2421</v>
      </c>
      <c r="Q2191" s="66" t="s">
        <v>1972</v>
      </c>
    </row>
    <row r="2192" spans="1:17" x14ac:dyDescent="0.3">
      <c r="A2192" s="61" t="s">
        <v>2374</v>
      </c>
      <c r="B2192" s="62" t="s">
        <v>1796</v>
      </c>
      <c r="C2192" s="62" t="s">
        <v>1797</v>
      </c>
      <c r="D2192" s="63">
        <v>45809</v>
      </c>
      <c r="E2192" s="63">
        <v>46173</v>
      </c>
      <c r="F2192" s="62" t="s">
        <v>1922</v>
      </c>
      <c r="G2192" s="62" t="s">
        <v>349</v>
      </c>
      <c r="H2192" s="62" t="s">
        <v>373</v>
      </c>
      <c r="I2192" s="64">
        <v>61037.645833333299</v>
      </c>
      <c r="J2192" s="62" t="s">
        <v>373</v>
      </c>
      <c r="K2192" s="62" t="s">
        <v>1693</v>
      </c>
      <c r="L2192" s="65"/>
      <c r="M2192" s="62" t="s">
        <v>825</v>
      </c>
      <c r="N2192" s="62" t="s">
        <v>935</v>
      </c>
      <c r="O2192" s="62" t="s">
        <v>347</v>
      </c>
      <c r="P2192" s="62" t="s">
        <v>2421</v>
      </c>
      <c r="Q2192" s="66" t="s">
        <v>1972</v>
      </c>
    </row>
    <row r="2193" spans="1:17" x14ac:dyDescent="0.3">
      <c r="A2193" s="61" t="s">
        <v>2374</v>
      </c>
      <c r="B2193" s="62" t="s">
        <v>1796</v>
      </c>
      <c r="C2193" s="62" t="s">
        <v>1797</v>
      </c>
      <c r="D2193" s="63">
        <v>45809</v>
      </c>
      <c r="E2193" s="63">
        <v>46173</v>
      </c>
      <c r="F2193" s="62" t="s">
        <v>1922</v>
      </c>
      <c r="G2193" s="62" t="s">
        <v>379</v>
      </c>
      <c r="H2193" s="62" t="s">
        <v>373</v>
      </c>
      <c r="I2193" s="64">
        <v>61037.645833333299</v>
      </c>
      <c r="J2193" s="62" t="s">
        <v>373</v>
      </c>
      <c r="K2193" s="62" t="s">
        <v>1693</v>
      </c>
      <c r="L2193" s="65"/>
      <c r="M2193" s="62" t="s">
        <v>825</v>
      </c>
      <c r="N2193" s="62" t="s">
        <v>935</v>
      </c>
      <c r="O2193" s="62" t="s">
        <v>347</v>
      </c>
      <c r="P2193" s="62" t="s">
        <v>2421</v>
      </c>
      <c r="Q2193" s="66" t="s">
        <v>1972</v>
      </c>
    </row>
    <row r="2194" spans="1:17" x14ac:dyDescent="0.3">
      <c r="A2194" s="61" t="s">
        <v>2374</v>
      </c>
      <c r="B2194" s="62" t="s">
        <v>1796</v>
      </c>
      <c r="C2194" s="62" t="s">
        <v>1797</v>
      </c>
      <c r="D2194" s="63">
        <v>45809</v>
      </c>
      <c r="E2194" s="63">
        <v>46173</v>
      </c>
      <c r="F2194" s="62" t="s">
        <v>1922</v>
      </c>
      <c r="G2194" s="62" t="s">
        <v>836</v>
      </c>
      <c r="H2194" s="62" t="s">
        <v>373</v>
      </c>
      <c r="I2194" s="64">
        <v>61037.645833333299</v>
      </c>
      <c r="J2194" s="62" t="s">
        <v>373</v>
      </c>
      <c r="K2194" s="62" t="s">
        <v>1693</v>
      </c>
      <c r="L2194" s="65"/>
      <c r="M2194" s="62" t="s">
        <v>825</v>
      </c>
      <c r="N2194" s="62" t="s">
        <v>935</v>
      </c>
      <c r="O2194" s="62" t="s">
        <v>347</v>
      </c>
      <c r="P2194" s="62" t="s">
        <v>2421</v>
      </c>
      <c r="Q2194" s="66" t="s">
        <v>1972</v>
      </c>
    </row>
    <row r="2195" spans="1:17" x14ac:dyDescent="0.3">
      <c r="A2195" s="61" t="s">
        <v>2374</v>
      </c>
      <c r="B2195" s="62" t="s">
        <v>1796</v>
      </c>
      <c r="C2195" s="62" t="s">
        <v>1797</v>
      </c>
      <c r="D2195" s="63">
        <v>45809</v>
      </c>
      <c r="E2195" s="63">
        <v>46173</v>
      </c>
      <c r="F2195" s="62" t="s">
        <v>1922</v>
      </c>
      <c r="G2195" s="62" t="s">
        <v>380</v>
      </c>
      <c r="H2195" s="62" t="s">
        <v>373</v>
      </c>
      <c r="I2195" s="64">
        <v>61037.645833333299</v>
      </c>
      <c r="J2195" s="62" t="s">
        <v>373</v>
      </c>
      <c r="K2195" s="62" t="s">
        <v>1693</v>
      </c>
      <c r="L2195" s="65"/>
      <c r="M2195" s="62" t="s">
        <v>825</v>
      </c>
      <c r="N2195" s="62" t="s">
        <v>935</v>
      </c>
      <c r="O2195" s="62" t="s">
        <v>347</v>
      </c>
      <c r="P2195" s="62" t="s">
        <v>2421</v>
      </c>
      <c r="Q2195" s="66" t="s">
        <v>1972</v>
      </c>
    </row>
    <row r="2196" spans="1:17" x14ac:dyDescent="0.3">
      <c r="A2196" s="61" t="s">
        <v>2374</v>
      </c>
      <c r="B2196" s="62" t="s">
        <v>1796</v>
      </c>
      <c r="C2196" s="62" t="s">
        <v>1797</v>
      </c>
      <c r="D2196" s="63">
        <v>45809</v>
      </c>
      <c r="E2196" s="63">
        <v>46173</v>
      </c>
      <c r="F2196" s="62" t="s">
        <v>1922</v>
      </c>
      <c r="G2196" s="62" t="s">
        <v>381</v>
      </c>
      <c r="H2196" s="62" t="s">
        <v>373</v>
      </c>
      <c r="I2196" s="64">
        <v>61037.645833333299</v>
      </c>
      <c r="J2196" s="62" t="s">
        <v>373</v>
      </c>
      <c r="K2196" s="62" t="s">
        <v>1693</v>
      </c>
      <c r="L2196" s="65"/>
      <c r="M2196" s="62" t="s">
        <v>825</v>
      </c>
      <c r="N2196" s="62" t="s">
        <v>935</v>
      </c>
      <c r="O2196" s="62" t="s">
        <v>347</v>
      </c>
      <c r="P2196" s="62" t="s">
        <v>2421</v>
      </c>
      <c r="Q2196" s="66" t="s">
        <v>1972</v>
      </c>
    </row>
    <row r="2197" spans="1:17" x14ac:dyDescent="0.3">
      <c r="A2197" s="61" t="s">
        <v>2374</v>
      </c>
      <c r="B2197" s="62" t="s">
        <v>1796</v>
      </c>
      <c r="C2197" s="62" t="s">
        <v>1797</v>
      </c>
      <c r="D2197" s="63">
        <v>45809</v>
      </c>
      <c r="E2197" s="63">
        <v>46173</v>
      </c>
      <c r="F2197" s="62" t="s">
        <v>1922</v>
      </c>
      <c r="G2197" s="62" t="s">
        <v>382</v>
      </c>
      <c r="H2197" s="62" t="s">
        <v>373</v>
      </c>
      <c r="I2197" s="64">
        <v>61037.645833333299</v>
      </c>
      <c r="J2197" s="62" t="s">
        <v>373</v>
      </c>
      <c r="K2197" s="62" t="s">
        <v>1693</v>
      </c>
      <c r="L2197" s="65"/>
      <c r="M2197" s="62" t="s">
        <v>825</v>
      </c>
      <c r="N2197" s="62" t="s">
        <v>935</v>
      </c>
      <c r="O2197" s="62" t="s">
        <v>347</v>
      </c>
      <c r="P2197" s="62" t="s">
        <v>2421</v>
      </c>
      <c r="Q2197" s="66" t="s">
        <v>1972</v>
      </c>
    </row>
    <row r="2198" spans="1:17" x14ac:dyDescent="0.3">
      <c r="A2198" s="61" t="s">
        <v>2374</v>
      </c>
      <c r="B2198" s="62" t="s">
        <v>1796</v>
      </c>
      <c r="C2198" s="62" t="s">
        <v>1797</v>
      </c>
      <c r="D2198" s="63">
        <v>45809</v>
      </c>
      <c r="E2198" s="63">
        <v>46173</v>
      </c>
      <c r="F2198" s="62" t="s">
        <v>1922</v>
      </c>
      <c r="G2198" s="62" t="s">
        <v>383</v>
      </c>
      <c r="H2198" s="62" t="s">
        <v>373</v>
      </c>
      <c r="I2198" s="64">
        <v>61037.645833333299</v>
      </c>
      <c r="J2198" s="62" t="s">
        <v>373</v>
      </c>
      <c r="K2198" s="62" t="s">
        <v>1693</v>
      </c>
      <c r="L2198" s="65"/>
      <c r="M2198" s="62" t="s">
        <v>825</v>
      </c>
      <c r="N2198" s="62" t="s">
        <v>935</v>
      </c>
      <c r="O2198" s="62" t="s">
        <v>347</v>
      </c>
      <c r="P2198" s="62" t="s">
        <v>2421</v>
      </c>
      <c r="Q2198" s="66" t="s">
        <v>1972</v>
      </c>
    </row>
    <row r="2199" spans="1:17" x14ac:dyDescent="0.3">
      <c r="A2199" s="61" t="s">
        <v>2374</v>
      </c>
      <c r="B2199" s="62" t="s">
        <v>1796</v>
      </c>
      <c r="C2199" s="62" t="s">
        <v>1797</v>
      </c>
      <c r="D2199" s="63">
        <v>45809</v>
      </c>
      <c r="E2199" s="63">
        <v>46173</v>
      </c>
      <c r="F2199" s="62" t="s">
        <v>1922</v>
      </c>
      <c r="G2199" s="62" t="s">
        <v>889</v>
      </c>
      <c r="H2199" s="62" t="s">
        <v>373</v>
      </c>
      <c r="I2199" s="64">
        <v>61037.645833333299</v>
      </c>
      <c r="J2199" s="62" t="s">
        <v>373</v>
      </c>
      <c r="K2199" s="62" t="s">
        <v>1693</v>
      </c>
      <c r="L2199" s="65"/>
      <c r="M2199" s="62" t="s">
        <v>825</v>
      </c>
      <c r="N2199" s="62" t="s">
        <v>935</v>
      </c>
      <c r="O2199" s="62" t="s">
        <v>347</v>
      </c>
      <c r="P2199" s="62" t="s">
        <v>2421</v>
      </c>
      <c r="Q2199" s="66" t="s">
        <v>1972</v>
      </c>
    </row>
    <row r="2200" spans="1:17" x14ac:dyDescent="0.3">
      <c r="A2200" s="61" t="s">
        <v>2374</v>
      </c>
      <c r="B2200" s="62" t="s">
        <v>1796</v>
      </c>
      <c r="C2200" s="62" t="s">
        <v>1797</v>
      </c>
      <c r="D2200" s="63">
        <v>45809</v>
      </c>
      <c r="E2200" s="63">
        <v>46173</v>
      </c>
      <c r="F2200" s="62" t="s">
        <v>1922</v>
      </c>
      <c r="G2200" s="62" t="s">
        <v>384</v>
      </c>
      <c r="H2200" s="62" t="s">
        <v>373</v>
      </c>
      <c r="I2200" s="64">
        <v>61037.645833333299</v>
      </c>
      <c r="J2200" s="62" t="s">
        <v>373</v>
      </c>
      <c r="K2200" s="62" t="s">
        <v>1693</v>
      </c>
      <c r="L2200" s="65"/>
      <c r="M2200" s="62" t="s">
        <v>825</v>
      </c>
      <c r="N2200" s="62" t="s">
        <v>935</v>
      </c>
      <c r="O2200" s="62" t="s">
        <v>347</v>
      </c>
      <c r="P2200" s="62" t="s">
        <v>2421</v>
      </c>
      <c r="Q2200" s="66" t="s">
        <v>1972</v>
      </c>
    </row>
    <row r="2201" spans="1:17" x14ac:dyDescent="0.3">
      <c r="A2201" s="61" t="s">
        <v>2374</v>
      </c>
      <c r="B2201" s="62" t="s">
        <v>1796</v>
      </c>
      <c r="C2201" s="62" t="s">
        <v>1797</v>
      </c>
      <c r="D2201" s="63">
        <v>45809</v>
      </c>
      <c r="E2201" s="63">
        <v>46173</v>
      </c>
      <c r="F2201" s="62" t="s">
        <v>1922</v>
      </c>
      <c r="G2201" s="62" t="s">
        <v>385</v>
      </c>
      <c r="H2201" s="62" t="s">
        <v>373</v>
      </c>
      <c r="I2201" s="64">
        <v>61037.645833333299</v>
      </c>
      <c r="J2201" s="62" t="s">
        <v>373</v>
      </c>
      <c r="K2201" s="62" t="s">
        <v>1693</v>
      </c>
      <c r="L2201" s="65"/>
      <c r="M2201" s="62" t="s">
        <v>825</v>
      </c>
      <c r="N2201" s="62" t="s">
        <v>935</v>
      </c>
      <c r="O2201" s="62" t="s">
        <v>347</v>
      </c>
      <c r="P2201" s="62" t="s">
        <v>2421</v>
      </c>
      <c r="Q2201" s="66" t="s">
        <v>1972</v>
      </c>
    </row>
    <row r="2202" spans="1:17" x14ac:dyDescent="0.3">
      <c r="A2202" s="61" t="s">
        <v>2374</v>
      </c>
      <c r="B2202" s="62" t="s">
        <v>1796</v>
      </c>
      <c r="C2202" s="62" t="s">
        <v>1797</v>
      </c>
      <c r="D2202" s="63">
        <v>45809</v>
      </c>
      <c r="E2202" s="63">
        <v>46173</v>
      </c>
      <c r="F2202" s="62" t="s">
        <v>1922</v>
      </c>
      <c r="G2202" s="62" t="s">
        <v>386</v>
      </c>
      <c r="H2202" s="62" t="s">
        <v>373</v>
      </c>
      <c r="I2202" s="64">
        <v>61037.645833333299</v>
      </c>
      <c r="J2202" s="62" t="s">
        <v>373</v>
      </c>
      <c r="K2202" s="62" t="s">
        <v>1693</v>
      </c>
      <c r="L2202" s="65"/>
      <c r="M2202" s="62" t="s">
        <v>825</v>
      </c>
      <c r="N2202" s="62" t="s">
        <v>935</v>
      </c>
      <c r="O2202" s="62" t="s">
        <v>347</v>
      </c>
      <c r="P2202" s="62" t="s">
        <v>2421</v>
      </c>
      <c r="Q2202" s="66" t="s">
        <v>1972</v>
      </c>
    </row>
    <row r="2203" spans="1:17" x14ac:dyDescent="0.3">
      <c r="A2203" s="61" t="s">
        <v>2374</v>
      </c>
      <c r="B2203" s="62" t="s">
        <v>1796</v>
      </c>
      <c r="C2203" s="62" t="s">
        <v>1797</v>
      </c>
      <c r="D2203" s="63">
        <v>45809</v>
      </c>
      <c r="E2203" s="63">
        <v>46173</v>
      </c>
      <c r="F2203" s="62" t="s">
        <v>1922</v>
      </c>
      <c r="G2203" s="62" t="s">
        <v>387</v>
      </c>
      <c r="H2203" s="62" t="s">
        <v>373</v>
      </c>
      <c r="I2203" s="64">
        <v>61037.645833333299</v>
      </c>
      <c r="J2203" s="62" t="s">
        <v>373</v>
      </c>
      <c r="K2203" s="62" t="s">
        <v>1693</v>
      </c>
      <c r="L2203" s="65"/>
      <c r="M2203" s="62" t="s">
        <v>825</v>
      </c>
      <c r="N2203" s="62" t="s">
        <v>935</v>
      </c>
      <c r="O2203" s="62" t="s">
        <v>347</v>
      </c>
      <c r="P2203" s="62" t="s">
        <v>2421</v>
      </c>
      <c r="Q2203" s="66" t="s">
        <v>1972</v>
      </c>
    </row>
    <row r="2204" spans="1:17" x14ac:dyDescent="0.3">
      <c r="A2204" s="61" t="s">
        <v>2374</v>
      </c>
      <c r="B2204" s="62" t="s">
        <v>1796</v>
      </c>
      <c r="C2204" s="62" t="s">
        <v>1797</v>
      </c>
      <c r="D2204" s="63">
        <v>45809</v>
      </c>
      <c r="E2204" s="63">
        <v>46173</v>
      </c>
      <c r="F2204" s="62" t="s">
        <v>1922</v>
      </c>
      <c r="G2204" s="62" t="s">
        <v>553</v>
      </c>
      <c r="H2204" s="62" t="s">
        <v>373</v>
      </c>
      <c r="I2204" s="64">
        <v>61037.645833333299</v>
      </c>
      <c r="J2204" s="62" t="s">
        <v>373</v>
      </c>
      <c r="K2204" s="62" t="s">
        <v>1693</v>
      </c>
      <c r="L2204" s="65"/>
      <c r="M2204" s="62" t="s">
        <v>825</v>
      </c>
      <c r="N2204" s="62" t="s">
        <v>935</v>
      </c>
      <c r="O2204" s="62" t="s">
        <v>347</v>
      </c>
      <c r="P2204" s="62" t="s">
        <v>2421</v>
      </c>
      <c r="Q2204" s="66" t="s">
        <v>1972</v>
      </c>
    </row>
    <row r="2205" spans="1:17" x14ac:dyDescent="0.3">
      <c r="A2205" s="61" t="s">
        <v>2374</v>
      </c>
      <c r="B2205" s="62" t="s">
        <v>1796</v>
      </c>
      <c r="C2205" s="62" t="s">
        <v>1797</v>
      </c>
      <c r="D2205" s="63">
        <v>45809</v>
      </c>
      <c r="E2205" s="63">
        <v>46173</v>
      </c>
      <c r="F2205" s="62" t="s">
        <v>280</v>
      </c>
      <c r="G2205" s="62" t="s">
        <v>280</v>
      </c>
      <c r="H2205" s="62" t="s">
        <v>373</v>
      </c>
      <c r="I2205" s="64">
        <v>139514.61904761899</v>
      </c>
      <c r="J2205" s="62" t="s">
        <v>373</v>
      </c>
      <c r="K2205" s="62" t="s">
        <v>1693</v>
      </c>
      <c r="L2205" s="65"/>
      <c r="M2205" s="62" t="s">
        <v>825</v>
      </c>
      <c r="N2205" s="62" t="s">
        <v>935</v>
      </c>
      <c r="O2205" s="62" t="s">
        <v>347</v>
      </c>
      <c r="P2205" s="62" t="s">
        <v>2421</v>
      </c>
      <c r="Q2205" s="66" t="s">
        <v>1972</v>
      </c>
    </row>
    <row r="2206" spans="1:17" x14ac:dyDescent="0.3">
      <c r="A2206" s="61" t="s">
        <v>2374</v>
      </c>
      <c r="B2206" s="62" t="s">
        <v>1796</v>
      </c>
      <c r="C2206" s="62" t="s">
        <v>1797</v>
      </c>
      <c r="D2206" s="63">
        <v>45809</v>
      </c>
      <c r="E2206" s="63">
        <v>46173</v>
      </c>
      <c r="F2206" s="62" t="s">
        <v>280</v>
      </c>
      <c r="G2206" s="62" t="s">
        <v>406</v>
      </c>
      <c r="H2206" s="62" t="s">
        <v>373</v>
      </c>
      <c r="I2206" s="64">
        <v>139514.61904761899</v>
      </c>
      <c r="J2206" s="62" t="s">
        <v>373</v>
      </c>
      <c r="K2206" s="62" t="s">
        <v>1693</v>
      </c>
      <c r="L2206" s="65"/>
      <c r="M2206" s="62" t="s">
        <v>825</v>
      </c>
      <c r="N2206" s="62" t="s">
        <v>935</v>
      </c>
      <c r="O2206" s="62" t="s">
        <v>347</v>
      </c>
      <c r="P2206" s="62" t="s">
        <v>2421</v>
      </c>
      <c r="Q2206" s="66" t="s">
        <v>1972</v>
      </c>
    </row>
    <row r="2207" spans="1:17" x14ac:dyDescent="0.3">
      <c r="A2207" s="61" t="s">
        <v>2374</v>
      </c>
      <c r="B2207" s="62" t="s">
        <v>1796</v>
      </c>
      <c r="C2207" s="62" t="s">
        <v>1797</v>
      </c>
      <c r="D2207" s="63">
        <v>45809</v>
      </c>
      <c r="E2207" s="63">
        <v>46173</v>
      </c>
      <c r="F2207" s="62" t="s">
        <v>280</v>
      </c>
      <c r="G2207" s="62" t="s">
        <v>1195</v>
      </c>
      <c r="H2207" s="62" t="s">
        <v>373</v>
      </c>
      <c r="I2207" s="64">
        <v>139514.61904761899</v>
      </c>
      <c r="J2207" s="62" t="s">
        <v>373</v>
      </c>
      <c r="K2207" s="62" t="s">
        <v>1693</v>
      </c>
      <c r="L2207" s="65"/>
      <c r="M2207" s="62" t="s">
        <v>825</v>
      </c>
      <c r="N2207" s="62" t="s">
        <v>935</v>
      </c>
      <c r="O2207" s="62" t="s">
        <v>347</v>
      </c>
      <c r="P2207" s="62" t="s">
        <v>2421</v>
      </c>
      <c r="Q2207" s="66" t="s">
        <v>1972</v>
      </c>
    </row>
    <row r="2208" spans="1:17" x14ac:dyDescent="0.3">
      <c r="A2208" s="61" t="s">
        <v>2374</v>
      </c>
      <c r="B2208" s="62" t="s">
        <v>1796</v>
      </c>
      <c r="C2208" s="62" t="s">
        <v>1797</v>
      </c>
      <c r="D2208" s="63">
        <v>45809</v>
      </c>
      <c r="E2208" s="63">
        <v>46173</v>
      </c>
      <c r="F2208" s="62" t="s">
        <v>280</v>
      </c>
      <c r="G2208" s="62" t="s">
        <v>407</v>
      </c>
      <c r="H2208" s="62" t="s">
        <v>373</v>
      </c>
      <c r="I2208" s="64">
        <v>139514.61904761899</v>
      </c>
      <c r="J2208" s="62" t="s">
        <v>373</v>
      </c>
      <c r="K2208" s="62" t="s">
        <v>1693</v>
      </c>
      <c r="L2208" s="65"/>
      <c r="M2208" s="62" t="s">
        <v>825</v>
      </c>
      <c r="N2208" s="62" t="s">
        <v>935</v>
      </c>
      <c r="O2208" s="62" t="s">
        <v>347</v>
      </c>
      <c r="P2208" s="62" t="s">
        <v>2421</v>
      </c>
      <c r="Q2208" s="66" t="s">
        <v>1972</v>
      </c>
    </row>
    <row r="2209" spans="1:17" x14ac:dyDescent="0.3">
      <c r="A2209" s="61" t="s">
        <v>2374</v>
      </c>
      <c r="B2209" s="62" t="s">
        <v>1796</v>
      </c>
      <c r="C2209" s="62" t="s">
        <v>1797</v>
      </c>
      <c r="D2209" s="63">
        <v>45809</v>
      </c>
      <c r="E2209" s="63">
        <v>46173</v>
      </c>
      <c r="F2209" s="62" t="s">
        <v>280</v>
      </c>
      <c r="G2209" s="62" t="s">
        <v>408</v>
      </c>
      <c r="H2209" s="62" t="s">
        <v>373</v>
      </c>
      <c r="I2209" s="64">
        <v>139514.61904761899</v>
      </c>
      <c r="J2209" s="62" t="s">
        <v>373</v>
      </c>
      <c r="K2209" s="62" t="s">
        <v>1693</v>
      </c>
      <c r="L2209" s="65"/>
      <c r="M2209" s="62" t="s">
        <v>825</v>
      </c>
      <c r="N2209" s="62" t="s">
        <v>935</v>
      </c>
      <c r="O2209" s="62" t="s">
        <v>347</v>
      </c>
      <c r="P2209" s="62" t="s">
        <v>2421</v>
      </c>
      <c r="Q2209" s="66" t="s">
        <v>1972</v>
      </c>
    </row>
    <row r="2210" spans="1:17" x14ac:dyDescent="0.3">
      <c r="A2210" s="61" t="s">
        <v>2374</v>
      </c>
      <c r="B2210" s="62" t="s">
        <v>1796</v>
      </c>
      <c r="C2210" s="62" t="s">
        <v>1797</v>
      </c>
      <c r="D2210" s="63">
        <v>45809</v>
      </c>
      <c r="E2210" s="63">
        <v>46173</v>
      </c>
      <c r="F2210" s="62" t="s">
        <v>280</v>
      </c>
      <c r="G2210" s="62" t="s">
        <v>409</v>
      </c>
      <c r="H2210" s="62" t="s">
        <v>373</v>
      </c>
      <c r="I2210" s="64">
        <v>139514.61904761899</v>
      </c>
      <c r="J2210" s="62" t="s">
        <v>373</v>
      </c>
      <c r="K2210" s="62" t="s">
        <v>1693</v>
      </c>
      <c r="L2210" s="65"/>
      <c r="M2210" s="62" t="s">
        <v>825</v>
      </c>
      <c r="N2210" s="62" t="s">
        <v>935</v>
      </c>
      <c r="O2210" s="62" t="s">
        <v>347</v>
      </c>
      <c r="P2210" s="62" t="s">
        <v>2421</v>
      </c>
      <c r="Q2210" s="66" t="s">
        <v>1972</v>
      </c>
    </row>
    <row r="2211" spans="1:17" x14ac:dyDescent="0.3">
      <c r="A2211" s="61" t="s">
        <v>2374</v>
      </c>
      <c r="B2211" s="62" t="s">
        <v>1796</v>
      </c>
      <c r="C2211" s="62" t="s">
        <v>1797</v>
      </c>
      <c r="D2211" s="63">
        <v>45809</v>
      </c>
      <c r="E2211" s="63">
        <v>46173</v>
      </c>
      <c r="F2211" s="62" t="s">
        <v>280</v>
      </c>
      <c r="G2211" s="62" t="s">
        <v>410</v>
      </c>
      <c r="H2211" s="62" t="s">
        <v>373</v>
      </c>
      <c r="I2211" s="64">
        <v>139514.61904761899</v>
      </c>
      <c r="J2211" s="62" t="s">
        <v>373</v>
      </c>
      <c r="K2211" s="62" t="s">
        <v>1693</v>
      </c>
      <c r="L2211" s="65"/>
      <c r="M2211" s="62" t="s">
        <v>825</v>
      </c>
      <c r="N2211" s="62" t="s">
        <v>935</v>
      </c>
      <c r="O2211" s="62" t="s">
        <v>347</v>
      </c>
      <c r="P2211" s="62" t="s">
        <v>2421</v>
      </c>
      <c r="Q2211" s="66" t="s">
        <v>1972</v>
      </c>
    </row>
    <row r="2212" spans="1:17" x14ac:dyDescent="0.3">
      <c r="A2212" s="61" t="s">
        <v>2374</v>
      </c>
      <c r="B2212" s="62" t="s">
        <v>1796</v>
      </c>
      <c r="C2212" s="62" t="s">
        <v>1797</v>
      </c>
      <c r="D2212" s="63">
        <v>45809</v>
      </c>
      <c r="E2212" s="63">
        <v>46173</v>
      </c>
      <c r="F2212" s="62" t="s">
        <v>287</v>
      </c>
      <c r="G2212" s="62" t="s">
        <v>589</v>
      </c>
      <c r="H2212" s="62" t="s">
        <v>373</v>
      </c>
      <c r="I2212" s="64">
        <v>195320.46666666699</v>
      </c>
      <c r="J2212" s="62" t="s">
        <v>373</v>
      </c>
      <c r="K2212" s="62" t="s">
        <v>1693</v>
      </c>
      <c r="L2212" s="65"/>
      <c r="M2212" s="62" t="s">
        <v>825</v>
      </c>
      <c r="N2212" s="62" t="s">
        <v>935</v>
      </c>
      <c r="O2212" s="62" t="s">
        <v>347</v>
      </c>
      <c r="P2212" s="62" t="s">
        <v>2421</v>
      </c>
      <c r="Q2212" s="66" t="s">
        <v>1972</v>
      </c>
    </row>
    <row r="2213" spans="1:17" x14ac:dyDescent="0.3">
      <c r="A2213" s="61" t="s">
        <v>2374</v>
      </c>
      <c r="B2213" s="62" t="s">
        <v>1796</v>
      </c>
      <c r="C2213" s="62" t="s">
        <v>1797</v>
      </c>
      <c r="D2213" s="63">
        <v>45809</v>
      </c>
      <c r="E2213" s="63">
        <v>46173</v>
      </c>
      <c r="F2213" s="62" t="s">
        <v>287</v>
      </c>
      <c r="G2213" s="62" t="s">
        <v>768</v>
      </c>
      <c r="H2213" s="62" t="s">
        <v>373</v>
      </c>
      <c r="I2213" s="64">
        <v>195320.46666666699</v>
      </c>
      <c r="J2213" s="62" t="s">
        <v>373</v>
      </c>
      <c r="K2213" s="62" t="s">
        <v>1693</v>
      </c>
      <c r="L2213" s="65"/>
      <c r="M2213" s="62" t="s">
        <v>825</v>
      </c>
      <c r="N2213" s="62" t="s">
        <v>935</v>
      </c>
      <c r="O2213" s="62" t="s">
        <v>347</v>
      </c>
      <c r="P2213" s="62" t="s">
        <v>2421</v>
      </c>
      <c r="Q2213" s="66" t="s">
        <v>1972</v>
      </c>
    </row>
    <row r="2214" spans="1:17" x14ac:dyDescent="0.3">
      <c r="A2214" s="61" t="s">
        <v>2374</v>
      </c>
      <c r="B2214" s="62" t="s">
        <v>1796</v>
      </c>
      <c r="C2214" s="62" t="s">
        <v>1797</v>
      </c>
      <c r="D2214" s="63">
        <v>45809</v>
      </c>
      <c r="E2214" s="63">
        <v>46173</v>
      </c>
      <c r="F2214" s="62" t="s">
        <v>287</v>
      </c>
      <c r="G2214" s="62" t="s">
        <v>392</v>
      </c>
      <c r="H2214" s="62" t="s">
        <v>373</v>
      </c>
      <c r="I2214" s="64">
        <v>195320.46666666699</v>
      </c>
      <c r="J2214" s="62" t="s">
        <v>373</v>
      </c>
      <c r="K2214" s="62" t="s">
        <v>1693</v>
      </c>
      <c r="L2214" s="65"/>
      <c r="M2214" s="62" t="s">
        <v>825</v>
      </c>
      <c r="N2214" s="62" t="s">
        <v>935</v>
      </c>
      <c r="O2214" s="62" t="s">
        <v>347</v>
      </c>
      <c r="P2214" s="62" t="s">
        <v>2421</v>
      </c>
      <c r="Q2214" s="66" t="s">
        <v>1972</v>
      </c>
    </row>
    <row r="2215" spans="1:17" x14ac:dyDescent="0.3">
      <c r="A2215" s="61" t="s">
        <v>2374</v>
      </c>
      <c r="B2215" s="62" t="s">
        <v>1796</v>
      </c>
      <c r="C2215" s="62" t="s">
        <v>1797</v>
      </c>
      <c r="D2215" s="63">
        <v>45809</v>
      </c>
      <c r="E2215" s="63">
        <v>46173</v>
      </c>
      <c r="F2215" s="62" t="s">
        <v>287</v>
      </c>
      <c r="G2215" s="62" t="s">
        <v>394</v>
      </c>
      <c r="H2215" s="62" t="s">
        <v>373</v>
      </c>
      <c r="I2215" s="64">
        <v>195320.46666666699</v>
      </c>
      <c r="J2215" s="62" t="s">
        <v>373</v>
      </c>
      <c r="K2215" s="62" t="s">
        <v>1693</v>
      </c>
      <c r="L2215" s="65"/>
      <c r="M2215" s="62" t="s">
        <v>825</v>
      </c>
      <c r="N2215" s="62" t="s">
        <v>935</v>
      </c>
      <c r="O2215" s="62" t="s">
        <v>347</v>
      </c>
      <c r="P2215" s="62" t="s">
        <v>2421</v>
      </c>
      <c r="Q2215" s="66" t="s">
        <v>1972</v>
      </c>
    </row>
    <row r="2216" spans="1:17" x14ac:dyDescent="0.3">
      <c r="A2216" s="61" t="s">
        <v>2374</v>
      </c>
      <c r="B2216" s="62" t="s">
        <v>1796</v>
      </c>
      <c r="C2216" s="62" t="s">
        <v>1797</v>
      </c>
      <c r="D2216" s="63">
        <v>45809</v>
      </c>
      <c r="E2216" s="63">
        <v>46173</v>
      </c>
      <c r="F2216" s="62" t="s">
        <v>287</v>
      </c>
      <c r="G2216" s="62" t="s">
        <v>395</v>
      </c>
      <c r="H2216" s="62" t="s">
        <v>373</v>
      </c>
      <c r="I2216" s="64">
        <v>195320.46666666699</v>
      </c>
      <c r="J2216" s="62" t="s">
        <v>373</v>
      </c>
      <c r="K2216" s="62" t="s">
        <v>1693</v>
      </c>
      <c r="L2216" s="65"/>
      <c r="M2216" s="62" t="s">
        <v>825</v>
      </c>
      <c r="N2216" s="62" t="s">
        <v>935</v>
      </c>
      <c r="O2216" s="62" t="s">
        <v>347</v>
      </c>
      <c r="P2216" s="62" t="s">
        <v>2421</v>
      </c>
      <c r="Q2216" s="66" t="s">
        <v>1972</v>
      </c>
    </row>
    <row r="2217" spans="1:17" x14ac:dyDescent="0.3">
      <c r="A2217" s="61" t="s">
        <v>2375</v>
      </c>
      <c r="B2217" s="62" t="s">
        <v>1799</v>
      </c>
      <c r="C2217" s="62" t="s">
        <v>1800</v>
      </c>
      <c r="D2217" s="63">
        <v>45512</v>
      </c>
      <c r="E2217" s="63">
        <v>46607</v>
      </c>
      <c r="F2217" s="62" t="s">
        <v>350</v>
      </c>
      <c r="G2217" s="62" t="s">
        <v>350</v>
      </c>
      <c r="H2217" s="62" t="s">
        <v>2427</v>
      </c>
      <c r="I2217" s="64">
        <v>1162470</v>
      </c>
      <c r="J2217" s="62" t="s">
        <v>1515</v>
      </c>
      <c r="K2217" s="62" t="s">
        <v>360</v>
      </c>
      <c r="L2217" s="65"/>
      <c r="M2217" s="62" t="s">
        <v>424</v>
      </c>
      <c r="N2217" s="62" t="s">
        <v>652</v>
      </c>
      <c r="O2217" s="62" t="s">
        <v>571</v>
      </c>
      <c r="P2217" s="62" t="s">
        <v>2421</v>
      </c>
      <c r="Q2217" s="66" t="s">
        <v>1966</v>
      </c>
    </row>
    <row r="2218" spans="1:17" x14ac:dyDescent="0.3">
      <c r="A2218" s="61" t="s">
        <v>2376</v>
      </c>
      <c r="B2218" s="62" t="s">
        <v>1801</v>
      </c>
      <c r="C2218" s="62" t="s">
        <v>1802</v>
      </c>
      <c r="D2218" s="63">
        <v>45569</v>
      </c>
      <c r="E2218" s="63">
        <v>47090</v>
      </c>
      <c r="F2218" s="62" t="s">
        <v>287</v>
      </c>
      <c r="G2218" s="62" t="s">
        <v>1342</v>
      </c>
      <c r="H2218" s="62" t="s">
        <v>2427</v>
      </c>
      <c r="I2218" s="64">
        <v>360.5</v>
      </c>
      <c r="J2218" s="62" t="s">
        <v>1803</v>
      </c>
      <c r="K2218" s="62" t="s">
        <v>467</v>
      </c>
      <c r="L2218" s="65"/>
      <c r="M2218" s="62" t="s">
        <v>2443</v>
      </c>
      <c r="N2218" s="62" t="s">
        <v>314</v>
      </c>
      <c r="O2218" s="62" t="s">
        <v>315</v>
      </c>
      <c r="P2218" s="62" t="s">
        <v>2421</v>
      </c>
      <c r="Q2218" s="66" t="s">
        <v>1969</v>
      </c>
    </row>
    <row r="2219" spans="1:17" x14ac:dyDescent="0.3">
      <c r="A2219" s="61" t="s">
        <v>2376</v>
      </c>
      <c r="B2219" s="62" t="s">
        <v>1801</v>
      </c>
      <c r="C2219" s="62" t="s">
        <v>1802</v>
      </c>
      <c r="D2219" s="63">
        <v>45569</v>
      </c>
      <c r="E2219" s="63">
        <v>47090</v>
      </c>
      <c r="F2219" s="62" t="s">
        <v>287</v>
      </c>
      <c r="G2219" s="62" t="s">
        <v>964</v>
      </c>
      <c r="H2219" s="62" t="s">
        <v>2427</v>
      </c>
      <c r="I2219" s="64">
        <v>360.5</v>
      </c>
      <c r="J2219" s="62" t="s">
        <v>1803</v>
      </c>
      <c r="K2219" s="62" t="s">
        <v>467</v>
      </c>
      <c r="L2219" s="65"/>
      <c r="M2219" s="62" t="s">
        <v>2443</v>
      </c>
      <c r="N2219" s="62" t="s">
        <v>314</v>
      </c>
      <c r="O2219" s="62" t="s">
        <v>315</v>
      </c>
      <c r="P2219" s="62" t="s">
        <v>2421</v>
      </c>
      <c r="Q2219" s="66" t="s">
        <v>1969</v>
      </c>
    </row>
    <row r="2220" spans="1:17" x14ac:dyDescent="0.3">
      <c r="A2220" s="61" t="s">
        <v>2376</v>
      </c>
      <c r="B2220" s="62" t="s">
        <v>1801</v>
      </c>
      <c r="C2220" s="62" t="s">
        <v>1802</v>
      </c>
      <c r="D2220" s="63">
        <v>45569</v>
      </c>
      <c r="E2220" s="63">
        <v>47090</v>
      </c>
      <c r="F2220" s="62" t="s">
        <v>287</v>
      </c>
      <c r="G2220" s="62" t="s">
        <v>933</v>
      </c>
      <c r="H2220" s="62" t="s">
        <v>2427</v>
      </c>
      <c r="I2220" s="64">
        <v>360.5</v>
      </c>
      <c r="J2220" s="62" t="s">
        <v>1803</v>
      </c>
      <c r="K2220" s="62" t="s">
        <v>467</v>
      </c>
      <c r="L2220" s="65"/>
      <c r="M2220" s="62" t="s">
        <v>2443</v>
      </c>
      <c r="N2220" s="62" t="s">
        <v>314</v>
      </c>
      <c r="O2220" s="62" t="s">
        <v>315</v>
      </c>
      <c r="P2220" s="62" t="s">
        <v>2421</v>
      </c>
      <c r="Q2220" s="66" t="s">
        <v>1969</v>
      </c>
    </row>
    <row r="2221" spans="1:17" x14ac:dyDescent="0.3">
      <c r="A2221" s="61" t="s">
        <v>2376</v>
      </c>
      <c r="B2221" s="62" t="s">
        <v>1801</v>
      </c>
      <c r="C2221" s="62" t="s">
        <v>1802</v>
      </c>
      <c r="D2221" s="63">
        <v>45569</v>
      </c>
      <c r="E2221" s="63">
        <v>47090</v>
      </c>
      <c r="F2221" s="62" t="s">
        <v>287</v>
      </c>
      <c r="G2221" s="62" t="s">
        <v>934</v>
      </c>
      <c r="H2221" s="62" t="s">
        <v>2427</v>
      </c>
      <c r="I2221" s="64">
        <v>360.5</v>
      </c>
      <c r="J2221" s="62" t="s">
        <v>1803</v>
      </c>
      <c r="K2221" s="62" t="s">
        <v>467</v>
      </c>
      <c r="L2221" s="65"/>
      <c r="M2221" s="62" t="s">
        <v>2443</v>
      </c>
      <c r="N2221" s="62" t="s">
        <v>314</v>
      </c>
      <c r="O2221" s="62" t="s">
        <v>315</v>
      </c>
      <c r="P2221" s="62" t="s">
        <v>2421</v>
      </c>
      <c r="Q2221" s="66" t="s">
        <v>1969</v>
      </c>
    </row>
    <row r="2222" spans="1:17" x14ac:dyDescent="0.3">
      <c r="A2222" s="61" t="s">
        <v>2376</v>
      </c>
      <c r="B2222" s="62" t="s">
        <v>1801</v>
      </c>
      <c r="C2222" s="62" t="s">
        <v>1802</v>
      </c>
      <c r="D2222" s="63">
        <v>45569</v>
      </c>
      <c r="E2222" s="63">
        <v>47090</v>
      </c>
      <c r="F2222" s="62" t="s">
        <v>287</v>
      </c>
      <c r="G2222" s="62" t="s">
        <v>1342</v>
      </c>
      <c r="H2222" s="62" t="s">
        <v>2427</v>
      </c>
      <c r="I2222" s="64">
        <v>1045.25</v>
      </c>
      <c r="J2222" s="62" t="s">
        <v>1804</v>
      </c>
      <c r="K2222" s="62" t="s">
        <v>467</v>
      </c>
      <c r="L2222" s="65"/>
      <c r="M2222" s="62" t="s">
        <v>2443</v>
      </c>
      <c r="N2222" s="62" t="s">
        <v>314</v>
      </c>
      <c r="O2222" s="62" t="s">
        <v>315</v>
      </c>
      <c r="P2222" s="62" t="s">
        <v>2421</v>
      </c>
      <c r="Q2222" s="66" t="s">
        <v>1969</v>
      </c>
    </row>
    <row r="2223" spans="1:17" x14ac:dyDescent="0.3">
      <c r="A2223" s="61" t="s">
        <v>2376</v>
      </c>
      <c r="B2223" s="62" t="s">
        <v>1801</v>
      </c>
      <c r="C2223" s="62" t="s">
        <v>1802</v>
      </c>
      <c r="D2223" s="63">
        <v>45569</v>
      </c>
      <c r="E2223" s="63">
        <v>47090</v>
      </c>
      <c r="F2223" s="62" t="s">
        <v>287</v>
      </c>
      <c r="G2223" s="62" t="s">
        <v>964</v>
      </c>
      <c r="H2223" s="62" t="s">
        <v>2427</v>
      </c>
      <c r="I2223" s="64">
        <v>1045.25</v>
      </c>
      <c r="J2223" s="62" t="s">
        <v>1804</v>
      </c>
      <c r="K2223" s="62" t="s">
        <v>467</v>
      </c>
      <c r="L2223" s="65"/>
      <c r="M2223" s="62" t="s">
        <v>2443</v>
      </c>
      <c r="N2223" s="62" t="s">
        <v>314</v>
      </c>
      <c r="O2223" s="62" t="s">
        <v>315</v>
      </c>
      <c r="P2223" s="62" t="s">
        <v>2421</v>
      </c>
      <c r="Q2223" s="66" t="s">
        <v>1969</v>
      </c>
    </row>
    <row r="2224" spans="1:17" x14ac:dyDescent="0.3">
      <c r="A2224" s="61" t="s">
        <v>2376</v>
      </c>
      <c r="B2224" s="62" t="s">
        <v>1801</v>
      </c>
      <c r="C2224" s="62" t="s">
        <v>1802</v>
      </c>
      <c r="D2224" s="63">
        <v>45569</v>
      </c>
      <c r="E2224" s="63">
        <v>47090</v>
      </c>
      <c r="F2224" s="62" t="s">
        <v>287</v>
      </c>
      <c r="G2224" s="62" t="s">
        <v>933</v>
      </c>
      <c r="H2224" s="62" t="s">
        <v>2427</v>
      </c>
      <c r="I2224" s="64">
        <v>1045.25</v>
      </c>
      <c r="J2224" s="62" t="s">
        <v>1804</v>
      </c>
      <c r="K2224" s="62" t="s">
        <v>467</v>
      </c>
      <c r="L2224" s="65"/>
      <c r="M2224" s="62" t="s">
        <v>2443</v>
      </c>
      <c r="N2224" s="62" t="s">
        <v>314</v>
      </c>
      <c r="O2224" s="62" t="s">
        <v>315</v>
      </c>
      <c r="P2224" s="62" t="s">
        <v>2421</v>
      </c>
      <c r="Q2224" s="66" t="s">
        <v>1969</v>
      </c>
    </row>
    <row r="2225" spans="1:17" x14ac:dyDescent="0.3">
      <c r="A2225" s="61" t="s">
        <v>2376</v>
      </c>
      <c r="B2225" s="62" t="s">
        <v>1801</v>
      </c>
      <c r="C2225" s="62" t="s">
        <v>1802</v>
      </c>
      <c r="D2225" s="63">
        <v>45569</v>
      </c>
      <c r="E2225" s="63">
        <v>47090</v>
      </c>
      <c r="F2225" s="62" t="s">
        <v>287</v>
      </c>
      <c r="G2225" s="62" t="s">
        <v>934</v>
      </c>
      <c r="H2225" s="62" t="s">
        <v>2427</v>
      </c>
      <c r="I2225" s="64">
        <v>1045.25</v>
      </c>
      <c r="J2225" s="62" t="s">
        <v>1804</v>
      </c>
      <c r="K2225" s="62" t="s">
        <v>467</v>
      </c>
      <c r="L2225" s="65"/>
      <c r="M2225" s="62" t="s">
        <v>2443</v>
      </c>
      <c r="N2225" s="62" t="s">
        <v>314</v>
      </c>
      <c r="O2225" s="62" t="s">
        <v>315</v>
      </c>
      <c r="P2225" s="62" t="s">
        <v>2421</v>
      </c>
      <c r="Q2225" s="66" t="s">
        <v>1969</v>
      </c>
    </row>
    <row r="2226" spans="1:17" x14ac:dyDescent="0.3">
      <c r="A2226" s="61" t="s">
        <v>2376</v>
      </c>
      <c r="B2226" s="62" t="s">
        <v>1801</v>
      </c>
      <c r="C2226" s="62" t="s">
        <v>1802</v>
      </c>
      <c r="D2226" s="63">
        <v>45569</v>
      </c>
      <c r="E2226" s="63">
        <v>47090</v>
      </c>
      <c r="F2226" s="62" t="s">
        <v>287</v>
      </c>
      <c r="G2226" s="62" t="s">
        <v>1342</v>
      </c>
      <c r="H2226" s="62" t="s">
        <v>467</v>
      </c>
      <c r="I2226" s="64">
        <v>54855</v>
      </c>
      <c r="J2226" s="62" t="s">
        <v>1805</v>
      </c>
      <c r="K2226" s="62" t="s">
        <v>467</v>
      </c>
      <c r="L2226" s="65"/>
      <c r="M2226" s="62" t="s">
        <v>2443</v>
      </c>
      <c r="N2226" s="62" t="s">
        <v>314</v>
      </c>
      <c r="O2226" s="62" t="s">
        <v>315</v>
      </c>
      <c r="P2226" s="62" t="s">
        <v>2421</v>
      </c>
      <c r="Q2226" s="66" t="s">
        <v>1969</v>
      </c>
    </row>
    <row r="2227" spans="1:17" x14ac:dyDescent="0.3">
      <c r="A2227" s="61" t="s">
        <v>2376</v>
      </c>
      <c r="B2227" s="62" t="s">
        <v>1801</v>
      </c>
      <c r="C2227" s="62" t="s">
        <v>1802</v>
      </c>
      <c r="D2227" s="63">
        <v>45569</v>
      </c>
      <c r="E2227" s="63">
        <v>47090</v>
      </c>
      <c r="F2227" s="62" t="s">
        <v>287</v>
      </c>
      <c r="G2227" s="62" t="s">
        <v>964</v>
      </c>
      <c r="H2227" s="62" t="s">
        <v>467</v>
      </c>
      <c r="I2227" s="64">
        <v>54855</v>
      </c>
      <c r="J2227" s="62" t="s">
        <v>1805</v>
      </c>
      <c r="K2227" s="62" t="s">
        <v>467</v>
      </c>
      <c r="L2227" s="65"/>
      <c r="M2227" s="62" t="s">
        <v>2443</v>
      </c>
      <c r="N2227" s="62" t="s">
        <v>314</v>
      </c>
      <c r="O2227" s="62" t="s">
        <v>315</v>
      </c>
      <c r="P2227" s="62" t="s">
        <v>2421</v>
      </c>
      <c r="Q2227" s="66" t="s">
        <v>1969</v>
      </c>
    </row>
    <row r="2228" spans="1:17" x14ac:dyDescent="0.3">
      <c r="A2228" s="61" t="s">
        <v>2376</v>
      </c>
      <c r="B2228" s="62" t="s">
        <v>1801</v>
      </c>
      <c r="C2228" s="62" t="s">
        <v>1802</v>
      </c>
      <c r="D2228" s="63">
        <v>45569</v>
      </c>
      <c r="E2228" s="63">
        <v>47090</v>
      </c>
      <c r="F2228" s="62" t="s">
        <v>287</v>
      </c>
      <c r="G2228" s="62" t="s">
        <v>933</v>
      </c>
      <c r="H2228" s="62" t="s">
        <v>467</v>
      </c>
      <c r="I2228" s="64">
        <v>54855</v>
      </c>
      <c r="J2228" s="62" t="s">
        <v>1805</v>
      </c>
      <c r="K2228" s="62" t="s">
        <v>467</v>
      </c>
      <c r="L2228" s="65"/>
      <c r="M2228" s="62" t="s">
        <v>2443</v>
      </c>
      <c r="N2228" s="62" t="s">
        <v>314</v>
      </c>
      <c r="O2228" s="62" t="s">
        <v>315</v>
      </c>
      <c r="P2228" s="62" t="s">
        <v>2421</v>
      </c>
      <c r="Q2228" s="66" t="s">
        <v>1969</v>
      </c>
    </row>
    <row r="2229" spans="1:17" x14ac:dyDescent="0.3">
      <c r="A2229" s="61" t="s">
        <v>2376</v>
      </c>
      <c r="B2229" s="62" t="s">
        <v>1801</v>
      </c>
      <c r="C2229" s="62" t="s">
        <v>1802</v>
      </c>
      <c r="D2229" s="63">
        <v>45569</v>
      </c>
      <c r="E2229" s="63">
        <v>47090</v>
      </c>
      <c r="F2229" s="62" t="s">
        <v>287</v>
      </c>
      <c r="G2229" s="62" t="s">
        <v>934</v>
      </c>
      <c r="H2229" s="62" t="s">
        <v>467</v>
      </c>
      <c r="I2229" s="64">
        <v>54855</v>
      </c>
      <c r="J2229" s="62" t="s">
        <v>1805</v>
      </c>
      <c r="K2229" s="62" t="s">
        <v>467</v>
      </c>
      <c r="L2229" s="65"/>
      <c r="M2229" s="62" t="s">
        <v>2443</v>
      </c>
      <c r="N2229" s="62" t="s">
        <v>314</v>
      </c>
      <c r="O2229" s="62" t="s">
        <v>315</v>
      </c>
      <c r="P2229" s="62" t="s">
        <v>2421</v>
      </c>
      <c r="Q2229" s="66" t="s">
        <v>1969</v>
      </c>
    </row>
    <row r="2230" spans="1:17" x14ac:dyDescent="0.3">
      <c r="A2230" s="61" t="s">
        <v>2377</v>
      </c>
      <c r="B2230" s="62" t="s">
        <v>1806</v>
      </c>
      <c r="C2230" s="62" t="s">
        <v>1802</v>
      </c>
      <c r="D2230" s="63">
        <v>45934</v>
      </c>
      <c r="E2230" s="63">
        <v>47090</v>
      </c>
      <c r="F2230" s="62" t="s">
        <v>287</v>
      </c>
      <c r="G2230" s="62" t="s">
        <v>1342</v>
      </c>
      <c r="H2230" s="62" t="s">
        <v>2427</v>
      </c>
      <c r="I2230" s="64">
        <v>2129.75</v>
      </c>
      <c r="J2230" s="62" t="s">
        <v>1804</v>
      </c>
      <c r="K2230" s="62" t="s">
        <v>1957</v>
      </c>
      <c r="L2230" s="65"/>
      <c r="M2230" s="62" t="s">
        <v>2443</v>
      </c>
      <c r="N2230" s="62" t="s">
        <v>314</v>
      </c>
      <c r="O2230" s="62" t="s">
        <v>315</v>
      </c>
      <c r="P2230" s="62" t="s">
        <v>2421</v>
      </c>
      <c r="Q2230" s="66" t="s">
        <v>1969</v>
      </c>
    </row>
    <row r="2231" spans="1:17" x14ac:dyDescent="0.3">
      <c r="A2231" s="61" t="s">
        <v>2377</v>
      </c>
      <c r="B2231" s="62" t="s">
        <v>1806</v>
      </c>
      <c r="C2231" s="62" t="s">
        <v>1802</v>
      </c>
      <c r="D2231" s="63">
        <v>45934</v>
      </c>
      <c r="E2231" s="63">
        <v>47090</v>
      </c>
      <c r="F2231" s="62" t="s">
        <v>287</v>
      </c>
      <c r="G2231" s="62" t="s">
        <v>964</v>
      </c>
      <c r="H2231" s="62" t="s">
        <v>2427</v>
      </c>
      <c r="I2231" s="64">
        <v>2129.75</v>
      </c>
      <c r="J2231" s="62" t="s">
        <v>1804</v>
      </c>
      <c r="K2231" s="62" t="s">
        <v>1957</v>
      </c>
      <c r="L2231" s="65"/>
      <c r="M2231" s="62" t="s">
        <v>2443</v>
      </c>
      <c r="N2231" s="62" t="s">
        <v>314</v>
      </c>
      <c r="O2231" s="62" t="s">
        <v>315</v>
      </c>
      <c r="P2231" s="62" t="s">
        <v>2421</v>
      </c>
      <c r="Q2231" s="66" t="s">
        <v>1969</v>
      </c>
    </row>
    <row r="2232" spans="1:17" x14ac:dyDescent="0.3">
      <c r="A2232" s="61" t="s">
        <v>2377</v>
      </c>
      <c r="B2232" s="62" t="s">
        <v>1806</v>
      </c>
      <c r="C2232" s="62" t="s">
        <v>1802</v>
      </c>
      <c r="D2232" s="63">
        <v>45934</v>
      </c>
      <c r="E2232" s="63">
        <v>47090</v>
      </c>
      <c r="F2232" s="62" t="s">
        <v>287</v>
      </c>
      <c r="G2232" s="62" t="s">
        <v>933</v>
      </c>
      <c r="H2232" s="62" t="s">
        <v>2427</v>
      </c>
      <c r="I2232" s="64">
        <v>2129.75</v>
      </c>
      <c r="J2232" s="62" t="s">
        <v>1804</v>
      </c>
      <c r="K2232" s="62" t="s">
        <v>1957</v>
      </c>
      <c r="L2232" s="65"/>
      <c r="M2232" s="62" t="s">
        <v>2443</v>
      </c>
      <c r="N2232" s="62" t="s">
        <v>314</v>
      </c>
      <c r="O2232" s="62" t="s">
        <v>315</v>
      </c>
      <c r="P2232" s="62" t="s">
        <v>2421</v>
      </c>
      <c r="Q2232" s="66" t="s">
        <v>1969</v>
      </c>
    </row>
    <row r="2233" spans="1:17" x14ac:dyDescent="0.3">
      <c r="A2233" s="61" t="s">
        <v>2377</v>
      </c>
      <c r="B2233" s="62" t="s">
        <v>1806</v>
      </c>
      <c r="C2233" s="62" t="s">
        <v>1802</v>
      </c>
      <c r="D2233" s="63">
        <v>45934</v>
      </c>
      <c r="E2233" s="63">
        <v>47090</v>
      </c>
      <c r="F2233" s="62" t="s">
        <v>287</v>
      </c>
      <c r="G2233" s="62" t="s">
        <v>934</v>
      </c>
      <c r="H2233" s="62" t="s">
        <v>2427</v>
      </c>
      <c r="I2233" s="64">
        <v>2129.75</v>
      </c>
      <c r="J2233" s="62" t="s">
        <v>1804</v>
      </c>
      <c r="K2233" s="62" t="s">
        <v>1957</v>
      </c>
      <c r="L2233" s="65"/>
      <c r="M2233" s="62" t="s">
        <v>2443</v>
      </c>
      <c r="N2233" s="62" t="s">
        <v>314</v>
      </c>
      <c r="O2233" s="62" t="s">
        <v>315</v>
      </c>
      <c r="P2233" s="62" t="s">
        <v>2421</v>
      </c>
      <c r="Q2233" s="66" t="s">
        <v>1969</v>
      </c>
    </row>
    <row r="2234" spans="1:17" x14ac:dyDescent="0.3">
      <c r="A2234" s="61" t="s">
        <v>2377</v>
      </c>
      <c r="B2234" s="62" t="s">
        <v>1806</v>
      </c>
      <c r="C2234" s="62" t="s">
        <v>1802</v>
      </c>
      <c r="D2234" s="63">
        <v>45934</v>
      </c>
      <c r="E2234" s="63">
        <v>47090</v>
      </c>
      <c r="F2234" s="62" t="s">
        <v>287</v>
      </c>
      <c r="G2234" s="62" t="s">
        <v>1342</v>
      </c>
      <c r="H2234" s="62" t="s">
        <v>467</v>
      </c>
      <c r="I2234" s="64">
        <v>55812.25</v>
      </c>
      <c r="J2234" s="62" t="s">
        <v>1805</v>
      </c>
      <c r="K2234" s="62" t="s">
        <v>1957</v>
      </c>
      <c r="L2234" s="65"/>
      <c r="M2234" s="62" t="s">
        <v>2443</v>
      </c>
      <c r="N2234" s="62" t="s">
        <v>314</v>
      </c>
      <c r="O2234" s="62" t="s">
        <v>315</v>
      </c>
      <c r="P2234" s="62" t="s">
        <v>2421</v>
      </c>
      <c r="Q2234" s="66" t="s">
        <v>1969</v>
      </c>
    </row>
    <row r="2235" spans="1:17" x14ac:dyDescent="0.3">
      <c r="A2235" s="61" t="s">
        <v>2377</v>
      </c>
      <c r="B2235" s="62" t="s">
        <v>1806</v>
      </c>
      <c r="C2235" s="62" t="s">
        <v>1802</v>
      </c>
      <c r="D2235" s="63">
        <v>45934</v>
      </c>
      <c r="E2235" s="63">
        <v>47090</v>
      </c>
      <c r="F2235" s="62" t="s">
        <v>287</v>
      </c>
      <c r="G2235" s="62" t="s">
        <v>964</v>
      </c>
      <c r="H2235" s="62" t="s">
        <v>467</v>
      </c>
      <c r="I2235" s="64">
        <v>55812.25</v>
      </c>
      <c r="J2235" s="62" t="s">
        <v>1805</v>
      </c>
      <c r="K2235" s="62" t="s">
        <v>1957</v>
      </c>
      <c r="L2235" s="65"/>
      <c r="M2235" s="62" t="s">
        <v>2443</v>
      </c>
      <c r="N2235" s="62" t="s">
        <v>314</v>
      </c>
      <c r="O2235" s="62" t="s">
        <v>315</v>
      </c>
      <c r="P2235" s="62" t="s">
        <v>2421</v>
      </c>
      <c r="Q2235" s="66" t="s">
        <v>1969</v>
      </c>
    </row>
    <row r="2236" spans="1:17" x14ac:dyDescent="0.3">
      <c r="A2236" s="61" t="s">
        <v>2377</v>
      </c>
      <c r="B2236" s="62" t="s">
        <v>1806</v>
      </c>
      <c r="C2236" s="62" t="s">
        <v>1802</v>
      </c>
      <c r="D2236" s="63">
        <v>45934</v>
      </c>
      <c r="E2236" s="63">
        <v>47090</v>
      </c>
      <c r="F2236" s="62" t="s">
        <v>287</v>
      </c>
      <c r="G2236" s="62" t="s">
        <v>933</v>
      </c>
      <c r="H2236" s="62" t="s">
        <v>467</v>
      </c>
      <c r="I2236" s="64">
        <v>55812.25</v>
      </c>
      <c r="J2236" s="62" t="s">
        <v>1805</v>
      </c>
      <c r="K2236" s="62" t="s">
        <v>1957</v>
      </c>
      <c r="L2236" s="65"/>
      <c r="M2236" s="62" t="s">
        <v>2443</v>
      </c>
      <c r="N2236" s="62" t="s">
        <v>314</v>
      </c>
      <c r="O2236" s="62" t="s">
        <v>315</v>
      </c>
      <c r="P2236" s="62" t="s">
        <v>2421</v>
      </c>
      <c r="Q2236" s="66" t="s">
        <v>1969</v>
      </c>
    </row>
    <row r="2237" spans="1:17" x14ac:dyDescent="0.3">
      <c r="A2237" s="61" t="s">
        <v>2377</v>
      </c>
      <c r="B2237" s="62" t="s">
        <v>1806</v>
      </c>
      <c r="C2237" s="62" t="s">
        <v>1802</v>
      </c>
      <c r="D2237" s="63">
        <v>45934</v>
      </c>
      <c r="E2237" s="63">
        <v>47090</v>
      </c>
      <c r="F2237" s="62" t="s">
        <v>287</v>
      </c>
      <c r="G2237" s="62" t="s">
        <v>934</v>
      </c>
      <c r="H2237" s="62" t="s">
        <v>467</v>
      </c>
      <c r="I2237" s="64">
        <v>55812.25</v>
      </c>
      <c r="J2237" s="62" t="s">
        <v>1805</v>
      </c>
      <c r="K2237" s="62" t="s">
        <v>1957</v>
      </c>
      <c r="L2237" s="65"/>
      <c r="M2237" s="62" t="s">
        <v>2443</v>
      </c>
      <c r="N2237" s="62" t="s">
        <v>314</v>
      </c>
      <c r="O2237" s="62" t="s">
        <v>315</v>
      </c>
      <c r="P2237" s="62" t="s">
        <v>2421</v>
      </c>
      <c r="Q2237" s="66" t="s">
        <v>1969</v>
      </c>
    </row>
    <row r="2238" spans="1:17" x14ac:dyDescent="0.3">
      <c r="A2238" s="61" t="s">
        <v>2378</v>
      </c>
      <c r="B2238" s="62" t="s">
        <v>1807</v>
      </c>
      <c r="C2238" s="62" t="s">
        <v>1802</v>
      </c>
      <c r="D2238" s="63">
        <v>46299</v>
      </c>
      <c r="E2238" s="63">
        <v>47090</v>
      </c>
      <c r="F2238" s="62" t="s">
        <v>287</v>
      </c>
      <c r="G2238" s="62" t="s">
        <v>1342</v>
      </c>
      <c r="H2238" s="62" t="s">
        <v>2427</v>
      </c>
      <c r="I2238" s="64">
        <v>3360</v>
      </c>
      <c r="J2238" s="62" t="s">
        <v>1804</v>
      </c>
      <c r="K2238" s="62" t="s">
        <v>1957</v>
      </c>
      <c r="L2238" s="65"/>
      <c r="M2238" s="62" t="s">
        <v>2443</v>
      </c>
      <c r="N2238" s="62" t="s">
        <v>314</v>
      </c>
      <c r="O2238" s="62" t="s">
        <v>315</v>
      </c>
      <c r="P2238" s="62" t="s">
        <v>2421</v>
      </c>
      <c r="Q2238" s="66" t="s">
        <v>1969</v>
      </c>
    </row>
    <row r="2239" spans="1:17" x14ac:dyDescent="0.3">
      <c r="A2239" s="61" t="s">
        <v>2378</v>
      </c>
      <c r="B2239" s="62" t="s">
        <v>1807</v>
      </c>
      <c r="C2239" s="62" t="s">
        <v>1802</v>
      </c>
      <c r="D2239" s="63">
        <v>46299</v>
      </c>
      <c r="E2239" s="63">
        <v>47090</v>
      </c>
      <c r="F2239" s="62" t="s">
        <v>287</v>
      </c>
      <c r="G2239" s="62" t="s">
        <v>964</v>
      </c>
      <c r="H2239" s="62" t="s">
        <v>2427</v>
      </c>
      <c r="I2239" s="64">
        <v>3360</v>
      </c>
      <c r="J2239" s="62" t="s">
        <v>1804</v>
      </c>
      <c r="K2239" s="62" t="s">
        <v>1957</v>
      </c>
      <c r="L2239" s="65"/>
      <c r="M2239" s="62" t="s">
        <v>2443</v>
      </c>
      <c r="N2239" s="62" t="s">
        <v>314</v>
      </c>
      <c r="O2239" s="62" t="s">
        <v>315</v>
      </c>
      <c r="P2239" s="62" t="s">
        <v>2421</v>
      </c>
      <c r="Q2239" s="66" t="s">
        <v>1969</v>
      </c>
    </row>
    <row r="2240" spans="1:17" x14ac:dyDescent="0.3">
      <c r="A2240" s="61" t="s">
        <v>2378</v>
      </c>
      <c r="B2240" s="62" t="s">
        <v>1807</v>
      </c>
      <c r="C2240" s="62" t="s">
        <v>1802</v>
      </c>
      <c r="D2240" s="63">
        <v>46299</v>
      </c>
      <c r="E2240" s="63">
        <v>47090</v>
      </c>
      <c r="F2240" s="62" t="s">
        <v>287</v>
      </c>
      <c r="G2240" s="62" t="s">
        <v>933</v>
      </c>
      <c r="H2240" s="62" t="s">
        <v>2427</v>
      </c>
      <c r="I2240" s="64">
        <v>3360</v>
      </c>
      <c r="J2240" s="62" t="s">
        <v>1804</v>
      </c>
      <c r="K2240" s="62" t="s">
        <v>1957</v>
      </c>
      <c r="L2240" s="65"/>
      <c r="M2240" s="62" t="s">
        <v>2443</v>
      </c>
      <c r="N2240" s="62" t="s">
        <v>314</v>
      </c>
      <c r="O2240" s="62" t="s">
        <v>315</v>
      </c>
      <c r="P2240" s="62" t="s">
        <v>2421</v>
      </c>
      <c r="Q2240" s="66" t="s">
        <v>1969</v>
      </c>
    </row>
    <row r="2241" spans="1:17" x14ac:dyDescent="0.3">
      <c r="A2241" s="61" t="s">
        <v>2378</v>
      </c>
      <c r="B2241" s="62" t="s">
        <v>1807</v>
      </c>
      <c r="C2241" s="62" t="s">
        <v>1802</v>
      </c>
      <c r="D2241" s="63">
        <v>46299</v>
      </c>
      <c r="E2241" s="63">
        <v>47090</v>
      </c>
      <c r="F2241" s="62" t="s">
        <v>287</v>
      </c>
      <c r="G2241" s="62" t="s">
        <v>934</v>
      </c>
      <c r="H2241" s="62" t="s">
        <v>2427</v>
      </c>
      <c r="I2241" s="64">
        <v>3360</v>
      </c>
      <c r="J2241" s="62" t="s">
        <v>1804</v>
      </c>
      <c r="K2241" s="62" t="s">
        <v>1957</v>
      </c>
      <c r="L2241" s="65"/>
      <c r="M2241" s="62" t="s">
        <v>2443</v>
      </c>
      <c r="N2241" s="62" t="s">
        <v>314</v>
      </c>
      <c r="O2241" s="62" t="s">
        <v>315</v>
      </c>
      <c r="P2241" s="62" t="s">
        <v>2421</v>
      </c>
      <c r="Q2241" s="66" t="s">
        <v>1969</v>
      </c>
    </row>
    <row r="2242" spans="1:17" x14ac:dyDescent="0.3">
      <c r="A2242" s="61" t="s">
        <v>2378</v>
      </c>
      <c r="B2242" s="62" t="s">
        <v>1807</v>
      </c>
      <c r="C2242" s="62" t="s">
        <v>1802</v>
      </c>
      <c r="D2242" s="63">
        <v>46299</v>
      </c>
      <c r="E2242" s="63">
        <v>47090</v>
      </c>
      <c r="F2242" s="62" t="s">
        <v>287</v>
      </c>
      <c r="G2242" s="62" t="s">
        <v>1342</v>
      </c>
      <c r="H2242" s="62" t="s">
        <v>467</v>
      </c>
      <c r="I2242" s="64">
        <v>55812.25</v>
      </c>
      <c r="J2242" s="62" t="s">
        <v>1805</v>
      </c>
      <c r="K2242" s="62" t="s">
        <v>1957</v>
      </c>
      <c r="L2242" s="65"/>
      <c r="M2242" s="62" t="s">
        <v>2443</v>
      </c>
      <c r="N2242" s="62" t="s">
        <v>314</v>
      </c>
      <c r="O2242" s="62" t="s">
        <v>315</v>
      </c>
      <c r="P2242" s="62" t="s">
        <v>2421</v>
      </c>
      <c r="Q2242" s="66" t="s">
        <v>1969</v>
      </c>
    </row>
    <row r="2243" spans="1:17" x14ac:dyDescent="0.3">
      <c r="A2243" s="61" t="s">
        <v>2378</v>
      </c>
      <c r="B2243" s="62" t="s">
        <v>1807</v>
      </c>
      <c r="C2243" s="62" t="s">
        <v>1802</v>
      </c>
      <c r="D2243" s="63">
        <v>46299</v>
      </c>
      <c r="E2243" s="63">
        <v>47090</v>
      </c>
      <c r="F2243" s="62" t="s">
        <v>287</v>
      </c>
      <c r="G2243" s="62" t="s">
        <v>964</v>
      </c>
      <c r="H2243" s="62" t="s">
        <v>467</v>
      </c>
      <c r="I2243" s="64">
        <v>55812.25</v>
      </c>
      <c r="J2243" s="62" t="s">
        <v>1805</v>
      </c>
      <c r="K2243" s="62" t="s">
        <v>1957</v>
      </c>
      <c r="L2243" s="65"/>
      <c r="M2243" s="62" t="s">
        <v>2443</v>
      </c>
      <c r="N2243" s="62" t="s">
        <v>314</v>
      </c>
      <c r="O2243" s="62" t="s">
        <v>315</v>
      </c>
      <c r="P2243" s="62" t="s">
        <v>2421</v>
      </c>
      <c r="Q2243" s="66" t="s">
        <v>1969</v>
      </c>
    </row>
    <row r="2244" spans="1:17" x14ac:dyDescent="0.3">
      <c r="A2244" s="61" t="s">
        <v>2378</v>
      </c>
      <c r="B2244" s="62" t="s">
        <v>1807</v>
      </c>
      <c r="C2244" s="62" t="s">
        <v>1802</v>
      </c>
      <c r="D2244" s="63">
        <v>46299</v>
      </c>
      <c r="E2244" s="63">
        <v>47090</v>
      </c>
      <c r="F2244" s="62" t="s">
        <v>287</v>
      </c>
      <c r="G2244" s="62" t="s">
        <v>933</v>
      </c>
      <c r="H2244" s="62" t="s">
        <v>467</v>
      </c>
      <c r="I2244" s="64">
        <v>55812.25</v>
      </c>
      <c r="J2244" s="62" t="s">
        <v>1805</v>
      </c>
      <c r="K2244" s="62" t="s">
        <v>1957</v>
      </c>
      <c r="L2244" s="65"/>
      <c r="M2244" s="62" t="s">
        <v>2443</v>
      </c>
      <c r="N2244" s="62" t="s">
        <v>314</v>
      </c>
      <c r="O2244" s="62" t="s">
        <v>315</v>
      </c>
      <c r="P2244" s="62" t="s">
        <v>2421</v>
      </c>
      <c r="Q2244" s="66" t="s">
        <v>1969</v>
      </c>
    </row>
    <row r="2245" spans="1:17" x14ac:dyDescent="0.3">
      <c r="A2245" s="61" t="s">
        <v>2378</v>
      </c>
      <c r="B2245" s="62" t="s">
        <v>1807</v>
      </c>
      <c r="C2245" s="62" t="s">
        <v>1802</v>
      </c>
      <c r="D2245" s="63">
        <v>46299</v>
      </c>
      <c r="E2245" s="63">
        <v>47090</v>
      </c>
      <c r="F2245" s="62" t="s">
        <v>287</v>
      </c>
      <c r="G2245" s="62" t="s">
        <v>934</v>
      </c>
      <c r="H2245" s="62" t="s">
        <v>467</v>
      </c>
      <c r="I2245" s="64">
        <v>55812.25</v>
      </c>
      <c r="J2245" s="62" t="s">
        <v>1805</v>
      </c>
      <c r="K2245" s="62" t="s">
        <v>1957</v>
      </c>
      <c r="L2245" s="65"/>
      <c r="M2245" s="62" t="s">
        <v>2443</v>
      </c>
      <c r="N2245" s="62" t="s">
        <v>314</v>
      </c>
      <c r="O2245" s="62" t="s">
        <v>315</v>
      </c>
      <c r="P2245" s="62" t="s">
        <v>2421</v>
      </c>
      <c r="Q2245" s="66" t="s">
        <v>1969</v>
      </c>
    </row>
    <row r="2246" spans="1:17" x14ac:dyDescent="0.3">
      <c r="A2246" s="61" t="s">
        <v>2379</v>
      </c>
      <c r="B2246" s="62" t="s">
        <v>1808</v>
      </c>
      <c r="C2246" s="62" t="s">
        <v>1809</v>
      </c>
      <c r="D2246" s="63">
        <v>45516</v>
      </c>
      <c r="E2246" s="63">
        <v>46610</v>
      </c>
      <c r="F2246" s="62" t="s">
        <v>350</v>
      </c>
      <c r="G2246" s="62" t="s">
        <v>350</v>
      </c>
      <c r="H2246" s="62" t="s">
        <v>2427</v>
      </c>
      <c r="I2246" s="64">
        <v>1155680</v>
      </c>
      <c r="J2246" s="62" t="s">
        <v>1515</v>
      </c>
      <c r="K2246" s="62" t="s">
        <v>360</v>
      </c>
      <c r="L2246" s="65"/>
      <c r="M2246" s="62" t="s">
        <v>825</v>
      </c>
      <c r="N2246" s="62" t="s">
        <v>570</v>
      </c>
      <c r="O2246" s="62" t="s">
        <v>571</v>
      </c>
      <c r="P2246" s="62" t="s">
        <v>2421</v>
      </c>
      <c r="Q2246" s="66" t="s">
        <v>1966</v>
      </c>
    </row>
    <row r="2247" spans="1:17" x14ac:dyDescent="0.3">
      <c r="A2247" s="61" t="s">
        <v>2380</v>
      </c>
      <c r="B2247" s="62" t="s">
        <v>1810</v>
      </c>
      <c r="C2247" s="62" t="s">
        <v>1811</v>
      </c>
      <c r="D2247" s="63">
        <v>45608</v>
      </c>
      <c r="E2247" s="63">
        <v>46519</v>
      </c>
      <c r="F2247" s="62" t="s">
        <v>1945</v>
      </c>
      <c r="G2247" s="62" t="s">
        <v>402</v>
      </c>
      <c r="H2247" s="62" t="s">
        <v>467</v>
      </c>
      <c r="I2247" s="64">
        <v>339139</v>
      </c>
      <c r="J2247" s="62" t="s">
        <v>468</v>
      </c>
      <c r="K2247" s="62" t="s">
        <v>467</v>
      </c>
      <c r="L2247" s="65"/>
      <c r="M2247" s="62" t="s">
        <v>2443</v>
      </c>
      <c r="N2247" s="62" t="s">
        <v>469</v>
      </c>
      <c r="O2247" s="62" t="s">
        <v>315</v>
      </c>
      <c r="P2247" s="62" t="s">
        <v>2421</v>
      </c>
      <c r="Q2247" s="66" t="s">
        <v>1969</v>
      </c>
    </row>
    <row r="2248" spans="1:17" x14ac:dyDescent="0.3">
      <c r="A2248" s="61" t="s">
        <v>2380</v>
      </c>
      <c r="B2248" s="62" t="s">
        <v>1810</v>
      </c>
      <c r="C2248" s="62" t="s">
        <v>1811</v>
      </c>
      <c r="D2248" s="63">
        <v>45608</v>
      </c>
      <c r="E2248" s="63">
        <v>46519</v>
      </c>
      <c r="F2248" s="62" t="s">
        <v>1945</v>
      </c>
      <c r="G2248" s="62" t="s">
        <v>404</v>
      </c>
      <c r="H2248" s="62" t="s">
        <v>467</v>
      </c>
      <c r="I2248" s="64">
        <v>339139</v>
      </c>
      <c r="J2248" s="62" t="s">
        <v>468</v>
      </c>
      <c r="K2248" s="62" t="s">
        <v>467</v>
      </c>
      <c r="L2248" s="65"/>
      <c r="M2248" s="62" t="s">
        <v>2443</v>
      </c>
      <c r="N2248" s="62" t="s">
        <v>469</v>
      </c>
      <c r="O2248" s="62" t="s">
        <v>315</v>
      </c>
      <c r="P2248" s="62" t="s">
        <v>2421</v>
      </c>
      <c r="Q2248" s="66" t="s">
        <v>1969</v>
      </c>
    </row>
    <row r="2249" spans="1:17" x14ac:dyDescent="0.3">
      <c r="A2249" s="61" t="s">
        <v>2380</v>
      </c>
      <c r="B2249" s="62" t="s">
        <v>1810</v>
      </c>
      <c r="C2249" s="62" t="s">
        <v>1811</v>
      </c>
      <c r="D2249" s="63">
        <v>45608</v>
      </c>
      <c r="E2249" s="63">
        <v>46519</v>
      </c>
      <c r="F2249" s="62" t="s">
        <v>1945</v>
      </c>
      <c r="G2249" s="62" t="s">
        <v>405</v>
      </c>
      <c r="H2249" s="62" t="s">
        <v>467</v>
      </c>
      <c r="I2249" s="64">
        <v>339139</v>
      </c>
      <c r="J2249" s="62" t="s">
        <v>468</v>
      </c>
      <c r="K2249" s="62" t="s">
        <v>467</v>
      </c>
      <c r="L2249" s="65"/>
      <c r="M2249" s="62" t="s">
        <v>2443</v>
      </c>
      <c r="N2249" s="62" t="s">
        <v>469</v>
      </c>
      <c r="O2249" s="62" t="s">
        <v>315</v>
      </c>
      <c r="P2249" s="62" t="s">
        <v>2421</v>
      </c>
      <c r="Q2249" s="66" t="s">
        <v>1969</v>
      </c>
    </row>
    <row r="2250" spans="1:17" x14ac:dyDescent="0.3">
      <c r="A2250" s="61" t="s">
        <v>2380</v>
      </c>
      <c r="B2250" s="62" t="s">
        <v>1810</v>
      </c>
      <c r="C2250" s="62" t="s">
        <v>1811</v>
      </c>
      <c r="D2250" s="63">
        <v>45608</v>
      </c>
      <c r="E2250" s="63">
        <v>46519</v>
      </c>
      <c r="F2250" s="62" t="s">
        <v>1945</v>
      </c>
      <c r="G2250" s="62" t="s">
        <v>402</v>
      </c>
      <c r="H2250" s="62" t="s">
        <v>2427</v>
      </c>
      <c r="I2250" s="64">
        <v>46395.666666666701</v>
      </c>
      <c r="J2250" s="62" t="s">
        <v>1803</v>
      </c>
      <c r="K2250" s="62" t="s">
        <v>467</v>
      </c>
      <c r="L2250" s="65"/>
      <c r="M2250" s="62" t="s">
        <v>2443</v>
      </c>
      <c r="N2250" s="62" t="s">
        <v>469</v>
      </c>
      <c r="O2250" s="62" t="s">
        <v>315</v>
      </c>
      <c r="P2250" s="62" t="s">
        <v>2421</v>
      </c>
      <c r="Q2250" s="66" t="s">
        <v>1969</v>
      </c>
    </row>
    <row r="2251" spans="1:17" x14ac:dyDescent="0.3">
      <c r="A2251" s="61" t="s">
        <v>2380</v>
      </c>
      <c r="B2251" s="62" t="s">
        <v>1810</v>
      </c>
      <c r="C2251" s="62" t="s">
        <v>1811</v>
      </c>
      <c r="D2251" s="63">
        <v>45608</v>
      </c>
      <c r="E2251" s="63">
        <v>46519</v>
      </c>
      <c r="F2251" s="62" t="s">
        <v>1945</v>
      </c>
      <c r="G2251" s="62" t="s">
        <v>404</v>
      </c>
      <c r="H2251" s="62" t="s">
        <v>2427</v>
      </c>
      <c r="I2251" s="64">
        <v>46395.666666666701</v>
      </c>
      <c r="J2251" s="62" t="s">
        <v>1803</v>
      </c>
      <c r="K2251" s="62" t="s">
        <v>467</v>
      </c>
      <c r="L2251" s="65"/>
      <c r="M2251" s="62" t="s">
        <v>2443</v>
      </c>
      <c r="N2251" s="62" t="s">
        <v>469</v>
      </c>
      <c r="O2251" s="62" t="s">
        <v>315</v>
      </c>
      <c r="P2251" s="62" t="s">
        <v>2421</v>
      </c>
      <c r="Q2251" s="66" t="s">
        <v>1969</v>
      </c>
    </row>
    <row r="2252" spans="1:17" x14ac:dyDescent="0.3">
      <c r="A2252" s="61" t="s">
        <v>2380</v>
      </c>
      <c r="B2252" s="62" t="s">
        <v>1810</v>
      </c>
      <c r="C2252" s="62" t="s">
        <v>1811</v>
      </c>
      <c r="D2252" s="63">
        <v>45608</v>
      </c>
      <c r="E2252" s="63">
        <v>46519</v>
      </c>
      <c r="F2252" s="62" t="s">
        <v>1945</v>
      </c>
      <c r="G2252" s="62" t="s">
        <v>405</v>
      </c>
      <c r="H2252" s="62" t="s">
        <v>2427</v>
      </c>
      <c r="I2252" s="64">
        <v>46395.666666666701</v>
      </c>
      <c r="J2252" s="62" t="s">
        <v>1803</v>
      </c>
      <c r="K2252" s="62" t="s">
        <v>467</v>
      </c>
      <c r="L2252" s="65"/>
      <c r="M2252" s="62" t="s">
        <v>2443</v>
      </c>
      <c r="N2252" s="62" t="s">
        <v>469</v>
      </c>
      <c r="O2252" s="62" t="s">
        <v>315</v>
      </c>
      <c r="P2252" s="62" t="s">
        <v>2421</v>
      </c>
      <c r="Q2252" s="66" t="s">
        <v>1969</v>
      </c>
    </row>
    <row r="2253" spans="1:17" x14ac:dyDescent="0.3">
      <c r="A2253" s="61" t="s">
        <v>2380</v>
      </c>
      <c r="B2253" s="62" t="s">
        <v>1810</v>
      </c>
      <c r="C2253" s="62" t="s">
        <v>1811</v>
      </c>
      <c r="D2253" s="63">
        <v>45608</v>
      </c>
      <c r="E2253" s="63">
        <v>46519</v>
      </c>
      <c r="F2253" s="62" t="s">
        <v>1945</v>
      </c>
      <c r="G2253" s="62" t="s">
        <v>402</v>
      </c>
      <c r="H2253" s="62" t="s">
        <v>2427</v>
      </c>
      <c r="I2253" s="64">
        <v>9131.6666666666697</v>
      </c>
      <c r="J2253" s="62" t="s">
        <v>2507</v>
      </c>
      <c r="K2253" s="62" t="s">
        <v>467</v>
      </c>
      <c r="L2253" s="65"/>
      <c r="M2253" s="62" t="s">
        <v>2443</v>
      </c>
      <c r="N2253" s="62" t="s">
        <v>469</v>
      </c>
      <c r="O2253" s="62" t="s">
        <v>315</v>
      </c>
      <c r="P2253" s="62" t="s">
        <v>2421</v>
      </c>
      <c r="Q2253" s="66" t="s">
        <v>1969</v>
      </c>
    </row>
    <row r="2254" spans="1:17" x14ac:dyDescent="0.3">
      <c r="A2254" s="61" t="s">
        <v>2380</v>
      </c>
      <c r="B2254" s="62" t="s">
        <v>1810</v>
      </c>
      <c r="C2254" s="62" t="s">
        <v>1811</v>
      </c>
      <c r="D2254" s="63">
        <v>45608</v>
      </c>
      <c r="E2254" s="63">
        <v>46519</v>
      </c>
      <c r="F2254" s="62" t="s">
        <v>1945</v>
      </c>
      <c r="G2254" s="62" t="s">
        <v>404</v>
      </c>
      <c r="H2254" s="62" t="s">
        <v>2427</v>
      </c>
      <c r="I2254" s="64">
        <v>9131.6666666666697</v>
      </c>
      <c r="J2254" s="62" t="s">
        <v>2507</v>
      </c>
      <c r="K2254" s="62" t="s">
        <v>467</v>
      </c>
      <c r="L2254" s="65"/>
      <c r="M2254" s="62" t="s">
        <v>2443</v>
      </c>
      <c r="N2254" s="62" t="s">
        <v>469</v>
      </c>
      <c r="O2254" s="62" t="s">
        <v>315</v>
      </c>
      <c r="P2254" s="62" t="s">
        <v>2421</v>
      </c>
      <c r="Q2254" s="66" t="s">
        <v>1969</v>
      </c>
    </row>
    <row r="2255" spans="1:17" x14ac:dyDescent="0.3">
      <c r="A2255" s="61" t="s">
        <v>2380</v>
      </c>
      <c r="B2255" s="62" t="s">
        <v>1810</v>
      </c>
      <c r="C2255" s="62" t="s">
        <v>1811</v>
      </c>
      <c r="D2255" s="63">
        <v>45608</v>
      </c>
      <c r="E2255" s="63">
        <v>46519</v>
      </c>
      <c r="F2255" s="62" t="s">
        <v>1945</v>
      </c>
      <c r="G2255" s="62" t="s">
        <v>405</v>
      </c>
      <c r="H2255" s="62" t="s">
        <v>2427</v>
      </c>
      <c r="I2255" s="64">
        <v>9131.6666666666697</v>
      </c>
      <c r="J2255" s="62" t="s">
        <v>2507</v>
      </c>
      <c r="K2255" s="62" t="s">
        <v>467</v>
      </c>
      <c r="L2255" s="65"/>
      <c r="M2255" s="62" t="s">
        <v>2443</v>
      </c>
      <c r="N2255" s="62" t="s">
        <v>469</v>
      </c>
      <c r="O2255" s="62" t="s">
        <v>315</v>
      </c>
      <c r="P2255" s="62" t="s">
        <v>2421</v>
      </c>
      <c r="Q2255" s="66" t="s">
        <v>1969</v>
      </c>
    </row>
    <row r="2256" spans="1:17" x14ac:dyDescent="0.3">
      <c r="A2256" s="61" t="s">
        <v>2381</v>
      </c>
      <c r="B2256" s="62" t="s">
        <v>1812</v>
      </c>
      <c r="C2256" s="62" t="s">
        <v>1813</v>
      </c>
      <c r="D2256" s="63">
        <v>45657</v>
      </c>
      <c r="E2256" s="63">
        <v>46386</v>
      </c>
      <c r="F2256" s="62" t="s">
        <v>348</v>
      </c>
      <c r="G2256" s="62" t="s">
        <v>348</v>
      </c>
      <c r="H2256" s="62" t="s">
        <v>467</v>
      </c>
      <c r="I2256" s="64">
        <v>3198.6</v>
      </c>
      <c r="J2256" s="62" t="s">
        <v>1322</v>
      </c>
      <c r="K2256" s="62" t="s">
        <v>467</v>
      </c>
      <c r="L2256" s="65"/>
      <c r="M2256" s="62" t="s">
        <v>825</v>
      </c>
      <c r="N2256" s="62" t="s">
        <v>374</v>
      </c>
      <c r="O2256" s="62" t="s">
        <v>375</v>
      </c>
      <c r="P2256" s="62" t="s">
        <v>2421</v>
      </c>
      <c r="Q2256" s="66" t="s">
        <v>1967</v>
      </c>
    </row>
    <row r="2257" spans="1:17" x14ac:dyDescent="0.3">
      <c r="A2257" s="61" t="s">
        <v>2381</v>
      </c>
      <c r="B2257" s="62" t="s">
        <v>1812</v>
      </c>
      <c r="C2257" s="62" t="s">
        <v>1813</v>
      </c>
      <c r="D2257" s="63">
        <v>45657</v>
      </c>
      <c r="E2257" s="63">
        <v>46386</v>
      </c>
      <c r="F2257" s="62" t="s">
        <v>1944</v>
      </c>
      <c r="G2257" s="62" t="s">
        <v>680</v>
      </c>
      <c r="H2257" s="62" t="s">
        <v>467</v>
      </c>
      <c r="I2257" s="64">
        <v>3198.6</v>
      </c>
      <c r="J2257" s="62" t="s">
        <v>1322</v>
      </c>
      <c r="K2257" s="62" t="s">
        <v>467</v>
      </c>
      <c r="L2257" s="65"/>
      <c r="M2257" s="62" t="s">
        <v>825</v>
      </c>
      <c r="N2257" s="62" t="s">
        <v>374</v>
      </c>
      <c r="O2257" s="62" t="s">
        <v>375</v>
      </c>
      <c r="P2257" s="62" t="s">
        <v>2421</v>
      </c>
      <c r="Q2257" s="66" t="s">
        <v>1967</v>
      </c>
    </row>
    <row r="2258" spans="1:17" x14ac:dyDescent="0.3">
      <c r="A2258" s="61" t="s">
        <v>2381</v>
      </c>
      <c r="B2258" s="62" t="s">
        <v>1812</v>
      </c>
      <c r="C2258" s="62" t="s">
        <v>1813</v>
      </c>
      <c r="D2258" s="63">
        <v>45657</v>
      </c>
      <c r="E2258" s="63">
        <v>46386</v>
      </c>
      <c r="F2258" s="62" t="s">
        <v>1959</v>
      </c>
      <c r="G2258" s="62" t="s">
        <v>612</v>
      </c>
      <c r="H2258" s="62" t="s">
        <v>467</v>
      </c>
      <c r="I2258" s="64">
        <v>3198.6</v>
      </c>
      <c r="J2258" s="62" t="s">
        <v>1322</v>
      </c>
      <c r="K2258" s="62" t="s">
        <v>467</v>
      </c>
      <c r="L2258" s="65"/>
      <c r="M2258" s="62" t="s">
        <v>825</v>
      </c>
      <c r="N2258" s="62" t="s">
        <v>374</v>
      </c>
      <c r="O2258" s="62" t="s">
        <v>375</v>
      </c>
      <c r="P2258" s="62" t="s">
        <v>2421</v>
      </c>
      <c r="Q2258" s="66" t="s">
        <v>1967</v>
      </c>
    </row>
    <row r="2259" spans="1:17" x14ac:dyDescent="0.3">
      <c r="A2259" s="61" t="s">
        <v>2381</v>
      </c>
      <c r="B2259" s="62" t="s">
        <v>1812</v>
      </c>
      <c r="C2259" s="62" t="s">
        <v>1813</v>
      </c>
      <c r="D2259" s="63">
        <v>45657</v>
      </c>
      <c r="E2259" s="63">
        <v>46386</v>
      </c>
      <c r="F2259" s="62" t="s">
        <v>287</v>
      </c>
      <c r="G2259" s="62" t="s">
        <v>554</v>
      </c>
      <c r="H2259" s="62" t="s">
        <v>467</v>
      </c>
      <c r="I2259" s="64">
        <v>3198.6</v>
      </c>
      <c r="J2259" s="62" t="s">
        <v>1322</v>
      </c>
      <c r="K2259" s="62" t="s">
        <v>467</v>
      </c>
      <c r="L2259" s="65"/>
      <c r="M2259" s="62" t="s">
        <v>825</v>
      </c>
      <c r="N2259" s="62" t="s">
        <v>374</v>
      </c>
      <c r="O2259" s="62" t="s">
        <v>375</v>
      </c>
      <c r="P2259" s="62" t="s">
        <v>2421</v>
      </c>
      <c r="Q2259" s="66" t="s">
        <v>1967</v>
      </c>
    </row>
    <row r="2260" spans="1:17" x14ac:dyDescent="0.3">
      <c r="A2260" s="61" t="s">
        <v>2381</v>
      </c>
      <c r="B2260" s="62" t="s">
        <v>1812</v>
      </c>
      <c r="C2260" s="62" t="s">
        <v>1813</v>
      </c>
      <c r="D2260" s="63">
        <v>45657</v>
      </c>
      <c r="E2260" s="63">
        <v>46386</v>
      </c>
      <c r="F2260" s="62" t="s">
        <v>1945</v>
      </c>
      <c r="G2260" s="62" t="s">
        <v>555</v>
      </c>
      <c r="H2260" s="62" t="s">
        <v>467</v>
      </c>
      <c r="I2260" s="64">
        <v>3198.6</v>
      </c>
      <c r="J2260" s="62" t="s">
        <v>1322</v>
      </c>
      <c r="K2260" s="62" t="s">
        <v>467</v>
      </c>
      <c r="L2260" s="65"/>
      <c r="M2260" s="62" t="s">
        <v>825</v>
      </c>
      <c r="N2260" s="62" t="s">
        <v>374</v>
      </c>
      <c r="O2260" s="62" t="s">
        <v>375</v>
      </c>
      <c r="P2260" s="62" t="s">
        <v>2421</v>
      </c>
      <c r="Q2260" s="66" t="s">
        <v>1967</v>
      </c>
    </row>
    <row r="2261" spans="1:17" x14ac:dyDescent="0.3">
      <c r="A2261" s="61" t="s">
        <v>2381</v>
      </c>
      <c r="B2261" s="62" t="s">
        <v>1812</v>
      </c>
      <c r="C2261" s="62" t="s">
        <v>1813</v>
      </c>
      <c r="D2261" s="63">
        <v>45657</v>
      </c>
      <c r="E2261" s="63">
        <v>46386</v>
      </c>
      <c r="F2261" s="62" t="s">
        <v>348</v>
      </c>
      <c r="G2261" s="62" t="s">
        <v>348</v>
      </c>
      <c r="H2261" s="62" t="s">
        <v>467</v>
      </c>
      <c r="I2261" s="64">
        <v>24776.400000000001</v>
      </c>
      <c r="J2261" s="62" t="s">
        <v>1814</v>
      </c>
      <c r="K2261" s="62" t="s">
        <v>467</v>
      </c>
      <c r="L2261" s="65"/>
      <c r="M2261" s="62" t="s">
        <v>825</v>
      </c>
      <c r="N2261" s="62" t="s">
        <v>374</v>
      </c>
      <c r="O2261" s="62" t="s">
        <v>375</v>
      </c>
      <c r="P2261" s="62" t="s">
        <v>2421</v>
      </c>
      <c r="Q2261" s="66" t="s">
        <v>1967</v>
      </c>
    </row>
    <row r="2262" spans="1:17" x14ac:dyDescent="0.3">
      <c r="A2262" s="61" t="s">
        <v>2381</v>
      </c>
      <c r="B2262" s="62" t="s">
        <v>1812</v>
      </c>
      <c r="C2262" s="62" t="s">
        <v>1813</v>
      </c>
      <c r="D2262" s="63">
        <v>45657</v>
      </c>
      <c r="E2262" s="63">
        <v>46386</v>
      </c>
      <c r="F2262" s="62" t="s">
        <v>1944</v>
      </c>
      <c r="G2262" s="62" t="s">
        <v>680</v>
      </c>
      <c r="H2262" s="62" t="s">
        <v>467</v>
      </c>
      <c r="I2262" s="64">
        <v>24776.400000000001</v>
      </c>
      <c r="J2262" s="62" t="s">
        <v>1814</v>
      </c>
      <c r="K2262" s="62" t="s">
        <v>467</v>
      </c>
      <c r="L2262" s="65"/>
      <c r="M2262" s="62" t="s">
        <v>825</v>
      </c>
      <c r="N2262" s="62" t="s">
        <v>374</v>
      </c>
      <c r="O2262" s="62" t="s">
        <v>375</v>
      </c>
      <c r="P2262" s="62" t="s">
        <v>2421</v>
      </c>
      <c r="Q2262" s="66" t="s">
        <v>1967</v>
      </c>
    </row>
    <row r="2263" spans="1:17" x14ac:dyDescent="0.3">
      <c r="A2263" s="61" t="s">
        <v>2381</v>
      </c>
      <c r="B2263" s="62" t="s">
        <v>1812</v>
      </c>
      <c r="C2263" s="62" t="s">
        <v>1813</v>
      </c>
      <c r="D2263" s="63">
        <v>45657</v>
      </c>
      <c r="E2263" s="63">
        <v>46386</v>
      </c>
      <c r="F2263" s="62" t="s">
        <v>1959</v>
      </c>
      <c r="G2263" s="62" t="s">
        <v>612</v>
      </c>
      <c r="H2263" s="62" t="s">
        <v>467</v>
      </c>
      <c r="I2263" s="64">
        <v>24776.400000000001</v>
      </c>
      <c r="J2263" s="62" t="s">
        <v>1814</v>
      </c>
      <c r="K2263" s="62" t="s">
        <v>467</v>
      </c>
      <c r="L2263" s="65"/>
      <c r="M2263" s="62" t="s">
        <v>825</v>
      </c>
      <c r="N2263" s="62" t="s">
        <v>374</v>
      </c>
      <c r="O2263" s="62" t="s">
        <v>375</v>
      </c>
      <c r="P2263" s="62" t="s">
        <v>2421</v>
      </c>
      <c r="Q2263" s="66" t="s">
        <v>1967</v>
      </c>
    </row>
    <row r="2264" spans="1:17" x14ac:dyDescent="0.3">
      <c r="A2264" s="61" t="s">
        <v>2381</v>
      </c>
      <c r="B2264" s="62" t="s">
        <v>1812</v>
      </c>
      <c r="C2264" s="62" t="s">
        <v>1813</v>
      </c>
      <c r="D2264" s="63">
        <v>45657</v>
      </c>
      <c r="E2264" s="63">
        <v>46386</v>
      </c>
      <c r="F2264" s="62" t="s">
        <v>287</v>
      </c>
      <c r="G2264" s="62" t="s">
        <v>554</v>
      </c>
      <c r="H2264" s="62" t="s">
        <v>467</v>
      </c>
      <c r="I2264" s="64">
        <v>24776.400000000001</v>
      </c>
      <c r="J2264" s="62" t="s">
        <v>1814</v>
      </c>
      <c r="K2264" s="62" t="s">
        <v>467</v>
      </c>
      <c r="L2264" s="65"/>
      <c r="M2264" s="62" t="s">
        <v>825</v>
      </c>
      <c r="N2264" s="62" t="s">
        <v>374</v>
      </c>
      <c r="O2264" s="62" t="s">
        <v>375</v>
      </c>
      <c r="P2264" s="62" t="s">
        <v>2421</v>
      </c>
      <c r="Q2264" s="66" t="s">
        <v>1967</v>
      </c>
    </row>
    <row r="2265" spans="1:17" x14ac:dyDescent="0.3">
      <c r="A2265" s="61" t="s">
        <v>2381</v>
      </c>
      <c r="B2265" s="62" t="s">
        <v>1812</v>
      </c>
      <c r="C2265" s="62" t="s">
        <v>1813</v>
      </c>
      <c r="D2265" s="63">
        <v>45657</v>
      </c>
      <c r="E2265" s="63">
        <v>46386</v>
      </c>
      <c r="F2265" s="62" t="s">
        <v>1945</v>
      </c>
      <c r="G2265" s="62" t="s">
        <v>555</v>
      </c>
      <c r="H2265" s="62" t="s">
        <v>467</v>
      </c>
      <c r="I2265" s="64">
        <v>24776.400000000001</v>
      </c>
      <c r="J2265" s="62" t="s">
        <v>1814</v>
      </c>
      <c r="K2265" s="62" t="s">
        <v>467</v>
      </c>
      <c r="L2265" s="65"/>
      <c r="M2265" s="62" t="s">
        <v>825</v>
      </c>
      <c r="N2265" s="62" t="s">
        <v>374</v>
      </c>
      <c r="O2265" s="62" t="s">
        <v>375</v>
      </c>
      <c r="P2265" s="62" t="s">
        <v>2421</v>
      </c>
      <c r="Q2265" s="66" t="s">
        <v>1967</v>
      </c>
    </row>
    <row r="2266" spans="1:17" x14ac:dyDescent="0.3">
      <c r="A2266" s="61" t="s">
        <v>2381</v>
      </c>
      <c r="B2266" s="62" t="s">
        <v>1812</v>
      </c>
      <c r="C2266" s="62" t="s">
        <v>1813</v>
      </c>
      <c r="D2266" s="63">
        <v>45657</v>
      </c>
      <c r="E2266" s="63">
        <v>46386</v>
      </c>
      <c r="F2266" s="62" t="s">
        <v>348</v>
      </c>
      <c r="G2266" s="62" t="s">
        <v>348</v>
      </c>
      <c r="H2266" s="62" t="s">
        <v>2427</v>
      </c>
      <c r="I2266" s="64">
        <v>3415.4</v>
      </c>
      <c r="J2266" s="62" t="s">
        <v>1395</v>
      </c>
      <c r="K2266" s="62" t="s">
        <v>467</v>
      </c>
      <c r="L2266" s="65"/>
      <c r="M2266" s="62" t="s">
        <v>825</v>
      </c>
      <c r="N2266" s="62" t="s">
        <v>374</v>
      </c>
      <c r="O2266" s="62" t="s">
        <v>375</v>
      </c>
      <c r="P2266" s="62" t="s">
        <v>2421</v>
      </c>
      <c r="Q2266" s="66" t="s">
        <v>1967</v>
      </c>
    </row>
    <row r="2267" spans="1:17" x14ac:dyDescent="0.3">
      <c r="A2267" s="61" t="s">
        <v>2381</v>
      </c>
      <c r="B2267" s="62" t="s">
        <v>1812</v>
      </c>
      <c r="C2267" s="62" t="s">
        <v>1813</v>
      </c>
      <c r="D2267" s="63">
        <v>45657</v>
      </c>
      <c r="E2267" s="63">
        <v>46386</v>
      </c>
      <c r="F2267" s="62" t="s">
        <v>1944</v>
      </c>
      <c r="G2267" s="62" t="s">
        <v>680</v>
      </c>
      <c r="H2267" s="62" t="s">
        <v>2427</v>
      </c>
      <c r="I2267" s="64">
        <v>3415.4</v>
      </c>
      <c r="J2267" s="62" t="s">
        <v>1395</v>
      </c>
      <c r="K2267" s="62" t="s">
        <v>467</v>
      </c>
      <c r="L2267" s="65"/>
      <c r="M2267" s="62" t="s">
        <v>825</v>
      </c>
      <c r="N2267" s="62" t="s">
        <v>374</v>
      </c>
      <c r="O2267" s="62" t="s">
        <v>375</v>
      </c>
      <c r="P2267" s="62" t="s">
        <v>2421</v>
      </c>
      <c r="Q2267" s="66" t="s">
        <v>1967</v>
      </c>
    </row>
    <row r="2268" spans="1:17" x14ac:dyDescent="0.3">
      <c r="A2268" s="61" t="s">
        <v>2381</v>
      </c>
      <c r="B2268" s="62" t="s">
        <v>1812</v>
      </c>
      <c r="C2268" s="62" t="s">
        <v>1813</v>
      </c>
      <c r="D2268" s="63">
        <v>45657</v>
      </c>
      <c r="E2268" s="63">
        <v>46386</v>
      </c>
      <c r="F2268" s="62" t="s">
        <v>1959</v>
      </c>
      <c r="G2268" s="62" t="s">
        <v>612</v>
      </c>
      <c r="H2268" s="62" t="s">
        <v>2427</v>
      </c>
      <c r="I2268" s="64">
        <v>3415.4</v>
      </c>
      <c r="J2268" s="62" t="s">
        <v>1395</v>
      </c>
      <c r="K2268" s="62" t="s">
        <v>467</v>
      </c>
      <c r="L2268" s="65"/>
      <c r="M2268" s="62" t="s">
        <v>825</v>
      </c>
      <c r="N2268" s="62" t="s">
        <v>374</v>
      </c>
      <c r="O2268" s="62" t="s">
        <v>375</v>
      </c>
      <c r="P2268" s="62" t="s">
        <v>2421</v>
      </c>
      <c r="Q2268" s="66" t="s">
        <v>1967</v>
      </c>
    </row>
    <row r="2269" spans="1:17" x14ac:dyDescent="0.3">
      <c r="A2269" s="61" t="s">
        <v>2381</v>
      </c>
      <c r="B2269" s="62" t="s">
        <v>1812</v>
      </c>
      <c r="C2269" s="62" t="s">
        <v>1813</v>
      </c>
      <c r="D2269" s="63">
        <v>45657</v>
      </c>
      <c r="E2269" s="63">
        <v>46386</v>
      </c>
      <c r="F2269" s="62" t="s">
        <v>287</v>
      </c>
      <c r="G2269" s="62" t="s">
        <v>554</v>
      </c>
      <c r="H2269" s="62" t="s">
        <v>2427</v>
      </c>
      <c r="I2269" s="64">
        <v>3415.4</v>
      </c>
      <c r="J2269" s="62" t="s">
        <v>1395</v>
      </c>
      <c r="K2269" s="62" t="s">
        <v>467</v>
      </c>
      <c r="L2269" s="65"/>
      <c r="M2269" s="62" t="s">
        <v>825</v>
      </c>
      <c r="N2269" s="62" t="s">
        <v>374</v>
      </c>
      <c r="O2269" s="62" t="s">
        <v>375</v>
      </c>
      <c r="P2269" s="62" t="s">
        <v>2421</v>
      </c>
      <c r="Q2269" s="66" t="s">
        <v>1967</v>
      </c>
    </row>
    <row r="2270" spans="1:17" x14ac:dyDescent="0.3">
      <c r="A2270" s="61" t="s">
        <v>2381</v>
      </c>
      <c r="B2270" s="62" t="s">
        <v>1812</v>
      </c>
      <c r="C2270" s="62" t="s">
        <v>1813</v>
      </c>
      <c r="D2270" s="63">
        <v>45657</v>
      </c>
      <c r="E2270" s="63">
        <v>46386</v>
      </c>
      <c r="F2270" s="62" t="s">
        <v>1945</v>
      </c>
      <c r="G2270" s="62" t="s">
        <v>555</v>
      </c>
      <c r="H2270" s="62" t="s">
        <v>2427</v>
      </c>
      <c r="I2270" s="64">
        <v>3415.4</v>
      </c>
      <c r="J2270" s="62" t="s">
        <v>1395</v>
      </c>
      <c r="K2270" s="62" t="s">
        <v>467</v>
      </c>
      <c r="L2270" s="65"/>
      <c r="M2270" s="62" t="s">
        <v>825</v>
      </c>
      <c r="N2270" s="62" t="s">
        <v>374</v>
      </c>
      <c r="O2270" s="62" t="s">
        <v>375</v>
      </c>
      <c r="P2270" s="62" t="s">
        <v>2421</v>
      </c>
      <c r="Q2270" s="66" t="s">
        <v>1967</v>
      </c>
    </row>
    <row r="2271" spans="1:17" x14ac:dyDescent="0.3">
      <c r="A2271" s="61" t="s">
        <v>2382</v>
      </c>
      <c r="B2271" s="62" t="s">
        <v>1815</v>
      </c>
      <c r="C2271" s="62" t="s">
        <v>1816</v>
      </c>
      <c r="D2271" s="63">
        <v>45642</v>
      </c>
      <c r="E2271" s="63">
        <v>46053</v>
      </c>
      <c r="F2271" s="62" t="s">
        <v>1959</v>
      </c>
      <c r="G2271" s="62" t="s">
        <v>466</v>
      </c>
      <c r="H2271" s="62" t="s">
        <v>2427</v>
      </c>
      <c r="I2271" s="64">
        <v>844.6</v>
      </c>
      <c r="J2271" s="62" t="s">
        <v>1632</v>
      </c>
      <c r="K2271" s="62" t="s">
        <v>467</v>
      </c>
      <c r="L2271" s="65"/>
      <c r="M2271" s="62" t="s">
        <v>1518</v>
      </c>
      <c r="N2271" s="62" t="s">
        <v>558</v>
      </c>
      <c r="O2271" s="62" t="s">
        <v>426</v>
      </c>
      <c r="P2271" s="62" t="s">
        <v>2421</v>
      </c>
      <c r="Q2271" s="66" t="s">
        <v>1972</v>
      </c>
    </row>
    <row r="2272" spans="1:17" x14ac:dyDescent="0.3">
      <c r="A2272" s="61" t="s">
        <v>2382</v>
      </c>
      <c r="B2272" s="62" t="s">
        <v>1815</v>
      </c>
      <c r="C2272" s="62" t="s">
        <v>1816</v>
      </c>
      <c r="D2272" s="63">
        <v>45642</v>
      </c>
      <c r="E2272" s="63">
        <v>46053</v>
      </c>
      <c r="F2272" s="62" t="s">
        <v>1959</v>
      </c>
      <c r="G2272" s="62" t="s">
        <v>679</v>
      </c>
      <c r="H2272" s="62" t="s">
        <v>2427</v>
      </c>
      <c r="I2272" s="64">
        <v>844.6</v>
      </c>
      <c r="J2272" s="62" t="s">
        <v>1632</v>
      </c>
      <c r="K2272" s="62" t="s">
        <v>467</v>
      </c>
      <c r="L2272" s="65"/>
      <c r="M2272" s="62" t="s">
        <v>1518</v>
      </c>
      <c r="N2272" s="62" t="s">
        <v>558</v>
      </c>
      <c r="O2272" s="62" t="s">
        <v>426</v>
      </c>
      <c r="P2272" s="62" t="s">
        <v>2421</v>
      </c>
      <c r="Q2272" s="66" t="s">
        <v>1972</v>
      </c>
    </row>
    <row r="2273" spans="1:17" x14ac:dyDescent="0.3">
      <c r="A2273" s="61" t="s">
        <v>2382</v>
      </c>
      <c r="B2273" s="62" t="s">
        <v>1815</v>
      </c>
      <c r="C2273" s="62" t="s">
        <v>1816</v>
      </c>
      <c r="D2273" s="63">
        <v>45642</v>
      </c>
      <c r="E2273" s="63">
        <v>46053</v>
      </c>
      <c r="F2273" s="62" t="s">
        <v>1959</v>
      </c>
      <c r="G2273" s="62" t="s">
        <v>583</v>
      </c>
      <c r="H2273" s="62" t="s">
        <v>2427</v>
      </c>
      <c r="I2273" s="64">
        <v>844.6</v>
      </c>
      <c r="J2273" s="62" t="s">
        <v>1632</v>
      </c>
      <c r="K2273" s="62" t="s">
        <v>467</v>
      </c>
      <c r="L2273" s="65"/>
      <c r="M2273" s="62" t="s">
        <v>1518</v>
      </c>
      <c r="N2273" s="62" t="s">
        <v>558</v>
      </c>
      <c r="O2273" s="62" t="s">
        <v>426</v>
      </c>
      <c r="P2273" s="62" t="s">
        <v>2421</v>
      </c>
      <c r="Q2273" s="66" t="s">
        <v>1972</v>
      </c>
    </row>
    <row r="2274" spans="1:17" x14ac:dyDescent="0.3">
      <c r="A2274" s="61" t="s">
        <v>2382</v>
      </c>
      <c r="B2274" s="62" t="s">
        <v>1815</v>
      </c>
      <c r="C2274" s="62" t="s">
        <v>1816</v>
      </c>
      <c r="D2274" s="63">
        <v>45642</v>
      </c>
      <c r="E2274" s="63">
        <v>46053</v>
      </c>
      <c r="F2274" s="62" t="s">
        <v>1959</v>
      </c>
      <c r="G2274" s="62" t="s">
        <v>475</v>
      </c>
      <c r="H2274" s="62" t="s">
        <v>2427</v>
      </c>
      <c r="I2274" s="64">
        <v>844.6</v>
      </c>
      <c r="J2274" s="62" t="s">
        <v>1632</v>
      </c>
      <c r="K2274" s="62" t="s">
        <v>467</v>
      </c>
      <c r="L2274" s="65"/>
      <c r="M2274" s="62" t="s">
        <v>1518</v>
      </c>
      <c r="N2274" s="62" t="s">
        <v>558</v>
      </c>
      <c r="O2274" s="62" t="s">
        <v>426</v>
      </c>
      <c r="P2274" s="62" t="s">
        <v>2421</v>
      </c>
      <c r="Q2274" s="66" t="s">
        <v>1972</v>
      </c>
    </row>
    <row r="2275" spans="1:17" x14ac:dyDescent="0.3">
      <c r="A2275" s="61" t="s">
        <v>2382</v>
      </c>
      <c r="B2275" s="62" t="s">
        <v>1815</v>
      </c>
      <c r="C2275" s="62" t="s">
        <v>1816</v>
      </c>
      <c r="D2275" s="63">
        <v>45642</v>
      </c>
      <c r="E2275" s="63">
        <v>46053</v>
      </c>
      <c r="F2275" s="62" t="s">
        <v>1959</v>
      </c>
      <c r="G2275" s="62" t="s">
        <v>808</v>
      </c>
      <c r="H2275" s="62" t="s">
        <v>2427</v>
      </c>
      <c r="I2275" s="64">
        <v>844.6</v>
      </c>
      <c r="J2275" s="62" t="s">
        <v>1632</v>
      </c>
      <c r="K2275" s="62" t="s">
        <v>467</v>
      </c>
      <c r="L2275" s="65"/>
      <c r="M2275" s="62" t="s">
        <v>1518</v>
      </c>
      <c r="N2275" s="62" t="s">
        <v>558</v>
      </c>
      <c r="O2275" s="62" t="s">
        <v>426</v>
      </c>
      <c r="P2275" s="62" t="s">
        <v>2421</v>
      </c>
      <c r="Q2275" s="66" t="s">
        <v>1972</v>
      </c>
    </row>
    <row r="2276" spans="1:17" x14ac:dyDescent="0.3">
      <c r="A2276" s="61" t="s">
        <v>2382</v>
      </c>
      <c r="B2276" s="62" t="s">
        <v>1815</v>
      </c>
      <c r="C2276" s="62" t="s">
        <v>1816</v>
      </c>
      <c r="D2276" s="63">
        <v>45642</v>
      </c>
      <c r="E2276" s="63">
        <v>46053</v>
      </c>
      <c r="F2276" s="62" t="s">
        <v>1959</v>
      </c>
      <c r="G2276" s="62" t="s">
        <v>466</v>
      </c>
      <c r="H2276" s="62" t="s">
        <v>467</v>
      </c>
      <c r="I2276" s="64">
        <v>16811</v>
      </c>
      <c r="J2276" s="62" t="s">
        <v>1188</v>
      </c>
      <c r="K2276" s="62" t="s">
        <v>467</v>
      </c>
      <c r="L2276" s="65"/>
      <c r="M2276" s="62" t="s">
        <v>1518</v>
      </c>
      <c r="N2276" s="62" t="s">
        <v>558</v>
      </c>
      <c r="O2276" s="62" t="s">
        <v>426</v>
      </c>
      <c r="P2276" s="62" t="s">
        <v>2421</v>
      </c>
      <c r="Q2276" s="66" t="s">
        <v>1972</v>
      </c>
    </row>
    <row r="2277" spans="1:17" x14ac:dyDescent="0.3">
      <c r="A2277" s="61" t="s">
        <v>2382</v>
      </c>
      <c r="B2277" s="62" t="s">
        <v>1815</v>
      </c>
      <c r="C2277" s="62" t="s">
        <v>1816</v>
      </c>
      <c r="D2277" s="63">
        <v>45642</v>
      </c>
      <c r="E2277" s="63">
        <v>46053</v>
      </c>
      <c r="F2277" s="62" t="s">
        <v>1959</v>
      </c>
      <c r="G2277" s="62" t="s">
        <v>679</v>
      </c>
      <c r="H2277" s="62" t="s">
        <v>467</v>
      </c>
      <c r="I2277" s="64">
        <v>16811</v>
      </c>
      <c r="J2277" s="62" t="s">
        <v>1188</v>
      </c>
      <c r="K2277" s="62" t="s">
        <v>467</v>
      </c>
      <c r="L2277" s="65"/>
      <c r="M2277" s="62" t="s">
        <v>1518</v>
      </c>
      <c r="N2277" s="62" t="s">
        <v>558</v>
      </c>
      <c r="O2277" s="62" t="s">
        <v>426</v>
      </c>
      <c r="P2277" s="62" t="s">
        <v>2421</v>
      </c>
      <c r="Q2277" s="66" t="s">
        <v>1972</v>
      </c>
    </row>
    <row r="2278" spans="1:17" x14ac:dyDescent="0.3">
      <c r="A2278" s="61" t="s">
        <v>2382</v>
      </c>
      <c r="B2278" s="62" t="s">
        <v>1815</v>
      </c>
      <c r="C2278" s="62" t="s">
        <v>1816</v>
      </c>
      <c r="D2278" s="63">
        <v>45642</v>
      </c>
      <c r="E2278" s="63">
        <v>46053</v>
      </c>
      <c r="F2278" s="62" t="s">
        <v>1959</v>
      </c>
      <c r="G2278" s="62" t="s">
        <v>583</v>
      </c>
      <c r="H2278" s="62" t="s">
        <v>467</v>
      </c>
      <c r="I2278" s="64">
        <v>16811</v>
      </c>
      <c r="J2278" s="62" t="s">
        <v>1188</v>
      </c>
      <c r="K2278" s="62" t="s">
        <v>467</v>
      </c>
      <c r="L2278" s="65"/>
      <c r="M2278" s="62" t="s">
        <v>1518</v>
      </c>
      <c r="N2278" s="62" t="s">
        <v>558</v>
      </c>
      <c r="O2278" s="62" t="s">
        <v>426</v>
      </c>
      <c r="P2278" s="62" t="s">
        <v>2421</v>
      </c>
      <c r="Q2278" s="66" t="s">
        <v>1972</v>
      </c>
    </row>
    <row r="2279" spans="1:17" x14ac:dyDescent="0.3">
      <c r="A2279" s="61" t="s">
        <v>2382</v>
      </c>
      <c r="B2279" s="62" t="s">
        <v>1815</v>
      </c>
      <c r="C2279" s="62" t="s">
        <v>1816</v>
      </c>
      <c r="D2279" s="63">
        <v>45642</v>
      </c>
      <c r="E2279" s="63">
        <v>46053</v>
      </c>
      <c r="F2279" s="62" t="s">
        <v>1959</v>
      </c>
      <c r="G2279" s="62" t="s">
        <v>475</v>
      </c>
      <c r="H2279" s="62" t="s">
        <v>467</v>
      </c>
      <c r="I2279" s="64">
        <v>16811</v>
      </c>
      <c r="J2279" s="62" t="s">
        <v>1188</v>
      </c>
      <c r="K2279" s="62" t="s">
        <v>467</v>
      </c>
      <c r="L2279" s="65"/>
      <c r="M2279" s="62" t="s">
        <v>1518</v>
      </c>
      <c r="N2279" s="62" t="s">
        <v>558</v>
      </c>
      <c r="O2279" s="62" t="s">
        <v>426</v>
      </c>
      <c r="P2279" s="62" t="s">
        <v>2421</v>
      </c>
      <c r="Q2279" s="66" t="s">
        <v>1972</v>
      </c>
    </row>
    <row r="2280" spans="1:17" x14ac:dyDescent="0.3">
      <c r="A2280" s="61" t="s">
        <v>2382</v>
      </c>
      <c r="B2280" s="62" t="s">
        <v>1815</v>
      </c>
      <c r="C2280" s="62" t="s">
        <v>1816</v>
      </c>
      <c r="D2280" s="63">
        <v>45642</v>
      </c>
      <c r="E2280" s="63">
        <v>46053</v>
      </c>
      <c r="F2280" s="62" t="s">
        <v>1959</v>
      </c>
      <c r="G2280" s="62" t="s">
        <v>808</v>
      </c>
      <c r="H2280" s="62" t="s">
        <v>467</v>
      </c>
      <c r="I2280" s="64">
        <v>16811</v>
      </c>
      <c r="J2280" s="62" t="s">
        <v>1188</v>
      </c>
      <c r="K2280" s="62" t="s">
        <v>467</v>
      </c>
      <c r="L2280" s="65"/>
      <c r="M2280" s="62" t="s">
        <v>1518</v>
      </c>
      <c r="N2280" s="62" t="s">
        <v>558</v>
      </c>
      <c r="O2280" s="62" t="s">
        <v>426</v>
      </c>
      <c r="P2280" s="62" t="s">
        <v>2421</v>
      </c>
      <c r="Q2280" s="66" t="s">
        <v>1972</v>
      </c>
    </row>
    <row r="2281" spans="1:17" x14ac:dyDescent="0.3">
      <c r="A2281" s="61" t="s">
        <v>2382</v>
      </c>
      <c r="B2281" s="62" t="s">
        <v>1815</v>
      </c>
      <c r="C2281" s="62" t="s">
        <v>1816</v>
      </c>
      <c r="D2281" s="63">
        <v>45642</v>
      </c>
      <c r="E2281" s="63">
        <v>46053</v>
      </c>
      <c r="F2281" s="62" t="s">
        <v>1959</v>
      </c>
      <c r="G2281" s="62" t="s">
        <v>466</v>
      </c>
      <c r="H2281" s="62" t="s">
        <v>373</v>
      </c>
      <c r="I2281" s="64">
        <v>4763</v>
      </c>
      <c r="J2281" s="62" t="s">
        <v>373</v>
      </c>
      <c r="K2281" s="62" t="s">
        <v>467</v>
      </c>
      <c r="L2281" s="65"/>
      <c r="M2281" s="62" t="s">
        <v>1518</v>
      </c>
      <c r="N2281" s="62" t="s">
        <v>558</v>
      </c>
      <c r="O2281" s="62" t="s">
        <v>426</v>
      </c>
      <c r="P2281" s="62" t="s">
        <v>2421</v>
      </c>
      <c r="Q2281" s="66" t="s">
        <v>1972</v>
      </c>
    </row>
    <row r="2282" spans="1:17" x14ac:dyDescent="0.3">
      <c r="A2282" s="61" t="s">
        <v>2382</v>
      </c>
      <c r="B2282" s="62" t="s">
        <v>1815</v>
      </c>
      <c r="C2282" s="62" t="s">
        <v>1816</v>
      </c>
      <c r="D2282" s="63">
        <v>45642</v>
      </c>
      <c r="E2282" s="63">
        <v>46053</v>
      </c>
      <c r="F2282" s="62" t="s">
        <v>1959</v>
      </c>
      <c r="G2282" s="62" t="s">
        <v>679</v>
      </c>
      <c r="H2282" s="62" t="s">
        <v>373</v>
      </c>
      <c r="I2282" s="64">
        <v>4763</v>
      </c>
      <c r="J2282" s="62" t="s">
        <v>373</v>
      </c>
      <c r="K2282" s="62" t="s">
        <v>467</v>
      </c>
      <c r="L2282" s="65"/>
      <c r="M2282" s="62" t="s">
        <v>1518</v>
      </c>
      <c r="N2282" s="62" t="s">
        <v>558</v>
      </c>
      <c r="O2282" s="62" t="s">
        <v>426</v>
      </c>
      <c r="P2282" s="62" t="s">
        <v>2421</v>
      </c>
      <c r="Q2282" s="66" t="s">
        <v>1972</v>
      </c>
    </row>
    <row r="2283" spans="1:17" x14ac:dyDescent="0.3">
      <c r="A2283" s="61" t="s">
        <v>2382</v>
      </c>
      <c r="B2283" s="62" t="s">
        <v>1815</v>
      </c>
      <c r="C2283" s="62" t="s">
        <v>1816</v>
      </c>
      <c r="D2283" s="63">
        <v>45642</v>
      </c>
      <c r="E2283" s="63">
        <v>46053</v>
      </c>
      <c r="F2283" s="62" t="s">
        <v>1959</v>
      </c>
      <c r="G2283" s="62" t="s">
        <v>583</v>
      </c>
      <c r="H2283" s="62" t="s">
        <v>373</v>
      </c>
      <c r="I2283" s="64">
        <v>4763</v>
      </c>
      <c r="J2283" s="62" t="s">
        <v>373</v>
      </c>
      <c r="K2283" s="62" t="s">
        <v>467</v>
      </c>
      <c r="L2283" s="65"/>
      <c r="M2283" s="62" t="s">
        <v>1518</v>
      </c>
      <c r="N2283" s="62" t="s">
        <v>558</v>
      </c>
      <c r="O2283" s="62" t="s">
        <v>426</v>
      </c>
      <c r="P2283" s="62" t="s">
        <v>2421</v>
      </c>
      <c r="Q2283" s="66" t="s">
        <v>1972</v>
      </c>
    </row>
    <row r="2284" spans="1:17" x14ac:dyDescent="0.3">
      <c r="A2284" s="61" t="s">
        <v>2382</v>
      </c>
      <c r="B2284" s="62" t="s">
        <v>1815</v>
      </c>
      <c r="C2284" s="62" t="s">
        <v>1816</v>
      </c>
      <c r="D2284" s="63">
        <v>45642</v>
      </c>
      <c r="E2284" s="63">
        <v>46053</v>
      </c>
      <c r="F2284" s="62" t="s">
        <v>1959</v>
      </c>
      <c r="G2284" s="62" t="s">
        <v>475</v>
      </c>
      <c r="H2284" s="62" t="s">
        <v>373</v>
      </c>
      <c r="I2284" s="64">
        <v>4763</v>
      </c>
      <c r="J2284" s="62" t="s">
        <v>373</v>
      </c>
      <c r="K2284" s="62" t="s">
        <v>467</v>
      </c>
      <c r="L2284" s="65"/>
      <c r="M2284" s="62" t="s">
        <v>1518</v>
      </c>
      <c r="N2284" s="62" t="s">
        <v>558</v>
      </c>
      <c r="O2284" s="62" t="s">
        <v>426</v>
      </c>
      <c r="P2284" s="62" t="s">
        <v>2421</v>
      </c>
      <c r="Q2284" s="66" t="s">
        <v>1972</v>
      </c>
    </row>
    <row r="2285" spans="1:17" x14ac:dyDescent="0.3">
      <c r="A2285" s="61" t="s">
        <v>2382</v>
      </c>
      <c r="B2285" s="62" t="s">
        <v>1815</v>
      </c>
      <c r="C2285" s="62" t="s">
        <v>1816</v>
      </c>
      <c r="D2285" s="63">
        <v>45642</v>
      </c>
      <c r="E2285" s="63">
        <v>46053</v>
      </c>
      <c r="F2285" s="62" t="s">
        <v>1959</v>
      </c>
      <c r="G2285" s="62" t="s">
        <v>808</v>
      </c>
      <c r="H2285" s="62" t="s">
        <v>373</v>
      </c>
      <c r="I2285" s="64">
        <v>4763</v>
      </c>
      <c r="J2285" s="62" t="s">
        <v>373</v>
      </c>
      <c r="K2285" s="62" t="s">
        <v>467</v>
      </c>
      <c r="L2285" s="65"/>
      <c r="M2285" s="62" t="s">
        <v>1518</v>
      </c>
      <c r="N2285" s="62" t="s">
        <v>558</v>
      </c>
      <c r="O2285" s="62" t="s">
        <v>426</v>
      </c>
      <c r="P2285" s="62" t="s">
        <v>2421</v>
      </c>
      <c r="Q2285" s="66" t="s">
        <v>1972</v>
      </c>
    </row>
    <row r="2286" spans="1:17" x14ac:dyDescent="0.3">
      <c r="A2286" s="61" t="s">
        <v>2383</v>
      </c>
      <c r="B2286" s="62" t="s">
        <v>1817</v>
      </c>
      <c r="C2286" s="62" t="s">
        <v>1818</v>
      </c>
      <c r="D2286" s="63">
        <v>45748</v>
      </c>
      <c r="E2286" s="63">
        <v>46112</v>
      </c>
      <c r="F2286" s="62" t="s">
        <v>280</v>
      </c>
      <c r="G2286" s="62" t="s">
        <v>406</v>
      </c>
      <c r="H2286" s="62" t="s">
        <v>638</v>
      </c>
      <c r="I2286" s="64">
        <v>74811.416666666701</v>
      </c>
      <c r="J2286" s="62" t="s">
        <v>645</v>
      </c>
      <c r="K2286" s="62" t="s">
        <v>638</v>
      </c>
      <c r="L2286" s="65"/>
      <c r="M2286" s="62" t="s">
        <v>825</v>
      </c>
      <c r="N2286" s="62" t="s">
        <v>883</v>
      </c>
      <c r="O2286" s="62" t="s">
        <v>347</v>
      </c>
      <c r="P2286" s="62" t="s">
        <v>2421</v>
      </c>
      <c r="Q2286" s="66" t="s">
        <v>1965</v>
      </c>
    </row>
    <row r="2287" spans="1:17" x14ac:dyDescent="0.3">
      <c r="A2287" s="61" t="s">
        <v>2383</v>
      </c>
      <c r="B2287" s="62" t="s">
        <v>1817</v>
      </c>
      <c r="C2287" s="62" t="s">
        <v>1818</v>
      </c>
      <c r="D2287" s="63">
        <v>45748</v>
      </c>
      <c r="E2287" s="63">
        <v>46112</v>
      </c>
      <c r="F2287" s="62" t="s">
        <v>280</v>
      </c>
      <c r="G2287" s="62" t="s">
        <v>1195</v>
      </c>
      <c r="H2287" s="62" t="s">
        <v>638</v>
      </c>
      <c r="I2287" s="64">
        <v>74811.416666666701</v>
      </c>
      <c r="J2287" s="62" t="s">
        <v>645</v>
      </c>
      <c r="K2287" s="62" t="s">
        <v>638</v>
      </c>
      <c r="L2287" s="65"/>
      <c r="M2287" s="62" t="s">
        <v>825</v>
      </c>
      <c r="N2287" s="62" t="s">
        <v>883</v>
      </c>
      <c r="O2287" s="62" t="s">
        <v>347</v>
      </c>
      <c r="P2287" s="62" t="s">
        <v>2421</v>
      </c>
      <c r="Q2287" s="66" t="s">
        <v>1965</v>
      </c>
    </row>
    <row r="2288" spans="1:17" x14ac:dyDescent="0.3">
      <c r="A2288" s="61" t="s">
        <v>2383</v>
      </c>
      <c r="B2288" s="62" t="s">
        <v>1817</v>
      </c>
      <c r="C2288" s="62" t="s">
        <v>1818</v>
      </c>
      <c r="D2288" s="63">
        <v>45748</v>
      </c>
      <c r="E2288" s="63">
        <v>46112</v>
      </c>
      <c r="F2288" s="62" t="s">
        <v>280</v>
      </c>
      <c r="G2288" s="62" t="s">
        <v>407</v>
      </c>
      <c r="H2288" s="62" t="s">
        <v>638</v>
      </c>
      <c r="I2288" s="64">
        <v>74811.416666666701</v>
      </c>
      <c r="J2288" s="62" t="s">
        <v>645</v>
      </c>
      <c r="K2288" s="62" t="s">
        <v>638</v>
      </c>
      <c r="L2288" s="65"/>
      <c r="M2288" s="62" t="s">
        <v>825</v>
      </c>
      <c r="N2288" s="62" t="s">
        <v>883</v>
      </c>
      <c r="O2288" s="62" t="s">
        <v>347</v>
      </c>
      <c r="P2288" s="62" t="s">
        <v>2421</v>
      </c>
      <c r="Q2288" s="66" t="s">
        <v>1965</v>
      </c>
    </row>
    <row r="2289" spans="1:17" x14ac:dyDescent="0.3">
      <c r="A2289" s="61" t="s">
        <v>2383</v>
      </c>
      <c r="B2289" s="62" t="s">
        <v>1817</v>
      </c>
      <c r="C2289" s="62" t="s">
        <v>1818</v>
      </c>
      <c r="D2289" s="63">
        <v>45748</v>
      </c>
      <c r="E2289" s="63">
        <v>46112</v>
      </c>
      <c r="F2289" s="62" t="s">
        <v>280</v>
      </c>
      <c r="G2289" s="62" t="s">
        <v>408</v>
      </c>
      <c r="H2289" s="62" t="s">
        <v>638</v>
      </c>
      <c r="I2289" s="64">
        <v>74811.416666666701</v>
      </c>
      <c r="J2289" s="62" t="s">
        <v>645</v>
      </c>
      <c r="K2289" s="62" t="s">
        <v>638</v>
      </c>
      <c r="L2289" s="65"/>
      <c r="M2289" s="62" t="s">
        <v>825</v>
      </c>
      <c r="N2289" s="62" t="s">
        <v>883</v>
      </c>
      <c r="O2289" s="62" t="s">
        <v>347</v>
      </c>
      <c r="P2289" s="62" t="s">
        <v>2421</v>
      </c>
      <c r="Q2289" s="66" t="s">
        <v>1965</v>
      </c>
    </row>
    <row r="2290" spans="1:17" x14ac:dyDescent="0.3">
      <c r="A2290" s="61" t="s">
        <v>2383</v>
      </c>
      <c r="B2290" s="62" t="s">
        <v>1817</v>
      </c>
      <c r="C2290" s="62" t="s">
        <v>1818</v>
      </c>
      <c r="D2290" s="63">
        <v>45748</v>
      </c>
      <c r="E2290" s="63">
        <v>46112</v>
      </c>
      <c r="F2290" s="62" t="s">
        <v>280</v>
      </c>
      <c r="G2290" s="62" t="s">
        <v>409</v>
      </c>
      <c r="H2290" s="62" t="s">
        <v>638</v>
      </c>
      <c r="I2290" s="64">
        <v>74811.416666666701</v>
      </c>
      <c r="J2290" s="62" t="s">
        <v>645</v>
      </c>
      <c r="K2290" s="62" t="s">
        <v>638</v>
      </c>
      <c r="L2290" s="65"/>
      <c r="M2290" s="62" t="s">
        <v>825</v>
      </c>
      <c r="N2290" s="62" t="s">
        <v>883</v>
      </c>
      <c r="O2290" s="62" t="s">
        <v>347</v>
      </c>
      <c r="P2290" s="62" t="s">
        <v>2421</v>
      </c>
      <c r="Q2290" s="66" t="s">
        <v>1965</v>
      </c>
    </row>
    <row r="2291" spans="1:17" x14ac:dyDescent="0.3">
      <c r="A2291" s="61" t="s">
        <v>2383</v>
      </c>
      <c r="B2291" s="62" t="s">
        <v>1817</v>
      </c>
      <c r="C2291" s="62" t="s">
        <v>1818</v>
      </c>
      <c r="D2291" s="63">
        <v>45748</v>
      </c>
      <c r="E2291" s="63">
        <v>46112</v>
      </c>
      <c r="F2291" s="62" t="s">
        <v>280</v>
      </c>
      <c r="G2291" s="62" t="s">
        <v>410</v>
      </c>
      <c r="H2291" s="62" t="s">
        <v>638</v>
      </c>
      <c r="I2291" s="64">
        <v>74811.416666666701</v>
      </c>
      <c r="J2291" s="62" t="s">
        <v>645</v>
      </c>
      <c r="K2291" s="62" t="s">
        <v>638</v>
      </c>
      <c r="L2291" s="65"/>
      <c r="M2291" s="62" t="s">
        <v>825</v>
      </c>
      <c r="N2291" s="62" t="s">
        <v>883</v>
      </c>
      <c r="O2291" s="62" t="s">
        <v>347</v>
      </c>
      <c r="P2291" s="62" t="s">
        <v>2421</v>
      </c>
      <c r="Q2291" s="66" t="s">
        <v>1965</v>
      </c>
    </row>
    <row r="2292" spans="1:17" x14ac:dyDescent="0.3">
      <c r="A2292" s="61" t="s">
        <v>2383</v>
      </c>
      <c r="B2292" s="62" t="s">
        <v>1817</v>
      </c>
      <c r="C2292" s="62" t="s">
        <v>1818</v>
      </c>
      <c r="D2292" s="63">
        <v>45748</v>
      </c>
      <c r="E2292" s="63">
        <v>46112</v>
      </c>
      <c r="F2292" s="62" t="s">
        <v>1922</v>
      </c>
      <c r="G2292" s="62" t="s">
        <v>836</v>
      </c>
      <c r="H2292" s="62" t="s">
        <v>638</v>
      </c>
      <c r="I2292" s="64">
        <v>224434.25</v>
      </c>
      <c r="J2292" s="62" t="s">
        <v>645</v>
      </c>
      <c r="K2292" s="62" t="s">
        <v>638</v>
      </c>
      <c r="L2292" s="65"/>
      <c r="M2292" s="62" t="s">
        <v>825</v>
      </c>
      <c r="N2292" s="62" t="s">
        <v>883</v>
      </c>
      <c r="O2292" s="62" t="s">
        <v>347</v>
      </c>
      <c r="P2292" s="62" t="s">
        <v>2421</v>
      </c>
      <c r="Q2292" s="66" t="s">
        <v>1965</v>
      </c>
    </row>
    <row r="2293" spans="1:17" x14ac:dyDescent="0.3">
      <c r="A2293" s="61" t="s">
        <v>2383</v>
      </c>
      <c r="B2293" s="62" t="s">
        <v>1817</v>
      </c>
      <c r="C2293" s="62" t="s">
        <v>1818</v>
      </c>
      <c r="D2293" s="63">
        <v>45748</v>
      </c>
      <c r="E2293" s="63">
        <v>46112</v>
      </c>
      <c r="F2293" s="62" t="s">
        <v>1922</v>
      </c>
      <c r="G2293" s="62" t="s">
        <v>387</v>
      </c>
      <c r="H2293" s="62" t="s">
        <v>638</v>
      </c>
      <c r="I2293" s="64">
        <v>224434.25</v>
      </c>
      <c r="J2293" s="62" t="s">
        <v>645</v>
      </c>
      <c r="K2293" s="62" t="s">
        <v>638</v>
      </c>
      <c r="L2293" s="65"/>
      <c r="M2293" s="62" t="s">
        <v>825</v>
      </c>
      <c r="N2293" s="62" t="s">
        <v>883</v>
      </c>
      <c r="O2293" s="62" t="s">
        <v>347</v>
      </c>
      <c r="P2293" s="62" t="s">
        <v>2421</v>
      </c>
      <c r="Q2293" s="66" t="s">
        <v>1965</v>
      </c>
    </row>
    <row r="2294" spans="1:17" x14ac:dyDescent="0.3">
      <c r="A2294" s="61" t="s">
        <v>2384</v>
      </c>
      <c r="B2294" s="62" t="s">
        <v>1819</v>
      </c>
      <c r="C2294" s="62" t="s">
        <v>1820</v>
      </c>
      <c r="D2294" s="63">
        <v>45658</v>
      </c>
      <c r="E2294" s="63">
        <v>46752</v>
      </c>
      <c r="F2294" s="62" t="s">
        <v>1945</v>
      </c>
      <c r="G2294" s="62" t="s">
        <v>400</v>
      </c>
      <c r="H2294" s="62" t="s">
        <v>462</v>
      </c>
      <c r="I2294" s="64">
        <v>155254</v>
      </c>
      <c r="J2294" s="62" t="s">
        <v>1821</v>
      </c>
      <c r="K2294" s="62" t="s">
        <v>1957</v>
      </c>
      <c r="L2294" s="65"/>
      <c r="M2294" s="62" t="s">
        <v>825</v>
      </c>
      <c r="N2294" s="62" t="s">
        <v>552</v>
      </c>
      <c r="O2294" s="62" t="s">
        <v>371</v>
      </c>
      <c r="P2294" s="62" t="s">
        <v>2421</v>
      </c>
      <c r="Q2294" s="66" t="s">
        <v>1972</v>
      </c>
    </row>
    <row r="2295" spans="1:17" x14ac:dyDescent="0.3">
      <c r="A2295" s="61" t="s">
        <v>2385</v>
      </c>
      <c r="B2295" s="62" t="s">
        <v>1822</v>
      </c>
      <c r="C2295" s="62" t="s">
        <v>1823</v>
      </c>
      <c r="D2295" s="63">
        <v>45748</v>
      </c>
      <c r="E2295" s="63">
        <v>46752</v>
      </c>
      <c r="F2295" s="62" t="s">
        <v>1916</v>
      </c>
      <c r="G2295" s="62" t="s">
        <v>304</v>
      </c>
      <c r="H2295" s="62" t="s">
        <v>533</v>
      </c>
      <c r="I2295" s="64">
        <v>3707631.5</v>
      </c>
      <c r="J2295" s="62" t="s">
        <v>1824</v>
      </c>
      <c r="K2295" s="62" t="s">
        <v>533</v>
      </c>
      <c r="L2295" s="65"/>
      <c r="M2295" s="62" t="s">
        <v>825</v>
      </c>
      <c r="N2295" s="62" t="s">
        <v>416</v>
      </c>
      <c r="O2295" s="62" t="s">
        <v>417</v>
      </c>
      <c r="P2295" s="62" t="s">
        <v>2421</v>
      </c>
      <c r="Q2295" s="66" t="s">
        <v>1970</v>
      </c>
    </row>
    <row r="2296" spans="1:17" x14ac:dyDescent="0.3">
      <c r="A2296" s="61" t="s">
        <v>2385</v>
      </c>
      <c r="B2296" s="62" t="s">
        <v>1822</v>
      </c>
      <c r="C2296" s="62" t="s">
        <v>1823</v>
      </c>
      <c r="D2296" s="63">
        <v>45748</v>
      </c>
      <c r="E2296" s="63">
        <v>46752</v>
      </c>
      <c r="F2296" s="62" t="s">
        <v>1963</v>
      </c>
      <c r="G2296" s="62" t="s">
        <v>304</v>
      </c>
      <c r="H2296" s="62" t="s">
        <v>533</v>
      </c>
      <c r="I2296" s="64">
        <v>3707631.5</v>
      </c>
      <c r="J2296" s="62" t="s">
        <v>1824</v>
      </c>
      <c r="K2296" s="62" t="s">
        <v>533</v>
      </c>
      <c r="L2296" s="65"/>
      <c r="M2296" s="62" t="s">
        <v>825</v>
      </c>
      <c r="N2296" s="62" t="s">
        <v>416</v>
      </c>
      <c r="O2296" s="62" t="s">
        <v>417</v>
      </c>
      <c r="P2296" s="62" t="s">
        <v>2421</v>
      </c>
      <c r="Q2296" s="66" t="s">
        <v>1970</v>
      </c>
    </row>
    <row r="2297" spans="1:17" x14ac:dyDescent="0.3">
      <c r="A2297" s="61" t="s">
        <v>2386</v>
      </c>
      <c r="B2297" s="62" t="s">
        <v>1825</v>
      </c>
      <c r="C2297" s="62" t="s">
        <v>1826</v>
      </c>
      <c r="D2297" s="63">
        <v>45596</v>
      </c>
      <c r="E2297" s="63">
        <v>46112</v>
      </c>
      <c r="F2297" s="62" t="s">
        <v>350</v>
      </c>
      <c r="G2297" s="62" t="s">
        <v>350</v>
      </c>
      <c r="H2297" s="62" t="s">
        <v>462</v>
      </c>
      <c r="I2297" s="64">
        <v>108579</v>
      </c>
      <c r="J2297" s="62" t="s">
        <v>1821</v>
      </c>
      <c r="K2297" s="62" t="s">
        <v>1957</v>
      </c>
      <c r="L2297" s="65"/>
      <c r="M2297" s="62" t="s">
        <v>825</v>
      </c>
      <c r="N2297" s="62" t="s">
        <v>935</v>
      </c>
      <c r="O2297" s="62" t="s">
        <v>347</v>
      </c>
      <c r="P2297" s="62" t="s">
        <v>2421</v>
      </c>
      <c r="Q2297" s="66" t="s">
        <v>1965</v>
      </c>
    </row>
    <row r="2298" spans="1:17" x14ac:dyDescent="0.3">
      <c r="A2298" s="61" t="s">
        <v>2387</v>
      </c>
      <c r="B2298" s="62" t="s">
        <v>1827</v>
      </c>
      <c r="C2298" s="62" t="s">
        <v>1828</v>
      </c>
      <c r="D2298" s="63">
        <v>45139</v>
      </c>
      <c r="E2298" s="63">
        <v>46387</v>
      </c>
      <c r="F2298" s="62" t="s">
        <v>350</v>
      </c>
      <c r="G2298" s="62" t="s">
        <v>350</v>
      </c>
      <c r="H2298" s="62" t="s">
        <v>462</v>
      </c>
      <c r="I2298" s="64">
        <v>1961919</v>
      </c>
      <c r="J2298" s="62" t="s">
        <v>1821</v>
      </c>
      <c r="K2298" s="62" t="s">
        <v>1957</v>
      </c>
      <c r="L2298" s="65"/>
      <c r="M2298" s="62" t="s">
        <v>825</v>
      </c>
      <c r="N2298" s="62" t="s">
        <v>644</v>
      </c>
      <c r="O2298" s="62" t="s">
        <v>371</v>
      </c>
      <c r="P2298" s="62" t="s">
        <v>2421</v>
      </c>
      <c r="Q2298" s="66" t="s">
        <v>1978</v>
      </c>
    </row>
    <row r="2299" spans="1:17" x14ac:dyDescent="0.3">
      <c r="A2299" s="61" t="s">
        <v>2388</v>
      </c>
      <c r="B2299" s="62" t="s">
        <v>1829</v>
      </c>
      <c r="C2299" s="62" t="s">
        <v>1830</v>
      </c>
      <c r="D2299" s="63">
        <v>45611</v>
      </c>
      <c r="E2299" s="63">
        <v>46127</v>
      </c>
      <c r="F2299" s="62" t="s">
        <v>1916</v>
      </c>
      <c r="G2299" s="62" t="s">
        <v>304</v>
      </c>
      <c r="H2299" s="62" t="s">
        <v>462</v>
      </c>
      <c r="I2299" s="64">
        <v>17181.333333333299</v>
      </c>
      <c r="J2299" s="62" t="s">
        <v>1821</v>
      </c>
      <c r="K2299" s="62" t="s">
        <v>1957</v>
      </c>
      <c r="L2299" s="65"/>
      <c r="M2299" s="62" t="s">
        <v>1518</v>
      </c>
      <c r="N2299" s="62" t="s">
        <v>864</v>
      </c>
      <c r="O2299" s="62" t="s">
        <v>309</v>
      </c>
      <c r="P2299" s="62" t="s">
        <v>2421</v>
      </c>
      <c r="Q2299" s="66" t="s">
        <v>1971</v>
      </c>
    </row>
    <row r="2300" spans="1:17" x14ac:dyDescent="0.3">
      <c r="A2300" s="61" t="s">
        <v>2388</v>
      </c>
      <c r="B2300" s="62" t="s">
        <v>1829</v>
      </c>
      <c r="C2300" s="62" t="s">
        <v>1830</v>
      </c>
      <c r="D2300" s="63">
        <v>45611</v>
      </c>
      <c r="E2300" s="63">
        <v>46127</v>
      </c>
      <c r="F2300" s="62" t="s">
        <v>280</v>
      </c>
      <c r="G2300" s="62" t="s">
        <v>304</v>
      </c>
      <c r="H2300" s="62" t="s">
        <v>462</v>
      </c>
      <c r="I2300" s="64">
        <v>17181.333333333299</v>
      </c>
      <c r="J2300" s="62" t="s">
        <v>1821</v>
      </c>
      <c r="K2300" s="62" t="s">
        <v>1957</v>
      </c>
      <c r="L2300" s="65"/>
      <c r="M2300" s="62" t="s">
        <v>1518</v>
      </c>
      <c r="N2300" s="62" t="s">
        <v>864</v>
      </c>
      <c r="O2300" s="62" t="s">
        <v>309</v>
      </c>
      <c r="P2300" s="62" t="s">
        <v>2421</v>
      </c>
      <c r="Q2300" s="66" t="s">
        <v>1971</v>
      </c>
    </row>
    <row r="2301" spans="1:17" x14ac:dyDescent="0.3">
      <c r="A2301" s="61" t="s">
        <v>2388</v>
      </c>
      <c r="B2301" s="62" t="s">
        <v>1829</v>
      </c>
      <c r="C2301" s="62" t="s">
        <v>1830</v>
      </c>
      <c r="D2301" s="63">
        <v>45611</v>
      </c>
      <c r="E2301" s="63">
        <v>46127</v>
      </c>
      <c r="F2301" s="62" t="s">
        <v>1960</v>
      </c>
      <c r="G2301" s="62" t="s">
        <v>304</v>
      </c>
      <c r="H2301" s="62" t="s">
        <v>462</v>
      </c>
      <c r="I2301" s="64">
        <v>17181.333333333299</v>
      </c>
      <c r="J2301" s="62" t="s">
        <v>1821</v>
      </c>
      <c r="K2301" s="62" t="s">
        <v>1957</v>
      </c>
      <c r="L2301" s="65"/>
      <c r="M2301" s="62" t="s">
        <v>1518</v>
      </c>
      <c r="N2301" s="62" t="s">
        <v>864</v>
      </c>
      <c r="O2301" s="62" t="s">
        <v>309</v>
      </c>
      <c r="P2301" s="62" t="s">
        <v>2421</v>
      </c>
      <c r="Q2301" s="66" t="s">
        <v>1971</v>
      </c>
    </row>
    <row r="2302" spans="1:17" x14ac:dyDescent="0.3">
      <c r="A2302" s="61" t="s">
        <v>2388</v>
      </c>
      <c r="B2302" s="62" t="s">
        <v>1829</v>
      </c>
      <c r="C2302" s="62" t="s">
        <v>1830</v>
      </c>
      <c r="D2302" s="63">
        <v>45611</v>
      </c>
      <c r="E2302" s="63">
        <v>46127</v>
      </c>
      <c r="F2302" s="62" t="s">
        <v>1938</v>
      </c>
      <c r="G2302" s="62" t="s">
        <v>304</v>
      </c>
      <c r="H2302" s="62" t="s">
        <v>462</v>
      </c>
      <c r="I2302" s="64">
        <v>17181.333333333299</v>
      </c>
      <c r="J2302" s="62" t="s">
        <v>1821</v>
      </c>
      <c r="K2302" s="62" t="s">
        <v>1957</v>
      </c>
      <c r="L2302" s="65"/>
      <c r="M2302" s="62" t="s">
        <v>1518</v>
      </c>
      <c r="N2302" s="62" t="s">
        <v>864</v>
      </c>
      <c r="O2302" s="62" t="s">
        <v>309</v>
      </c>
      <c r="P2302" s="62" t="s">
        <v>2421</v>
      </c>
      <c r="Q2302" s="66" t="s">
        <v>1971</v>
      </c>
    </row>
    <row r="2303" spans="1:17" x14ac:dyDescent="0.3">
      <c r="A2303" s="61" t="s">
        <v>2388</v>
      </c>
      <c r="B2303" s="62" t="s">
        <v>1829</v>
      </c>
      <c r="C2303" s="62" t="s">
        <v>1830</v>
      </c>
      <c r="D2303" s="63">
        <v>45611</v>
      </c>
      <c r="E2303" s="63">
        <v>46127</v>
      </c>
      <c r="F2303" s="62" t="s">
        <v>1941</v>
      </c>
      <c r="G2303" s="62" t="s">
        <v>304</v>
      </c>
      <c r="H2303" s="62" t="s">
        <v>462</v>
      </c>
      <c r="I2303" s="64">
        <v>17181.333333333299</v>
      </c>
      <c r="J2303" s="62" t="s">
        <v>1821</v>
      </c>
      <c r="K2303" s="62" t="s">
        <v>1957</v>
      </c>
      <c r="L2303" s="65"/>
      <c r="M2303" s="62" t="s">
        <v>1518</v>
      </c>
      <c r="N2303" s="62" t="s">
        <v>864</v>
      </c>
      <c r="O2303" s="62" t="s">
        <v>309</v>
      </c>
      <c r="P2303" s="62" t="s">
        <v>2421</v>
      </c>
      <c r="Q2303" s="66" t="s">
        <v>1971</v>
      </c>
    </row>
    <row r="2304" spans="1:17" x14ac:dyDescent="0.3">
      <c r="A2304" s="61" t="s">
        <v>2388</v>
      </c>
      <c r="B2304" s="62" t="s">
        <v>1829</v>
      </c>
      <c r="C2304" s="62" t="s">
        <v>1830</v>
      </c>
      <c r="D2304" s="63">
        <v>45611</v>
      </c>
      <c r="E2304" s="63">
        <v>46127</v>
      </c>
      <c r="F2304" s="62" t="s">
        <v>1948</v>
      </c>
      <c r="G2304" s="62" t="s">
        <v>304</v>
      </c>
      <c r="H2304" s="62" t="s">
        <v>462</v>
      </c>
      <c r="I2304" s="64">
        <v>17181.333333333299</v>
      </c>
      <c r="J2304" s="62" t="s">
        <v>1821</v>
      </c>
      <c r="K2304" s="62" t="s">
        <v>1957</v>
      </c>
      <c r="L2304" s="65"/>
      <c r="M2304" s="62" t="s">
        <v>1518</v>
      </c>
      <c r="N2304" s="62" t="s">
        <v>864</v>
      </c>
      <c r="O2304" s="62" t="s">
        <v>309</v>
      </c>
      <c r="P2304" s="62" t="s">
        <v>2421</v>
      </c>
      <c r="Q2304" s="66" t="s">
        <v>1971</v>
      </c>
    </row>
    <row r="2305" spans="1:17" x14ac:dyDescent="0.3">
      <c r="A2305" s="61" t="s">
        <v>2389</v>
      </c>
      <c r="B2305" s="62" t="s">
        <v>1831</v>
      </c>
      <c r="C2305" s="62" t="s">
        <v>1832</v>
      </c>
      <c r="D2305" s="63">
        <v>45611</v>
      </c>
      <c r="E2305" s="63">
        <v>46037</v>
      </c>
      <c r="F2305" s="62" t="s">
        <v>1940</v>
      </c>
      <c r="G2305" s="62" t="s">
        <v>451</v>
      </c>
      <c r="H2305" s="62" t="s">
        <v>462</v>
      </c>
      <c r="I2305" s="64">
        <v>98186</v>
      </c>
      <c r="J2305" s="62" t="s">
        <v>1821</v>
      </c>
      <c r="K2305" s="62" t="s">
        <v>1957</v>
      </c>
      <c r="L2305" s="65"/>
      <c r="M2305" s="62" t="s">
        <v>2443</v>
      </c>
      <c r="N2305" s="62" t="s">
        <v>442</v>
      </c>
      <c r="O2305" s="62" t="s">
        <v>315</v>
      </c>
      <c r="P2305" s="62" t="s">
        <v>2421</v>
      </c>
      <c r="Q2305" s="66" t="s">
        <v>1969</v>
      </c>
    </row>
    <row r="2306" spans="1:17" x14ac:dyDescent="0.3">
      <c r="A2306" s="61" t="s">
        <v>2390</v>
      </c>
      <c r="B2306" s="62" t="s">
        <v>835</v>
      </c>
      <c r="C2306" s="62" t="s">
        <v>1202</v>
      </c>
      <c r="D2306" s="63">
        <v>45776</v>
      </c>
      <c r="E2306" s="63">
        <v>46295</v>
      </c>
      <c r="F2306" s="62" t="s">
        <v>280</v>
      </c>
      <c r="G2306" s="62" t="s">
        <v>406</v>
      </c>
      <c r="H2306" s="62" t="s">
        <v>373</v>
      </c>
      <c r="I2306" s="64">
        <v>284586.88888888899</v>
      </c>
      <c r="J2306" s="62" t="s">
        <v>373</v>
      </c>
      <c r="K2306" s="62" t="s">
        <v>1693</v>
      </c>
      <c r="L2306" s="65"/>
      <c r="M2306" s="62" t="s">
        <v>2443</v>
      </c>
      <c r="N2306" s="62" t="s">
        <v>671</v>
      </c>
      <c r="O2306" s="62" t="s">
        <v>426</v>
      </c>
      <c r="P2306" s="62" t="s">
        <v>2421</v>
      </c>
      <c r="Q2306" s="66" t="s">
        <v>1972</v>
      </c>
    </row>
    <row r="2307" spans="1:17" x14ac:dyDescent="0.3">
      <c r="A2307" s="61" t="s">
        <v>2390</v>
      </c>
      <c r="B2307" s="62" t="s">
        <v>835</v>
      </c>
      <c r="C2307" s="62" t="s">
        <v>1202</v>
      </c>
      <c r="D2307" s="63">
        <v>45776</v>
      </c>
      <c r="E2307" s="63">
        <v>46295</v>
      </c>
      <c r="F2307" s="62" t="s">
        <v>280</v>
      </c>
      <c r="G2307" s="62" t="s">
        <v>409</v>
      </c>
      <c r="H2307" s="62" t="s">
        <v>373</v>
      </c>
      <c r="I2307" s="64">
        <v>284586.88888888899</v>
      </c>
      <c r="J2307" s="62" t="s">
        <v>373</v>
      </c>
      <c r="K2307" s="62" t="s">
        <v>1693</v>
      </c>
      <c r="L2307" s="65"/>
      <c r="M2307" s="62" t="s">
        <v>2443</v>
      </c>
      <c r="N2307" s="62" t="s">
        <v>671</v>
      </c>
      <c r="O2307" s="62" t="s">
        <v>426</v>
      </c>
      <c r="P2307" s="62" t="s">
        <v>2421</v>
      </c>
      <c r="Q2307" s="66" t="s">
        <v>1972</v>
      </c>
    </row>
    <row r="2308" spans="1:17" x14ac:dyDescent="0.3">
      <c r="A2308" s="61" t="s">
        <v>2390</v>
      </c>
      <c r="B2308" s="62" t="s">
        <v>835</v>
      </c>
      <c r="C2308" s="62" t="s">
        <v>1202</v>
      </c>
      <c r="D2308" s="63">
        <v>45776</v>
      </c>
      <c r="E2308" s="63">
        <v>46295</v>
      </c>
      <c r="F2308" s="62" t="s">
        <v>280</v>
      </c>
      <c r="G2308" s="62" t="s">
        <v>410</v>
      </c>
      <c r="H2308" s="62" t="s">
        <v>373</v>
      </c>
      <c r="I2308" s="64">
        <v>284586.88888888899</v>
      </c>
      <c r="J2308" s="62" t="s">
        <v>373</v>
      </c>
      <c r="K2308" s="62" t="s">
        <v>1693</v>
      </c>
      <c r="L2308" s="65"/>
      <c r="M2308" s="62" t="s">
        <v>2443</v>
      </c>
      <c r="N2308" s="62" t="s">
        <v>671</v>
      </c>
      <c r="O2308" s="62" t="s">
        <v>426</v>
      </c>
      <c r="P2308" s="62" t="s">
        <v>2421</v>
      </c>
      <c r="Q2308" s="66" t="s">
        <v>1972</v>
      </c>
    </row>
    <row r="2309" spans="1:17" x14ac:dyDescent="0.3">
      <c r="A2309" s="61" t="s">
        <v>2390</v>
      </c>
      <c r="B2309" s="62" t="s">
        <v>835</v>
      </c>
      <c r="C2309" s="62" t="s">
        <v>1202</v>
      </c>
      <c r="D2309" s="63">
        <v>45776</v>
      </c>
      <c r="E2309" s="63">
        <v>46295</v>
      </c>
      <c r="F2309" s="62" t="s">
        <v>1922</v>
      </c>
      <c r="G2309" s="62" t="s">
        <v>836</v>
      </c>
      <c r="H2309" s="62" t="s">
        <v>373</v>
      </c>
      <c r="I2309" s="64">
        <v>426880.33333333302</v>
      </c>
      <c r="J2309" s="62" t="s">
        <v>373</v>
      </c>
      <c r="K2309" s="62" t="s">
        <v>1693</v>
      </c>
      <c r="L2309" s="65"/>
      <c r="M2309" s="62" t="s">
        <v>2443</v>
      </c>
      <c r="N2309" s="62" t="s">
        <v>671</v>
      </c>
      <c r="O2309" s="62" t="s">
        <v>426</v>
      </c>
      <c r="P2309" s="62" t="s">
        <v>2421</v>
      </c>
      <c r="Q2309" s="66" t="s">
        <v>1972</v>
      </c>
    </row>
    <row r="2310" spans="1:17" x14ac:dyDescent="0.3">
      <c r="A2310" s="61" t="s">
        <v>2390</v>
      </c>
      <c r="B2310" s="62" t="s">
        <v>835</v>
      </c>
      <c r="C2310" s="62" t="s">
        <v>1202</v>
      </c>
      <c r="D2310" s="63">
        <v>45776</v>
      </c>
      <c r="E2310" s="63">
        <v>46295</v>
      </c>
      <c r="F2310" s="62" t="s">
        <v>1922</v>
      </c>
      <c r="G2310" s="62" t="s">
        <v>383</v>
      </c>
      <c r="H2310" s="62" t="s">
        <v>373</v>
      </c>
      <c r="I2310" s="64">
        <v>426880.33333333302</v>
      </c>
      <c r="J2310" s="62" t="s">
        <v>373</v>
      </c>
      <c r="K2310" s="62" t="s">
        <v>1693</v>
      </c>
      <c r="L2310" s="65"/>
      <c r="M2310" s="62" t="s">
        <v>2443</v>
      </c>
      <c r="N2310" s="62" t="s">
        <v>671</v>
      </c>
      <c r="O2310" s="62" t="s">
        <v>426</v>
      </c>
      <c r="P2310" s="62" t="s">
        <v>2421</v>
      </c>
      <c r="Q2310" s="66" t="s">
        <v>1972</v>
      </c>
    </row>
    <row r="2311" spans="1:17" x14ac:dyDescent="0.3">
      <c r="A2311" s="61" t="s">
        <v>2390</v>
      </c>
      <c r="B2311" s="62" t="s">
        <v>835</v>
      </c>
      <c r="C2311" s="62" t="s">
        <v>1202</v>
      </c>
      <c r="D2311" s="63">
        <v>45776</v>
      </c>
      <c r="E2311" s="63">
        <v>46295</v>
      </c>
      <c r="F2311" s="62" t="s">
        <v>1943</v>
      </c>
      <c r="G2311" s="62" t="s">
        <v>304</v>
      </c>
      <c r="H2311" s="62" t="s">
        <v>373</v>
      </c>
      <c r="I2311" s="64">
        <v>853760.66666666698</v>
      </c>
      <c r="J2311" s="62" t="s">
        <v>373</v>
      </c>
      <c r="K2311" s="62" t="s">
        <v>1693</v>
      </c>
      <c r="L2311" s="65"/>
      <c r="M2311" s="62" t="s">
        <v>2443</v>
      </c>
      <c r="N2311" s="62" t="s">
        <v>671</v>
      </c>
      <c r="O2311" s="62" t="s">
        <v>426</v>
      </c>
      <c r="P2311" s="62" t="s">
        <v>2421</v>
      </c>
      <c r="Q2311" s="66" t="s">
        <v>1972</v>
      </c>
    </row>
    <row r="2312" spans="1:17" x14ac:dyDescent="0.3">
      <c r="A2312" s="61" t="s">
        <v>2391</v>
      </c>
      <c r="B2312" s="62" t="s">
        <v>1833</v>
      </c>
      <c r="C2312" s="62" t="s">
        <v>1834</v>
      </c>
      <c r="D2312" s="63">
        <v>45748</v>
      </c>
      <c r="E2312" s="63">
        <v>46112</v>
      </c>
      <c r="F2312" s="62" t="s">
        <v>350</v>
      </c>
      <c r="G2312" s="62" t="s">
        <v>350</v>
      </c>
      <c r="H2312" s="62" t="s">
        <v>373</v>
      </c>
      <c r="I2312" s="64">
        <v>3675566</v>
      </c>
      <c r="J2312" s="62" t="s">
        <v>373</v>
      </c>
      <c r="K2312" s="62" t="s">
        <v>1693</v>
      </c>
      <c r="L2312" s="65"/>
      <c r="M2312" s="62" t="s">
        <v>825</v>
      </c>
      <c r="N2312" s="62" t="s">
        <v>558</v>
      </c>
      <c r="O2312" s="62" t="s">
        <v>426</v>
      </c>
      <c r="P2312" s="62" t="s">
        <v>2421</v>
      </c>
      <c r="Q2312" s="66" t="s">
        <v>1972</v>
      </c>
    </row>
    <row r="2313" spans="1:17" x14ac:dyDescent="0.3">
      <c r="A2313" s="61" t="s">
        <v>2392</v>
      </c>
      <c r="B2313" s="62" t="s">
        <v>1835</v>
      </c>
      <c r="C2313" s="62"/>
      <c r="D2313" s="63">
        <v>45292</v>
      </c>
      <c r="E2313" s="63">
        <v>46753</v>
      </c>
      <c r="F2313" s="62" t="s">
        <v>1930</v>
      </c>
      <c r="G2313" s="62" t="s">
        <v>304</v>
      </c>
      <c r="H2313" s="62" t="s">
        <v>373</v>
      </c>
      <c r="I2313" s="64">
        <v>85622</v>
      </c>
      <c r="J2313" s="62" t="s">
        <v>373</v>
      </c>
      <c r="K2313" s="62" t="s">
        <v>1693</v>
      </c>
      <c r="L2313" s="65"/>
      <c r="M2313" s="62" t="s">
        <v>1518</v>
      </c>
      <c r="N2313" s="62" t="s">
        <v>724</v>
      </c>
      <c r="O2313" s="62" t="s">
        <v>637</v>
      </c>
      <c r="P2313" s="62" t="s">
        <v>2421</v>
      </c>
      <c r="Q2313" s="66" t="s">
        <v>1971</v>
      </c>
    </row>
    <row r="2314" spans="1:17" x14ac:dyDescent="0.3">
      <c r="A2314" s="61" t="s">
        <v>2393</v>
      </c>
      <c r="B2314" s="62" t="s">
        <v>1836</v>
      </c>
      <c r="C2314" s="62" t="s">
        <v>1287</v>
      </c>
      <c r="D2314" s="63">
        <v>45776</v>
      </c>
      <c r="E2314" s="63">
        <v>46173</v>
      </c>
      <c r="F2314" s="62" t="s">
        <v>1930</v>
      </c>
      <c r="G2314" s="62" t="s">
        <v>721</v>
      </c>
      <c r="H2314" s="62" t="s">
        <v>373</v>
      </c>
      <c r="I2314" s="64">
        <v>47431.125</v>
      </c>
      <c r="J2314" s="62" t="s">
        <v>373</v>
      </c>
      <c r="K2314" s="62" t="s">
        <v>1693</v>
      </c>
      <c r="L2314" s="65"/>
      <c r="M2314" s="62" t="s">
        <v>2443</v>
      </c>
      <c r="N2314" s="62" t="s">
        <v>640</v>
      </c>
      <c r="O2314" s="62" t="s">
        <v>417</v>
      </c>
      <c r="P2314" s="62" t="s">
        <v>2421</v>
      </c>
      <c r="Q2314" s="66" t="s">
        <v>1984</v>
      </c>
    </row>
    <row r="2315" spans="1:17" x14ac:dyDescent="0.3">
      <c r="A2315" s="61" t="s">
        <v>2393</v>
      </c>
      <c r="B2315" s="62" t="s">
        <v>1836</v>
      </c>
      <c r="C2315" s="62" t="s">
        <v>1287</v>
      </c>
      <c r="D2315" s="63">
        <v>45776</v>
      </c>
      <c r="E2315" s="63">
        <v>46173</v>
      </c>
      <c r="F2315" s="62" t="s">
        <v>1930</v>
      </c>
      <c r="G2315" s="62" t="s">
        <v>415</v>
      </c>
      <c r="H2315" s="62" t="s">
        <v>373</v>
      </c>
      <c r="I2315" s="64">
        <v>47431.125</v>
      </c>
      <c r="J2315" s="62" t="s">
        <v>373</v>
      </c>
      <c r="K2315" s="62" t="s">
        <v>1693</v>
      </c>
      <c r="L2315" s="65"/>
      <c r="M2315" s="62" t="s">
        <v>2443</v>
      </c>
      <c r="N2315" s="62" t="s">
        <v>640</v>
      </c>
      <c r="O2315" s="62" t="s">
        <v>417</v>
      </c>
      <c r="P2315" s="62" t="s">
        <v>2421</v>
      </c>
      <c r="Q2315" s="66" t="s">
        <v>1984</v>
      </c>
    </row>
    <row r="2316" spans="1:17" x14ac:dyDescent="0.3">
      <c r="A2316" s="61" t="s">
        <v>2393</v>
      </c>
      <c r="B2316" s="62" t="s">
        <v>1836</v>
      </c>
      <c r="C2316" s="62" t="s">
        <v>1287</v>
      </c>
      <c r="D2316" s="63">
        <v>45776</v>
      </c>
      <c r="E2316" s="63">
        <v>46173</v>
      </c>
      <c r="F2316" s="62" t="s">
        <v>1930</v>
      </c>
      <c r="G2316" s="62" t="s">
        <v>418</v>
      </c>
      <c r="H2316" s="62" t="s">
        <v>373</v>
      </c>
      <c r="I2316" s="64">
        <v>47431.125</v>
      </c>
      <c r="J2316" s="62" t="s">
        <v>373</v>
      </c>
      <c r="K2316" s="62" t="s">
        <v>1693</v>
      </c>
      <c r="L2316" s="65"/>
      <c r="M2316" s="62" t="s">
        <v>2443</v>
      </c>
      <c r="N2316" s="62" t="s">
        <v>640</v>
      </c>
      <c r="O2316" s="62" t="s">
        <v>417</v>
      </c>
      <c r="P2316" s="62" t="s">
        <v>2421</v>
      </c>
      <c r="Q2316" s="66" t="s">
        <v>1984</v>
      </c>
    </row>
    <row r="2317" spans="1:17" x14ac:dyDescent="0.3">
      <c r="A2317" s="61" t="s">
        <v>2393</v>
      </c>
      <c r="B2317" s="62" t="s">
        <v>1836</v>
      </c>
      <c r="C2317" s="62" t="s">
        <v>1287</v>
      </c>
      <c r="D2317" s="63">
        <v>45776</v>
      </c>
      <c r="E2317" s="63">
        <v>46173</v>
      </c>
      <c r="F2317" s="62" t="s">
        <v>1930</v>
      </c>
      <c r="G2317" s="62" t="s">
        <v>419</v>
      </c>
      <c r="H2317" s="62" t="s">
        <v>373</v>
      </c>
      <c r="I2317" s="64">
        <v>47431.125</v>
      </c>
      <c r="J2317" s="62" t="s">
        <v>373</v>
      </c>
      <c r="K2317" s="62" t="s">
        <v>1693</v>
      </c>
      <c r="L2317" s="65"/>
      <c r="M2317" s="62" t="s">
        <v>2443</v>
      </c>
      <c r="N2317" s="62" t="s">
        <v>640</v>
      </c>
      <c r="O2317" s="62" t="s">
        <v>417</v>
      </c>
      <c r="P2317" s="62" t="s">
        <v>2421</v>
      </c>
      <c r="Q2317" s="66" t="s">
        <v>1984</v>
      </c>
    </row>
    <row r="2318" spans="1:17" x14ac:dyDescent="0.3">
      <c r="A2318" s="61" t="s">
        <v>2393</v>
      </c>
      <c r="B2318" s="62" t="s">
        <v>1836</v>
      </c>
      <c r="C2318" s="62" t="s">
        <v>1287</v>
      </c>
      <c r="D2318" s="63">
        <v>45776</v>
      </c>
      <c r="E2318" s="63">
        <v>46173</v>
      </c>
      <c r="F2318" s="62" t="s">
        <v>1930</v>
      </c>
      <c r="G2318" s="62" t="s">
        <v>723</v>
      </c>
      <c r="H2318" s="62" t="s">
        <v>373</v>
      </c>
      <c r="I2318" s="64">
        <v>47431.125</v>
      </c>
      <c r="J2318" s="62" t="s">
        <v>373</v>
      </c>
      <c r="K2318" s="62" t="s">
        <v>1693</v>
      </c>
      <c r="L2318" s="65"/>
      <c r="M2318" s="62" t="s">
        <v>2443</v>
      </c>
      <c r="N2318" s="62" t="s">
        <v>640</v>
      </c>
      <c r="O2318" s="62" t="s">
        <v>417</v>
      </c>
      <c r="P2318" s="62" t="s">
        <v>2421</v>
      </c>
      <c r="Q2318" s="66" t="s">
        <v>1984</v>
      </c>
    </row>
    <row r="2319" spans="1:17" x14ac:dyDescent="0.3">
      <c r="A2319" s="61" t="s">
        <v>2393</v>
      </c>
      <c r="B2319" s="62" t="s">
        <v>1836</v>
      </c>
      <c r="C2319" s="62" t="s">
        <v>1287</v>
      </c>
      <c r="D2319" s="63">
        <v>45776</v>
      </c>
      <c r="E2319" s="63">
        <v>46173</v>
      </c>
      <c r="F2319" s="62" t="s">
        <v>1930</v>
      </c>
      <c r="G2319" s="62" t="s">
        <v>546</v>
      </c>
      <c r="H2319" s="62" t="s">
        <v>373</v>
      </c>
      <c r="I2319" s="64">
        <v>47431.125</v>
      </c>
      <c r="J2319" s="62" t="s">
        <v>373</v>
      </c>
      <c r="K2319" s="62" t="s">
        <v>1693</v>
      </c>
      <c r="L2319" s="65"/>
      <c r="M2319" s="62" t="s">
        <v>2443</v>
      </c>
      <c r="N2319" s="62" t="s">
        <v>640</v>
      </c>
      <c r="O2319" s="62" t="s">
        <v>417</v>
      </c>
      <c r="P2319" s="62" t="s">
        <v>2421</v>
      </c>
      <c r="Q2319" s="66" t="s">
        <v>1984</v>
      </c>
    </row>
    <row r="2320" spans="1:17" x14ac:dyDescent="0.3">
      <c r="A2320" s="61" t="s">
        <v>2393</v>
      </c>
      <c r="B2320" s="62" t="s">
        <v>1836</v>
      </c>
      <c r="C2320" s="62" t="s">
        <v>1287</v>
      </c>
      <c r="D2320" s="63">
        <v>45776</v>
      </c>
      <c r="E2320" s="63">
        <v>46173</v>
      </c>
      <c r="F2320" s="62" t="s">
        <v>1921</v>
      </c>
      <c r="G2320" s="62" t="s">
        <v>559</v>
      </c>
      <c r="H2320" s="62" t="s">
        <v>373</v>
      </c>
      <c r="I2320" s="64">
        <v>142293.375</v>
      </c>
      <c r="J2320" s="62" t="s">
        <v>373</v>
      </c>
      <c r="K2320" s="62" t="s">
        <v>1693</v>
      </c>
      <c r="L2320" s="65"/>
      <c r="M2320" s="62" t="s">
        <v>2443</v>
      </c>
      <c r="N2320" s="62" t="s">
        <v>640</v>
      </c>
      <c r="O2320" s="62" t="s">
        <v>417</v>
      </c>
      <c r="P2320" s="62" t="s">
        <v>2421</v>
      </c>
      <c r="Q2320" s="66" t="s">
        <v>1984</v>
      </c>
    </row>
    <row r="2321" spans="1:17" x14ac:dyDescent="0.3">
      <c r="A2321" s="61" t="s">
        <v>2393</v>
      </c>
      <c r="B2321" s="62" t="s">
        <v>1836</v>
      </c>
      <c r="C2321" s="62" t="s">
        <v>1287</v>
      </c>
      <c r="D2321" s="63">
        <v>45776</v>
      </c>
      <c r="E2321" s="63">
        <v>46173</v>
      </c>
      <c r="F2321" s="62" t="s">
        <v>1921</v>
      </c>
      <c r="G2321" s="62" t="s">
        <v>714</v>
      </c>
      <c r="H2321" s="62" t="s">
        <v>373</v>
      </c>
      <c r="I2321" s="64">
        <v>142293.375</v>
      </c>
      <c r="J2321" s="62" t="s">
        <v>373</v>
      </c>
      <c r="K2321" s="62" t="s">
        <v>1693</v>
      </c>
      <c r="L2321" s="65"/>
      <c r="M2321" s="62" t="s">
        <v>2443</v>
      </c>
      <c r="N2321" s="62" t="s">
        <v>640</v>
      </c>
      <c r="O2321" s="62" t="s">
        <v>417</v>
      </c>
      <c r="P2321" s="62" t="s">
        <v>2421</v>
      </c>
      <c r="Q2321" s="66" t="s">
        <v>1984</v>
      </c>
    </row>
    <row r="2322" spans="1:17" x14ac:dyDescent="0.3">
      <c r="A2322" s="61" t="s">
        <v>2393</v>
      </c>
      <c r="B2322" s="62" t="s">
        <v>1836</v>
      </c>
      <c r="C2322" s="62" t="s">
        <v>1287</v>
      </c>
      <c r="D2322" s="63">
        <v>45776</v>
      </c>
      <c r="E2322" s="63">
        <v>46173</v>
      </c>
      <c r="F2322" s="62" t="s">
        <v>1936</v>
      </c>
      <c r="G2322" s="62" t="s">
        <v>730</v>
      </c>
      <c r="H2322" s="62" t="s">
        <v>373</v>
      </c>
      <c r="I2322" s="64">
        <v>142293.375</v>
      </c>
      <c r="J2322" s="62" t="s">
        <v>373</v>
      </c>
      <c r="K2322" s="62" t="s">
        <v>1693</v>
      </c>
      <c r="L2322" s="65"/>
      <c r="M2322" s="62" t="s">
        <v>2443</v>
      </c>
      <c r="N2322" s="62" t="s">
        <v>640</v>
      </c>
      <c r="O2322" s="62" t="s">
        <v>417</v>
      </c>
      <c r="P2322" s="62" t="s">
        <v>2421</v>
      </c>
      <c r="Q2322" s="66" t="s">
        <v>1984</v>
      </c>
    </row>
    <row r="2323" spans="1:17" x14ac:dyDescent="0.3">
      <c r="A2323" s="61" t="s">
        <v>2393</v>
      </c>
      <c r="B2323" s="62" t="s">
        <v>1836</v>
      </c>
      <c r="C2323" s="62" t="s">
        <v>1287</v>
      </c>
      <c r="D2323" s="63">
        <v>45776</v>
      </c>
      <c r="E2323" s="63">
        <v>46173</v>
      </c>
      <c r="F2323" s="62" t="s">
        <v>1936</v>
      </c>
      <c r="G2323" s="62" t="s">
        <v>412</v>
      </c>
      <c r="H2323" s="62" t="s">
        <v>373</v>
      </c>
      <c r="I2323" s="64">
        <v>142293.375</v>
      </c>
      <c r="J2323" s="62" t="s">
        <v>373</v>
      </c>
      <c r="K2323" s="62" t="s">
        <v>1693</v>
      </c>
      <c r="L2323" s="65"/>
      <c r="M2323" s="62" t="s">
        <v>2443</v>
      </c>
      <c r="N2323" s="62" t="s">
        <v>640</v>
      </c>
      <c r="O2323" s="62" t="s">
        <v>417</v>
      </c>
      <c r="P2323" s="62" t="s">
        <v>2421</v>
      </c>
      <c r="Q2323" s="66" t="s">
        <v>1984</v>
      </c>
    </row>
    <row r="2324" spans="1:17" x14ac:dyDescent="0.3">
      <c r="A2324" s="61" t="s">
        <v>2393</v>
      </c>
      <c r="B2324" s="62" t="s">
        <v>1836</v>
      </c>
      <c r="C2324" s="62" t="s">
        <v>1287</v>
      </c>
      <c r="D2324" s="63">
        <v>45776</v>
      </c>
      <c r="E2324" s="63">
        <v>46173</v>
      </c>
      <c r="F2324" s="62" t="s">
        <v>287</v>
      </c>
      <c r="G2324" s="62" t="s">
        <v>390</v>
      </c>
      <c r="H2324" s="62" t="s">
        <v>373</v>
      </c>
      <c r="I2324" s="64">
        <v>142293.375</v>
      </c>
      <c r="J2324" s="62" t="s">
        <v>373</v>
      </c>
      <c r="K2324" s="62" t="s">
        <v>1693</v>
      </c>
      <c r="L2324" s="65"/>
      <c r="M2324" s="62" t="s">
        <v>2443</v>
      </c>
      <c r="N2324" s="62" t="s">
        <v>640</v>
      </c>
      <c r="O2324" s="62" t="s">
        <v>417</v>
      </c>
      <c r="P2324" s="62" t="s">
        <v>2421</v>
      </c>
      <c r="Q2324" s="66" t="s">
        <v>1984</v>
      </c>
    </row>
    <row r="2325" spans="1:17" x14ac:dyDescent="0.3">
      <c r="A2325" s="61" t="s">
        <v>2393</v>
      </c>
      <c r="B2325" s="62" t="s">
        <v>1836</v>
      </c>
      <c r="C2325" s="62" t="s">
        <v>1287</v>
      </c>
      <c r="D2325" s="63">
        <v>45776</v>
      </c>
      <c r="E2325" s="63">
        <v>46173</v>
      </c>
      <c r="F2325" s="62" t="s">
        <v>287</v>
      </c>
      <c r="G2325" s="62" t="s">
        <v>395</v>
      </c>
      <c r="H2325" s="62" t="s">
        <v>373</v>
      </c>
      <c r="I2325" s="64">
        <v>142293.375</v>
      </c>
      <c r="J2325" s="62" t="s">
        <v>373</v>
      </c>
      <c r="K2325" s="62" t="s">
        <v>1693</v>
      </c>
      <c r="L2325" s="65"/>
      <c r="M2325" s="62" t="s">
        <v>2443</v>
      </c>
      <c r="N2325" s="62" t="s">
        <v>640</v>
      </c>
      <c r="O2325" s="62" t="s">
        <v>417</v>
      </c>
      <c r="P2325" s="62" t="s">
        <v>2421</v>
      </c>
      <c r="Q2325" s="66" t="s">
        <v>1984</v>
      </c>
    </row>
    <row r="2326" spans="1:17" x14ac:dyDescent="0.3">
      <c r="A2326" s="61" t="s">
        <v>2394</v>
      </c>
      <c r="B2326" s="62" t="s">
        <v>1838</v>
      </c>
      <c r="C2326" s="62" t="s">
        <v>1839</v>
      </c>
      <c r="D2326" s="63">
        <v>45331</v>
      </c>
      <c r="E2326" s="63">
        <v>46477</v>
      </c>
      <c r="F2326" s="62" t="s">
        <v>1941</v>
      </c>
      <c r="G2326" s="62" t="s">
        <v>316</v>
      </c>
      <c r="H2326" s="62" t="s">
        <v>351</v>
      </c>
      <c r="I2326" s="64">
        <v>106357.69230769201</v>
      </c>
      <c r="J2326" s="62" t="s">
        <v>1213</v>
      </c>
      <c r="K2326" s="62" t="s">
        <v>351</v>
      </c>
      <c r="L2326" s="65"/>
      <c r="M2326" s="62" t="s">
        <v>1518</v>
      </c>
      <c r="N2326" s="62" t="s">
        <v>949</v>
      </c>
      <c r="O2326" s="62" t="s">
        <v>309</v>
      </c>
      <c r="P2326" s="62" t="s">
        <v>2421</v>
      </c>
      <c r="Q2326" s="66" t="s">
        <v>1971</v>
      </c>
    </row>
    <row r="2327" spans="1:17" x14ac:dyDescent="0.3">
      <c r="A2327" s="61" t="s">
        <v>2394</v>
      </c>
      <c r="B2327" s="62" t="s">
        <v>1838</v>
      </c>
      <c r="C2327" s="62" t="s">
        <v>1839</v>
      </c>
      <c r="D2327" s="63">
        <v>45331</v>
      </c>
      <c r="E2327" s="63">
        <v>46477</v>
      </c>
      <c r="F2327" s="62" t="s">
        <v>1941</v>
      </c>
      <c r="G2327" s="62" t="s">
        <v>366</v>
      </c>
      <c r="H2327" s="62" t="s">
        <v>351</v>
      </c>
      <c r="I2327" s="64">
        <v>106357.69230769201</v>
      </c>
      <c r="J2327" s="62" t="s">
        <v>1213</v>
      </c>
      <c r="K2327" s="62" t="s">
        <v>351</v>
      </c>
      <c r="L2327" s="65"/>
      <c r="M2327" s="62" t="s">
        <v>1518</v>
      </c>
      <c r="N2327" s="62" t="s">
        <v>949</v>
      </c>
      <c r="O2327" s="62" t="s">
        <v>309</v>
      </c>
      <c r="P2327" s="62" t="s">
        <v>2421</v>
      </c>
      <c r="Q2327" s="66" t="s">
        <v>1971</v>
      </c>
    </row>
    <row r="2328" spans="1:17" x14ac:dyDescent="0.3">
      <c r="A2328" s="61" t="s">
        <v>2394</v>
      </c>
      <c r="B2328" s="62" t="s">
        <v>1838</v>
      </c>
      <c r="C2328" s="62" t="s">
        <v>1839</v>
      </c>
      <c r="D2328" s="63">
        <v>45331</v>
      </c>
      <c r="E2328" s="63">
        <v>46477</v>
      </c>
      <c r="F2328" s="62" t="s">
        <v>1941</v>
      </c>
      <c r="G2328" s="62" t="s">
        <v>317</v>
      </c>
      <c r="H2328" s="62" t="s">
        <v>351</v>
      </c>
      <c r="I2328" s="64">
        <v>106357.69230769201</v>
      </c>
      <c r="J2328" s="62" t="s">
        <v>1213</v>
      </c>
      <c r="K2328" s="62" t="s">
        <v>351</v>
      </c>
      <c r="L2328" s="65"/>
      <c r="M2328" s="62" t="s">
        <v>1518</v>
      </c>
      <c r="N2328" s="62" t="s">
        <v>949</v>
      </c>
      <c r="O2328" s="62" t="s">
        <v>309</v>
      </c>
      <c r="P2328" s="62" t="s">
        <v>2421</v>
      </c>
      <c r="Q2328" s="66" t="s">
        <v>1971</v>
      </c>
    </row>
    <row r="2329" spans="1:17" x14ac:dyDescent="0.3">
      <c r="A2329" s="61" t="s">
        <v>2394</v>
      </c>
      <c r="B2329" s="62" t="s">
        <v>1838</v>
      </c>
      <c r="C2329" s="62" t="s">
        <v>1839</v>
      </c>
      <c r="D2329" s="63">
        <v>45331</v>
      </c>
      <c r="E2329" s="63">
        <v>46477</v>
      </c>
      <c r="F2329" s="62" t="s">
        <v>1941</v>
      </c>
      <c r="G2329" s="62" t="s">
        <v>318</v>
      </c>
      <c r="H2329" s="62" t="s">
        <v>351</v>
      </c>
      <c r="I2329" s="64">
        <v>106357.69230769201</v>
      </c>
      <c r="J2329" s="62" t="s">
        <v>1213</v>
      </c>
      <c r="K2329" s="62" t="s">
        <v>351</v>
      </c>
      <c r="L2329" s="65"/>
      <c r="M2329" s="62" t="s">
        <v>1518</v>
      </c>
      <c r="N2329" s="62" t="s">
        <v>949</v>
      </c>
      <c r="O2329" s="62" t="s">
        <v>309</v>
      </c>
      <c r="P2329" s="62" t="s">
        <v>2421</v>
      </c>
      <c r="Q2329" s="66" t="s">
        <v>1971</v>
      </c>
    </row>
    <row r="2330" spans="1:17" x14ac:dyDescent="0.3">
      <c r="A2330" s="61" t="s">
        <v>2394</v>
      </c>
      <c r="B2330" s="62" t="s">
        <v>1838</v>
      </c>
      <c r="C2330" s="62" t="s">
        <v>1839</v>
      </c>
      <c r="D2330" s="63">
        <v>45331</v>
      </c>
      <c r="E2330" s="63">
        <v>46477</v>
      </c>
      <c r="F2330" s="62" t="s">
        <v>1941</v>
      </c>
      <c r="G2330" s="62" t="s">
        <v>367</v>
      </c>
      <c r="H2330" s="62" t="s">
        <v>351</v>
      </c>
      <c r="I2330" s="64">
        <v>106357.69230769201</v>
      </c>
      <c r="J2330" s="62" t="s">
        <v>1213</v>
      </c>
      <c r="K2330" s="62" t="s">
        <v>351</v>
      </c>
      <c r="L2330" s="65"/>
      <c r="M2330" s="62" t="s">
        <v>1518</v>
      </c>
      <c r="N2330" s="62" t="s">
        <v>949</v>
      </c>
      <c r="O2330" s="62" t="s">
        <v>309</v>
      </c>
      <c r="P2330" s="62" t="s">
        <v>2421</v>
      </c>
      <c r="Q2330" s="66" t="s">
        <v>1971</v>
      </c>
    </row>
    <row r="2331" spans="1:17" x14ac:dyDescent="0.3">
      <c r="A2331" s="61" t="s">
        <v>2394</v>
      </c>
      <c r="B2331" s="62" t="s">
        <v>1838</v>
      </c>
      <c r="C2331" s="62" t="s">
        <v>1839</v>
      </c>
      <c r="D2331" s="63">
        <v>45331</v>
      </c>
      <c r="E2331" s="63">
        <v>46477</v>
      </c>
      <c r="F2331" s="62" t="s">
        <v>1941</v>
      </c>
      <c r="G2331" s="62" t="s">
        <v>319</v>
      </c>
      <c r="H2331" s="62" t="s">
        <v>351</v>
      </c>
      <c r="I2331" s="64">
        <v>106357.69230769201</v>
      </c>
      <c r="J2331" s="62" t="s">
        <v>1213</v>
      </c>
      <c r="K2331" s="62" t="s">
        <v>351</v>
      </c>
      <c r="L2331" s="65"/>
      <c r="M2331" s="62" t="s">
        <v>1518</v>
      </c>
      <c r="N2331" s="62" t="s">
        <v>949</v>
      </c>
      <c r="O2331" s="62" t="s">
        <v>309</v>
      </c>
      <c r="P2331" s="62" t="s">
        <v>2421</v>
      </c>
      <c r="Q2331" s="66" t="s">
        <v>1971</v>
      </c>
    </row>
    <row r="2332" spans="1:17" x14ac:dyDescent="0.3">
      <c r="A2332" s="61" t="s">
        <v>2394</v>
      </c>
      <c r="B2332" s="62" t="s">
        <v>1838</v>
      </c>
      <c r="C2332" s="62" t="s">
        <v>1839</v>
      </c>
      <c r="D2332" s="63">
        <v>45331</v>
      </c>
      <c r="E2332" s="63">
        <v>46477</v>
      </c>
      <c r="F2332" s="62" t="s">
        <v>1941</v>
      </c>
      <c r="G2332" s="62" t="s">
        <v>320</v>
      </c>
      <c r="H2332" s="62" t="s">
        <v>351</v>
      </c>
      <c r="I2332" s="64">
        <v>106357.69230769201</v>
      </c>
      <c r="J2332" s="62" t="s">
        <v>1213</v>
      </c>
      <c r="K2332" s="62" t="s">
        <v>351</v>
      </c>
      <c r="L2332" s="65"/>
      <c r="M2332" s="62" t="s">
        <v>1518</v>
      </c>
      <c r="N2332" s="62" t="s">
        <v>949</v>
      </c>
      <c r="O2332" s="62" t="s">
        <v>309</v>
      </c>
      <c r="P2332" s="62" t="s">
        <v>2421</v>
      </c>
      <c r="Q2332" s="66" t="s">
        <v>1971</v>
      </c>
    </row>
    <row r="2333" spans="1:17" x14ac:dyDescent="0.3">
      <c r="A2333" s="61" t="s">
        <v>2394</v>
      </c>
      <c r="B2333" s="62" t="s">
        <v>1838</v>
      </c>
      <c r="C2333" s="62" t="s">
        <v>1839</v>
      </c>
      <c r="D2333" s="63">
        <v>45331</v>
      </c>
      <c r="E2333" s="63">
        <v>46477</v>
      </c>
      <c r="F2333" s="62" t="s">
        <v>1941</v>
      </c>
      <c r="G2333" s="62" t="s">
        <v>494</v>
      </c>
      <c r="H2333" s="62" t="s">
        <v>351</v>
      </c>
      <c r="I2333" s="64">
        <v>106357.69230769201</v>
      </c>
      <c r="J2333" s="62" t="s">
        <v>1213</v>
      </c>
      <c r="K2333" s="62" t="s">
        <v>351</v>
      </c>
      <c r="L2333" s="65"/>
      <c r="M2333" s="62" t="s">
        <v>1518</v>
      </c>
      <c r="N2333" s="62" t="s">
        <v>949</v>
      </c>
      <c r="O2333" s="62" t="s">
        <v>309</v>
      </c>
      <c r="P2333" s="62" t="s">
        <v>2421</v>
      </c>
      <c r="Q2333" s="66" t="s">
        <v>1971</v>
      </c>
    </row>
    <row r="2334" spans="1:17" x14ac:dyDescent="0.3">
      <c r="A2334" s="61" t="s">
        <v>2394</v>
      </c>
      <c r="B2334" s="62" t="s">
        <v>1838</v>
      </c>
      <c r="C2334" s="62" t="s">
        <v>1839</v>
      </c>
      <c r="D2334" s="63">
        <v>45331</v>
      </c>
      <c r="E2334" s="63">
        <v>46477</v>
      </c>
      <c r="F2334" s="62" t="s">
        <v>1941</v>
      </c>
      <c r="G2334" s="62" t="s">
        <v>321</v>
      </c>
      <c r="H2334" s="62" t="s">
        <v>351</v>
      </c>
      <c r="I2334" s="64">
        <v>106357.69230769201</v>
      </c>
      <c r="J2334" s="62" t="s">
        <v>1213</v>
      </c>
      <c r="K2334" s="62" t="s">
        <v>351</v>
      </c>
      <c r="L2334" s="65"/>
      <c r="M2334" s="62" t="s">
        <v>1518</v>
      </c>
      <c r="N2334" s="62" t="s">
        <v>949</v>
      </c>
      <c r="O2334" s="62" t="s">
        <v>309</v>
      </c>
      <c r="P2334" s="62" t="s">
        <v>2421</v>
      </c>
      <c r="Q2334" s="66" t="s">
        <v>1971</v>
      </c>
    </row>
    <row r="2335" spans="1:17" x14ac:dyDescent="0.3">
      <c r="A2335" s="61" t="s">
        <v>2394</v>
      </c>
      <c r="B2335" s="62" t="s">
        <v>1838</v>
      </c>
      <c r="C2335" s="62" t="s">
        <v>1839</v>
      </c>
      <c r="D2335" s="63">
        <v>45331</v>
      </c>
      <c r="E2335" s="63">
        <v>46477</v>
      </c>
      <c r="F2335" s="62" t="s">
        <v>1941</v>
      </c>
      <c r="G2335" s="62" t="s">
        <v>322</v>
      </c>
      <c r="H2335" s="62" t="s">
        <v>351</v>
      </c>
      <c r="I2335" s="64">
        <v>106357.69230769201</v>
      </c>
      <c r="J2335" s="62" t="s">
        <v>1213</v>
      </c>
      <c r="K2335" s="62" t="s">
        <v>351</v>
      </c>
      <c r="L2335" s="65"/>
      <c r="M2335" s="62" t="s">
        <v>1518</v>
      </c>
      <c r="N2335" s="62" t="s">
        <v>949</v>
      </c>
      <c r="O2335" s="62" t="s">
        <v>309</v>
      </c>
      <c r="P2335" s="62" t="s">
        <v>2421</v>
      </c>
      <c r="Q2335" s="66" t="s">
        <v>1971</v>
      </c>
    </row>
    <row r="2336" spans="1:17" x14ac:dyDescent="0.3">
      <c r="A2336" s="61" t="s">
        <v>2394</v>
      </c>
      <c r="B2336" s="62" t="s">
        <v>1838</v>
      </c>
      <c r="C2336" s="62" t="s">
        <v>1839</v>
      </c>
      <c r="D2336" s="63">
        <v>45331</v>
      </c>
      <c r="E2336" s="63">
        <v>46477</v>
      </c>
      <c r="F2336" s="62" t="s">
        <v>1941</v>
      </c>
      <c r="G2336" s="62" t="s">
        <v>1329</v>
      </c>
      <c r="H2336" s="62" t="s">
        <v>351</v>
      </c>
      <c r="I2336" s="64">
        <v>106357.69230769201</v>
      </c>
      <c r="J2336" s="62" t="s">
        <v>1213</v>
      </c>
      <c r="K2336" s="62" t="s">
        <v>351</v>
      </c>
      <c r="L2336" s="65"/>
      <c r="M2336" s="62" t="s">
        <v>1518</v>
      </c>
      <c r="N2336" s="62" t="s">
        <v>949</v>
      </c>
      <c r="O2336" s="62" t="s">
        <v>309</v>
      </c>
      <c r="P2336" s="62" t="s">
        <v>2421</v>
      </c>
      <c r="Q2336" s="66" t="s">
        <v>1971</v>
      </c>
    </row>
    <row r="2337" spans="1:17" x14ac:dyDescent="0.3">
      <c r="A2337" s="61" t="s">
        <v>2394</v>
      </c>
      <c r="B2337" s="62" t="s">
        <v>1838</v>
      </c>
      <c r="C2337" s="62" t="s">
        <v>1839</v>
      </c>
      <c r="D2337" s="63">
        <v>45331</v>
      </c>
      <c r="E2337" s="63">
        <v>46477</v>
      </c>
      <c r="F2337" s="62" t="s">
        <v>1941</v>
      </c>
      <c r="G2337" s="62" t="s">
        <v>325</v>
      </c>
      <c r="H2337" s="62" t="s">
        <v>351</v>
      </c>
      <c r="I2337" s="64">
        <v>106357.69230769201</v>
      </c>
      <c r="J2337" s="62" t="s">
        <v>1213</v>
      </c>
      <c r="K2337" s="62" t="s">
        <v>351</v>
      </c>
      <c r="L2337" s="65"/>
      <c r="M2337" s="62" t="s">
        <v>1518</v>
      </c>
      <c r="N2337" s="62" t="s">
        <v>949</v>
      </c>
      <c r="O2337" s="62" t="s">
        <v>309</v>
      </c>
      <c r="P2337" s="62" t="s">
        <v>2421</v>
      </c>
      <c r="Q2337" s="66" t="s">
        <v>1971</v>
      </c>
    </row>
    <row r="2338" spans="1:17" x14ac:dyDescent="0.3">
      <c r="A2338" s="61" t="s">
        <v>2394</v>
      </c>
      <c r="B2338" s="62" t="s">
        <v>1838</v>
      </c>
      <c r="C2338" s="62" t="s">
        <v>1839</v>
      </c>
      <c r="D2338" s="63">
        <v>45331</v>
      </c>
      <c r="E2338" s="63">
        <v>46477</v>
      </c>
      <c r="F2338" s="62" t="s">
        <v>1941</v>
      </c>
      <c r="G2338" s="62" t="s">
        <v>399</v>
      </c>
      <c r="H2338" s="62" t="s">
        <v>351</v>
      </c>
      <c r="I2338" s="64">
        <v>106357.69230769201</v>
      </c>
      <c r="J2338" s="62" t="s">
        <v>1213</v>
      </c>
      <c r="K2338" s="62" t="s">
        <v>351</v>
      </c>
      <c r="L2338" s="65"/>
      <c r="M2338" s="62" t="s">
        <v>1518</v>
      </c>
      <c r="N2338" s="62" t="s">
        <v>949</v>
      </c>
      <c r="O2338" s="62" t="s">
        <v>309</v>
      </c>
      <c r="P2338" s="62" t="s">
        <v>2421</v>
      </c>
      <c r="Q2338" s="66" t="s">
        <v>1971</v>
      </c>
    </row>
    <row r="2339" spans="1:17" x14ac:dyDescent="0.3">
      <c r="A2339" s="61" t="s">
        <v>2394</v>
      </c>
      <c r="B2339" s="62" t="s">
        <v>1838</v>
      </c>
      <c r="C2339" s="62" t="s">
        <v>1839</v>
      </c>
      <c r="D2339" s="63">
        <v>45331</v>
      </c>
      <c r="E2339" s="63">
        <v>46477</v>
      </c>
      <c r="F2339" s="62" t="s">
        <v>1934</v>
      </c>
      <c r="G2339" s="62" t="s">
        <v>727</v>
      </c>
      <c r="H2339" s="62" t="s">
        <v>351</v>
      </c>
      <c r="I2339" s="64">
        <v>172831.25</v>
      </c>
      <c r="J2339" s="62" t="s">
        <v>1213</v>
      </c>
      <c r="K2339" s="62" t="s">
        <v>351</v>
      </c>
      <c r="L2339" s="65"/>
      <c r="M2339" s="62" t="s">
        <v>1518</v>
      </c>
      <c r="N2339" s="62" t="s">
        <v>949</v>
      </c>
      <c r="O2339" s="62" t="s">
        <v>309</v>
      </c>
      <c r="P2339" s="62" t="s">
        <v>2421</v>
      </c>
      <c r="Q2339" s="66" t="s">
        <v>1971</v>
      </c>
    </row>
    <row r="2340" spans="1:17" x14ac:dyDescent="0.3">
      <c r="A2340" s="61" t="s">
        <v>2394</v>
      </c>
      <c r="B2340" s="62" t="s">
        <v>1838</v>
      </c>
      <c r="C2340" s="62" t="s">
        <v>1839</v>
      </c>
      <c r="D2340" s="63">
        <v>45331</v>
      </c>
      <c r="E2340" s="63">
        <v>46477</v>
      </c>
      <c r="F2340" s="62" t="s">
        <v>1934</v>
      </c>
      <c r="G2340" s="62" t="s">
        <v>497</v>
      </c>
      <c r="H2340" s="62" t="s">
        <v>351</v>
      </c>
      <c r="I2340" s="64">
        <v>172831.25</v>
      </c>
      <c r="J2340" s="62" t="s">
        <v>1213</v>
      </c>
      <c r="K2340" s="62" t="s">
        <v>351</v>
      </c>
      <c r="L2340" s="65"/>
      <c r="M2340" s="62" t="s">
        <v>1518</v>
      </c>
      <c r="N2340" s="62" t="s">
        <v>949</v>
      </c>
      <c r="O2340" s="62" t="s">
        <v>309</v>
      </c>
      <c r="P2340" s="62" t="s">
        <v>2421</v>
      </c>
      <c r="Q2340" s="66" t="s">
        <v>1971</v>
      </c>
    </row>
    <row r="2341" spans="1:17" x14ac:dyDescent="0.3">
      <c r="A2341" s="61" t="s">
        <v>2394</v>
      </c>
      <c r="B2341" s="62" t="s">
        <v>1838</v>
      </c>
      <c r="C2341" s="62" t="s">
        <v>1839</v>
      </c>
      <c r="D2341" s="63">
        <v>45331</v>
      </c>
      <c r="E2341" s="63">
        <v>46477</v>
      </c>
      <c r="F2341" s="62" t="s">
        <v>1934</v>
      </c>
      <c r="G2341" s="62" t="s">
        <v>524</v>
      </c>
      <c r="H2341" s="62" t="s">
        <v>351</v>
      </c>
      <c r="I2341" s="64">
        <v>172831.25</v>
      </c>
      <c r="J2341" s="62" t="s">
        <v>1213</v>
      </c>
      <c r="K2341" s="62" t="s">
        <v>351</v>
      </c>
      <c r="L2341" s="65"/>
      <c r="M2341" s="62" t="s">
        <v>1518</v>
      </c>
      <c r="N2341" s="62" t="s">
        <v>949</v>
      </c>
      <c r="O2341" s="62" t="s">
        <v>309</v>
      </c>
      <c r="P2341" s="62" t="s">
        <v>2421</v>
      </c>
      <c r="Q2341" s="66" t="s">
        <v>1971</v>
      </c>
    </row>
    <row r="2342" spans="1:17" x14ac:dyDescent="0.3">
      <c r="A2342" s="61" t="s">
        <v>2394</v>
      </c>
      <c r="B2342" s="62" t="s">
        <v>1838</v>
      </c>
      <c r="C2342" s="62" t="s">
        <v>1839</v>
      </c>
      <c r="D2342" s="63">
        <v>45331</v>
      </c>
      <c r="E2342" s="63">
        <v>46477</v>
      </c>
      <c r="F2342" s="62" t="s">
        <v>1934</v>
      </c>
      <c r="G2342" s="62" t="s">
        <v>525</v>
      </c>
      <c r="H2342" s="62" t="s">
        <v>351</v>
      </c>
      <c r="I2342" s="64">
        <v>172831.25</v>
      </c>
      <c r="J2342" s="62" t="s">
        <v>1213</v>
      </c>
      <c r="K2342" s="62" t="s">
        <v>351</v>
      </c>
      <c r="L2342" s="65"/>
      <c r="M2342" s="62" t="s">
        <v>1518</v>
      </c>
      <c r="N2342" s="62" t="s">
        <v>949</v>
      </c>
      <c r="O2342" s="62" t="s">
        <v>309</v>
      </c>
      <c r="P2342" s="62" t="s">
        <v>2421</v>
      </c>
      <c r="Q2342" s="66" t="s">
        <v>1971</v>
      </c>
    </row>
    <row r="2343" spans="1:17" x14ac:dyDescent="0.3">
      <c r="A2343" s="61" t="s">
        <v>2394</v>
      </c>
      <c r="B2343" s="62" t="s">
        <v>1838</v>
      </c>
      <c r="C2343" s="62" t="s">
        <v>1839</v>
      </c>
      <c r="D2343" s="63">
        <v>45331</v>
      </c>
      <c r="E2343" s="63">
        <v>46477</v>
      </c>
      <c r="F2343" s="62" t="s">
        <v>1934</v>
      </c>
      <c r="G2343" s="62" t="s">
        <v>477</v>
      </c>
      <c r="H2343" s="62" t="s">
        <v>351</v>
      </c>
      <c r="I2343" s="64">
        <v>172831.25</v>
      </c>
      <c r="J2343" s="62" t="s">
        <v>1213</v>
      </c>
      <c r="K2343" s="62" t="s">
        <v>351</v>
      </c>
      <c r="L2343" s="65"/>
      <c r="M2343" s="62" t="s">
        <v>1518</v>
      </c>
      <c r="N2343" s="62" t="s">
        <v>949</v>
      </c>
      <c r="O2343" s="62" t="s">
        <v>309</v>
      </c>
      <c r="P2343" s="62" t="s">
        <v>2421</v>
      </c>
      <c r="Q2343" s="66" t="s">
        <v>1971</v>
      </c>
    </row>
    <row r="2344" spans="1:17" x14ac:dyDescent="0.3">
      <c r="A2344" s="61" t="s">
        <v>2394</v>
      </c>
      <c r="B2344" s="62" t="s">
        <v>1838</v>
      </c>
      <c r="C2344" s="62" t="s">
        <v>1839</v>
      </c>
      <c r="D2344" s="63">
        <v>45331</v>
      </c>
      <c r="E2344" s="63">
        <v>46477</v>
      </c>
      <c r="F2344" s="62" t="s">
        <v>1934</v>
      </c>
      <c r="G2344" s="62" t="s">
        <v>526</v>
      </c>
      <c r="H2344" s="62" t="s">
        <v>351</v>
      </c>
      <c r="I2344" s="64">
        <v>172831.25</v>
      </c>
      <c r="J2344" s="62" t="s">
        <v>1213</v>
      </c>
      <c r="K2344" s="62" t="s">
        <v>351</v>
      </c>
      <c r="L2344" s="65"/>
      <c r="M2344" s="62" t="s">
        <v>1518</v>
      </c>
      <c r="N2344" s="62" t="s">
        <v>949</v>
      </c>
      <c r="O2344" s="62" t="s">
        <v>309</v>
      </c>
      <c r="P2344" s="62" t="s">
        <v>2421</v>
      </c>
      <c r="Q2344" s="66" t="s">
        <v>1971</v>
      </c>
    </row>
    <row r="2345" spans="1:17" x14ac:dyDescent="0.3">
      <c r="A2345" s="61" t="s">
        <v>2394</v>
      </c>
      <c r="B2345" s="62" t="s">
        <v>1838</v>
      </c>
      <c r="C2345" s="62" t="s">
        <v>1839</v>
      </c>
      <c r="D2345" s="63">
        <v>45331</v>
      </c>
      <c r="E2345" s="63">
        <v>46477</v>
      </c>
      <c r="F2345" s="62" t="s">
        <v>1934</v>
      </c>
      <c r="G2345" s="62" t="s">
        <v>631</v>
      </c>
      <c r="H2345" s="62" t="s">
        <v>351</v>
      </c>
      <c r="I2345" s="64">
        <v>172831.25</v>
      </c>
      <c r="J2345" s="62" t="s">
        <v>1213</v>
      </c>
      <c r="K2345" s="62" t="s">
        <v>351</v>
      </c>
      <c r="L2345" s="65"/>
      <c r="M2345" s="62" t="s">
        <v>1518</v>
      </c>
      <c r="N2345" s="62" t="s">
        <v>949</v>
      </c>
      <c r="O2345" s="62" t="s">
        <v>309</v>
      </c>
      <c r="P2345" s="62" t="s">
        <v>2421</v>
      </c>
      <c r="Q2345" s="66" t="s">
        <v>1971</v>
      </c>
    </row>
    <row r="2346" spans="1:17" x14ac:dyDescent="0.3">
      <c r="A2346" s="61" t="s">
        <v>2394</v>
      </c>
      <c r="B2346" s="62" t="s">
        <v>1838</v>
      </c>
      <c r="C2346" s="62" t="s">
        <v>1839</v>
      </c>
      <c r="D2346" s="63">
        <v>45331</v>
      </c>
      <c r="E2346" s="63">
        <v>46477</v>
      </c>
      <c r="F2346" s="62" t="s">
        <v>1934</v>
      </c>
      <c r="G2346" s="62" t="s">
        <v>499</v>
      </c>
      <c r="H2346" s="62" t="s">
        <v>351</v>
      </c>
      <c r="I2346" s="64">
        <v>172831.25</v>
      </c>
      <c r="J2346" s="62" t="s">
        <v>1213</v>
      </c>
      <c r="K2346" s="62" t="s">
        <v>351</v>
      </c>
      <c r="L2346" s="65"/>
      <c r="M2346" s="62" t="s">
        <v>1518</v>
      </c>
      <c r="N2346" s="62" t="s">
        <v>949</v>
      </c>
      <c r="O2346" s="62" t="s">
        <v>309</v>
      </c>
      <c r="P2346" s="62" t="s">
        <v>2421</v>
      </c>
      <c r="Q2346" s="66" t="s">
        <v>1971</v>
      </c>
    </row>
    <row r="2347" spans="1:17" x14ac:dyDescent="0.3">
      <c r="A2347" s="61" t="s">
        <v>2394</v>
      </c>
      <c r="B2347" s="62" t="s">
        <v>1838</v>
      </c>
      <c r="C2347" s="62" t="s">
        <v>1839</v>
      </c>
      <c r="D2347" s="63">
        <v>45331</v>
      </c>
      <c r="E2347" s="63">
        <v>46477</v>
      </c>
      <c r="F2347" s="62" t="s">
        <v>1958</v>
      </c>
      <c r="G2347" s="62" t="s">
        <v>329</v>
      </c>
      <c r="H2347" s="62" t="s">
        <v>351</v>
      </c>
      <c r="I2347" s="64">
        <v>276530</v>
      </c>
      <c r="J2347" s="62" t="s">
        <v>1213</v>
      </c>
      <c r="K2347" s="62" t="s">
        <v>351</v>
      </c>
      <c r="L2347" s="65"/>
      <c r="M2347" s="62" t="s">
        <v>1518</v>
      </c>
      <c r="N2347" s="62" t="s">
        <v>949</v>
      </c>
      <c r="O2347" s="62" t="s">
        <v>309</v>
      </c>
      <c r="P2347" s="62" t="s">
        <v>2421</v>
      </c>
      <c r="Q2347" s="66" t="s">
        <v>1971</v>
      </c>
    </row>
    <row r="2348" spans="1:17" x14ac:dyDescent="0.3">
      <c r="A2348" s="61" t="s">
        <v>2394</v>
      </c>
      <c r="B2348" s="62" t="s">
        <v>1838</v>
      </c>
      <c r="C2348" s="62" t="s">
        <v>1839</v>
      </c>
      <c r="D2348" s="63">
        <v>45331</v>
      </c>
      <c r="E2348" s="63">
        <v>46477</v>
      </c>
      <c r="F2348" s="62" t="s">
        <v>1958</v>
      </c>
      <c r="G2348" s="62" t="s">
        <v>330</v>
      </c>
      <c r="H2348" s="62" t="s">
        <v>351</v>
      </c>
      <c r="I2348" s="64">
        <v>276530</v>
      </c>
      <c r="J2348" s="62" t="s">
        <v>1213</v>
      </c>
      <c r="K2348" s="62" t="s">
        <v>351</v>
      </c>
      <c r="L2348" s="65"/>
      <c r="M2348" s="62" t="s">
        <v>1518</v>
      </c>
      <c r="N2348" s="62" t="s">
        <v>949</v>
      </c>
      <c r="O2348" s="62" t="s">
        <v>309</v>
      </c>
      <c r="P2348" s="62" t="s">
        <v>2421</v>
      </c>
      <c r="Q2348" s="66" t="s">
        <v>1971</v>
      </c>
    </row>
    <row r="2349" spans="1:17" x14ac:dyDescent="0.3">
      <c r="A2349" s="61" t="s">
        <v>2394</v>
      </c>
      <c r="B2349" s="62" t="s">
        <v>1838</v>
      </c>
      <c r="C2349" s="62" t="s">
        <v>1839</v>
      </c>
      <c r="D2349" s="63">
        <v>45331</v>
      </c>
      <c r="E2349" s="63">
        <v>46477</v>
      </c>
      <c r="F2349" s="62" t="s">
        <v>1958</v>
      </c>
      <c r="G2349" s="62" t="s">
        <v>332</v>
      </c>
      <c r="H2349" s="62" t="s">
        <v>351</v>
      </c>
      <c r="I2349" s="64">
        <v>276530</v>
      </c>
      <c r="J2349" s="62" t="s">
        <v>1213</v>
      </c>
      <c r="K2349" s="62" t="s">
        <v>351</v>
      </c>
      <c r="L2349" s="65"/>
      <c r="M2349" s="62" t="s">
        <v>1518</v>
      </c>
      <c r="N2349" s="62" t="s">
        <v>949</v>
      </c>
      <c r="O2349" s="62" t="s">
        <v>309</v>
      </c>
      <c r="P2349" s="62" t="s">
        <v>2421</v>
      </c>
      <c r="Q2349" s="66" t="s">
        <v>1971</v>
      </c>
    </row>
    <row r="2350" spans="1:17" x14ac:dyDescent="0.3">
      <c r="A2350" s="61" t="s">
        <v>2394</v>
      </c>
      <c r="B2350" s="62" t="s">
        <v>1838</v>
      </c>
      <c r="C2350" s="62" t="s">
        <v>1839</v>
      </c>
      <c r="D2350" s="63">
        <v>45331</v>
      </c>
      <c r="E2350" s="63">
        <v>46477</v>
      </c>
      <c r="F2350" s="62" t="s">
        <v>1958</v>
      </c>
      <c r="G2350" s="62" t="s">
        <v>628</v>
      </c>
      <c r="H2350" s="62" t="s">
        <v>351</v>
      </c>
      <c r="I2350" s="64">
        <v>276530</v>
      </c>
      <c r="J2350" s="62" t="s">
        <v>1213</v>
      </c>
      <c r="K2350" s="62" t="s">
        <v>351</v>
      </c>
      <c r="L2350" s="65"/>
      <c r="M2350" s="62" t="s">
        <v>1518</v>
      </c>
      <c r="N2350" s="62" t="s">
        <v>949</v>
      </c>
      <c r="O2350" s="62" t="s">
        <v>309</v>
      </c>
      <c r="P2350" s="62" t="s">
        <v>2421</v>
      </c>
      <c r="Q2350" s="66" t="s">
        <v>1971</v>
      </c>
    </row>
    <row r="2351" spans="1:17" x14ac:dyDescent="0.3">
      <c r="A2351" s="61" t="s">
        <v>2394</v>
      </c>
      <c r="B2351" s="62" t="s">
        <v>1838</v>
      </c>
      <c r="C2351" s="62" t="s">
        <v>1839</v>
      </c>
      <c r="D2351" s="63">
        <v>45331</v>
      </c>
      <c r="E2351" s="63">
        <v>46477</v>
      </c>
      <c r="F2351" s="62" t="s">
        <v>1958</v>
      </c>
      <c r="G2351" s="62" t="s">
        <v>334</v>
      </c>
      <c r="H2351" s="62" t="s">
        <v>351</v>
      </c>
      <c r="I2351" s="64">
        <v>276530</v>
      </c>
      <c r="J2351" s="62" t="s">
        <v>1213</v>
      </c>
      <c r="K2351" s="62" t="s">
        <v>351</v>
      </c>
      <c r="L2351" s="65"/>
      <c r="M2351" s="62" t="s">
        <v>1518</v>
      </c>
      <c r="N2351" s="62" t="s">
        <v>949</v>
      </c>
      <c r="O2351" s="62" t="s">
        <v>309</v>
      </c>
      <c r="P2351" s="62" t="s">
        <v>2421</v>
      </c>
      <c r="Q2351" s="66" t="s">
        <v>1971</v>
      </c>
    </row>
    <row r="2352" spans="1:17" x14ac:dyDescent="0.3">
      <c r="A2352" s="61" t="s">
        <v>2394</v>
      </c>
      <c r="B2352" s="62" t="s">
        <v>1838</v>
      </c>
      <c r="C2352" s="62" t="s">
        <v>1839</v>
      </c>
      <c r="D2352" s="63">
        <v>45331</v>
      </c>
      <c r="E2352" s="63">
        <v>46477</v>
      </c>
      <c r="F2352" s="62" t="s">
        <v>286</v>
      </c>
      <c r="G2352" s="62" t="s">
        <v>326</v>
      </c>
      <c r="H2352" s="62" t="s">
        <v>351</v>
      </c>
      <c r="I2352" s="64">
        <v>460883.33333333302</v>
      </c>
      <c r="J2352" s="62" t="s">
        <v>1213</v>
      </c>
      <c r="K2352" s="62" t="s">
        <v>351</v>
      </c>
      <c r="L2352" s="65"/>
      <c r="M2352" s="62" t="s">
        <v>1518</v>
      </c>
      <c r="N2352" s="62" t="s">
        <v>949</v>
      </c>
      <c r="O2352" s="62" t="s">
        <v>309</v>
      </c>
      <c r="P2352" s="62" t="s">
        <v>2421</v>
      </c>
      <c r="Q2352" s="66" t="s">
        <v>1971</v>
      </c>
    </row>
    <row r="2353" spans="1:17" x14ac:dyDescent="0.3">
      <c r="A2353" s="61" t="s">
        <v>2394</v>
      </c>
      <c r="B2353" s="62" t="s">
        <v>1838</v>
      </c>
      <c r="C2353" s="62" t="s">
        <v>1839</v>
      </c>
      <c r="D2353" s="63">
        <v>45331</v>
      </c>
      <c r="E2353" s="63">
        <v>46477</v>
      </c>
      <c r="F2353" s="62" t="s">
        <v>286</v>
      </c>
      <c r="G2353" s="62" t="s">
        <v>476</v>
      </c>
      <c r="H2353" s="62" t="s">
        <v>351</v>
      </c>
      <c r="I2353" s="64">
        <v>460883.33333333302</v>
      </c>
      <c r="J2353" s="62" t="s">
        <v>1213</v>
      </c>
      <c r="K2353" s="62" t="s">
        <v>351</v>
      </c>
      <c r="L2353" s="65"/>
      <c r="M2353" s="62" t="s">
        <v>1518</v>
      </c>
      <c r="N2353" s="62" t="s">
        <v>949</v>
      </c>
      <c r="O2353" s="62" t="s">
        <v>309</v>
      </c>
      <c r="P2353" s="62" t="s">
        <v>2421</v>
      </c>
      <c r="Q2353" s="66" t="s">
        <v>1971</v>
      </c>
    </row>
    <row r="2354" spans="1:17" x14ac:dyDescent="0.3">
      <c r="A2354" s="61" t="s">
        <v>2394</v>
      </c>
      <c r="B2354" s="62" t="s">
        <v>1838</v>
      </c>
      <c r="C2354" s="62" t="s">
        <v>1839</v>
      </c>
      <c r="D2354" s="63">
        <v>45331</v>
      </c>
      <c r="E2354" s="63">
        <v>46477</v>
      </c>
      <c r="F2354" s="62" t="s">
        <v>286</v>
      </c>
      <c r="G2354" s="62" t="s">
        <v>1840</v>
      </c>
      <c r="H2354" s="62" t="s">
        <v>351</v>
      </c>
      <c r="I2354" s="64">
        <v>460883.33333333302</v>
      </c>
      <c r="J2354" s="62" t="s">
        <v>1213</v>
      </c>
      <c r="K2354" s="62" t="s">
        <v>351</v>
      </c>
      <c r="L2354" s="65"/>
      <c r="M2354" s="62" t="s">
        <v>1518</v>
      </c>
      <c r="N2354" s="62" t="s">
        <v>949</v>
      </c>
      <c r="O2354" s="62" t="s">
        <v>309</v>
      </c>
      <c r="P2354" s="62" t="s">
        <v>2421</v>
      </c>
      <c r="Q2354" s="66" t="s">
        <v>1971</v>
      </c>
    </row>
    <row r="2355" spans="1:17" x14ac:dyDescent="0.3">
      <c r="A2355" s="61" t="s">
        <v>2394</v>
      </c>
      <c r="B2355" s="62" t="s">
        <v>1838</v>
      </c>
      <c r="C2355" s="62" t="s">
        <v>1839</v>
      </c>
      <c r="D2355" s="63">
        <v>45331</v>
      </c>
      <c r="E2355" s="63">
        <v>46477</v>
      </c>
      <c r="F2355" s="62" t="s">
        <v>1916</v>
      </c>
      <c r="G2355" s="62" t="s">
        <v>884</v>
      </c>
      <c r="H2355" s="62" t="s">
        <v>351</v>
      </c>
      <c r="I2355" s="64">
        <v>460883.33333333302</v>
      </c>
      <c r="J2355" s="62" t="s">
        <v>1213</v>
      </c>
      <c r="K2355" s="62" t="s">
        <v>351</v>
      </c>
      <c r="L2355" s="65"/>
      <c r="M2355" s="62" t="s">
        <v>1518</v>
      </c>
      <c r="N2355" s="62" t="s">
        <v>949</v>
      </c>
      <c r="O2355" s="62" t="s">
        <v>309</v>
      </c>
      <c r="P2355" s="62" t="s">
        <v>2421</v>
      </c>
      <c r="Q2355" s="66" t="s">
        <v>1971</v>
      </c>
    </row>
    <row r="2356" spans="1:17" x14ac:dyDescent="0.3">
      <c r="A2356" s="61" t="s">
        <v>2394</v>
      </c>
      <c r="B2356" s="62" t="s">
        <v>1838</v>
      </c>
      <c r="C2356" s="62" t="s">
        <v>1839</v>
      </c>
      <c r="D2356" s="63">
        <v>45331</v>
      </c>
      <c r="E2356" s="63">
        <v>46477</v>
      </c>
      <c r="F2356" s="62" t="s">
        <v>1916</v>
      </c>
      <c r="G2356" s="62" t="s">
        <v>327</v>
      </c>
      <c r="H2356" s="62" t="s">
        <v>351</v>
      </c>
      <c r="I2356" s="64">
        <v>460883.33333333302</v>
      </c>
      <c r="J2356" s="62" t="s">
        <v>1213</v>
      </c>
      <c r="K2356" s="62" t="s">
        <v>351</v>
      </c>
      <c r="L2356" s="65"/>
      <c r="M2356" s="62" t="s">
        <v>1518</v>
      </c>
      <c r="N2356" s="62" t="s">
        <v>949</v>
      </c>
      <c r="O2356" s="62" t="s">
        <v>309</v>
      </c>
      <c r="P2356" s="62" t="s">
        <v>2421</v>
      </c>
      <c r="Q2356" s="66" t="s">
        <v>1971</v>
      </c>
    </row>
    <row r="2357" spans="1:17" x14ac:dyDescent="0.3">
      <c r="A2357" s="61" t="s">
        <v>2394</v>
      </c>
      <c r="B2357" s="62" t="s">
        <v>1838</v>
      </c>
      <c r="C2357" s="62" t="s">
        <v>1839</v>
      </c>
      <c r="D2357" s="63">
        <v>45331</v>
      </c>
      <c r="E2357" s="63">
        <v>46477</v>
      </c>
      <c r="F2357" s="62" t="s">
        <v>1916</v>
      </c>
      <c r="G2357" s="62" t="s">
        <v>885</v>
      </c>
      <c r="H2357" s="62" t="s">
        <v>351</v>
      </c>
      <c r="I2357" s="64">
        <v>460883.33333333302</v>
      </c>
      <c r="J2357" s="62" t="s">
        <v>1213</v>
      </c>
      <c r="K2357" s="62" t="s">
        <v>351</v>
      </c>
      <c r="L2357" s="65"/>
      <c r="M2357" s="62" t="s">
        <v>1518</v>
      </c>
      <c r="N2357" s="62" t="s">
        <v>949</v>
      </c>
      <c r="O2357" s="62" t="s">
        <v>309</v>
      </c>
      <c r="P2357" s="62" t="s">
        <v>2421</v>
      </c>
      <c r="Q2357" s="66" t="s">
        <v>1971</v>
      </c>
    </row>
    <row r="2358" spans="1:17" x14ac:dyDescent="0.3">
      <c r="A2358" s="61" t="s">
        <v>2394</v>
      </c>
      <c r="B2358" s="62" t="s">
        <v>1838</v>
      </c>
      <c r="C2358" s="62" t="s">
        <v>1839</v>
      </c>
      <c r="D2358" s="63">
        <v>45331</v>
      </c>
      <c r="E2358" s="63">
        <v>46477</v>
      </c>
      <c r="F2358" s="62" t="s">
        <v>1936</v>
      </c>
      <c r="G2358" s="62" t="s">
        <v>730</v>
      </c>
      <c r="H2358" s="62" t="s">
        <v>351</v>
      </c>
      <c r="I2358" s="64">
        <v>460883.33333333302</v>
      </c>
      <c r="J2358" s="62" t="s">
        <v>1213</v>
      </c>
      <c r="K2358" s="62" t="s">
        <v>351</v>
      </c>
      <c r="L2358" s="65"/>
      <c r="M2358" s="62" t="s">
        <v>1518</v>
      </c>
      <c r="N2358" s="62" t="s">
        <v>949</v>
      </c>
      <c r="O2358" s="62" t="s">
        <v>309</v>
      </c>
      <c r="P2358" s="62" t="s">
        <v>2421</v>
      </c>
      <c r="Q2358" s="66" t="s">
        <v>1971</v>
      </c>
    </row>
    <row r="2359" spans="1:17" x14ac:dyDescent="0.3">
      <c r="A2359" s="61" t="s">
        <v>2394</v>
      </c>
      <c r="B2359" s="62" t="s">
        <v>1838</v>
      </c>
      <c r="C2359" s="62" t="s">
        <v>1839</v>
      </c>
      <c r="D2359" s="63">
        <v>45331</v>
      </c>
      <c r="E2359" s="63">
        <v>46477</v>
      </c>
      <c r="F2359" s="62" t="s">
        <v>1936</v>
      </c>
      <c r="G2359" s="62" t="s">
        <v>748</v>
      </c>
      <c r="H2359" s="62" t="s">
        <v>351</v>
      </c>
      <c r="I2359" s="64">
        <v>460883.33333333302</v>
      </c>
      <c r="J2359" s="62" t="s">
        <v>1213</v>
      </c>
      <c r="K2359" s="62" t="s">
        <v>351</v>
      </c>
      <c r="L2359" s="65"/>
      <c r="M2359" s="62" t="s">
        <v>1518</v>
      </c>
      <c r="N2359" s="62" t="s">
        <v>949</v>
      </c>
      <c r="O2359" s="62" t="s">
        <v>309</v>
      </c>
      <c r="P2359" s="62" t="s">
        <v>2421</v>
      </c>
      <c r="Q2359" s="66" t="s">
        <v>1971</v>
      </c>
    </row>
    <row r="2360" spans="1:17" x14ac:dyDescent="0.3">
      <c r="A2360" s="61" t="s">
        <v>2394</v>
      </c>
      <c r="B2360" s="62" t="s">
        <v>1838</v>
      </c>
      <c r="C2360" s="62" t="s">
        <v>1839</v>
      </c>
      <c r="D2360" s="63">
        <v>45331</v>
      </c>
      <c r="E2360" s="63">
        <v>46477</v>
      </c>
      <c r="F2360" s="62" t="s">
        <v>1936</v>
      </c>
      <c r="G2360" s="62" t="s">
        <v>414</v>
      </c>
      <c r="H2360" s="62" t="s">
        <v>351</v>
      </c>
      <c r="I2360" s="64">
        <v>460883.33333333302</v>
      </c>
      <c r="J2360" s="62" t="s">
        <v>1213</v>
      </c>
      <c r="K2360" s="62" t="s">
        <v>351</v>
      </c>
      <c r="L2360" s="65"/>
      <c r="M2360" s="62" t="s">
        <v>1518</v>
      </c>
      <c r="N2360" s="62" t="s">
        <v>949</v>
      </c>
      <c r="O2360" s="62" t="s">
        <v>309</v>
      </c>
      <c r="P2360" s="62" t="s">
        <v>2421</v>
      </c>
      <c r="Q2360" s="66" t="s">
        <v>1971</v>
      </c>
    </row>
    <row r="2361" spans="1:17" x14ac:dyDescent="0.3">
      <c r="A2361" s="61" t="s">
        <v>2394</v>
      </c>
      <c r="B2361" s="62" t="s">
        <v>1838</v>
      </c>
      <c r="C2361" s="62" t="s">
        <v>1839</v>
      </c>
      <c r="D2361" s="63">
        <v>45331</v>
      </c>
      <c r="E2361" s="63">
        <v>46477</v>
      </c>
      <c r="F2361" s="62" t="s">
        <v>1960</v>
      </c>
      <c r="G2361" s="62" t="s">
        <v>1841</v>
      </c>
      <c r="H2361" s="62" t="s">
        <v>351</v>
      </c>
      <c r="I2361" s="64">
        <v>691325</v>
      </c>
      <c r="J2361" s="62" t="s">
        <v>1213</v>
      </c>
      <c r="K2361" s="62" t="s">
        <v>351</v>
      </c>
      <c r="L2361" s="65"/>
      <c r="M2361" s="62" t="s">
        <v>1518</v>
      </c>
      <c r="N2361" s="62" t="s">
        <v>949</v>
      </c>
      <c r="O2361" s="62" t="s">
        <v>309</v>
      </c>
      <c r="P2361" s="62" t="s">
        <v>2421</v>
      </c>
      <c r="Q2361" s="66" t="s">
        <v>1971</v>
      </c>
    </row>
    <row r="2362" spans="1:17" x14ac:dyDescent="0.3">
      <c r="A2362" s="61" t="s">
        <v>2394</v>
      </c>
      <c r="B2362" s="62" t="s">
        <v>1838</v>
      </c>
      <c r="C2362" s="62" t="s">
        <v>1839</v>
      </c>
      <c r="D2362" s="63">
        <v>45331</v>
      </c>
      <c r="E2362" s="63">
        <v>46477</v>
      </c>
      <c r="F2362" s="62" t="s">
        <v>1960</v>
      </c>
      <c r="G2362" s="62" t="s">
        <v>567</v>
      </c>
      <c r="H2362" s="62" t="s">
        <v>351</v>
      </c>
      <c r="I2362" s="64">
        <v>691325</v>
      </c>
      <c r="J2362" s="62" t="s">
        <v>1213</v>
      </c>
      <c r="K2362" s="62" t="s">
        <v>351</v>
      </c>
      <c r="L2362" s="65"/>
      <c r="M2362" s="62" t="s">
        <v>1518</v>
      </c>
      <c r="N2362" s="62" t="s">
        <v>949</v>
      </c>
      <c r="O2362" s="62" t="s">
        <v>309</v>
      </c>
      <c r="P2362" s="62" t="s">
        <v>2421</v>
      </c>
      <c r="Q2362" s="66" t="s">
        <v>1971</v>
      </c>
    </row>
    <row r="2363" spans="1:17" x14ac:dyDescent="0.3">
      <c r="A2363" s="61" t="s">
        <v>2394</v>
      </c>
      <c r="B2363" s="62" t="s">
        <v>1838</v>
      </c>
      <c r="C2363" s="62" t="s">
        <v>1839</v>
      </c>
      <c r="D2363" s="63">
        <v>45331</v>
      </c>
      <c r="E2363" s="63">
        <v>46477</v>
      </c>
      <c r="F2363" s="62" t="s">
        <v>1938</v>
      </c>
      <c r="G2363" s="62" t="s">
        <v>505</v>
      </c>
      <c r="H2363" s="62" t="s">
        <v>351</v>
      </c>
      <c r="I2363" s="64">
        <v>691325</v>
      </c>
      <c r="J2363" s="62" t="s">
        <v>1213</v>
      </c>
      <c r="K2363" s="62" t="s">
        <v>351</v>
      </c>
      <c r="L2363" s="65"/>
      <c r="M2363" s="62" t="s">
        <v>1518</v>
      </c>
      <c r="N2363" s="62" t="s">
        <v>949</v>
      </c>
      <c r="O2363" s="62" t="s">
        <v>309</v>
      </c>
      <c r="P2363" s="62" t="s">
        <v>2421</v>
      </c>
      <c r="Q2363" s="66" t="s">
        <v>1971</v>
      </c>
    </row>
    <row r="2364" spans="1:17" x14ac:dyDescent="0.3">
      <c r="A2364" s="61" t="s">
        <v>2394</v>
      </c>
      <c r="B2364" s="62" t="s">
        <v>1838</v>
      </c>
      <c r="C2364" s="62" t="s">
        <v>1839</v>
      </c>
      <c r="D2364" s="63">
        <v>45331</v>
      </c>
      <c r="E2364" s="63">
        <v>46477</v>
      </c>
      <c r="F2364" s="62" t="s">
        <v>1938</v>
      </c>
      <c r="G2364" s="62" t="s">
        <v>506</v>
      </c>
      <c r="H2364" s="62" t="s">
        <v>351</v>
      </c>
      <c r="I2364" s="64">
        <v>691325</v>
      </c>
      <c r="J2364" s="62" t="s">
        <v>1213</v>
      </c>
      <c r="K2364" s="62" t="s">
        <v>351</v>
      </c>
      <c r="L2364" s="65"/>
      <c r="M2364" s="62" t="s">
        <v>1518</v>
      </c>
      <c r="N2364" s="62" t="s">
        <v>949</v>
      </c>
      <c r="O2364" s="62" t="s">
        <v>309</v>
      </c>
      <c r="P2364" s="62" t="s">
        <v>2421</v>
      </c>
      <c r="Q2364" s="66" t="s">
        <v>1971</v>
      </c>
    </row>
    <row r="2365" spans="1:17" x14ac:dyDescent="0.3">
      <c r="A2365" s="61" t="s">
        <v>2394</v>
      </c>
      <c r="B2365" s="62" t="s">
        <v>1838</v>
      </c>
      <c r="C2365" s="62" t="s">
        <v>1839</v>
      </c>
      <c r="D2365" s="63">
        <v>45331</v>
      </c>
      <c r="E2365" s="63">
        <v>46477</v>
      </c>
      <c r="F2365" s="62" t="s">
        <v>1931</v>
      </c>
      <c r="G2365" s="62" t="s">
        <v>281</v>
      </c>
      <c r="H2365" s="62" t="s">
        <v>351</v>
      </c>
      <c r="I2365" s="64">
        <v>1382650</v>
      </c>
      <c r="J2365" s="62" t="s">
        <v>1213</v>
      </c>
      <c r="K2365" s="62" t="s">
        <v>351</v>
      </c>
      <c r="L2365" s="65"/>
      <c r="M2365" s="62" t="s">
        <v>1518</v>
      </c>
      <c r="N2365" s="62" t="s">
        <v>949</v>
      </c>
      <c r="O2365" s="62" t="s">
        <v>309</v>
      </c>
      <c r="P2365" s="62" t="s">
        <v>2421</v>
      </c>
      <c r="Q2365" s="66" t="s">
        <v>1971</v>
      </c>
    </row>
    <row r="2366" spans="1:17" x14ac:dyDescent="0.3">
      <c r="A2366" s="61" t="s">
        <v>2394</v>
      </c>
      <c r="B2366" s="62" t="s">
        <v>1838</v>
      </c>
      <c r="C2366" s="62" t="s">
        <v>1839</v>
      </c>
      <c r="D2366" s="63">
        <v>45331</v>
      </c>
      <c r="E2366" s="63">
        <v>46477</v>
      </c>
      <c r="F2366" s="62" t="s">
        <v>1935</v>
      </c>
      <c r="G2366" s="62" t="s">
        <v>564</v>
      </c>
      <c r="H2366" s="62" t="s">
        <v>351</v>
      </c>
      <c r="I2366" s="64">
        <v>1382650</v>
      </c>
      <c r="J2366" s="62" t="s">
        <v>1213</v>
      </c>
      <c r="K2366" s="62" t="s">
        <v>351</v>
      </c>
      <c r="L2366" s="65"/>
      <c r="M2366" s="62" t="s">
        <v>1518</v>
      </c>
      <c r="N2366" s="62" t="s">
        <v>949</v>
      </c>
      <c r="O2366" s="62" t="s">
        <v>309</v>
      </c>
      <c r="P2366" s="62" t="s">
        <v>2421</v>
      </c>
      <c r="Q2366" s="66" t="s">
        <v>1971</v>
      </c>
    </row>
    <row r="2367" spans="1:17" x14ac:dyDescent="0.3">
      <c r="A2367" s="61" t="s">
        <v>2394</v>
      </c>
      <c r="B2367" s="62" t="s">
        <v>1838</v>
      </c>
      <c r="C2367" s="62" t="s">
        <v>1839</v>
      </c>
      <c r="D2367" s="63">
        <v>45331</v>
      </c>
      <c r="E2367" s="63">
        <v>46477</v>
      </c>
      <c r="F2367" s="62" t="s">
        <v>1921</v>
      </c>
      <c r="G2367" s="62" t="s">
        <v>487</v>
      </c>
      <c r="H2367" s="62" t="s">
        <v>351</v>
      </c>
      <c r="I2367" s="64">
        <v>1382650</v>
      </c>
      <c r="J2367" s="62" t="s">
        <v>1213</v>
      </c>
      <c r="K2367" s="62" t="s">
        <v>351</v>
      </c>
      <c r="L2367" s="65"/>
      <c r="M2367" s="62" t="s">
        <v>1518</v>
      </c>
      <c r="N2367" s="62" t="s">
        <v>949</v>
      </c>
      <c r="O2367" s="62" t="s">
        <v>309</v>
      </c>
      <c r="P2367" s="62" t="s">
        <v>2421</v>
      </c>
      <c r="Q2367" s="66" t="s">
        <v>1971</v>
      </c>
    </row>
    <row r="2368" spans="1:17" x14ac:dyDescent="0.3">
      <c r="A2368" s="61" t="s">
        <v>2394</v>
      </c>
      <c r="B2368" s="62" t="s">
        <v>1838</v>
      </c>
      <c r="C2368" s="62" t="s">
        <v>1839</v>
      </c>
      <c r="D2368" s="63">
        <v>45331</v>
      </c>
      <c r="E2368" s="63">
        <v>46477</v>
      </c>
      <c r="F2368" s="62" t="s">
        <v>348</v>
      </c>
      <c r="G2368" s="62" t="s">
        <v>348</v>
      </c>
      <c r="H2368" s="62" t="s">
        <v>351</v>
      </c>
      <c r="I2368" s="64">
        <v>1382650</v>
      </c>
      <c r="J2368" s="62" t="s">
        <v>1213</v>
      </c>
      <c r="K2368" s="62" t="s">
        <v>351</v>
      </c>
      <c r="L2368" s="65"/>
      <c r="M2368" s="62" t="s">
        <v>1518</v>
      </c>
      <c r="N2368" s="62" t="s">
        <v>949</v>
      </c>
      <c r="O2368" s="62" t="s">
        <v>309</v>
      </c>
      <c r="P2368" s="62" t="s">
        <v>2421</v>
      </c>
      <c r="Q2368" s="66" t="s">
        <v>1971</v>
      </c>
    </row>
    <row r="2369" spans="1:17" x14ac:dyDescent="0.3">
      <c r="A2369" s="61" t="s">
        <v>2394</v>
      </c>
      <c r="B2369" s="62" t="s">
        <v>1838</v>
      </c>
      <c r="C2369" s="62" t="s">
        <v>1839</v>
      </c>
      <c r="D2369" s="63">
        <v>45331</v>
      </c>
      <c r="E2369" s="63">
        <v>46477</v>
      </c>
      <c r="F2369" s="62" t="s">
        <v>1933</v>
      </c>
      <c r="G2369" s="62" t="s">
        <v>756</v>
      </c>
      <c r="H2369" s="62" t="s">
        <v>351</v>
      </c>
      <c r="I2369" s="64">
        <v>1382650</v>
      </c>
      <c r="J2369" s="62" t="s">
        <v>1213</v>
      </c>
      <c r="K2369" s="62" t="s">
        <v>351</v>
      </c>
      <c r="L2369" s="65"/>
      <c r="M2369" s="62" t="s">
        <v>1518</v>
      </c>
      <c r="N2369" s="62" t="s">
        <v>949</v>
      </c>
      <c r="O2369" s="62" t="s">
        <v>309</v>
      </c>
      <c r="P2369" s="62" t="s">
        <v>2421</v>
      </c>
      <c r="Q2369" s="66" t="s">
        <v>1971</v>
      </c>
    </row>
    <row r="2370" spans="1:17" x14ac:dyDescent="0.3">
      <c r="A2370" s="61" t="s">
        <v>2394</v>
      </c>
      <c r="B2370" s="62" t="s">
        <v>1838</v>
      </c>
      <c r="C2370" s="62" t="s">
        <v>1839</v>
      </c>
      <c r="D2370" s="63">
        <v>45331</v>
      </c>
      <c r="E2370" s="63">
        <v>46477</v>
      </c>
      <c r="F2370" s="62" t="s">
        <v>1943</v>
      </c>
      <c r="G2370" s="62" t="s">
        <v>452</v>
      </c>
      <c r="H2370" s="62" t="s">
        <v>351</v>
      </c>
      <c r="I2370" s="64">
        <v>1382650</v>
      </c>
      <c r="J2370" s="62" t="s">
        <v>1213</v>
      </c>
      <c r="K2370" s="62" t="s">
        <v>351</v>
      </c>
      <c r="L2370" s="65"/>
      <c r="M2370" s="62" t="s">
        <v>1518</v>
      </c>
      <c r="N2370" s="62" t="s">
        <v>949</v>
      </c>
      <c r="O2370" s="62" t="s">
        <v>309</v>
      </c>
      <c r="P2370" s="62" t="s">
        <v>2421</v>
      </c>
      <c r="Q2370" s="66" t="s">
        <v>1971</v>
      </c>
    </row>
    <row r="2371" spans="1:17" x14ac:dyDescent="0.3">
      <c r="A2371" s="61" t="s">
        <v>2394</v>
      </c>
      <c r="B2371" s="62" t="s">
        <v>1838</v>
      </c>
      <c r="C2371" s="62" t="s">
        <v>1839</v>
      </c>
      <c r="D2371" s="63">
        <v>45331</v>
      </c>
      <c r="E2371" s="63">
        <v>46477</v>
      </c>
      <c r="F2371" s="62" t="s">
        <v>1930</v>
      </c>
      <c r="G2371" s="62" t="s">
        <v>453</v>
      </c>
      <c r="H2371" s="62" t="s">
        <v>351</v>
      </c>
      <c r="I2371" s="64">
        <v>1382650</v>
      </c>
      <c r="J2371" s="62" t="s">
        <v>1213</v>
      </c>
      <c r="K2371" s="62" t="s">
        <v>351</v>
      </c>
      <c r="L2371" s="65"/>
      <c r="M2371" s="62" t="s">
        <v>1518</v>
      </c>
      <c r="N2371" s="62" t="s">
        <v>949</v>
      </c>
      <c r="O2371" s="62" t="s">
        <v>309</v>
      </c>
      <c r="P2371" s="62" t="s">
        <v>2421</v>
      </c>
      <c r="Q2371" s="66" t="s">
        <v>1971</v>
      </c>
    </row>
    <row r="2372" spans="1:17" x14ac:dyDescent="0.3">
      <c r="A2372" s="61" t="s">
        <v>2394</v>
      </c>
      <c r="B2372" s="62" t="s">
        <v>1838</v>
      </c>
      <c r="C2372" s="62" t="s">
        <v>1839</v>
      </c>
      <c r="D2372" s="63">
        <v>45331</v>
      </c>
      <c r="E2372" s="63">
        <v>46477</v>
      </c>
      <c r="F2372" s="62" t="s">
        <v>1961</v>
      </c>
      <c r="G2372" s="62" t="s">
        <v>634</v>
      </c>
      <c r="H2372" s="62" t="s">
        <v>351</v>
      </c>
      <c r="I2372" s="64">
        <v>1382650</v>
      </c>
      <c r="J2372" s="62" t="s">
        <v>1213</v>
      </c>
      <c r="K2372" s="62" t="s">
        <v>351</v>
      </c>
      <c r="L2372" s="65"/>
      <c r="M2372" s="62" t="s">
        <v>1518</v>
      </c>
      <c r="N2372" s="62" t="s">
        <v>949</v>
      </c>
      <c r="O2372" s="62" t="s">
        <v>309</v>
      </c>
      <c r="P2372" s="62" t="s">
        <v>2421</v>
      </c>
      <c r="Q2372" s="66" t="s">
        <v>1971</v>
      </c>
    </row>
    <row r="2373" spans="1:17" x14ac:dyDescent="0.3">
      <c r="A2373" s="61" t="s">
        <v>2394</v>
      </c>
      <c r="B2373" s="62" t="s">
        <v>1838</v>
      </c>
      <c r="C2373" s="62" t="s">
        <v>1839</v>
      </c>
      <c r="D2373" s="63">
        <v>45331</v>
      </c>
      <c r="E2373" s="63">
        <v>46477</v>
      </c>
      <c r="F2373" s="62" t="s">
        <v>1963</v>
      </c>
      <c r="G2373" s="62" t="s">
        <v>1842</v>
      </c>
      <c r="H2373" s="62" t="s">
        <v>351</v>
      </c>
      <c r="I2373" s="64">
        <v>1382650</v>
      </c>
      <c r="J2373" s="62" t="s">
        <v>1213</v>
      </c>
      <c r="K2373" s="62" t="s">
        <v>351</v>
      </c>
      <c r="L2373" s="65"/>
      <c r="M2373" s="62" t="s">
        <v>1518</v>
      </c>
      <c r="N2373" s="62" t="s">
        <v>949</v>
      </c>
      <c r="O2373" s="62" t="s">
        <v>309</v>
      </c>
      <c r="P2373" s="62" t="s">
        <v>2421</v>
      </c>
      <c r="Q2373" s="66" t="s">
        <v>1971</v>
      </c>
    </row>
    <row r="2374" spans="1:17" x14ac:dyDescent="0.3">
      <c r="A2374" s="61" t="s">
        <v>2394</v>
      </c>
      <c r="B2374" s="62" t="s">
        <v>1838</v>
      </c>
      <c r="C2374" s="62" t="s">
        <v>1839</v>
      </c>
      <c r="D2374" s="63">
        <v>45331</v>
      </c>
      <c r="E2374" s="63">
        <v>46477</v>
      </c>
      <c r="F2374" s="62" t="s">
        <v>1948</v>
      </c>
      <c r="G2374" s="62" t="s">
        <v>368</v>
      </c>
      <c r="H2374" s="62" t="s">
        <v>351</v>
      </c>
      <c r="I2374" s="64">
        <v>1382650</v>
      </c>
      <c r="J2374" s="62" t="s">
        <v>1213</v>
      </c>
      <c r="K2374" s="62" t="s">
        <v>351</v>
      </c>
      <c r="L2374" s="65"/>
      <c r="M2374" s="62" t="s">
        <v>1518</v>
      </c>
      <c r="N2374" s="62" t="s">
        <v>949</v>
      </c>
      <c r="O2374" s="62" t="s">
        <v>309</v>
      </c>
      <c r="P2374" s="62" t="s">
        <v>2421</v>
      </c>
      <c r="Q2374" s="66" t="s">
        <v>1971</v>
      </c>
    </row>
    <row r="2375" spans="1:17" x14ac:dyDescent="0.3">
      <c r="A2375" s="61" t="s">
        <v>2394</v>
      </c>
      <c r="B2375" s="62" t="s">
        <v>1838</v>
      </c>
      <c r="C2375" s="62" t="s">
        <v>1839</v>
      </c>
      <c r="D2375" s="63">
        <v>45331</v>
      </c>
      <c r="E2375" s="63">
        <v>46477</v>
      </c>
      <c r="F2375" s="62" t="s">
        <v>287</v>
      </c>
      <c r="G2375" s="62" t="s">
        <v>554</v>
      </c>
      <c r="H2375" s="62" t="s">
        <v>351</v>
      </c>
      <c r="I2375" s="64">
        <v>1382650</v>
      </c>
      <c r="J2375" s="62" t="s">
        <v>1213</v>
      </c>
      <c r="K2375" s="62" t="s">
        <v>351</v>
      </c>
      <c r="L2375" s="65"/>
      <c r="M2375" s="62" t="s">
        <v>1518</v>
      </c>
      <c r="N2375" s="62" t="s">
        <v>949</v>
      </c>
      <c r="O2375" s="62" t="s">
        <v>309</v>
      </c>
      <c r="P2375" s="62" t="s">
        <v>2421</v>
      </c>
      <c r="Q2375" s="66" t="s">
        <v>1971</v>
      </c>
    </row>
    <row r="2376" spans="1:17" x14ac:dyDescent="0.3">
      <c r="A2376" s="61" t="s">
        <v>2394</v>
      </c>
      <c r="B2376" s="62" t="s">
        <v>1838</v>
      </c>
      <c r="C2376" s="62" t="s">
        <v>1839</v>
      </c>
      <c r="D2376" s="63">
        <v>45331</v>
      </c>
      <c r="E2376" s="63">
        <v>46477</v>
      </c>
      <c r="F2376" s="62" t="s">
        <v>1945</v>
      </c>
      <c r="G2376" s="62" t="s">
        <v>555</v>
      </c>
      <c r="H2376" s="62" t="s">
        <v>351</v>
      </c>
      <c r="I2376" s="64">
        <v>1382650</v>
      </c>
      <c r="J2376" s="62" t="s">
        <v>1213</v>
      </c>
      <c r="K2376" s="62" t="s">
        <v>351</v>
      </c>
      <c r="L2376" s="65"/>
      <c r="M2376" s="62" t="s">
        <v>1518</v>
      </c>
      <c r="N2376" s="62" t="s">
        <v>949</v>
      </c>
      <c r="O2376" s="62" t="s">
        <v>309</v>
      </c>
      <c r="P2376" s="62" t="s">
        <v>2421</v>
      </c>
      <c r="Q2376" s="66" t="s">
        <v>1971</v>
      </c>
    </row>
    <row r="2377" spans="1:17" x14ac:dyDescent="0.3">
      <c r="A2377" s="61" t="s">
        <v>2395</v>
      </c>
      <c r="B2377" s="62" t="s">
        <v>1843</v>
      </c>
      <c r="C2377" s="62" t="s">
        <v>1844</v>
      </c>
      <c r="D2377" s="63">
        <v>45678</v>
      </c>
      <c r="E2377" s="63">
        <v>46843</v>
      </c>
      <c r="F2377" s="62" t="s">
        <v>350</v>
      </c>
      <c r="G2377" s="62" t="s">
        <v>304</v>
      </c>
      <c r="H2377" s="62" t="s">
        <v>2427</v>
      </c>
      <c r="I2377" s="64">
        <v>282374.25</v>
      </c>
      <c r="J2377" s="62" t="s">
        <v>712</v>
      </c>
      <c r="K2377" s="62" t="s">
        <v>311</v>
      </c>
      <c r="L2377" s="65"/>
      <c r="M2377" s="62" t="s">
        <v>1518</v>
      </c>
      <c r="N2377" s="62" t="s">
        <v>469</v>
      </c>
      <c r="O2377" s="62" t="s">
        <v>315</v>
      </c>
      <c r="P2377" s="62" t="s">
        <v>2421</v>
      </c>
      <c r="Q2377" s="66" t="s">
        <v>1969</v>
      </c>
    </row>
    <row r="2378" spans="1:17" x14ac:dyDescent="0.3">
      <c r="A2378" s="61" t="s">
        <v>2396</v>
      </c>
      <c r="B2378" s="62" t="s">
        <v>1845</v>
      </c>
      <c r="C2378" s="62" t="s">
        <v>1846</v>
      </c>
      <c r="D2378" s="63">
        <v>45769</v>
      </c>
      <c r="E2378" s="63">
        <v>46141</v>
      </c>
      <c r="F2378" s="62" t="s">
        <v>1938</v>
      </c>
      <c r="G2378" s="62" t="s">
        <v>506</v>
      </c>
      <c r="H2378" s="62" t="s">
        <v>443</v>
      </c>
      <c r="I2378" s="64">
        <v>208580.3</v>
      </c>
      <c r="J2378" s="62" t="s">
        <v>1525</v>
      </c>
      <c r="K2378" s="62" t="s">
        <v>377</v>
      </c>
      <c r="L2378" s="65"/>
      <c r="M2378" s="62" t="s">
        <v>1518</v>
      </c>
      <c r="N2378" s="62" t="s">
        <v>486</v>
      </c>
      <c r="O2378" s="62" t="s">
        <v>465</v>
      </c>
      <c r="P2378" s="62" t="s">
        <v>2421</v>
      </c>
      <c r="Q2378" s="66" t="s">
        <v>1964</v>
      </c>
    </row>
    <row r="2379" spans="1:17" x14ac:dyDescent="0.3">
      <c r="A2379" s="61" t="s">
        <v>2397</v>
      </c>
      <c r="B2379" s="62" t="s">
        <v>1848</v>
      </c>
      <c r="C2379" s="62" t="s">
        <v>1849</v>
      </c>
      <c r="D2379" s="63">
        <v>45627</v>
      </c>
      <c r="E2379" s="63">
        <v>46203</v>
      </c>
      <c r="F2379" s="62" t="s">
        <v>350</v>
      </c>
      <c r="G2379" s="62" t="s">
        <v>350</v>
      </c>
      <c r="H2379" s="62" t="s">
        <v>489</v>
      </c>
      <c r="I2379" s="64">
        <v>630242</v>
      </c>
      <c r="J2379" s="62" t="s">
        <v>813</v>
      </c>
      <c r="K2379" s="62" t="s">
        <v>489</v>
      </c>
      <c r="L2379" s="65"/>
      <c r="M2379" s="62" t="s">
        <v>1518</v>
      </c>
      <c r="N2379" s="62" t="s">
        <v>469</v>
      </c>
      <c r="O2379" s="62" t="s">
        <v>315</v>
      </c>
      <c r="P2379" s="62" t="s">
        <v>2421</v>
      </c>
      <c r="Q2379" s="66" t="s">
        <v>1969</v>
      </c>
    </row>
    <row r="2380" spans="1:17" x14ac:dyDescent="0.3">
      <c r="A2380" s="61" t="s">
        <v>2398</v>
      </c>
      <c r="B2380" s="62" t="s">
        <v>1850</v>
      </c>
      <c r="C2380" s="62" t="s">
        <v>1851</v>
      </c>
      <c r="D2380" s="63">
        <v>45818</v>
      </c>
      <c r="E2380" s="63">
        <v>46122</v>
      </c>
      <c r="F2380" s="62" t="s">
        <v>350</v>
      </c>
      <c r="G2380" s="62" t="s">
        <v>304</v>
      </c>
      <c r="H2380" s="62" t="s">
        <v>931</v>
      </c>
      <c r="I2380" s="64">
        <v>16479.5</v>
      </c>
      <c r="J2380" s="62" t="s">
        <v>1852</v>
      </c>
      <c r="K2380" s="62" t="s">
        <v>1957</v>
      </c>
      <c r="L2380" s="65"/>
      <c r="M2380" s="62" t="s">
        <v>825</v>
      </c>
      <c r="N2380" s="62" t="s">
        <v>1111</v>
      </c>
      <c r="O2380" s="62" t="s">
        <v>571</v>
      </c>
      <c r="P2380" s="62" t="s">
        <v>2421</v>
      </c>
      <c r="Q2380" s="66" t="s">
        <v>1966</v>
      </c>
    </row>
    <row r="2381" spans="1:17" x14ac:dyDescent="0.3">
      <c r="A2381" s="61" t="s">
        <v>2399</v>
      </c>
      <c r="B2381" s="62" t="s">
        <v>1853</v>
      </c>
      <c r="C2381" s="62" t="s">
        <v>1854</v>
      </c>
      <c r="D2381" s="63">
        <v>45805</v>
      </c>
      <c r="E2381" s="63">
        <v>46417</v>
      </c>
      <c r="F2381" s="62" t="s">
        <v>1922</v>
      </c>
      <c r="G2381" s="62" t="s">
        <v>387</v>
      </c>
      <c r="H2381" s="62" t="s">
        <v>2427</v>
      </c>
      <c r="I2381" s="64">
        <v>7391526</v>
      </c>
      <c r="J2381" s="62" t="s">
        <v>664</v>
      </c>
      <c r="K2381" s="62" t="s">
        <v>377</v>
      </c>
      <c r="L2381" s="65"/>
      <c r="M2381" s="62" t="s">
        <v>424</v>
      </c>
      <c r="N2381" s="62" t="s">
        <v>644</v>
      </c>
      <c r="O2381" s="62" t="s">
        <v>371</v>
      </c>
      <c r="P2381" s="62" t="s">
        <v>2421</v>
      </c>
      <c r="Q2381" s="66" t="s">
        <v>1986</v>
      </c>
    </row>
    <row r="2382" spans="1:17" x14ac:dyDescent="0.3">
      <c r="A2382" s="61" t="s">
        <v>2400</v>
      </c>
      <c r="B2382" s="62" t="s">
        <v>1855</v>
      </c>
      <c r="C2382" s="62" t="s">
        <v>1856</v>
      </c>
      <c r="D2382" s="63">
        <v>45776</v>
      </c>
      <c r="E2382" s="63">
        <v>46232</v>
      </c>
      <c r="F2382" s="62" t="s">
        <v>1945</v>
      </c>
      <c r="G2382" s="62" t="s">
        <v>555</v>
      </c>
      <c r="H2382" s="62" t="s">
        <v>362</v>
      </c>
      <c r="I2382" s="64">
        <v>455289</v>
      </c>
      <c r="J2382" s="62" t="s">
        <v>1857</v>
      </c>
      <c r="K2382" s="62" t="s">
        <v>362</v>
      </c>
      <c r="L2382" s="65"/>
      <c r="M2382" s="62" t="s">
        <v>2443</v>
      </c>
      <c r="N2382" s="62" t="s">
        <v>635</v>
      </c>
      <c r="O2382" s="62" t="s">
        <v>375</v>
      </c>
      <c r="P2382" s="62" t="s">
        <v>2421</v>
      </c>
      <c r="Q2382" s="66" t="s">
        <v>2021</v>
      </c>
    </row>
    <row r="2383" spans="1:17" x14ac:dyDescent="0.3">
      <c r="A2383" s="61" t="s">
        <v>2401</v>
      </c>
      <c r="B2383" s="62" t="s">
        <v>1858</v>
      </c>
      <c r="C2383" s="62" t="s">
        <v>1859</v>
      </c>
      <c r="D2383" s="63">
        <v>45523</v>
      </c>
      <c r="E2383" s="63">
        <v>46252</v>
      </c>
      <c r="F2383" s="62" t="s">
        <v>350</v>
      </c>
      <c r="G2383" s="62" t="s">
        <v>304</v>
      </c>
      <c r="H2383" s="62" t="s">
        <v>2427</v>
      </c>
      <c r="I2383" s="64">
        <v>500000</v>
      </c>
      <c r="J2383" s="62" t="s">
        <v>1837</v>
      </c>
      <c r="K2383" s="62" t="s">
        <v>377</v>
      </c>
      <c r="L2383" s="65"/>
      <c r="M2383" s="62" t="s">
        <v>1518</v>
      </c>
      <c r="N2383" s="62" t="s">
        <v>910</v>
      </c>
      <c r="O2383" s="62" t="s">
        <v>646</v>
      </c>
      <c r="P2383" s="62" t="s">
        <v>2421</v>
      </c>
      <c r="Q2383" s="66" t="s">
        <v>1974</v>
      </c>
    </row>
    <row r="2384" spans="1:17" x14ac:dyDescent="0.3">
      <c r="A2384" s="61" t="s">
        <v>2402</v>
      </c>
      <c r="B2384" s="62" t="s">
        <v>1860</v>
      </c>
      <c r="C2384" s="62" t="s">
        <v>1861</v>
      </c>
      <c r="D2384" s="63">
        <v>45778</v>
      </c>
      <c r="E2384" s="63">
        <v>46507</v>
      </c>
      <c r="F2384" s="62" t="s">
        <v>1921</v>
      </c>
      <c r="G2384" s="62" t="s">
        <v>304</v>
      </c>
      <c r="H2384" s="62" t="s">
        <v>2427</v>
      </c>
      <c r="I2384" s="64">
        <v>30781.5</v>
      </c>
      <c r="J2384" s="62" t="s">
        <v>1862</v>
      </c>
      <c r="K2384" s="62" t="s">
        <v>1957</v>
      </c>
      <c r="L2384" s="65"/>
      <c r="M2384" s="62" t="s">
        <v>2443</v>
      </c>
      <c r="N2384" s="62" t="s">
        <v>640</v>
      </c>
      <c r="O2384" s="62" t="s">
        <v>417</v>
      </c>
      <c r="P2384" s="62" t="s">
        <v>2421</v>
      </c>
      <c r="Q2384" s="66" t="s">
        <v>2021</v>
      </c>
    </row>
    <row r="2385" spans="1:17" x14ac:dyDescent="0.3">
      <c r="A2385" s="61" t="s">
        <v>2402</v>
      </c>
      <c r="B2385" s="62" t="s">
        <v>1860</v>
      </c>
      <c r="C2385" s="62" t="s">
        <v>1861</v>
      </c>
      <c r="D2385" s="63">
        <v>45778</v>
      </c>
      <c r="E2385" s="63">
        <v>46507</v>
      </c>
      <c r="F2385" s="62" t="s">
        <v>1934</v>
      </c>
      <c r="G2385" s="62" t="s">
        <v>304</v>
      </c>
      <c r="H2385" s="62" t="s">
        <v>2427</v>
      </c>
      <c r="I2385" s="64">
        <v>30781.5</v>
      </c>
      <c r="J2385" s="62" t="s">
        <v>1862</v>
      </c>
      <c r="K2385" s="62" t="s">
        <v>1957</v>
      </c>
      <c r="L2385" s="65"/>
      <c r="M2385" s="62" t="s">
        <v>2443</v>
      </c>
      <c r="N2385" s="62" t="s">
        <v>640</v>
      </c>
      <c r="O2385" s="62" t="s">
        <v>417</v>
      </c>
      <c r="P2385" s="62" t="s">
        <v>2421</v>
      </c>
      <c r="Q2385" s="66" t="s">
        <v>2021</v>
      </c>
    </row>
    <row r="2386" spans="1:17" x14ac:dyDescent="0.3">
      <c r="A2386" s="61" t="s">
        <v>2402</v>
      </c>
      <c r="B2386" s="62" t="s">
        <v>1860</v>
      </c>
      <c r="C2386" s="62" t="s">
        <v>1861</v>
      </c>
      <c r="D2386" s="63">
        <v>45778</v>
      </c>
      <c r="E2386" s="63">
        <v>46507</v>
      </c>
      <c r="F2386" s="62" t="s">
        <v>1958</v>
      </c>
      <c r="G2386" s="62" t="s">
        <v>304</v>
      </c>
      <c r="H2386" s="62" t="s">
        <v>2427</v>
      </c>
      <c r="I2386" s="64">
        <v>30781.5</v>
      </c>
      <c r="J2386" s="62" t="s">
        <v>1862</v>
      </c>
      <c r="K2386" s="62" t="s">
        <v>1957</v>
      </c>
      <c r="L2386" s="65"/>
      <c r="M2386" s="62" t="s">
        <v>2443</v>
      </c>
      <c r="N2386" s="62" t="s">
        <v>640</v>
      </c>
      <c r="O2386" s="62" t="s">
        <v>417</v>
      </c>
      <c r="P2386" s="62" t="s">
        <v>2421</v>
      </c>
      <c r="Q2386" s="66" t="s">
        <v>2021</v>
      </c>
    </row>
    <row r="2387" spans="1:17" x14ac:dyDescent="0.3">
      <c r="A2387" s="61" t="s">
        <v>2402</v>
      </c>
      <c r="B2387" s="62" t="s">
        <v>1860</v>
      </c>
      <c r="C2387" s="62" t="s">
        <v>1861</v>
      </c>
      <c r="D2387" s="63">
        <v>45778</v>
      </c>
      <c r="E2387" s="63">
        <v>46507</v>
      </c>
      <c r="F2387" s="62" t="s">
        <v>1938</v>
      </c>
      <c r="G2387" s="62" t="s">
        <v>304</v>
      </c>
      <c r="H2387" s="62" t="s">
        <v>2427</v>
      </c>
      <c r="I2387" s="64">
        <v>30781.5</v>
      </c>
      <c r="J2387" s="62" t="s">
        <v>1862</v>
      </c>
      <c r="K2387" s="62" t="s">
        <v>1957</v>
      </c>
      <c r="L2387" s="65"/>
      <c r="M2387" s="62" t="s">
        <v>2443</v>
      </c>
      <c r="N2387" s="62" t="s">
        <v>640</v>
      </c>
      <c r="O2387" s="62" t="s">
        <v>417</v>
      </c>
      <c r="P2387" s="62" t="s">
        <v>2421</v>
      </c>
      <c r="Q2387" s="66" t="s">
        <v>2021</v>
      </c>
    </row>
    <row r="2388" spans="1:17" x14ac:dyDescent="0.3">
      <c r="A2388" s="61" t="s">
        <v>2402</v>
      </c>
      <c r="B2388" s="62" t="s">
        <v>1860</v>
      </c>
      <c r="C2388" s="62" t="s">
        <v>1861</v>
      </c>
      <c r="D2388" s="63">
        <v>45778</v>
      </c>
      <c r="E2388" s="63">
        <v>46507</v>
      </c>
      <c r="F2388" s="62" t="s">
        <v>1941</v>
      </c>
      <c r="G2388" s="62" t="s">
        <v>304</v>
      </c>
      <c r="H2388" s="62" t="s">
        <v>2427</v>
      </c>
      <c r="I2388" s="64">
        <v>30781.5</v>
      </c>
      <c r="J2388" s="62" t="s">
        <v>1862</v>
      </c>
      <c r="K2388" s="62" t="s">
        <v>1957</v>
      </c>
      <c r="L2388" s="65"/>
      <c r="M2388" s="62" t="s">
        <v>2443</v>
      </c>
      <c r="N2388" s="62" t="s">
        <v>640</v>
      </c>
      <c r="O2388" s="62" t="s">
        <v>417</v>
      </c>
      <c r="P2388" s="62" t="s">
        <v>2421</v>
      </c>
      <c r="Q2388" s="66" t="s">
        <v>2021</v>
      </c>
    </row>
    <row r="2389" spans="1:17" x14ac:dyDescent="0.3">
      <c r="A2389" s="61" t="s">
        <v>2402</v>
      </c>
      <c r="B2389" s="62" t="s">
        <v>1860</v>
      </c>
      <c r="C2389" s="62" t="s">
        <v>1861</v>
      </c>
      <c r="D2389" s="63">
        <v>45778</v>
      </c>
      <c r="E2389" s="63">
        <v>46507</v>
      </c>
      <c r="F2389" s="62" t="s">
        <v>1948</v>
      </c>
      <c r="G2389" s="62" t="s">
        <v>304</v>
      </c>
      <c r="H2389" s="62" t="s">
        <v>2427</v>
      </c>
      <c r="I2389" s="64">
        <v>30781.5</v>
      </c>
      <c r="J2389" s="62" t="s">
        <v>1862</v>
      </c>
      <c r="K2389" s="62" t="s">
        <v>1957</v>
      </c>
      <c r="L2389" s="65"/>
      <c r="M2389" s="62" t="s">
        <v>2443</v>
      </c>
      <c r="N2389" s="62" t="s">
        <v>640</v>
      </c>
      <c r="O2389" s="62" t="s">
        <v>417</v>
      </c>
      <c r="P2389" s="62" t="s">
        <v>2421</v>
      </c>
      <c r="Q2389" s="66" t="s">
        <v>2021</v>
      </c>
    </row>
    <row r="2390" spans="1:17" x14ac:dyDescent="0.3">
      <c r="A2390" s="61" t="s">
        <v>2402</v>
      </c>
      <c r="B2390" s="62" t="s">
        <v>1860</v>
      </c>
      <c r="C2390" s="62" t="s">
        <v>1861</v>
      </c>
      <c r="D2390" s="63">
        <v>45778</v>
      </c>
      <c r="E2390" s="63">
        <v>46507</v>
      </c>
      <c r="F2390" s="62" t="s">
        <v>1959</v>
      </c>
      <c r="G2390" s="62" t="s">
        <v>304</v>
      </c>
      <c r="H2390" s="62" t="s">
        <v>2427</v>
      </c>
      <c r="I2390" s="64">
        <v>30781.5</v>
      </c>
      <c r="J2390" s="62" t="s">
        <v>1862</v>
      </c>
      <c r="K2390" s="62" t="s">
        <v>1957</v>
      </c>
      <c r="L2390" s="65"/>
      <c r="M2390" s="62" t="s">
        <v>2443</v>
      </c>
      <c r="N2390" s="62" t="s">
        <v>640</v>
      </c>
      <c r="O2390" s="62" t="s">
        <v>417</v>
      </c>
      <c r="P2390" s="62" t="s">
        <v>2421</v>
      </c>
      <c r="Q2390" s="66" t="s">
        <v>2021</v>
      </c>
    </row>
    <row r="2391" spans="1:17" x14ac:dyDescent="0.3">
      <c r="A2391" s="61" t="s">
        <v>2402</v>
      </c>
      <c r="B2391" s="62" t="s">
        <v>1860</v>
      </c>
      <c r="C2391" s="62" t="s">
        <v>1861</v>
      </c>
      <c r="D2391" s="63">
        <v>45778</v>
      </c>
      <c r="E2391" s="63">
        <v>46507</v>
      </c>
      <c r="F2391" s="62" t="s">
        <v>1945</v>
      </c>
      <c r="G2391" s="62" t="s">
        <v>304</v>
      </c>
      <c r="H2391" s="62" t="s">
        <v>2427</v>
      </c>
      <c r="I2391" s="64">
        <v>30781.5</v>
      </c>
      <c r="J2391" s="62" t="s">
        <v>1862</v>
      </c>
      <c r="K2391" s="62" t="s">
        <v>1957</v>
      </c>
      <c r="L2391" s="65"/>
      <c r="M2391" s="62" t="s">
        <v>2443</v>
      </c>
      <c r="N2391" s="62" t="s">
        <v>640</v>
      </c>
      <c r="O2391" s="62" t="s">
        <v>417</v>
      </c>
      <c r="P2391" s="62" t="s">
        <v>2421</v>
      </c>
      <c r="Q2391" s="66" t="s">
        <v>2021</v>
      </c>
    </row>
    <row r="2392" spans="1:17" x14ac:dyDescent="0.3">
      <c r="A2392" s="61" t="s">
        <v>2402</v>
      </c>
      <c r="B2392" s="62" t="s">
        <v>1860</v>
      </c>
      <c r="C2392" s="62" t="s">
        <v>1861</v>
      </c>
      <c r="D2392" s="63">
        <v>45778</v>
      </c>
      <c r="E2392" s="63">
        <v>46507</v>
      </c>
      <c r="F2392" s="62" t="s">
        <v>1921</v>
      </c>
      <c r="G2392" s="62" t="s">
        <v>304</v>
      </c>
      <c r="H2392" s="62" t="s">
        <v>373</v>
      </c>
      <c r="I2392" s="64">
        <v>408954.25</v>
      </c>
      <c r="J2392" s="62" t="s">
        <v>373</v>
      </c>
      <c r="K2392" s="62" t="s">
        <v>1957</v>
      </c>
      <c r="L2392" s="65"/>
      <c r="M2392" s="62" t="s">
        <v>2443</v>
      </c>
      <c r="N2392" s="62" t="s">
        <v>640</v>
      </c>
      <c r="O2392" s="62" t="s">
        <v>417</v>
      </c>
      <c r="P2392" s="62" t="s">
        <v>2421</v>
      </c>
      <c r="Q2392" s="66" t="s">
        <v>2021</v>
      </c>
    </row>
    <row r="2393" spans="1:17" x14ac:dyDescent="0.3">
      <c r="A2393" s="61" t="s">
        <v>2402</v>
      </c>
      <c r="B2393" s="62" t="s">
        <v>1860</v>
      </c>
      <c r="C2393" s="62" t="s">
        <v>1861</v>
      </c>
      <c r="D2393" s="63">
        <v>45778</v>
      </c>
      <c r="E2393" s="63">
        <v>46507</v>
      </c>
      <c r="F2393" s="62" t="s">
        <v>1934</v>
      </c>
      <c r="G2393" s="62" t="s">
        <v>304</v>
      </c>
      <c r="H2393" s="62" t="s">
        <v>373</v>
      </c>
      <c r="I2393" s="64">
        <v>408954.25</v>
      </c>
      <c r="J2393" s="62" t="s">
        <v>373</v>
      </c>
      <c r="K2393" s="62" t="s">
        <v>1957</v>
      </c>
      <c r="L2393" s="65"/>
      <c r="M2393" s="62" t="s">
        <v>2443</v>
      </c>
      <c r="N2393" s="62" t="s">
        <v>640</v>
      </c>
      <c r="O2393" s="62" t="s">
        <v>417</v>
      </c>
      <c r="P2393" s="62" t="s">
        <v>2421</v>
      </c>
      <c r="Q2393" s="66" t="s">
        <v>2021</v>
      </c>
    </row>
    <row r="2394" spans="1:17" x14ac:dyDescent="0.3">
      <c r="A2394" s="61" t="s">
        <v>2402</v>
      </c>
      <c r="B2394" s="62" t="s">
        <v>1860</v>
      </c>
      <c r="C2394" s="62" t="s">
        <v>1861</v>
      </c>
      <c r="D2394" s="63">
        <v>45778</v>
      </c>
      <c r="E2394" s="63">
        <v>46507</v>
      </c>
      <c r="F2394" s="62" t="s">
        <v>1958</v>
      </c>
      <c r="G2394" s="62" t="s">
        <v>304</v>
      </c>
      <c r="H2394" s="62" t="s">
        <v>373</v>
      </c>
      <c r="I2394" s="64">
        <v>408954.25</v>
      </c>
      <c r="J2394" s="62" t="s">
        <v>373</v>
      </c>
      <c r="K2394" s="62" t="s">
        <v>1957</v>
      </c>
      <c r="L2394" s="65"/>
      <c r="M2394" s="62" t="s">
        <v>2443</v>
      </c>
      <c r="N2394" s="62" t="s">
        <v>640</v>
      </c>
      <c r="O2394" s="62" t="s">
        <v>417</v>
      </c>
      <c r="P2394" s="62" t="s">
        <v>2421</v>
      </c>
      <c r="Q2394" s="66" t="s">
        <v>2021</v>
      </c>
    </row>
    <row r="2395" spans="1:17" x14ac:dyDescent="0.3">
      <c r="A2395" s="61" t="s">
        <v>2402</v>
      </c>
      <c r="B2395" s="62" t="s">
        <v>1860</v>
      </c>
      <c r="C2395" s="62" t="s">
        <v>1861</v>
      </c>
      <c r="D2395" s="63">
        <v>45778</v>
      </c>
      <c r="E2395" s="63">
        <v>46507</v>
      </c>
      <c r="F2395" s="62" t="s">
        <v>1938</v>
      </c>
      <c r="G2395" s="62" t="s">
        <v>304</v>
      </c>
      <c r="H2395" s="62" t="s">
        <v>373</v>
      </c>
      <c r="I2395" s="64">
        <v>408954.25</v>
      </c>
      <c r="J2395" s="62" t="s">
        <v>373</v>
      </c>
      <c r="K2395" s="62" t="s">
        <v>1957</v>
      </c>
      <c r="L2395" s="65"/>
      <c r="M2395" s="62" t="s">
        <v>2443</v>
      </c>
      <c r="N2395" s="62" t="s">
        <v>640</v>
      </c>
      <c r="O2395" s="62" t="s">
        <v>417</v>
      </c>
      <c r="P2395" s="62" t="s">
        <v>2421</v>
      </c>
      <c r="Q2395" s="66" t="s">
        <v>2021</v>
      </c>
    </row>
    <row r="2396" spans="1:17" x14ac:dyDescent="0.3">
      <c r="A2396" s="61" t="s">
        <v>2402</v>
      </c>
      <c r="B2396" s="62" t="s">
        <v>1860</v>
      </c>
      <c r="C2396" s="62" t="s">
        <v>1861</v>
      </c>
      <c r="D2396" s="63">
        <v>45778</v>
      </c>
      <c r="E2396" s="63">
        <v>46507</v>
      </c>
      <c r="F2396" s="62" t="s">
        <v>1941</v>
      </c>
      <c r="G2396" s="62" t="s">
        <v>304</v>
      </c>
      <c r="H2396" s="62" t="s">
        <v>373</v>
      </c>
      <c r="I2396" s="64">
        <v>408954.25</v>
      </c>
      <c r="J2396" s="62" t="s">
        <v>373</v>
      </c>
      <c r="K2396" s="62" t="s">
        <v>1957</v>
      </c>
      <c r="L2396" s="65"/>
      <c r="M2396" s="62" t="s">
        <v>2443</v>
      </c>
      <c r="N2396" s="62" t="s">
        <v>640</v>
      </c>
      <c r="O2396" s="62" t="s">
        <v>417</v>
      </c>
      <c r="P2396" s="62" t="s">
        <v>2421</v>
      </c>
      <c r="Q2396" s="66" t="s">
        <v>2021</v>
      </c>
    </row>
    <row r="2397" spans="1:17" x14ac:dyDescent="0.3">
      <c r="A2397" s="61" t="s">
        <v>2402</v>
      </c>
      <c r="B2397" s="62" t="s">
        <v>1860</v>
      </c>
      <c r="C2397" s="62" t="s">
        <v>1861</v>
      </c>
      <c r="D2397" s="63">
        <v>45778</v>
      </c>
      <c r="E2397" s="63">
        <v>46507</v>
      </c>
      <c r="F2397" s="62" t="s">
        <v>1948</v>
      </c>
      <c r="G2397" s="62" t="s">
        <v>304</v>
      </c>
      <c r="H2397" s="62" t="s">
        <v>373</v>
      </c>
      <c r="I2397" s="64">
        <v>408954.25</v>
      </c>
      <c r="J2397" s="62" t="s">
        <v>373</v>
      </c>
      <c r="K2397" s="62" t="s">
        <v>1957</v>
      </c>
      <c r="L2397" s="65"/>
      <c r="M2397" s="62" t="s">
        <v>2443</v>
      </c>
      <c r="N2397" s="62" t="s">
        <v>640</v>
      </c>
      <c r="O2397" s="62" t="s">
        <v>417</v>
      </c>
      <c r="P2397" s="62" t="s">
        <v>2421</v>
      </c>
      <c r="Q2397" s="66" t="s">
        <v>2021</v>
      </c>
    </row>
    <row r="2398" spans="1:17" x14ac:dyDescent="0.3">
      <c r="A2398" s="61" t="s">
        <v>2402</v>
      </c>
      <c r="B2398" s="62" t="s">
        <v>1860</v>
      </c>
      <c r="C2398" s="62" t="s">
        <v>1861</v>
      </c>
      <c r="D2398" s="63">
        <v>45778</v>
      </c>
      <c r="E2398" s="63">
        <v>46507</v>
      </c>
      <c r="F2398" s="62" t="s">
        <v>1959</v>
      </c>
      <c r="G2398" s="62" t="s">
        <v>304</v>
      </c>
      <c r="H2398" s="62" t="s">
        <v>373</v>
      </c>
      <c r="I2398" s="64">
        <v>408954.25</v>
      </c>
      <c r="J2398" s="62" t="s">
        <v>373</v>
      </c>
      <c r="K2398" s="62" t="s">
        <v>1957</v>
      </c>
      <c r="L2398" s="65"/>
      <c r="M2398" s="62" t="s">
        <v>2443</v>
      </c>
      <c r="N2398" s="62" t="s">
        <v>640</v>
      </c>
      <c r="O2398" s="62" t="s">
        <v>417</v>
      </c>
      <c r="P2398" s="62" t="s">
        <v>2421</v>
      </c>
      <c r="Q2398" s="66" t="s">
        <v>2021</v>
      </c>
    </row>
    <row r="2399" spans="1:17" x14ac:dyDescent="0.3">
      <c r="A2399" s="61" t="s">
        <v>2402</v>
      </c>
      <c r="B2399" s="62" t="s">
        <v>1860</v>
      </c>
      <c r="C2399" s="62" t="s">
        <v>1861</v>
      </c>
      <c r="D2399" s="63">
        <v>45778</v>
      </c>
      <c r="E2399" s="63">
        <v>46507</v>
      </c>
      <c r="F2399" s="62" t="s">
        <v>1945</v>
      </c>
      <c r="G2399" s="62" t="s">
        <v>304</v>
      </c>
      <c r="H2399" s="62" t="s">
        <v>373</v>
      </c>
      <c r="I2399" s="64">
        <v>408954.25</v>
      </c>
      <c r="J2399" s="62" t="s">
        <v>373</v>
      </c>
      <c r="K2399" s="62" t="s">
        <v>1957</v>
      </c>
      <c r="L2399" s="65"/>
      <c r="M2399" s="62" t="s">
        <v>2443</v>
      </c>
      <c r="N2399" s="62" t="s">
        <v>640</v>
      </c>
      <c r="O2399" s="62" t="s">
        <v>417</v>
      </c>
      <c r="P2399" s="62" t="s">
        <v>2421</v>
      </c>
      <c r="Q2399" s="66" t="s">
        <v>2021</v>
      </c>
    </row>
    <row r="2400" spans="1:17" x14ac:dyDescent="0.3">
      <c r="A2400" s="61" t="s">
        <v>2403</v>
      </c>
      <c r="B2400" s="62" t="s">
        <v>1863</v>
      </c>
      <c r="C2400" s="62" t="s">
        <v>1864</v>
      </c>
      <c r="D2400" s="63">
        <v>45497</v>
      </c>
      <c r="E2400" s="63">
        <v>46227</v>
      </c>
      <c r="F2400" s="62" t="s">
        <v>1922</v>
      </c>
      <c r="G2400" s="62" t="s">
        <v>376</v>
      </c>
      <c r="H2400" s="62" t="s">
        <v>443</v>
      </c>
      <c r="I2400" s="64">
        <v>58333.333333333299</v>
      </c>
      <c r="J2400" s="62" t="s">
        <v>1721</v>
      </c>
      <c r="K2400" s="62" t="s">
        <v>377</v>
      </c>
      <c r="L2400" s="65"/>
      <c r="M2400" s="62" t="s">
        <v>825</v>
      </c>
      <c r="N2400" s="62" t="s">
        <v>378</v>
      </c>
      <c r="O2400" s="62" t="s">
        <v>371</v>
      </c>
      <c r="P2400" s="62" t="s">
        <v>2421</v>
      </c>
      <c r="Q2400" s="66" t="s">
        <v>1972</v>
      </c>
    </row>
    <row r="2401" spans="1:17" x14ac:dyDescent="0.3">
      <c r="A2401" s="61" t="s">
        <v>2403</v>
      </c>
      <c r="B2401" s="62" t="s">
        <v>1863</v>
      </c>
      <c r="C2401" s="62" t="s">
        <v>1864</v>
      </c>
      <c r="D2401" s="63">
        <v>45497</v>
      </c>
      <c r="E2401" s="63">
        <v>46227</v>
      </c>
      <c r="F2401" s="62" t="s">
        <v>1922</v>
      </c>
      <c r="G2401" s="62" t="s">
        <v>349</v>
      </c>
      <c r="H2401" s="62" t="s">
        <v>443</v>
      </c>
      <c r="I2401" s="64">
        <v>58333.333333333299</v>
      </c>
      <c r="J2401" s="62" t="s">
        <v>1721</v>
      </c>
      <c r="K2401" s="62" t="s">
        <v>377</v>
      </c>
      <c r="L2401" s="65"/>
      <c r="M2401" s="62" t="s">
        <v>825</v>
      </c>
      <c r="N2401" s="62" t="s">
        <v>378</v>
      </c>
      <c r="O2401" s="62" t="s">
        <v>371</v>
      </c>
      <c r="P2401" s="62" t="s">
        <v>2421</v>
      </c>
      <c r="Q2401" s="66" t="s">
        <v>1972</v>
      </c>
    </row>
    <row r="2402" spans="1:17" x14ac:dyDescent="0.3">
      <c r="A2402" s="61" t="s">
        <v>2403</v>
      </c>
      <c r="B2402" s="62" t="s">
        <v>1863</v>
      </c>
      <c r="C2402" s="62" t="s">
        <v>1864</v>
      </c>
      <c r="D2402" s="63">
        <v>45497</v>
      </c>
      <c r="E2402" s="63">
        <v>46227</v>
      </c>
      <c r="F2402" s="62" t="s">
        <v>1922</v>
      </c>
      <c r="G2402" s="62" t="s">
        <v>379</v>
      </c>
      <c r="H2402" s="62" t="s">
        <v>443</v>
      </c>
      <c r="I2402" s="64">
        <v>58333.333333333299</v>
      </c>
      <c r="J2402" s="62" t="s">
        <v>1721</v>
      </c>
      <c r="K2402" s="62" t="s">
        <v>377</v>
      </c>
      <c r="L2402" s="65"/>
      <c r="M2402" s="62" t="s">
        <v>825</v>
      </c>
      <c r="N2402" s="62" t="s">
        <v>378</v>
      </c>
      <c r="O2402" s="62" t="s">
        <v>371</v>
      </c>
      <c r="P2402" s="62" t="s">
        <v>2421</v>
      </c>
      <c r="Q2402" s="66" t="s">
        <v>1972</v>
      </c>
    </row>
    <row r="2403" spans="1:17" x14ac:dyDescent="0.3">
      <c r="A2403" s="61" t="s">
        <v>2403</v>
      </c>
      <c r="B2403" s="62" t="s">
        <v>1863</v>
      </c>
      <c r="C2403" s="62" t="s">
        <v>1864</v>
      </c>
      <c r="D2403" s="63">
        <v>45497</v>
      </c>
      <c r="E2403" s="63">
        <v>46227</v>
      </c>
      <c r="F2403" s="62" t="s">
        <v>1922</v>
      </c>
      <c r="G2403" s="62" t="s">
        <v>836</v>
      </c>
      <c r="H2403" s="62" t="s">
        <v>443</v>
      </c>
      <c r="I2403" s="64">
        <v>58333.333333333299</v>
      </c>
      <c r="J2403" s="62" t="s">
        <v>1721</v>
      </c>
      <c r="K2403" s="62" t="s">
        <v>377</v>
      </c>
      <c r="L2403" s="65"/>
      <c r="M2403" s="62" t="s">
        <v>825</v>
      </c>
      <c r="N2403" s="62" t="s">
        <v>378</v>
      </c>
      <c r="O2403" s="62" t="s">
        <v>371</v>
      </c>
      <c r="P2403" s="62" t="s">
        <v>2421</v>
      </c>
      <c r="Q2403" s="66" t="s">
        <v>1972</v>
      </c>
    </row>
    <row r="2404" spans="1:17" x14ac:dyDescent="0.3">
      <c r="A2404" s="61" t="s">
        <v>2403</v>
      </c>
      <c r="B2404" s="62" t="s">
        <v>1863</v>
      </c>
      <c r="C2404" s="62" t="s">
        <v>1864</v>
      </c>
      <c r="D2404" s="63">
        <v>45497</v>
      </c>
      <c r="E2404" s="63">
        <v>46227</v>
      </c>
      <c r="F2404" s="62" t="s">
        <v>1922</v>
      </c>
      <c r="G2404" s="62" t="s">
        <v>380</v>
      </c>
      <c r="H2404" s="62" t="s">
        <v>443</v>
      </c>
      <c r="I2404" s="64">
        <v>58333.333333333299</v>
      </c>
      <c r="J2404" s="62" t="s">
        <v>1721</v>
      </c>
      <c r="K2404" s="62" t="s">
        <v>377</v>
      </c>
      <c r="L2404" s="65"/>
      <c r="M2404" s="62" t="s">
        <v>825</v>
      </c>
      <c r="N2404" s="62" t="s">
        <v>378</v>
      </c>
      <c r="O2404" s="62" t="s">
        <v>371</v>
      </c>
      <c r="P2404" s="62" t="s">
        <v>2421</v>
      </c>
      <c r="Q2404" s="66" t="s">
        <v>1972</v>
      </c>
    </row>
    <row r="2405" spans="1:17" x14ac:dyDescent="0.3">
      <c r="A2405" s="61" t="s">
        <v>2403</v>
      </c>
      <c r="B2405" s="62" t="s">
        <v>1863</v>
      </c>
      <c r="C2405" s="62" t="s">
        <v>1864</v>
      </c>
      <c r="D2405" s="63">
        <v>45497</v>
      </c>
      <c r="E2405" s="63">
        <v>46227</v>
      </c>
      <c r="F2405" s="62" t="s">
        <v>1922</v>
      </c>
      <c r="G2405" s="62" t="s">
        <v>381</v>
      </c>
      <c r="H2405" s="62" t="s">
        <v>443</v>
      </c>
      <c r="I2405" s="64">
        <v>58333.333333333299</v>
      </c>
      <c r="J2405" s="62" t="s">
        <v>1721</v>
      </c>
      <c r="K2405" s="62" t="s">
        <v>377</v>
      </c>
      <c r="L2405" s="65"/>
      <c r="M2405" s="62" t="s">
        <v>825</v>
      </c>
      <c r="N2405" s="62" t="s">
        <v>378</v>
      </c>
      <c r="O2405" s="62" t="s">
        <v>371</v>
      </c>
      <c r="P2405" s="62" t="s">
        <v>2421</v>
      </c>
      <c r="Q2405" s="66" t="s">
        <v>1972</v>
      </c>
    </row>
    <row r="2406" spans="1:17" x14ac:dyDescent="0.3">
      <c r="A2406" s="61" t="s">
        <v>2403</v>
      </c>
      <c r="B2406" s="62" t="s">
        <v>1863</v>
      </c>
      <c r="C2406" s="62" t="s">
        <v>1864</v>
      </c>
      <c r="D2406" s="63">
        <v>45497</v>
      </c>
      <c r="E2406" s="63">
        <v>46227</v>
      </c>
      <c r="F2406" s="62" t="s">
        <v>1922</v>
      </c>
      <c r="G2406" s="62" t="s">
        <v>384</v>
      </c>
      <c r="H2406" s="62" t="s">
        <v>443</v>
      </c>
      <c r="I2406" s="64">
        <v>58333.333333333299</v>
      </c>
      <c r="J2406" s="62" t="s">
        <v>1721</v>
      </c>
      <c r="K2406" s="62" t="s">
        <v>377</v>
      </c>
      <c r="L2406" s="65"/>
      <c r="M2406" s="62" t="s">
        <v>825</v>
      </c>
      <c r="N2406" s="62" t="s">
        <v>378</v>
      </c>
      <c r="O2406" s="62" t="s">
        <v>371</v>
      </c>
      <c r="P2406" s="62" t="s">
        <v>2421</v>
      </c>
      <c r="Q2406" s="66" t="s">
        <v>1972</v>
      </c>
    </row>
    <row r="2407" spans="1:17" x14ac:dyDescent="0.3">
      <c r="A2407" s="61" t="s">
        <v>2403</v>
      </c>
      <c r="B2407" s="62" t="s">
        <v>1863</v>
      </c>
      <c r="C2407" s="62" t="s">
        <v>1864</v>
      </c>
      <c r="D2407" s="63">
        <v>45497</v>
      </c>
      <c r="E2407" s="63">
        <v>46227</v>
      </c>
      <c r="F2407" s="62" t="s">
        <v>1922</v>
      </c>
      <c r="G2407" s="62" t="s">
        <v>385</v>
      </c>
      <c r="H2407" s="62" t="s">
        <v>443</v>
      </c>
      <c r="I2407" s="64">
        <v>58333.333333333299</v>
      </c>
      <c r="J2407" s="62" t="s">
        <v>1721</v>
      </c>
      <c r="K2407" s="62" t="s">
        <v>377</v>
      </c>
      <c r="L2407" s="65"/>
      <c r="M2407" s="62" t="s">
        <v>825</v>
      </c>
      <c r="N2407" s="62" t="s">
        <v>378</v>
      </c>
      <c r="O2407" s="62" t="s">
        <v>371</v>
      </c>
      <c r="P2407" s="62" t="s">
        <v>2421</v>
      </c>
      <c r="Q2407" s="66" t="s">
        <v>1972</v>
      </c>
    </row>
    <row r="2408" spans="1:17" x14ac:dyDescent="0.3">
      <c r="A2408" s="61" t="s">
        <v>2403</v>
      </c>
      <c r="B2408" s="62" t="s">
        <v>1863</v>
      </c>
      <c r="C2408" s="62" t="s">
        <v>1864</v>
      </c>
      <c r="D2408" s="63">
        <v>45497</v>
      </c>
      <c r="E2408" s="63">
        <v>46227</v>
      </c>
      <c r="F2408" s="62" t="s">
        <v>1922</v>
      </c>
      <c r="G2408" s="62" t="s">
        <v>386</v>
      </c>
      <c r="H2408" s="62" t="s">
        <v>443</v>
      </c>
      <c r="I2408" s="64">
        <v>58333.333333333299</v>
      </c>
      <c r="J2408" s="62" t="s">
        <v>1721</v>
      </c>
      <c r="K2408" s="62" t="s">
        <v>377</v>
      </c>
      <c r="L2408" s="65"/>
      <c r="M2408" s="62" t="s">
        <v>825</v>
      </c>
      <c r="N2408" s="62" t="s">
        <v>378</v>
      </c>
      <c r="O2408" s="62" t="s">
        <v>371</v>
      </c>
      <c r="P2408" s="62" t="s">
        <v>2421</v>
      </c>
      <c r="Q2408" s="66" t="s">
        <v>1972</v>
      </c>
    </row>
    <row r="2409" spans="1:17" x14ac:dyDescent="0.3">
      <c r="A2409" s="61" t="s">
        <v>2403</v>
      </c>
      <c r="B2409" s="62" t="s">
        <v>1863</v>
      </c>
      <c r="C2409" s="62" t="s">
        <v>1864</v>
      </c>
      <c r="D2409" s="63">
        <v>45497</v>
      </c>
      <c r="E2409" s="63">
        <v>46227</v>
      </c>
      <c r="F2409" s="62" t="s">
        <v>1922</v>
      </c>
      <c r="G2409" s="62" t="s">
        <v>387</v>
      </c>
      <c r="H2409" s="62" t="s">
        <v>443</v>
      </c>
      <c r="I2409" s="64">
        <v>58333.333333333299</v>
      </c>
      <c r="J2409" s="62" t="s">
        <v>1721</v>
      </c>
      <c r="K2409" s="62" t="s">
        <v>377</v>
      </c>
      <c r="L2409" s="65"/>
      <c r="M2409" s="62" t="s">
        <v>825</v>
      </c>
      <c r="N2409" s="62" t="s">
        <v>378</v>
      </c>
      <c r="O2409" s="62" t="s">
        <v>371</v>
      </c>
      <c r="P2409" s="62" t="s">
        <v>2421</v>
      </c>
      <c r="Q2409" s="66" t="s">
        <v>1972</v>
      </c>
    </row>
    <row r="2410" spans="1:17" x14ac:dyDescent="0.3">
      <c r="A2410" s="61" t="s">
        <v>2403</v>
      </c>
      <c r="B2410" s="62" t="s">
        <v>1863</v>
      </c>
      <c r="C2410" s="62" t="s">
        <v>1864</v>
      </c>
      <c r="D2410" s="63">
        <v>45497</v>
      </c>
      <c r="E2410" s="63">
        <v>46227</v>
      </c>
      <c r="F2410" s="62" t="s">
        <v>1958</v>
      </c>
      <c r="G2410" s="62" t="s">
        <v>1343</v>
      </c>
      <c r="H2410" s="62" t="s">
        <v>443</v>
      </c>
      <c r="I2410" s="64">
        <v>58333.333333333299</v>
      </c>
      <c r="J2410" s="62" t="s">
        <v>1721</v>
      </c>
      <c r="K2410" s="62" t="s">
        <v>377</v>
      </c>
      <c r="L2410" s="65"/>
      <c r="M2410" s="62" t="s">
        <v>825</v>
      </c>
      <c r="N2410" s="62" t="s">
        <v>378</v>
      </c>
      <c r="O2410" s="62" t="s">
        <v>371</v>
      </c>
      <c r="P2410" s="62" t="s">
        <v>2421</v>
      </c>
      <c r="Q2410" s="66" t="s">
        <v>1972</v>
      </c>
    </row>
    <row r="2411" spans="1:17" x14ac:dyDescent="0.3">
      <c r="A2411" s="61" t="s">
        <v>2403</v>
      </c>
      <c r="B2411" s="62" t="s">
        <v>1863</v>
      </c>
      <c r="C2411" s="62" t="s">
        <v>1864</v>
      </c>
      <c r="D2411" s="63">
        <v>45497</v>
      </c>
      <c r="E2411" s="63">
        <v>46227</v>
      </c>
      <c r="F2411" s="62" t="s">
        <v>1958</v>
      </c>
      <c r="G2411" s="62" t="s">
        <v>328</v>
      </c>
      <c r="H2411" s="62" t="s">
        <v>443</v>
      </c>
      <c r="I2411" s="64">
        <v>58333.333333333299</v>
      </c>
      <c r="J2411" s="62" t="s">
        <v>1721</v>
      </c>
      <c r="K2411" s="62" t="s">
        <v>377</v>
      </c>
      <c r="L2411" s="65"/>
      <c r="M2411" s="62" t="s">
        <v>825</v>
      </c>
      <c r="N2411" s="62" t="s">
        <v>378</v>
      </c>
      <c r="O2411" s="62" t="s">
        <v>371</v>
      </c>
      <c r="P2411" s="62" t="s">
        <v>2421</v>
      </c>
      <c r="Q2411" s="66" t="s">
        <v>1972</v>
      </c>
    </row>
    <row r="2412" spans="1:17" x14ac:dyDescent="0.3">
      <c r="A2412" s="61" t="s">
        <v>2403</v>
      </c>
      <c r="B2412" s="62" t="s">
        <v>1863</v>
      </c>
      <c r="C2412" s="62" t="s">
        <v>1864</v>
      </c>
      <c r="D2412" s="63">
        <v>45497</v>
      </c>
      <c r="E2412" s="63">
        <v>46227</v>
      </c>
      <c r="F2412" s="62" t="s">
        <v>1958</v>
      </c>
      <c r="G2412" s="62" t="s">
        <v>329</v>
      </c>
      <c r="H2412" s="62" t="s">
        <v>443</v>
      </c>
      <c r="I2412" s="64">
        <v>58333.333333333299</v>
      </c>
      <c r="J2412" s="62" t="s">
        <v>1721</v>
      </c>
      <c r="K2412" s="62" t="s">
        <v>377</v>
      </c>
      <c r="L2412" s="65"/>
      <c r="M2412" s="62" t="s">
        <v>825</v>
      </c>
      <c r="N2412" s="62" t="s">
        <v>378</v>
      </c>
      <c r="O2412" s="62" t="s">
        <v>371</v>
      </c>
      <c r="P2412" s="62" t="s">
        <v>2421</v>
      </c>
      <c r="Q2412" s="66" t="s">
        <v>1972</v>
      </c>
    </row>
    <row r="2413" spans="1:17" x14ac:dyDescent="0.3">
      <c r="A2413" s="61" t="s">
        <v>2403</v>
      </c>
      <c r="B2413" s="62" t="s">
        <v>1863</v>
      </c>
      <c r="C2413" s="62" t="s">
        <v>1864</v>
      </c>
      <c r="D2413" s="63">
        <v>45497</v>
      </c>
      <c r="E2413" s="63">
        <v>46227</v>
      </c>
      <c r="F2413" s="62" t="s">
        <v>1958</v>
      </c>
      <c r="G2413" s="62" t="s">
        <v>330</v>
      </c>
      <c r="H2413" s="62" t="s">
        <v>443</v>
      </c>
      <c r="I2413" s="64">
        <v>58333.333333333299</v>
      </c>
      <c r="J2413" s="62" t="s">
        <v>1721</v>
      </c>
      <c r="K2413" s="62" t="s">
        <v>377</v>
      </c>
      <c r="L2413" s="65"/>
      <c r="M2413" s="62" t="s">
        <v>825</v>
      </c>
      <c r="N2413" s="62" t="s">
        <v>378</v>
      </c>
      <c r="O2413" s="62" t="s">
        <v>371</v>
      </c>
      <c r="P2413" s="62" t="s">
        <v>2421</v>
      </c>
      <c r="Q2413" s="66" t="s">
        <v>1972</v>
      </c>
    </row>
    <row r="2414" spans="1:17" x14ac:dyDescent="0.3">
      <c r="A2414" s="61" t="s">
        <v>2403</v>
      </c>
      <c r="B2414" s="62" t="s">
        <v>1863</v>
      </c>
      <c r="C2414" s="62" t="s">
        <v>1864</v>
      </c>
      <c r="D2414" s="63">
        <v>45497</v>
      </c>
      <c r="E2414" s="63">
        <v>46227</v>
      </c>
      <c r="F2414" s="62" t="s">
        <v>1958</v>
      </c>
      <c r="G2414" s="62" t="s">
        <v>332</v>
      </c>
      <c r="H2414" s="62" t="s">
        <v>443</v>
      </c>
      <c r="I2414" s="64">
        <v>58333.333333333299</v>
      </c>
      <c r="J2414" s="62" t="s">
        <v>1721</v>
      </c>
      <c r="K2414" s="62" t="s">
        <v>377</v>
      </c>
      <c r="L2414" s="65"/>
      <c r="M2414" s="62" t="s">
        <v>825</v>
      </c>
      <c r="N2414" s="62" t="s">
        <v>378</v>
      </c>
      <c r="O2414" s="62" t="s">
        <v>371</v>
      </c>
      <c r="P2414" s="62" t="s">
        <v>2421</v>
      </c>
      <c r="Q2414" s="66" t="s">
        <v>1972</v>
      </c>
    </row>
    <row r="2415" spans="1:17" x14ac:dyDescent="0.3">
      <c r="A2415" s="61" t="s">
        <v>2403</v>
      </c>
      <c r="B2415" s="62" t="s">
        <v>1863</v>
      </c>
      <c r="C2415" s="62" t="s">
        <v>1864</v>
      </c>
      <c r="D2415" s="63">
        <v>45497</v>
      </c>
      <c r="E2415" s="63">
        <v>46227</v>
      </c>
      <c r="F2415" s="62" t="s">
        <v>1958</v>
      </c>
      <c r="G2415" s="62" t="s">
        <v>517</v>
      </c>
      <c r="H2415" s="62" t="s">
        <v>443</v>
      </c>
      <c r="I2415" s="64">
        <v>58333.333333333299</v>
      </c>
      <c r="J2415" s="62" t="s">
        <v>1721</v>
      </c>
      <c r="K2415" s="62" t="s">
        <v>377</v>
      </c>
      <c r="L2415" s="65"/>
      <c r="M2415" s="62" t="s">
        <v>825</v>
      </c>
      <c r="N2415" s="62" t="s">
        <v>378</v>
      </c>
      <c r="O2415" s="62" t="s">
        <v>371</v>
      </c>
      <c r="P2415" s="62" t="s">
        <v>2421</v>
      </c>
      <c r="Q2415" s="66" t="s">
        <v>1972</v>
      </c>
    </row>
    <row r="2416" spans="1:17" x14ac:dyDescent="0.3">
      <c r="A2416" s="61" t="s">
        <v>2403</v>
      </c>
      <c r="B2416" s="62" t="s">
        <v>1863</v>
      </c>
      <c r="C2416" s="62" t="s">
        <v>1864</v>
      </c>
      <c r="D2416" s="63">
        <v>45497</v>
      </c>
      <c r="E2416" s="63">
        <v>46227</v>
      </c>
      <c r="F2416" s="62" t="s">
        <v>1958</v>
      </c>
      <c r="G2416" s="62" t="s">
        <v>1346</v>
      </c>
      <c r="H2416" s="62" t="s">
        <v>443</v>
      </c>
      <c r="I2416" s="64">
        <v>58333.333333333299</v>
      </c>
      <c r="J2416" s="62" t="s">
        <v>1721</v>
      </c>
      <c r="K2416" s="62" t="s">
        <v>377</v>
      </c>
      <c r="L2416" s="65"/>
      <c r="M2416" s="62" t="s">
        <v>825</v>
      </c>
      <c r="N2416" s="62" t="s">
        <v>378</v>
      </c>
      <c r="O2416" s="62" t="s">
        <v>371</v>
      </c>
      <c r="P2416" s="62" t="s">
        <v>2421</v>
      </c>
      <c r="Q2416" s="66" t="s">
        <v>1972</v>
      </c>
    </row>
    <row r="2417" spans="1:17" x14ac:dyDescent="0.3">
      <c r="A2417" s="61" t="s">
        <v>2403</v>
      </c>
      <c r="B2417" s="62" t="s">
        <v>1863</v>
      </c>
      <c r="C2417" s="62" t="s">
        <v>1864</v>
      </c>
      <c r="D2417" s="63">
        <v>45497</v>
      </c>
      <c r="E2417" s="63">
        <v>46227</v>
      </c>
      <c r="F2417" s="62" t="s">
        <v>1958</v>
      </c>
      <c r="G2417" s="62" t="s">
        <v>843</v>
      </c>
      <c r="H2417" s="62" t="s">
        <v>443</v>
      </c>
      <c r="I2417" s="64">
        <v>58333.333333333299</v>
      </c>
      <c r="J2417" s="62" t="s">
        <v>1721</v>
      </c>
      <c r="K2417" s="62" t="s">
        <v>377</v>
      </c>
      <c r="L2417" s="65"/>
      <c r="M2417" s="62" t="s">
        <v>825</v>
      </c>
      <c r="N2417" s="62" t="s">
        <v>378</v>
      </c>
      <c r="O2417" s="62" t="s">
        <v>371</v>
      </c>
      <c r="P2417" s="62" t="s">
        <v>2421</v>
      </c>
      <c r="Q2417" s="66" t="s">
        <v>1972</v>
      </c>
    </row>
    <row r="2418" spans="1:17" x14ac:dyDescent="0.3">
      <c r="A2418" s="61" t="s">
        <v>2403</v>
      </c>
      <c r="B2418" s="62" t="s">
        <v>1863</v>
      </c>
      <c r="C2418" s="62" t="s">
        <v>1864</v>
      </c>
      <c r="D2418" s="63">
        <v>45497</v>
      </c>
      <c r="E2418" s="63">
        <v>46227</v>
      </c>
      <c r="F2418" s="62" t="s">
        <v>1958</v>
      </c>
      <c r="G2418" s="62" t="s">
        <v>334</v>
      </c>
      <c r="H2418" s="62" t="s">
        <v>443</v>
      </c>
      <c r="I2418" s="64">
        <v>58333.333333333299</v>
      </c>
      <c r="J2418" s="62" t="s">
        <v>1721</v>
      </c>
      <c r="K2418" s="62" t="s">
        <v>377</v>
      </c>
      <c r="L2418" s="65"/>
      <c r="M2418" s="62" t="s">
        <v>825</v>
      </c>
      <c r="N2418" s="62" t="s">
        <v>378</v>
      </c>
      <c r="O2418" s="62" t="s">
        <v>371</v>
      </c>
      <c r="P2418" s="62" t="s">
        <v>2421</v>
      </c>
      <c r="Q2418" s="66" t="s">
        <v>1972</v>
      </c>
    </row>
    <row r="2419" spans="1:17" x14ac:dyDescent="0.3">
      <c r="A2419" s="61" t="s">
        <v>2403</v>
      </c>
      <c r="B2419" s="62" t="s">
        <v>1863</v>
      </c>
      <c r="C2419" s="62" t="s">
        <v>1864</v>
      </c>
      <c r="D2419" s="63">
        <v>45497</v>
      </c>
      <c r="E2419" s="63">
        <v>46227</v>
      </c>
      <c r="F2419" s="62" t="s">
        <v>1958</v>
      </c>
      <c r="G2419" s="62" t="s">
        <v>335</v>
      </c>
      <c r="H2419" s="62" t="s">
        <v>443</v>
      </c>
      <c r="I2419" s="64">
        <v>58333.333333333299</v>
      </c>
      <c r="J2419" s="62" t="s">
        <v>1721</v>
      </c>
      <c r="K2419" s="62" t="s">
        <v>377</v>
      </c>
      <c r="L2419" s="65"/>
      <c r="M2419" s="62" t="s">
        <v>825</v>
      </c>
      <c r="N2419" s="62" t="s">
        <v>378</v>
      </c>
      <c r="O2419" s="62" t="s">
        <v>371</v>
      </c>
      <c r="P2419" s="62" t="s">
        <v>2421</v>
      </c>
      <c r="Q2419" s="66" t="s">
        <v>1972</v>
      </c>
    </row>
    <row r="2420" spans="1:17" x14ac:dyDescent="0.3">
      <c r="A2420" s="61" t="s">
        <v>2403</v>
      </c>
      <c r="B2420" s="62" t="s">
        <v>1863</v>
      </c>
      <c r="C2420" s="62" t="s">
        <v>1864</v>
      </c>
      <c r="D2420" s="63">
        <v>45497</v>
      </c>
      <c r="E2420" s="63">
        <v>46227</v>
      </c>
      <c r="F2420" s="62" t="s">
        <v>1943</v>
      </c>
      <c r="G2420" s="62" t="s">
        <v>777</v>
      </c>
      <c r="H2420" s="62" t="s">
        <v>443</v>
      </c>
      <c r="I2420" s="64">
        <v>145833.33333333299</v>
      </c>
      <c r="J2420" s="62" t="s">
        <v>1721</v>
      </c>
      <c r="K2420" s="62" t="s">
        <v>377</v>
      </c>
      <c r="L2420" s="65"/>
      <c r="M2420" s="62" t="s">
        <v>825</v>
      </c>
      <c r="N2420" s="62" t="s">
        <v>378</v>
      </c>
      <c r="O2420" s="62" t="s">
        <v>371</v>
      </c>
      <c r="P2420" s="62" t="s">
        <v>2421</v>
      </c>
      <c r="Q2420" s="66" t="s">
        <v>1972</v>
      </c>
    </row>
    <row r="2421" spans="1:17" x14ac:dyDescent="0.3">
      <c r="A2421" s="61" t="s">
        <v>2403</v>
      </c>
      <c r="B2421" s="62" t="s">
        <v>1863</v>
      </c>
      <c r="C2421" s="62" t="s">
        <v>1864</v>
      </c>
      <c r="D2421" s="63">
        <v>45497</v>
      </c>
      <c r="E2421" s="63">
        <v>46227</v>
      </c>
      <c r="F2421" s="62" t="s">
        <v>1943</v>
      </c>
      <c r="G2421" s="62" t="s">
        <v>1865</v>
      </c>
      <c r="H2421" s="62" t="s">
        <v>443</v>
      </c>
      <c r="I2421" s="64">
        <v>145833.33333333299</v>
      </c>
      <c r="J2421" s="62" t="s">
        <v>1721</v>
      </c>
      <c r="K2421" s="62" t="s">
        <v>377</v>
      </c>
      <c r="L2421" s="65"/>
      <c r="M2421" s="62" t="s">
        <v>825</v>
      </c>
      <c r="N2421" s="62" t="s">
        <v>378</v>
      </c>
      <c r="O2421" s="62" t="s">
        <v>371</v>
      </c>
      <c r="P2421" s="62" t="s">
        <v>2421</v>
      </c>
      <c r="Q2421" s="66" t="s">
        <v>1972</v>
      </c>
    </row>
    <row r="2422" spans="1:17" x14ac:dyDescent="0.3">
      <c r="A2422" s="61" t="s">
        <v>2403</v>
      </c>
      <c r="B2422" s="62" t="s">
        <v>1863</v>
      </c>
      <c r="C2422" s="62" t="s">
        <v>1864</v>
      </c>
      <c r="D2422" s="63">
        <v>45497</v>
      </c>
      <c r="E2422" s="63">
        <v>46227</v>
      </c>
      <c r="F2422" s="62" t="s">
        <v>1943</v>
      </c>
      <c r="G2422" s="62" t="s">
        <v>779</v>
      </c>
      <c r="H2422" s="62" t="s">
        <v>443</v>
      </c>
      <c r="I2422" s="64">
        <v>145833.33333333299</v>
      </c>
      <c r="J2422" s="62" t="s">
        <v>1721</v>
      </c>
      <c r="K2422" s="62" t="s">
        <v>377</v>
      </c>
      <c r="L2422" s="65"/>
      <c r="M2422" s="62" t="s">
        <v>825</v>
      </c>
      <c r="N2422" s="62" t="s">
        <v>378</v>
      </c>
      <c r="O2422" s="62" t="s">
        <v>371</v>
      </c>
      <c r="P2422" s="62" t="s">
        <v>2421</v>
      </c>
      <c r="Q2422" s="66" t="s">
        <v>1972</v>
      </c>
    </row>
    <row r="2423" spans="1:17" x14ac:dyDescent="0.3">
      <c r="A2423" s="61" t="s">
        <v>2403</v>
      </c>
      <c r="B2423" s="62" t="s">
        <v>1863</v>
      </c>
      <c r="C2423" s="62" t="s">
        <v>1864</v>
      </c>
      <c r="D2423" s="63">
        <v>45497</v>
      </c>
      <c r="E2423" s="63">
        <v>46227</v>
      </c>
      <c r="F2423" s="62" t="s">
        <v>1943</v>
      </c>
      <c r="G2423" s="62" t="s">
        <v>780</v>
      </c>
      <c r="H2423" s="62" t="s">
        <v>443</v>
      </c>
      <c r="I2423" s="64">
        <v>145833.33333333299</v>
      </c>
      <c r="J2423" s="62" t="s">
        <v>1721</v>
      </c>
      <c r="K2423" s="62" t="s">
        <v>377</v>
      </c>
      <c r="L2423" s="65"/>
      <c r="M2423" s="62" t="s">
        <v>825</v>
      </c>
      <c r="N2423" s="62" t="s">
        <v>378</v>
      </c>
      <c r="O2423" s="62" t="s">
        <v>371</v>
      </c>
      <c r="P2423" s="62" t="s">
        <v>2421</v>
      </c>
      <c r="Q2423" s="66" t="s">
        <v>1972</v>
      </c>
    </row>
    <row r="2424" spans="1:17" x14ac:dyDescent="0.3">
      <c r="A2424" s="61" t="s">
        <v>2404</v>
      </c>
      <c r="B2424" s="62" t="s">
        <v>1866</v>
      </c>
      <c r="C2424" s="62" t="s">
        <v>1867</v>
      </c>
      <c r="D2424" s="63">
        <v>45708</v>
      </c>
      <c r="E2424" s="63">
        <v>47573</v>
      </c>
      <c r="F2424" s="62" t="s">
        <v>1921</v>
      </c>
      <c r="G2424" s="62" t="s">
        <v>620</v>
      </c>
      <c r="H2424" s="62" t="s">
        <v>311</v>
      </c>
      <c r="I2424" s="64">
        <v>822143.52500000002</v>
      </c>
      <c r="J2424" s="62" t="s">
        <v>312</v>
      </c>
      <c r="K2424" s="62" t="s">
        <v>311</v>
      </c>
      <c r="L2424" s="65"/>
      <c r="M2424" s="62" t="s">
        <v>825</v>
      </c>
      <c r="N2424" s="62" t="s">
        <v>579</v>
      </c>
      <c r="O2424" s="62" t="s">
        <v>428</v>
      </c>
      <c r="P2424" s="62" t="s">
        <v>2421</v>
      </c>
      <c r="Q2424" s="66" t="s">
        <v>2021</v>
      </c>
    </row>
    <row r="2425" spans="1:17" x14ac:dyDescent="0.3">
      <c r="A2425" s="61" t="s">
        <v>2404</v>
      </c>
      <c r="B2425" s="62" t="s">
        <v>1866</v>
      </c>
      <c r="C2425" s="62" t="s">
        <v>1867</v>
      </c>
      <c r="D2425" s="63">
        <v>45708</v>
      </c>
      <c r="E2425" s="63">
        <v>47573</v>
      </c>
      <c r="F2425" s="62" t="s">
        <v>1921</v>
      </c>
      <c r="G2425" s="62" t="s">
        <v>714</v>
      </c>
      <c r="H2425" s="62" t="s">
        <v>311</v>
      </c>
      <c r="I2425" s="64">
        <v>822143.52500000002</v>
      </c>
      <c r="J2425" s="62" t="s">
        <v>312</v>
      </c>
      <c r="K2425" s="62" t="s">
        <v>311</v>
      </c>
      <c r="L2425" s="65"/>
      <c r="M2425" s="62" t="s">
        <v>825</v>
      </c>
      <c r="N2425" s="62" t="s">
        <v>579</v>
      </c>
      <c r="O2425" s="62" t="s">
        <v>428</v>
      </c>
      <c r="P2425" s="62" t="s">
        <v>2421</v>
      </c>
      <c r="Q2425" s="66" t="s">
        <v>2021</v>
      </c>
    </row>
    <row r="2426" spans="1:17" x14ac:dyDescent="0.3">
      <c r="A2426" s="61" t="s">
        <v>2404</v>
      </c>
      <c r="B2426" s="62" t="s">
        <v>1866</v>
      </c>
      <c r="C2426" s="62" t="s">
        <v>1867</v>
      </c>
      <c r="D2426" s="63">
        <v>45708</v>
      </c>
      <c r="E2426" s="63">
        <v>47573</v>
      </c>
      <c r="F2426" s="62" t="s">
        <v>1930</v>
      </c>
      <c r="G2426" s="62" t="s">
        <v>453</v>
      </c>
      <c r="H2426" s="62" t="s">
        <v>311</v>
      </c>
      <c r="I2426" s="64">
        <v>1644287.05</v>
      </c>
      <c r="J2426" s="62" t="s">
        <v>312</v>
      </c>
      <c r="K2426" s="62" t="s">
        <v>311</v>
      </c>
      <c r="L2426" s="65"/>
      <c r="M2426" s="62" t="s">
        <v>825</v>
      </c>
      <c r="N2426" s="62" t="s">
        <v>579</v>
      </c>
      <c r="O2426" s="62" t="s">
        <v>428</v>
      </c>
      <c r="P2426" s="62" t="s">
        <v>2421</v>
      </c>
      <c r="Q2426" s="66" t="s">
        <v>2021</v>
      </c>
    </row>
    <row r="2427" spans="1:17" x14ac:dyDescent="0.3">
      <c r="A2427" s="61" t="s">
        <v>2404</v>
      </c>
      <c r="B2427" s="62" t="s">
        <v>1866</v>
      </c>
      <c r="C2427" s="62" t="s">
        <v>1867</v>
      </c>
      <c r="D2427" s="63">
        <v>45708</v>
      </c>
      <c r="E2427" s="63">
        <v>47573</v>
      </c>
      <c r="F2427" s="62" t="s">
        <v>1945</v>
      </c>
      <c r="G2427" s="62" t="s">
        <v>555</v>
      </c>
      <c r="H2427" s="62" t="s">
        <v>311</v>
      </c>
      <c r="I2427" s="64">
        <v>1644287.05</v>
      </c>
      <c r="J2427" s="62" t="s">
        <v>312</v>
      </c>
      <c r="K2427" s="62" t="s">
        <v>311</v>
      </c>
      <c r="L2427" s="65"/>
      <c r="M2427" s="62" t="s">
        <v>825</v>
      </c>
      <c r="N2427" s="62" t="s">
        <v>579</v>
      </c>
      <c r="O2427" s="62" t="s">
        <v>428</v>
      </c>
      <c r="P2427" s="62" t="s">
        <v>2421</v>
      </c>
      <c r="Q2427" s="66" t="s">
        <v>2021</v>
      </c>
    </row>
    <row r="2428" spans="1:17" x14ac:dyDescent="0.3">
      <c r="A2428" s="61" t="s">
        <v>2404</v>
      </c>
      <c r="B2428" s="62" t="s">
        <v>1866</v>
      </c>
      <c r="C2428" s="62" t="s">
        <v>1867</v>
      </c>
      <c r="D2428" s="63">
        <v>45708</v>
      </c>
      <c r="E2428" s="63">
        <v>47573</v>
      </c>
      <c r="F2428" s="62" t="s">
        <v>1921</v>
      </c>
      <c r="G2428" s="62" t="s">
        <v>620</v>
      </c>
      <c r="H2428" s="62" t="s">
        <v>2427</v>
      </c>
      <c r="I2428" s="64">
        <v>92162.288333333301</v>
      </c>
      <c r="J2428" s="62" t="s">
        <v>2483</v>
      </c>
      <c r="K2428" s="62" t="s">
        <v>311</v>
      </c>
      <c r="L2428" s="65"/>
      <c r="M2428" s="62" t="s">
        <v>825</v>
      </c>
      <c r="N2428" s="62" t="s">
        <v>579</v>
      </c>
      <c r="O2428" s="62" t="s">
        <v>428</v>
      </c>
      <c r="P2428" s="62" t="s">
        <v>2421</v>
      </c>
      <c r="Q2428" s="66" t="s">
        <v>2021</v>
      </c>
    </row>
    <row r="2429" spans="1:17" x14ac:dyDescent="0.3">
      <c r="A2429" s="61" t="s">
        <v>2404</v>
      </c>
      <c r="B2429" s="62" t="s">
        <v>1866</v>
      </c>
      <c r="C2429" s="62" t="s">
        <v>1867</v>
      </c>
      <c r="D2429" s="63">
        <v>45708</v>
      </c>
      <c r="E2429" s="63">
        <v>47573</v>
      </c>
      <c r="F2429" s="62" t="s">
        <v>1921</v>
      </c>
      <c r="G2429" s="62" t="s">
        <v>714</v>
      </c>
      <c r="H2429" s="62" t="s">
        <v>2427</v>
      </c>
      <c r="I2429" s="64">
        <v>92162.288333333301</v>
      </c>
      <c r="J2429" s="62" t="s">
        <v>2483</v>
      </c>
      <c r="K2429" s="62" t="s">
        <v>311</v>
      </c>
      <c r="L2429" s="65"/>
      <c r="M2429" s="62" t="s">
        <v>825</v>
      </c>
      <c r="N2429" s="62" t="s">
        <v>579</v>
      </c>
      <c r="O2429" s="62" t="s">
        <v>428</v>
      </c>
      <c r="P2429" s="62" t="s">
        <v>2421</v>
      </c>
      <c r="Q2429" s="66" t="s">
        <v>2021</v>
      </c>
    </row>
    <row r="2430" spans="1:17" x14ac:dyDescent="0.3">
      <c r="A2430" s="61" t="s">
        <v>2404</v>
      </c>
      <c r="B2430" s="62" t="s">
        <v>1866</v>
      </c>
      <c r="C2430" s="62" t="s">
        <v>1867</v>
      </c>
      <c r="D2430" s="63">
        <v>45708</v>
      </c>
      <c r="E2430" s="63">
        <v>47573</v>
      </c>
      <c r="F2430" s="62" t="s">
        <v>1930</v>
      </c>
      <c r="G2430" s="62" t="s">
        <v>453</v>
      </c>
      <c r="H2430" s="62" t="s">
        <v>2427</v>
      </c>
      <c r="I2430" s="64">
        <v>184324.57666666701</v>
      </c>
      <c r="J2430" s="62" t="s">
        <v>2483</v>
      </c>
      <c r="K2430" s="62" t="s">
        <v>311</v>
      </c>
      <c r="L2430" s="65"/>
      <c r="M2430" s="62" t="s">
        <v>825</v>
      </c>
      <c r="N2430" s="62" t="s">
        <v>579</v>
      </c>
      <c r="O2430" s="62" t="s">
        <v>428</v>
      </c>
      <c r="P2430" s="62" t="s">
        <v>2421</v>
      </c>
      <c r="Q2430" s="66" t="s">
        <v>2021</v>
      </c>
    </row>
    <row r="2431" spans="1:17" x14ac:dyDescent="0.3">
      <c r="A2431" s="61" t="s">
        <v>2404</v>
      </c>
      <c r="B2431" s="62" t="s">
        <v>1866</v>
      </c>
      <c r="C2431" s="62" t="s">
        <v>1867</v>
      </c>
      <c r="D2431" s="63">
        <v>45708</v>
      </c>
      <c r="E2431" s="63">
        <v>47573</v>
      </c>
      <c r="F2431" s="62" t="s">
        <v>1945</v>
      </c>
      <c r="G2431" s="62" t="s">
        <v>555</v>
      </c>
      <c r="H2431" s="62" t="s">
        <v>2427</v>
      </c>
      <c r="I2431" s="64">
        <v>184324.57666666701</v>
      </c>
      <c r="J2431" s="62" t="s">
        <v>2483</v>
      </c>
      <c r="K2431" s="62" t="s">
        <v>311</v>
      </c>
      <c r="L2431" s="65"/>
      <c r="M2431" s="62" t="s">
        <v>825</v>
      </c>
      <c r="N2431" s="62" t="s">
        <v>579</v>
      </c>
      <c r="O2431" s="62" t="s">
        <v>428</v>
      </c>
      <c r="P2431" s="62" t="s">
        <v>2421</v>
      </c>
      <c r="Q2431" s="66" t="s">
        <v>2021</v>
      </c>
    </row>
    <row r="2432" spans="1:17" x14ac:dyDescent="0.3">
      <c r="A2432" s="61" t="s">
        <v>2405</v>
      </c>
      <c r="B2432" s="62" t="s">
        <v>1868</v>
      </c>
      <c r="C2432" s="62" t="s">
        <v>1869</v>
      </c>
      <c r="D2432" s="63">
        <v>45699</v>
      </c>
      <c r="E2432" s="63">
        <v>47525</v>
      </c>
      <c r="F2432" s="62" t="s">
        <v>350</v>
      </c>
      <c r="G2432" s="62" t="s">
        <v>350</v>
      </c>
      <c r="H2432" s="62" t="s">
        <v>2420</v>
      </c>
      <c r="I2432" s="64">
        <v>1400000</v>
      </c>
      <c r="J2432" s="62" t="s">
        <v>2425</v>
      </c>
      <c r="K2432" s="62" t="s">
        <v>377</v>
      </c>
      <c r="L2432" s="65"/>
      <c r="M2432" s="62" t="s">
        <v>1518</v>
      </c>
      <c r="N2432" s="62" t="s">
        <v>949</v>
      </c>
      <c r="O2432" s="62" t="s">
        <v>309</v>
      </c>
      <c r="P2432" s="62" t="s">
        <v>2421</v>
      </c>
      <c r="Q2432" s="66" t="s">
        <v>1982</v>
      </c>
    </row>
    <row r="2433" spans="1:17" x14ac:dyDescent="0.3">
      <c r="A2433" s="61" t="s">
        <v>2406</v>
      </c>
      <c r="B2433" s="62" t="s">
        <v>1870</v>
      </c>
      <c r="C2433" s="62" t="s">
        <v>1871</v>
      </c>
      <c r="D2433" s="63">
        <v>45804</v>
      </c>
      <c r="E2433" s="63">
        <v>46049</v>
      </c>
      <c r="F2433" s="62" t="s">
        <v>348</v>
      </c>
      <c r="G2433" s="62" t="s">
        <v>304</v>
      </c>
      <c r="H2433" s="62" t="s">
        <v>638</v>
      </c>
      <c r="I2433" s="64">
        <v>377007.5</v>
      </c>
      <c r="J2433" s="62" t="s">
        <v>1872</v>
      </c>
      <c r="K2433" s="62" t="s">
        <v>638</v>
      </c>
      <c r="L2433" s="65"/>
      <c r="M2433" s="62" t="s">
        <v>1518</v>
      </c>
      <c r="N2433" s="62" t="s">
        <v>910</v>
      </c>
      <c r="O2433" s="62" t="s">
        <v>646</v>
      </c>
      <c r="P2433" s="62" t="s">
        <v>2421</v>
      </c>
      <c r="Q2433" s="66" t="s">
        <v>1971</v>
      </c>
    </row>
    <row r="2434" spans="1:17" x14ac:dyDescent="0.3">
      <c r="A2434" s="61" t="s">
        <v>2406</v>
      </c>
      <c r="B2434" s="62" t="s">
        <v>1870</v>
      </c>
      <c r="C2434" s="62" t="s">
        <v>1871</v>
      </c>
      <c r="D2434" s="63">
        <v>45804</v>
      </c>
      <c r="E2434" s="63">
        <v>46049</v>
      </c>
      <c r="F2434" s="62" t="s">
        <v>1937</v>
      </c>
      <c r="G2434" s="62" t="s">
        <v>304</v>
      </c>
      <c r="H2434" s="62" t="s">
        <v>638</v>
      </c>
      <c r="I2434" s="64">
        <v>377007.5</v>
      </c>
      <c r="J2434" s="62" t="s">
        <v>1872</v>
      </c>
      <c r="K2434" s="62" t="s">
        <v>638</v>
      </c>
      <c r="L2434" s="65"/>
      <c r="M2434" s="62" t="s">
        <v>1518</v>
      </c>
      <c r="N2434" s="62" t="s">
        <v>910</v>
      </c>
      <c r="O2434" s="62" t="s">
        <v>646</v>
      </c>
      <c r="P2434" s="62" t="s">
        <v>2421</v>
      </c>
      <c r="Q2434" s="66" t="s">
        <v>1971</v>
      </c>
    </row>
    <row r="2435" spans="1:17" x14ac:dyDescent="0.3">
      <c r="A2435" s="61" t="s">
        <v>2407</v>
      </c>
      <c r="B2435" s="62" t="s">
        <v>1873</v>
      </c>
      <c r="C2435" s="62" t="s">
        <v>1874</v>
      </c>
      <c r="D2435" s="63">
        <v>44835</v>
      </c>
      <c r="E2435" s="63">
        <v>46477</v>
      </c>
      <c r="F2435" s="62" t="s">
        <v>1921</v>
      </c>
      <c r="G2435" s="62" t="s">
        <v>559</v>
      </c>
      <c r="H2435" s="62" t="s">
        <v>377</v>
      </c>
      <c r="I2435" s="64">
        <v>278016.66666666698</v>
      </c>
      <c r="J2435" s="62" t="s">
        <v>542</v>
      </c>
      <c r="K2435" s="62" t="s">
        <v>377</v>
      </c>
      <c r="L2435" s="65"/>
      <c r="M2435" s="62" t="s">
        <v>307</v>
      </c>
      <c r="N2435" s="62" t="s">
        <v>552</v>
      </c>
      <c r="O2435" s="62" t="s">
        <v>371</v>
      </c>
      <c r="P2435" s="62" t="s">
        <v>2421</v>
      </c>
      <c r="Q2435" s="66" t="s">
        <v>1984</v>
      </c>
    </row>
    <row r="2436" spans="1:17" x14ac:dyDescent="0.3">
      <c r="A2436" s="61" t="s">
        <v>2407</v>
      </c>
      <c r="B2436" s="62" t="s">
        <v>1873</v>
      </c>
      <c r="C2436" s="62" t="s">
        <v>1874</v>
      </c>
      <c r="D2436" s="63">
        <v>44835</v>
      </c>
      <c r="E2436" s="63">
        <v>46477</v>
      </c>
      <c r="F2436" s="62" t="s">
        <v>1921</v>
      </c>
      <c r="G2436" s="62" t="s">
        <v>487</v>
      </c>
      <c r="H2436" s="62" t="s">
        <v>377</v>
      </c>
      <c r="I2436" s="64">
        <v>278016.66666666698</v>
      </c>
      <c r="J2436" s="62" t="s">
        <v>542</v>
      </c>
      <c r="K2436" s="62" t="s">
        <v>377</v>
      </c>
      <c r="L2436" s="65"/>
      <c r="M2436" s="62" t="s">
        <v>307</v>
      </c>
      <c r="N2436" s="62" t="s">
        <v>552</v>
      </c>
      <c r="O2436" s="62" t="s">
        <v>371</v>
      </c>
      <c r="P2436" s="62" t="s">
        <v>2421</v>
      </c>
      <c r="Q2436" s="66" t="s">
        <v>1984</v>
      </c>
    </row>
    <row r="2437" spans="1:17" x14ac:dyDescent="0.3">
      <c r="A2437" s="61" t="s">
        <v>2407</v>
      </c>
      <c r="B2437" s="62" t="s">
        <v>1873</v>
      </c>
      <c r="C2437" s="62" t="s">
        <v>1874</v>
      </c>
      <c r="D2437" s="63">
        <v>44835</v>
      </c>
      <c r="E2437" s="63">
        <v>46477</v>
      </c>
      <c r="F2437" s="62" t="s">
        <v>1921</v>
      </c>
      <c r="G2437" s="62" t="s">
        <v>714</v>
      </c>
      <c r="H2437" s="62" t="s">
        <v>377</v>
      </c>
      <c r="I2437" s="64">
        <v>278016.66666666698</v>
      </c>
      <c r="J2437" s="62" t="s">
        <v>542</v>
      </c>
      <c r="K2437" s="62" t="s">
        <v>377</v>
      </c>
      <c r="L2437" s="65"/>
      <c r="M2437" s="62" t="s">
        <v>307</v>
      </c>
      <c r="N2437" s="62" t="s">
        <v>552</v>
      </c>
      <c r="O2437" s="62" t="s">
        <v>371</v>
      </c>
      <c r="P2437" s="62" t="s">
        <v>2421</v>
      </c>
      <c r="Q2437" s="66" t="s">
        <v>1984</v>
      </c>
    </row>
    <row r="2438" spans="1:17" x14ac:dyDescent="0.3">
      <c r="A2438" s="61" t="s">
        <v>2407</v>
      </c>
      <c r="B2438" s="62" t="s">
        <v>1873</v>
      </c>
      <c r="C2438" s="62" t="s">
        <v>1874</v>
      </c>
      <c r="D2438" s="63">
        <v>44835</v>
      </c>
      <c r="E2438" s="63">
        <v>46477</v>
      </c>
      <c r="F2438" s="62" t="s">
        <v>1922</v>
      </c>
      <c r="G2438" s="62" t="s">
        <v>349</v>
      </c>
      <c r="H2438" s="62" t="s">
        <v>377</v>
      </c>
      <c r="I2438" s="64">
        <v>417025</v>
      </c>
      <c r="J2438" s="62" t="s">
        <v>542</v>
      </c>
      <c r="K2438" s="62" t="s">
        <v>377</v>
      </c>
      <c r="L2438" s="65"/>
      <c r="M2438" s="62" t="s">
        <v>307</v>
      </c>
      <c r="N2438" s="62" t="s">
        <v>552</v>
      </c>
      <c r="O2438" s="62" t="s">
        <v>371</v>
      </c>
      <c r="P2438" s="62" t="s">
        <v>2421</v>
      </c>
      <c r="Q2438" s="66" t="s">
        <v>1984</v>
      </c>
    </row>
    <row r="2439" spans="1:17" x14ac:dyDescent="0.3">
      <c r="A2439" s="61" t="s">
        <v>2407</v>
      </c>
      <c r="B2439" s="62" t="s">
        <v>1873</v>
      </c>
      <c r="C2439" s="62" t="s">
        <v>1874</v>
      </c>
      <c r="D2439" s="63">
        <v>44835</v>
      </c>
      <c r="E2439" s="63">
        <v>46477</v>
      </c>
      <c r="F2439" s="62" t="s">
        <v>1922</v>
      </c>
      <c r="G2439" s="62" t="s">
        <v>553</v>
      </c>
      <c r="H2439" s="62" t="s">
        <v>377</v>
      </c>
      <c r="I2439" s="64">
        <v>417025</v>
      </c>
      <c r="J2439" s="62" t="s">
        <v>542</v>
      </c>
      <c r="K2439" s="62" t="s">
        <v>377</v>
      </c>
      <c r="L2439" s="65"/>
      <c r="M2439" s="62" t="s">
        <v>307</v>
      </c>
      <c r="N2439" s="62" t="s">
        <v>552</v>
      </c>
      <c r="O2439" s="62" t="s">
        <v>371</v>
      </c>
      <c r="P2439" s="62" t="s">
        <v>2421</v>
      </c>
      <c r="Q2439" s="66" t="s">
        <v>1984</v>
      </c>
    </row>
    <row r="2440" spans="1:17" x14ac:dyDescent="0.3">
      <c r="A2440" s="61" t="s">
        <v>2407</v>
      </c>
      <c r="B2440" s="62" t="s">
        <v>1873</v>
      </c>
      <c r="C2440" s="62" t="s">
        <v>1874</v>
      </c>
      <c r="D2440" s="63">
        <v>44835</v>
      </c>
      <c r="E2440" s="63">
        <v>46477</v>
      </c>
      <c r="F2440" s="62" t="s">
        <v>1916</v>
      </c>
      <c r="G2440" s="62" t="s">
        <v>630</v>
      </c>
      <c r="H2440" s="62" t="s">
        <v>377</v>
      </c>
      <c r="I2440" s="64">
        <v>417025</v>
      </c>
      <c r="J2440" s="62" t="s">
        <v>542</v>
      </c>
      <c r="K2440" s="62" t="s">
        <v>377</v>
      </c>
      <c r="L2440" s="65"/>
      <c r="M2440" s="62" t="s">
        <v>307</v>
      </c>
      <c r="N2440" s="62" t="s">
        <v>552</v>
      </c>
      <c r="O2440" s="62" t="s">
        <v>371</v>
      </c>
      <c r="P2440" s="62" t="s">
        <v>2421</v>
      </c>
      <c r="Q2440" s="66" t="s">
        <v>1984</v>
      </c>
    </row>
    <row r="2441" spans="1:17" x14ac:dyDescent="0.3">
      <c r="A2441" s="61" t="s">
        <v>2407</v>
      </c>
      <c r="B2441" s="62" t="s">
        <v>1873</v>
      </c>
      <c r="C2441" s="62" t="s">
        <v>1874</v>
      </c>
      <c r="D2441" s="63">
        <v>44835</v>
      </c>
      <c r="E2441" s="63">
        <v>46477</v>
      </c>
      <c r="F2441" s="62" t="s">
        <v>1916</v>
      </c>
      <c r="G2441" s="62" t="s">
        <v>888</v>
      </c>
      <c r="H2441" s="62" t="s">
        <v>377</v>
      </c>
      <c r="I2441" s="64">
        <v>417025</v>
      </c>
      <c r="J2441" s="62" t="s">
        <v>542</v>
      </c>
      <c r="K2441" s="62" t="s">
        <v>377</v>
      </c>
      <c r="L2441" s="65"/>
      <c r="M2441" s="62" t="s">
        <v>307</v>
      </c>
      <c r="N2441" s="62" t="s">
        <v>552</v>
      </c>
      <c r="O2441" s="62" t="s">
        <v>371</v>
      </c>
      <c r="P2441" s="62" t="s">
        <v>2421</v>
      </c>
      <c r="Q2441" s="66" t="s">
        <v>1984</v>
      </c>
    </row>
    <row r="2442" spans="1:17" x14ac:dyDescent="0.3">
      <c r="A2442" s="61" t="s">
        <v>2407</v>
      </c>
      <c r="B2442" s="62" t="s">
        <v>1873</v>
      </c>
      <c r="C2442" s="62" t="s">
        <v>1874</v>
      </c>
      <c r="D2442" s="63">
        <v>44835</v>
      </c>
      <c r="E2442" s="63">
        <v>46477</v>
      </c>
      <c r="F2442" s="62" t="s">
        <v>282</v>
      </c>
      <c r="G2442" s="62" t="s">
        <v>283</v>
      </c>
      <c r="H2442" s="62" t="s">
        <v>377</v>
      </c>
      <c r="I2442" s="64">
        <v>834050</v>
      </c>
      <c r="J2442" s="62" t="s">
        <v>542</v>
      </c>
      <c r="K2442" s="62" t="s">
        <v>377</v>
      </c>
      <c r="L2442" s="65"/>
      <c r="M2442" s="62" t="s">
        <v>307</v>
      </c>
      <c r="N2442" s="62" t="s">
        <v>552</v>
      </c>
      <c r="O2442" s="62" t="s">
        <v>371</v>
      </c>
      <c r="P2442" s="62" t="s">
        <v>2421</v>
      </c>
      <c r="Q2442" s="66" t="s">
        <v>1984</v>
      </c>
    </row>
    <row r="2443" spans="1:17" x14ac:dyDescent="0.3">
      <c r="A2443" s="61" t="s">
        <v>2407</v>
      </c>
      <c r="B2443" s="62" t="s">
        <v>1873</v>
      </c>
      <c r="C2443" s="62" t="s">
        <v>1874</v>
      </c>
      <c r="D2443" s="63">
        <v>44835</v>
      </c>
      <c r="E2443" s="63">
        <v>46477</v>
      </c>
      <c r="F2443" s="62" t="s">
        <v>1930</v>
      </c>
      <c r="G2443" s="62" t="s">
        <v>453</v>
      </c>
      <c r="H2443" s="62" t="s">
        <v>377</v>
      </c>
      <c r="I2443" s="64">
        <v>834050</v>
      </c>
      <c r="J2443" s="62" t="s">
        <v>542</v>
      </c>
      <c r="K2443" s="62" t="s">
        <v>377</v>
      </c>
      <c r="L2443" s="65"/>
      <c r="M2443" s="62" t="s">
        <v>307</v>
      </c>
      <c r="N2443" s="62" t="s">
        <v>552</v>
      </c>
      <c r="O2443" s="62" t="s">
        <v>371</v>
      </c>
      <c r="P2443" s="62" t="s">
        <v>2421</v>
      </c>
      <c r="Q2443" s="66" t="s">
        <v>1984</v>
      </c>
    </row>
    <row r="2444" spans="1:17" x14ac:dyDescent="0.3">
      <c r="A2444" s="61" t="s">
        <v>2407</v>
      </c>
      <c r="B2444" s="62" t="s">
        <v>1873</v>
      </c>
      <c r="C2444" s="62" t="s">
        <v>1874</v>
      </c>
      <c r="D2444" s="63">
        <v>44835</v>
      </c>
      <c r="E2444" s="63">
        <v>46477</v>
      </c>
      <c r="F2444" s="62" t="s">
        <v>1936</v>
      </c>
      <c r="G2444" s="62" t="s">
        <v>411</v>
      </c>
      <c r="H2444" s="62" t="s">
        <v>377</v>
      </c>
      <c r="I2444" s="64">
        <v>834050</v>
      </c>
      <c r="J2444" s="62" t="s">
        <v>542</v>
      </c>
      <c r="K2444" s="62" t="s">
        <v>377</v>
      </c>
      <c r="L2444" s="65"/>
      <c r="M2444" s="62" t="s">
        <v>307</v>
      </c>
      <c r="N2444" s="62" t="s">
        <v>552</v>
      </c>
      <c r="O2444" s="62" t="s">
        <v>371</v>
      </c>
      <c r="P2444" s="62" t="s">
        <v>2421</v>
      </c>
      <c r="Q2444" s="66" t="s">
        <v>1984</v>
      </c>
    </row>
    <row r="2445" spans="1:17" x14ac:dyDescent="0.3">
      <c r="A2445" s="61" t="s">
        <v>2407</v>
      </c>
      <c r="B2445" s="62" t="s">
        <v>1873</v>
      </c>
      <c r="C2445" s="62" t="s">
        <v>1874</v>
      </c>
      <c r="D2445" s="63">
        <v>44835</v>
      </c>
      <c r="E2445" s="63">
        <v>46477</v>
      </c>
      <c r="F2445" s="62" t="s">
        <v>1921</v>
      </c>
      <c r="G2445" s="62" t="s">
        <v>559</v>
      </c>
      <c r="H2445" s="62" t="s">
        <v>2427</v>
      </c>
      <c r="I2445" s="64">
        <v>17421.055555555598</v>
      </c>
      <c r="J2445" s="62" t="s">
        <v>2508</v>
      </c>
      <c r="K2445" s="62" t="s">
        <v>377</v>
      </c>
      <c r="L2445" s="65"/>
      <c r="M2445" s="62" t="s">
        <v>307</v>
      </c>
      <c r="N2445" s="62" t="s">
        <v>552</v>
      </c>
      <c r="O2445" s="62" t="s">
        <v>371</v>
      </c>
      <c r="P2445" s="62" t="s">
        <v>2421</v>
      </c>
      <c r="Q2445" s="66" t="s">
        <v>1984</v>
      </c>
    </row>
    <row r="2446" spans="1:17" x14ac:dyDescent="0.3">
      <c r="A2446" s="61" t="s">
        <v>2407</v>
      </c>
      <c r="B2446" s="62" t="s">
        <v>1873</v>
      </c>
      <c r="C2446" s="62" t="s">
        <v>1874</v>
      </c>
      <c r="D2446" s="63">
        <v>44835</v>
      </c>
      <c r="E2446" s="63">
        <v>46477</v>
      </c>
      <c r="F2446" s="62" t="s">
        <v>1921</v>
      </c>
      <c r="G2446" s="62" t="s">
        <v>487</v>
      </c>
      <c r="H2446" s="62" t="s">
        <v>2427</v>
      </c>
      <c r="I2446" s="64">
        <v>17421.055555555598</v>
      </c>
      <c r="J2446" s="62" t="s">
        <v>2508</v>
      </c>
      <c r="K2446" s="62" t="s">
        <v>377</v>
      </c>
      <c r="L2446" s="65"/>
      <c r="M2446" s="62" t="s">
        <v>307</v>
      </c>
      <c r="N2446" s="62" t="s">
        <v>552</v>
      </c>
      <c r="O2446" s="62" t="s">
        <v>371</v>
      </c>
      <c r="P2446" s="62" t="s">
        <v>2421</v>
      </c>
      <c r="Q2446" s="66" t="s">
        <v>1984</v>
      </c>
    </row>
    <row r="2447" spans="1:17" x14ac:dyDescent="0.3">
      <c r="A2447" s="61" t="s">
        <v>2407</v>
      </c>
      <c r="B2447" s="62" t="s">
        <v>1873</v>
      </c>
      <c r="C2447" s="62" t="s">
        <v>1874</v>
      </c>
      <c r="D2447" s="63">
        <v>44835</v>
      </c>
      <c r="E2447" s="63">
        <v>46477</v>
      </c>
      <c r="F2447" s="62" t="s">
        <v>1921</v>
      </c>
      <c r="G2447" s="62" t="s">
        <v>714</v>
      </c>
      <c r="H2447" s="62" t="s">
        <v>2427</v>
      </c>
      <c r="I2447" s="64">
        <v>17421.055555555598</v>
      </c>
      <c r="J2447" s="62" t="s">
        <v>2508</v>
      </c>
      <c r="K2447" s="62" t="s">
        <v>377</v>
      </c>
      <c r="L2447" s="65"/>
      <c r="M2447" s="62" t="s">
        <v>307</v>
      </c>
      <c r="N2447" s="62" t="s">
        <v>552</v>
      </c>
      <c r="O2447" s="62" t="s">
        <v>371</v>
      </c>
      <c r="P2447" s="62" t="s">
        <v>2421</v>
      </c>
      <c r="Q2447" s="66" t="s">
        <v>1984</v>
      </c>
    </row>
    <row r="2448" spans="1:17" x14ac:dyDescent="0.3">
      <c r="A2448" s="61" t="s">
        <v>2407</v>
      </c>
      <c r="B2448" s="62" t="s">
        <v>1873</v>
      </c>
      <c r="C2448" s="62" t="s">
        <v>1874</v>
      </c>
      <c r="D2448" s="63">
        <v>44835</v>
      </c>
      <c r="E2448" s="63">
        <v>46477</v>
      </c>
      <c r="F2448" s="62" t="s">
        <v>1922</v>
      </c>
      <c r="G2448" s="62" t="s">
        <v>349</v>
      </c>
      <c r="H2448" s="62" t="s">
        <v>2427</v>
      </c>
      <c r="I2448" s="64">
        <v>26131.583333333299</v>
      </c>
      <c r="J2448" s="62" t="s">
        <v>2508</v>
      </c>
      <c r="K2448" s="62" t="s">
        <v>377</v>
      </c>
      <c r="L2448" s="65"/>
      <c r="M2448" s="62" t="s">
        <v>307</v>
      </c>
      <c r="N2448" s="62" t="s">
        <v>552</v>
      </c>
      <c r="O2448" s="62" t="s">
        <v>371</v>
      </c>
      <c r="P2448" s="62" t="s">
        <v>2421</v>
      </c>
      <c r="Q2448" s="66" t="s">
        <v>1984</v>
      </c>
    </row>
    <row r="2449" spans="1:17" x14ac:dyDescent="0.3">
      <c r="A2449" s="61" t="s">
        <v>2407</v>
      </c>
      <c r="B2449" s="62" t="s">
        <v>1873</v>
      </c>
      <c r="C2449" s="62" t="s">
        <v>1874</v>
      </c>
      <c r="D2449" s="63">
        <v>44835</v>
      </c>
      <c r="E2449" s="63">
        <v>46477</v>
      </c>
      <c r="F2449" s="62" t="s">
        <v>1922</v>
      </c>
      <c r="G2449" s="62" t="s">
        <v>553</v>
      </c>
      <c r="H2449" s="62" t="s">
        <v>2427</v>
      </c>
      <c r="I2449" s="64">
        <v>26131.583333333299</v>
      </c>
      <c r="J2449" s="62" t="s">
        <v>2508</v>
      </c>
      <c r="K2449" s="62" t="s">
        <v>377</v>
      </c>
      <c r="L2449" s="65"/>
      <c r="M2449" s="62" t="s">
        <v>307</v>
      </c>
      <c r="N2449" s="62" t="s">
        <v>552</v>
      </c>
      <c r="O2449" s="62" t="s">
        <v>371</v>
      </c>
      <c r="P2449" s="62" t="s">
        <v>2421</v>
      </c>
      <c r="Q2449" s="66" t="s">
        <v>1984</v>
      </c>
    </row>
    <row r="2450" spans="1:17" x14ac:dyDescent="0.3">
      <c r="A2450" s="61" t="s">
        <v>2407</v>
      </c>
      <c r="B2450" s="62" t="s">
        <v>1873</v>
      </c>
      <c r="C2450" s="62" t="s">
        <v>1874</v>
      </c>
      <c r="D2450" s="63">
        <v>44835</v>
      </c>
      <c r="E2450" s="63">
        <v>46477</v>
      </c>
      <c r="F2450" s="62" t="s">
        <v>1916</v>
      </c>
      <c r="G2450" s="62" t="s">
        <v>630</v>
      </c>
      <c r="H2450" s="62" t="s">
        <v>2427</v>
      </c>
      <c r="I2450" s="64">
        <v>26131.583333333299</v>
      </c>
      <c r="J2450" s="62" t="s">
        <v>2508</v>
      </c>
      <c r="K2450" s="62" t="s">
        <v>377</v>
      </c>
      <c r="L2450" s="65"/>
      <c r="M2450" s="62" t="s">
        <v>307</v>
      </c>
      <c r="N2450" s="62" t="s">
        <v>552</v>
      </c>
      <c r="O2450" s="62" t="s">
        <v>371</v>
      </c>
      <c r="P2450" s="62" t="s">
        <v>2421</v>
      </c>
      <c r="Q2450" s="66" t="s">
        <v>1984</v>
      </c>
    </row>
    <row r="2451" spans="1:17" x14ac:dyDescent="0.3">
      <c r="A2451" s="61" t="s">
        <v>2407</v>
      </c>
      <c r="B2451" s="62" t="s">
        <v>1873</v>
      </c>
      <c r="C2451" s="62" t="s">
        <v>1874</v>
      </c>
      <c r="D2451" s="63">
        <v>44835</v>
      </c>
      <c r="E2451" s="63">
        <v>46477</v>
      </c>
      <c r="F2451" s="62" t="s">
        <v>1916</v>
      </c>
      <c r="G2451" s="62" t="s">
        <v>888</v>
      </c>
      <c r="H2451" s="62" t="s">
        <v>2427</v>
      </c>
      <c r="I2451" s="64">
        <v>26131.583333333299</v>
      </c>
      <c r="J2451" s="62" t="s">
        <v>2508</v>
      </c>
      <c r="K2451" s="62" t="s">
        <v>377</v>
      </c>
      <c r="L2451" s="65"/>
      <c r="M2451" s="62" t="s">
        <v>307</v>
      </c>
      <c r="N2451" s="62" t="s">
        <v>552</v>
      </c>
      <c r="O2451" s="62" t="s">
        <v>371</v>
      </c>
      <c r="P2451" s="62" t="s">
        <v>2421</v>
      </c>
      <c r="Q2451" s="66" t="s">
        <v>1984</v>
      </c>
    </row>
    <row r="2452" spans="1:17" x14ac:dyDescent="0.3">
      <c r="A2452" s="61" t="s">
        <v>2407</v>
      </c>
      <c r="B2452" s="62" t="s">
        <v>1873</v>
      </c>
      <c r="C2452" s="62" t="s">
        <v>1874</v>
      </c>
      <c r="D2452" s="63">
        <v>44835</v>
      </c>
      <c r="E2452" s="63">
        <v>46477</v>
      </c>
      <c r="F2452" s="62" t="s">
        <v>282</v>
      </c>
      <c r="G2452" s="62" t="s">
        <v>283</v>
      </c>
      <c r="H2452" s="62" t="s">
        <v>2427</v>
      </c>
      <c r="I2452" s="64">
        <v>52263.166666666701</v>
      </c>
      <c r="J2452" s="62" t="s">
        <v>2508</v>
      </c>
      <c r="K2452" s="62" t="s">
        <v>377</v>
      </c>
      <c r="L2452" s="65"/>
      <c r="M2452" s="62" t="s">
        <v>307</v>
      </c>
      <c r="N2452" s="62" t="s">
        <v>552</v>
      </c>
      <c r="O2452" s="62" t="s">
        <v>371</v>
      </c>
      <c r="P2452" s="62" t="s">
        <v>2421</v>
      </c>
      <c r="Q2452" s="66" t="s">
        <v>1984</v>
      </c>
    </row>
    <row r="2453" spans="1:17" x14ac:dyDescent="0.3">
      <c r="A2453" s="61" t="s">
        <v>2407</v>
      </c>
      <c r="B2453" s="62" t="s">
        <v>1873</v>
      </c>
      <c r="C2453" s="62" t="s">
        <v>1874</v>
      </c>
      <c r="D2453" s="63">
        <v>44835</v>
      </c>
      <c r="E2453" s="63">
        <v>46477</v>
      </c>
      <c r="F2453" s="62" t="s">
        <v>1930</v>
      </c>
      <c r="G2453" s="62" t="s">
        <v>453</v>
      </c>
      <c r="H2453" s="62" t="s">
        <v>2427</v>
      </c>
      <c r="I2453" s="64">
        <v>52263.166666666701</v>
      </c>
      <c r="J2453" s="62" t="s">
        <v>2508</v>
      </c>
      <c r="K2453" s="62" t="s">
        <v>377</v>
      </c>
      <c r="L2453" s="65"/>
      <c r="M2453" s="62" t="s">
        <v>307</v>
      </c>
      <c r="N2453" s="62" t="s">
        <v>552</v>
      </c>
      <c r="O2453" s="62" t="s">
        <v>371</v>
      </c>
      <c r="P2453" s="62" t="s">
        <v>2421</v>
      </c>
      <c r="Q2453" s="66" t="s">
        <v>1984</v>
      </c>
    </row>
    <row r="2454" spans="1:17" x14ac:dyDescent="0.3">
      <c r="A2454" s="61" t="s">
        <v>2407</v>
      </c>
      <c r="B2454" s="62" t="s">
        <v>1873</v>
      </c>
      <c r="C2454" s="62" t="s">
        <v>1874</v>
      </c>
      <c r="D2454" s="63">
        <v>44835</v>
      </c>
      <c r="E2454" s="63">
        <v>46477</v>
      </c>
      <c r="F2454" s="62" t="s">
        <v>1936</v>
      </c>
      <c r="G2454" s="62" t="s">
        <v>411</v>
      </c>
      <c r="H2454" s="62" t="s">
        <v>2427</v>
      </c>
      <c r="I2454" s="64">
        <v>52263.166666666701</v>
      </c>
      <c r="J2454" s="62" t="s">
        <v>2508</v>
      </c>
      <c r="K2454" s="62" t="s">
        <v>377</v>
      </c>
      <c r="L2454" s="65"/>
      <c r="M2454" s="62" t="s">
        <v>307</v>
      </c>
      <c r="N2454" s="62" t="s">
        <v>552</v>
      </c>
      <c r="O2454" s="62" t="s">
        <v>371</v>
      </c>
      <c r="P2454" s="62" t="s">
        <v>2421</v>
      </c>
      <c r="Q2454" s="66" t="s">
        <v>1984</v>
      </c>
    </row>
    <row r="2455" spans="1:17" x14ac:dyDescent="0.3">
      <c r="A2455" s="61" t="s">
        <v>2408</v>
      </c>
      <c r="B2455" s="62" t="s">
        <v>1875</v>
      </c>
      <c r="C2455" s="62" t="s">
        <v>1876</v>
      </c>
      <c r="D2455" s="63">
        <v>45689</v>
      </c>
      <c r="E2455" s="63">
        <v>46053</v>
      </c>
      <c r="F2455" s="62" t="s">
        <v>1921</v>
      </c>
      <c r="G2455" s="62" t="s">
        <v>620</v>
      </c>
      <c r="H2455" s="62" t="s">
        <v>443</v>
      </c>
      <c r="I2455" s="64">
        <v>45893.591999999997</v>
      </c>
      <c r="J2455" s="62" t="s">
        <v>1525</v>
      </c>
      <c r="K2455" s="62" t="s">
        <v>377</v>
      </c>
      <c r="L2455" s="65"/>
      <c r="M2455" s="62" t="s">
        <v>825</v>
      </c>
      <c r="N2455" s="62" t="s">
        <v>416</v>
      </c>
      <c r="O2455" s="62" t="s">
        <v>417</v>
      </c>
      <c r="P2455" s="62" t="s">
        <v>2421</v>
      </c>
      <c r="Q2455" s="66" t="s">
        <v>1970</v>
      </c>
    </row>
    <row r="2456" spans="1:17" x14ac:dyDescent="0.3">
      <c r="A2456" s="61" t="s">
        <v>2408</v>
      </c>
      <c r="B2456" s="62" t="s">
        <v>1875</v>
      </c>
      <c r="C2456" s="62" t="s">
        <v>1876</v>
      </c>
      <c r="D2456" s="63">
        <v>45689</v>
      </c>
      <c r="E2456" s="63">
        <v>46053</v>
      </c>
      <c r="F2456" s="62" t="s">
        <v>1921</v>
      </c>
      <c r="G2456" s="62" t="s">
        <v>559</v>
      </c>
      <c r="H2456" s="62" t="s">
        <v>443</v>
      </c>
      <c r="I2456" s="64">
        <v>45893.591999999997</v>
      </c>
      <c r="J2456" s="62" t="s">
        <v>1525</v>
      </c>
      <c r="K2456" s="62" t="s">
        <v>377</v>
      </c>
      <c r="L2456" s="65"/>
      <c r="M2456" s="62" t="s">
        <v>825</v>
      </c>
      <c r="N2456" s="62" t="s">
        <v>416</v>
      </c>
      <c r="O2456" s="62" t="s">
        <v>417</v>
      </c>
      <c r="P2456" s="62" t="s">
        <v>2421</v>
      </c>
      <c r="Q2456" s="66" t="s">
        <v>1970</v>
      </c>
    </row>
    <row r="2457" spans="1:17" x14ac:dyDescent="0.3">
      <c r="A2457" s="61" t="s">
        <v>2408</v>
      </c>
      <c r="B2457" s="62" t="s">
        <v>1875</v>
      </c>
      <c r="C2457" s="62" t="s">
        <v>1876</v>
      </c>
      <c r="D2457" s="63">
        <v>45689</v>
      </c>
      <c r="E2457" s="63">
        <v>46053</v>
      </c>
      <c r="F2457" s="62" t="s">
        <v>1921</v>
      </c>
      <c r="G2457" s="62" t="s">
        <v>713</v>
      </c>
      <c r="H2457" s="62" t="s">
        <v>443</v>
      </c>
      <c r="I2457" s="64">
        <v>45893.591999999997</v>
      </c>
      <c r="J2457" s="62" t="s">
        <v>1525</v>
      </c>
      <c r="K2457" s="62" t="s">
        <v>377</v>
      </c>
      <c r="L2457" s="65"/>
      <c r="M2457" s="62" t="s">
        <v>825</v>
      </c>
      <c r="N2457" s="62" t="s">
        <v>416</v>
      </c>
      <c r="O2457" s="62" t="s">
        <v>417</v>
      </c>
      <c r="P2457" s="62" t="s">
        <v>2421</v>
      </c>
      <c r="Q2457" s="66" t="s">
        <v>1970</v>
      </c>
    </row>
    <row r="2458" spans="1:17" x14ac:dyDescent="0.3">
      <c r="A2458" s="61" t="s">
        <v>2408</v>
      </c>
      <c r="B2458" s="62" t="s">
        <v>1875</v>
      </c>
      <c r="C2458" s="62" t="s">
        <v>1876</v>
      </c>
      <c r="D2458" s="63">
        <v>45689</v>
      </c>
      <c r="E2458" s="63">
        <v>46053</v>
      </c>
      <c r="F2458" s="62" t="s">
        <v>1921</v>
      </c>
      <c r="G2458" s="62" t="s">
        <v>487</v>
      </c>
      <c r="H2458" s="62" t="s">
        <v>443</v>
      </c>
      <c r="I2458" s="64">
        <v>45893.591999999997</v>
      </c>
      <c r="J2458" s="62" t="s">
        <v>1525</v>
      </c>
      <c r="K2458" s="62" t="s">
        <v>377</v>
      </c>
      <c r="L2458" s="65"/>
      <c r="M2458" s="62" t="s">
        <v>825</v>
      </c>
      <c r="N2458" s="62" t="s">
        <v>416</v>
      </c>
      <c r="O2458" s="62" t="s">
        <v>417</v>
      </c>
      <c r="P2458" s="62" t="s">
        <v>2421</v>
      </c>
      <c r="Q2458" s="66" t="s">
        <v>1970</v>
      </c>
    </row>
    <row r="2459" spans="1:17" x14ac:dyDescent="0.3">
      <c r="A2459" s="61" t="s">
        <v>2408</v>
      </c>
      <c r="B2459" s="62" t="s">
        <v>1875</v>
      </c>
      <c r="C2459" s="62" t="s">
        <v>1876</v>
      </c>
      <c r="D2459" s="63">
        <v>45689</v>
      </c>
      <c r="E2459" s="63">
        <v>46053</v>
      </c>
      <c r="F2459" s="62" t="s">
        <v>1921</v>
      </c>
      <c r="G2459" s="62" t="s">
        <v>714</v>
      </c>
      <c r="H2459" s="62" t="s">
        <v>443</v>
      </c>
      <c r="I2459" s="64">
        <v>45893.591999999997</v>
      </c>
      <c r="J2459" s="62" t="s">
        <v>1525</v>
      </c>
      <c r="K2459" s="62" t="s">
        <v>377</v>
      </c>
      <c r="L2459" s="65"/>
      <c r="M2459" s="62" t="s">
        <v>825</v>
      </c>
      <c r="N2459" s="62" t="s">
        <v>416</v>
      </c>
      <c r="O2459" s="62" t="s">
        <v>417</v>
      </c>
      <c r="P2459" s="62" t="s">
        <v>2421</v>
      </c>
      <c r="Q2459" s="66" t="s">
        <v>1970</v>
      </c>
    </row>
    <row r="2460" spans="1:17" x14ac:dyDescent="0.3">
      <c r="A2460" s="61" t="s">
        <v>2409</v>
      </c>
      <c r="B2460" s="62" t="s">
        <v>1877</v>
      </c>
      <c r="C2460" s="62" t="s">
        <v>1878</v>
      </c>
      <c r="D2460" s="63">
        <v>45823</v>
      </c>
      <c r="E2460" s="63">
        <v>46217</v>
      </c>
      <c r="F2460" s="62" t="s">
        <v>348</v>
      </c>
      <c r="G2460" s="62" t="s">
        <v>348</v>
      </c>
      <c r="H2460" s="62" t="s">
        <v>489</v>
      </c>
      <c r="I2460" s="64">
        <v>34630.333333333299</v>
      </c>
      <c r="J2460" s="62" t="s">
        <v>813</v>
      </c>
      <c r="K2460" s="62" t="s">
        <v>489</v>
      </c>
      <c r="L2460" s="65"/>
      <c r="M2460" s="62" t="s">
        <v>1518</v>
      </c>
      <c r="N2460" s="62" t="s">
        <v>1879</v>
      </c>
      <c r="O2460" s="62" t="s">
        <v>309</v>
      </c>
      <c r="P2460" s="62" t="s">
        <v>2421</v>
      </c>
      <c r="Q2460" s="66" t="s">
        <v>1971</v>
      </c>
    </row>
    <row r="2461" spans="1:17" x14ac:dyDescent="0.3">
      <c r="A2461" s="61" t="s">
        <v>2409</v>
      </c>
      <c r="B2461" s="62" t="s">
        <v>1877</v>
      </c>
      <c r="C2461" s="62" t="s">
        <v>1878</v>
      </c>
      <c r="D2461" s="63">
        <v>45823</v>
      </c>
      <c r="E2461" s="63">
        <v>46217</v>
      </c>
      <c r="F2461" s="62" t="s">
        <v>1930</v>
      </c>
      <c r="G2461" s="62" t="s">
        <v>453</v>
      </c>
      <c r="H2461" s="62" t="s">
        <v>489</v>
      </c>
      <c r="I2461" s="64">
        <v>34630.333333333299</v>
      </c>
      <c r="J2461" s="62" t="s">
        <v>813</v>
      </c>
      <c r="K2461" s="62" t="s">
        <v>489</v>
      </c>
      <c r="L2461" s="65"/>
      <c r="M2461" s="62" t="s">
        <v>1518</v>
      </c>
      <c r="N2461" s="62" t="s">
        <v>1879</v>
      </c>
      <c r="O2461" s="62" t="s">
        <v>309</v>
      </c>
      <c r="P2461" s="62" t="s">
        <v>2421</v>
      </c>
      <c r="Q2461" s="66" t="s">
        <v>1971</v>
      </c>
    </row>
    <row r="2462" spans="1:17" x14ac:dyDescent="0.3">
      <c r="A2462" s="61" t="s">
        <v>2409</v>
      </c>
      <c r="B2462" s="62" t="s">
        <v>1877</v>
      </c>
      <c r="C2462" s="62" t="s">
        <v>1878</v>
      </c>
      <c r="D2462" s="63">
        <v>45823</v>
      </c>
      <c r="E2462" s="63">
        <v>46217</v>
      </c>
      <c r="F2462" s="62" t="s">
        <v>1945</v>
      </c>
      <c r="G2462" s="62" t="s">
        <v>555</v>
      </c>
      <c r="H2462" s="62" t="s">
        <v>489</v>
      </c>
      <c r="I2462" s="64">
        <v>34630.333333333299</v>
      </c>
      <c r="J2462" s="62" t="s">
        <v>813</v>
      </c>
      <c r="K2462" s="62" t="s">
        <v>489</v>
      </c>
      <c r="L2462" s="65"/>
      <c r="M2462" s="62" t="s">
        <v>1518</v>
      </c>
      <c r="N2462" s="62" t="s">
        <v>1879</v>
      </c>
      <c r="O2462" s="62" t="s">
        <v>309</v>
      </c>
      <c r="P2462" s="62" t="s">
        <v>2421</v>
      </c>
      <c r="Q2462" s="66" t="s">
        <v>1971</v>
      </c>
    </row>
    <row r="2463" spans="1:17" x14ac:dyDescent="0.3">
      <c r="A2463" s="61" t="s">
        <v>2509</v>
      </c>
      <c r="B2463" s="62" t="s">
        <v>2510</v>
      </c>
      <c r="C2463" s="62" t="s">
        <v>2511</v>
      </c>
      <c r="D2463" s="63">
        <v>45662</v>
      </c>
      <c r="E2463" s="63">
        <v>46752</v>
      </c>
      <c r="F2463" s="62" t="s">
        <v>1939</v>
      </c>
      <c r="G2463" s="62" t="s">
        <v>2512</v>
      </c>
      <c r="H2463" s="62" t="s">
        <v>2427</v>
      </c>
      <c r="I2463" s="64">
        <v>21607.142857142899</v>
      </c>
      <c r="J2463" s="62" t="s">
        <v>1847</v>
      </c>
      <c r="K2463" s="62" t="s">
        <v>533</v>
      </c>
      <c r="L2463" s="65"/>
      <c r="M2463" s="62" t="s">
        <v>825</v>
      </c>
      <c r="N2463" s="62" t="s">
        <v>2424</v>
      </c>
      <c r="O2463" s="62" t="s">
        <v>426</v>
      </c>
      <c r="P2463" s="62" t="s">
        <v>2421</v>
      </c>
      <c r="Q2463" s="66" t="s">
        <v>1969</v>
      </c>
    </row>
    <row r="2464" spans="1:17" x14ac:dyDescent="0.3">
      <c r="A2464" s="61" t="s">
        <v>2509</v>
      </c>
      <c r="B2464" s="62" t="s">
        <v>2510</v>
      </c>
      <c r="C2464" s="62" t="s">
        <v>2511</v>
      </c>
      <c r="D2464" s="63">
        <v>45662</v>
      </c>
      <c r="E2464" s="63">
        <v>46752</v>
      </c>
      <c r="F2464" s="62" t="s">
        <v>1939</v>
      </c>
      <c r="G2464" s="62" t="s">
        <v>2513</v>
      </c>
      <c r="H2464" s="62" t="s">
        <v>2427</v>
      </c>
      <c r="I2464" s="64">
        <v>21607.142857142899</v>
      </c>
      <c r="J2464" s="62" t="s">
        <v>1847</v>
      </c>
      <c r="K2464" s="62" t="s">
        <v>533</v>
      </c>
      <c r="L2464" s="65"/>
      <c r="M2464" s="62" t="s">
        <v>825</v>
      </c>
      <c r="N2464" s="62" t="s">
        <v>2424</v>
      </c>
      <c r="O2464" s="62" t="s">
        <v>426</v>
      </c>
      <c r="P2464" s="62" t="s">
        <v>2421</v>
      </c>
      <c r="Q2464" s="66" t="s">
        <v>1969</v>
      </c>
    </row>
    <row r="2465" spans="1:17" x14ac:dyDescent="0.3">
      <c r="A2465" s="61" t="s">
        <v>2509</v>
      </c>
      <c r="B2465" s="62" t="s">
        <v>2510</v>
      </c>
      <c r="C2465" s="62" t="s">
        <v>2511</v>
      </c>
      <c r="D2465" s="63">
        <v>45662</v>
      </c>
      <c r="E2465" s="63">
        <v>46752</v>
      </c>
      <c r="F2465" s="62" t="s">
        <v>1939</v>
      </c>
      <c r="G2465" s="62" t="s">
        <v>535</v>
      </c>
      <c r="H2465" s="62" t="s">
        <v>2427</v>
      </c>
      <c r="I2465" s="64">
        <v>21607.142857142899</v>
      </c>
      <c r="J2465" s="62" t="s">
        <v>1847</v>
      </c>
      <c r="K2465" s="62" t="s">
        <v>533</v>
      </c>
      <c r="L2465" s="65"/>
      <c r="M2465" s="62" t="s">
        <v>825</v>
      </c>
      <c r="N2465" s="62" t="s">
        <v>2424</v>
      </c>
      <c r="O2465" s="62" t="s">
        <v>426</v>
      </c>
      <c r="P2465" s="62" t="s">
        <v>2421</v>
      </c>
      <c r="Q2465" s="66" t="s">
        <v>1969</v>
      </c>
    </row>
    <row r="2466" spans="1:17" x14ac:dyDescent="0.3">
      <c r="A2466" s="61" t="s">
        <v>2509</v>
      </c>
      <c r="B2466" s="62" t="s">
        <v>2510</v>
      </c>
      <c r="C2466" s="62" t="s">
        <v>2511</v>
      </c>
      <c r="D2466" s="63">
        <v>45662</v>
      </c>
      <c r="E2466" s="63">
        <v>46752</v>
      </c>
      <c r="F2466" s="62" t="s">
        <v>1939</v>
      </c>
      <c r="G2466" s="62" t="s">
        <v>536</v>
      </c>
      <c r="H2466" s="62" t="s">
        <v>2427</v>
      </c>
      <c r="I2466" s="64">
        <v>21607.142857142899</v>
      </c>
      <c r="J2466" s="62" t="s">
        <v>1847</v>
      </c>
      <c r="K2466" s="62" t="s">
        <v>533</v>
      </c>
      <c r="L2466" s="65"/>
      <c r="M2466" s="62" t="s">
        <v>825</v>
      </c>
      <c r="N2466" s="62" t="s">
        <v>2424</v>
      </c>
      <c r="O2466" s="62" t="s">
        <v>426</v>
      </c>
      <c r="P2466" s="62" t="s">
        <v>2421</v>
      </c>
      <c r="Q2466" s="66" t="s">
        <v>1969</v>
      </c>
    </row>
    <row r="2467" spans="1:17" x14ac:dyDescent="0.3">
      <c r="A2467" s="61" t="s">
        <v>2509</v>
      </c>
      <c r="B2467" s="62" t="s">
        <v>2510</v>
      </c>
      <c r="C2467" s="62" t="s">
        <v>2511</v>
      </c>
      <c r="D2467" s="63">
        <v>45662</v>
      </c>
      <c r="E2467" s="63">
        <v>46752</v>
      </c>
      <c r="F2467" s="62" t="s">
        <v>1939</v>
      </c>
      <c r="G2467" s="62" t="s">
        <v>537</v>
      </c>
      <c r="H2467" s="62" t="s">
        <v>2427</v>
      </c>
      <c r="I2467" s="64">
        <v>21607.142857142899</v>
      </c>
      <c r="J2467" s="62" t="s">
        <v>1847</v>
      </c>
      <c r="K2467" s="62" t="s">
        <v>533</v>
      </c>
      <c r="L2467" s="65"/>
      <c r="M2467" s="62" t="s">
        <v>825</v>
      </c>
      <c r="N2467" s="62" t="s">
        <v>2424</v>
      </c>
      <c r="O2467" s="62" t="s">
        <v>426</v>
      </c>
      <c r="P2467" s="62" t="s">
        <v>2421</v>
      </c>
      <c r="Q2467" s="66" t="s">
        <v>1969</v>
      </c>
    </row>
    <row r="2468" spans="1:17" x14ac:dyDescent="0.3">
      <c r="A2468" s="61" t="s">
        <v>2509</v>
      </c>
      <c r="B2468" s="62" t="s">
        <v>2510</v>
      </c>
      <c r="C2468" s="62" t="s">
        <v>2511</v>
      </c>
      <c r="D2468" s="63">
        <v>45662</v>
      </c>
      <c r="E2468" s="63">
        <v>46752</v>
      </c>
      <c r="F2468" s="62" t="s">
        <v>1939</v>
      </c>
      <c r="G2468" s="62" t="s">
        <v>538</v>
      </c>
      <c r="H2468" s="62" t="s">
        <v>2427</v>
      </c>
      <c r="I2468" s="64">
        <v>21607.142857142899</v>
      </c>
      <c r="J2468" s="62" t="s">
        <v>1847</v>
      </c>
      <c r="K2468" s="62" t="s">
        <v>533</v>
      </c>
      <c r="L2468" s="65"/>
      <c r="M2468" s="62" t="s">
        <v>825</v>
      </c>
      <c r="N2468" s="62" t="s">
        <v>2424</v>
      </c>
      <c r="O2468" s="62" t="s">
        <v>426</v>
      </c>
      <c r="P2468" s="62" t="s">
        <v>2421</v>
      </c>
      <c r="Q2468" s="66" t="s">
        <v>1969</v>
      </c>
    </row>
    <row r="2469" spans="1:17" x14ac:dyDescent="0.3">
      <c r="A2469" s="61" t="s">
        <v>2509</v>
      </c>
      <c r="B2469" s="62" t="s">
        <v>2510</v>
      </c>
      <c r="C2469" s="62" t="s">
        <v>2511</v>
      </c>
      <c r="D2469" s="63">
        <v>45662</v>
      </c>
      <c r="E2469" s="63">
        <v>46752</v>
      </c>
      <c r="F2469" s="62" t="s">
        <v>1939</v>
      </c>
      <c r="G2469" s="62" t="s">
        <v>765</v>
      </c>
      <c r="H2469" s="62" t="s">
        <v>2427</v>
      </c>
      <c r="I2469" s="64">
        <v>21607.142857142899</v>
      </c>
      <c r="J2469" s="62" t="s">
        <v>1847</v>
      </c>
      <c r="K2469" s="62" t="s">
        <v>533</v>
      </c>
      <c r="L2469" s="65"/>
      <c r="M2469" s="62" t="s">
        <v>825</v>
      </c>
      <c r="N2469" s="62" t="s">
        <v>2424</v>
      </c>
      <c r="O2469" s="62" t="s">
        <v>426</v>
      </c>
      <c r="P2469" s="62" t="s">
        <v>2421</v>
      </c>
      <c r="Q2469" s="66" t="s">
        <v>1969</v>
      </c>
    </row>
    <row r="2470" spans="1:17" x14ac:dyDescent="0.3">
      <c r="A2470" s="61" t="s">
        <v>2514</v>
      </c>
      <c r="B2470" s="62" t="s">
        <v>2515</v>
      </c>
      <c r="C2470" s="62" t="s">
        <v>2516</v>
      </c>
      <c r="D2470" s="63">
        <v>45778</v>
      </c>
      <c r="E2470" s="63">
        <v>46326</v>
      </c>
      <c r="F2470" s="62" t="s">
        <v>282</v>
      </c>
      <c r="G2470" s="62" t="s">
        <v>1124</v>
      </c>
      <c r="H2470" s="62" t="s">
        <v>489</v>
      </c>
      <c r="I2470" s="64">
        <v>140938</v>
      </c>
      <c r="J2470" s="62" t="s">
        <v>1105</v>
      </c>
      <c r="K2470" s="62" t="s">
        <v>489</v>
      </c>
      <c r="L2470" s="65"/>
      <c r="M2470" s="62" t="s">
        <v>1518</v>
      </c>
      <c r="N2470" s="62" t="s">
        <v>864</v>
      </c>
      <c r="O2470" s="62" t="s">
        <v>309</v>
      </c>
      <c r="P2470" s="62" t="s">
        <v>2421</v>
      </c>
      <c r="Q2470" s="66" t="s">
        <v>1971</v>
      </c>
    </row>
    <row r="2471" spans="1:17" x14ac:dyDescent="0.3">
      <c r="A2471" s="61" t="s">
        <v>2517</v>
      </c>
      <c r="B2471" s="62" t="s">
        <v>2518</v>
      </c>
      <c r="C2471" s="62" t="s">
        <v>2519</v>
      </c>
      <c r="D2471" s="63">
        <v>45847</v>
      </c>
      <c r="E2471" s="63">
        <v>46730</v>
      </c>
      <c r="F2471" s="62" t="s">
        <v>350</v>
      </c>
      <c r="G2471" s="62" t="s">
        <v>304</v>
      </c>
      <c r="H2471" s="62" t="s">
        <v>360</v>
      </c>
      <c r="I2471" s="64">
        <v>2508000</v>
      </c>
      <c r="J2471" s="62" t="s">
        <v>1690</v>
      </c>
      <c r="K2471" s="62" t="s">
        <v>360</v>
      </c>
      <c r="L2471" s="65"/>
      <c r="M2471" s="62" t="s">
        <v>1518</v>
      </c>
      <c r="N2471" s="62" t="s">
        <v>720</v>
      </c>
      <c r="O2471" s="62" t="s">
        <v>465</v>
      </c>
      <c r="P2471" s="62" t="s">
        <v>2421</v>
      </c>
      <c r="Q2471" s="66" t="s">
        <v>1964</v>
      </c>
    </row>
    <row r="2472" spans="1:17" x14ac:dyDescent="0.3">
      <c r="A2472" s="61" t="s">
        <v>2520</v>
      </c>
      <c r="B2472" s="62" t="s">
        <v>2521</v>
      </c>
      <c r="C2472" s="62" t="s">
        <v>2522</v>
      </c>
      <c r="D2472" s="63">
        <v>45792</v>
      </c>
      <c r="E2472" s="63">
        <v>47008</v>
      </c>
      <c r="F2472" s="62" t="s">
        <v>1916</v>
      </c>
      <c r="G2472" s="62" t="s">
        <v>630</v>
      </c>
      <c r="H2472" s="62" t="s">
        <v>521</v>
      </c>
      <c r="I2472" s="64">
        <v>1118697.5</v>
      </c>
      <c r="J2472" s="62" t="s">
        <v>522</v>
      </c>
      <c r="K2472" s="62" t="s">
        <v>521</v>
      </c>
      <c r="L2472" s="65"/>
      <c r="M2472" s="62" t="s">
        <v>1518</v>
      </c>
      <c r="N2472" s="62" t="s">
        <v>355</v>
      </c>
      <c r="O2472" s="62" t="s">
        <v>309</v>
      </c>
      <c r="P2472" s="62" t="s">
        <v>2421</v>
      </c>
      <c r="Q2472" s="66" t="s">
        <v>1970</v>
      </c>
    </row>
    <row r="2473" spans="1:17" x14ac:dyDescent="0.3">
      <c r="A2473" s="61" t="s">
        <v>2520</v>
      </c>
      <c r="B2473" s="62" t="s">
        <v>2521</v>
      </c>
      <c r="C2473" s="62" t="s">
        <v>2522</v>
      </c>
      <c r="D2473" s="63">
        <v>45792</v>
      </c>
      <c r="E2473" s="63">
        <v>47008</v>
      </c>
      <c r="F2473" s="62" t="s">
        <v>1916</v>
      </c>
      <c r="G2473" s="62" t="s">
        <v>888</v>
      </c>
      <c r="H2473" s="62" t="s">
        <v>521</v>
      </c>
      <c r="I2473" s="64">
        <v>1118697.5</v>
      </c>
      <c r="J2473" s="62" t="s">
        <v>522</v>
      </c>
      <c r="K2473" s="62" t="s">
        <v>521</v>
      </c>
      <c r="L2473" s="65"/>
      <c r="M2473" s="62" t="s">
        <v>1518</v>
      </c>
      <c r="N2473" s="62" t="s">
        <v>355</v>
      </c>
      <c r="O2473" s="62" t="s">
        <v>309</v>
      </c>
      <c r="P2473" s="62" t="s">
        <v>2421</v>
      </c>
      <c r="Q2473" s="66" t="s">
        <v>1970</v>
      </c>
    </row>
    <row r="2474" spans="1:17" x14ac:dyDescent="0.3">
      <c r="A2474" s="61" t="s">
        <v>2523</v>
      </c>
      <c r="B2474" s="62" t="s">
        <v>2524</v>
      </c>
      <c r="C2474" s="62" t="s">
        <v>2525</v>
      </c>
      <c r="D2474" s="63">
        <v>45809</v>
      </c>
      <c r="E2474" s="63">
        <v>46266</v>
      </c>
      <c r="F2474" s="62" t="s">
        <v>287</v>
      </c>
      <c r="G2474" s="62" t="s">
        <v>589</v>
      </c>
      <c r="H2474" s="62" t="s">
        <v>462</v>
      </c>
      <c r="I2474" s="64">
        <v>20434.400000000001</v>
      </c>
      <c r="J2474" s="62" t="s">
        <v>550</v>
      </c>
      <c r="K2474" s="62" t="s">
        <v>462</v>
      </c>
      <c r="L2474" s="65"/>
      <c r="M2474" s="62" t="s">
        <v>825</v>
      </c>
      <c r="N2474" s="62" t="s">
        <v>644</v>
      </c>
      <c r="O2474" s="62" t="s">
        <v>371</v>
      </c>
      <c r="P2474" s="62" t="s">
        <v>2421</v>
      </c>
      <c r="Q2474" s="66" t="s">
        <v>1972</v>
      </c>
    </row>
    <row r="2475" spans="1:17" x14ac:dyDescent="0.3">
      <c r="A2475" s="61" t="s">
        <v>2523</v>
      </c>
      <c r="B2475" s="62" t="s">
        <v>2524</v>
      </c>
      <c r="C2475" s="62" t="s">
        <v>2525</v>
      </c>
      <c r="D2475" s="63">
        <v>45809</v>
      </c>
      <c r="E2475" s="63">
        <v>46266</v>
      </c>
      <c r="F2475" s="62" t="s">
        <v>287</v>
      </c>
      <c r="G2475" s="62" t="s">
        <v>768</v>
      </c>
      <c r="H2475" s="62" t="s">
        <v>462</v>
      </c>
      <c r="I2475" s="64">
        <v>20434.400000000001</v>
      </c>
      <c r="J2475" s="62" t="s">
        <v>550</v>
      </c>
      <c r="K2475" s="62" t="s">
        <v>462</v>
      </c>
      <c r="L2475" s="65"/>
      <c r="M2475" s="62" t="s">
        <v>825</v>
      </c>
      <c r="N2475" s="62" t="s">
        <v>644</v>
      </c>
      <c r="O2475" s="62" t="s">
        <v>371</v>
      </c>
      <c r="P2475" s="62" t="s">
        <v>2421</v>
      </c>
      <c r="Q2475" s="66" t="s">
        <v>1972</v>
      </c>
    </row>
    <row r="2476" spans="1:17" x14ac:dyDescent="0.3">
      <c r="A2476" s="61" t="s">
        <v>2523</v>
      </c>
      <c r="B2476" s="62" t="s">
        <v>2524</v>
      </c>
      <c r="C2476" s="62" t="s">
        <v>2525</v>
      </c>
      <c r="D2476" s="63">
        <v>45809</v>
      </c>
      <c r="E2476" s="63">
        <v>46266</v>
      </c>
      <c r="F2476" s="62" t="s">
        <v>287</v>
      </c>
      <c r="G2476" s="62" t="s">
        <v>769</v>
      </c>
      <c r="H2476" s="62" t="s">
        <v>462</v>
      </c>
      <c r="I2476" s="64">
        <v>20434.400000000001</v>
      </c>
      <c r="J2476" s="62" t="s">
        <v>550</v>
      </c>
      <c r="K2476" s="62" t="s">
        <v>462</v>
      </c>
      <c r="L2476" s="65"/>
      <c r="M2476" s="62" t="s">
        <v>825</v>
      </c>
      <c r="N2476" s="62" t="s">
        <v>644</v>
      </c>
      <c r="O2476" s="62" t="s">
        <v>371</v>
      </c>
      <c r="P2476" s="62" t="s">
        <v>2421</v>
      </c>
      <c r="Q2476" s="66" t="s">
        <v>1972</v>
      </c>
    </row>
    <row r="2477" spans="1:17" x14ac:dyDescent="0.3">
      <c r="A2477" s="61" t="s">
        <v>2523</v>
      </c>
      <c r="B2477" s="62" t="s">
        <v>2524</v>
      </c>
      <c r="C2477" s="62" t="s">
        <v>2525</v>
      </c>
      <c r="D2477" s="63">
        <v>45809</v>
      </c>
      <c r="E2477" s="63">
        <v>46266</v>
      </c>
      <c r="F2477" s="62" t="s">
        <v>287</v>
      </c>
      <c r="G2477" s="62" t="s">
        <v>770</v>
      </c>
      <c r="H2477" s="62" t="s">
        <v>462</v>
      </c>
      <c r="I2477" s="64">
        <v>20434.400000000001</v>
      </c>
      <c r="J2477" s="62" t="s">
        <v>550</v>
      </c>
      <c r="K2477" s="62" t="s">
        <v>462</v>
      </c>
      <c r="L2477" s="65"/>
      <c r="M2477" s="62" t="s">
        <v>825</v>
      </c>
      <c r="N2477" s="62" t="s">
        <v>644</v>
      </c>
      <c r="O2477" s="62" t="s">
        <v>371</v>
      </c>
      <c r="P2477" s="62" t="s">
        <v>2421</v>
      </c>
      <c r="Q2477" s="66" t="s">
        <v>1972</v>
      </c>
    </row>
    <row r="2478" spans="1:17" x14ac:dyDescent="0.3">
      <c r="A2478" s="61" t="s">
        <v>2523</v>
      </c>
      <c r="B2478" s="62" t="s">
        <v>2524</v>
      </c>
      <c r="C2478" s="62" t="s">
        <v>2525</v>
      </c>
      <c r="D2478" s="63">
        <v>45809</v>
      </c>
      <c r="E2478" s="63">
        <v>46266</v>
      </c>
      <c r="F2478" s="62" t="s">
        <v>287</v>
      </c>
      <c r="G2478" s="62" t="s">
        <v>392</v>
      </c>
      <c r="H2478" s="62" t="s">
        <v>462</v>
      </c>
      <c r="I2478" s="64">
        <v>20434.400000000001</v>
      </c>
      <c r="J2478" s="62" t="s">
        <v>550</v>
      </c>
      <c r="K2478" s="62" t="s">
        <v>462</v>
      </c>
      <c r="L2478" s="65"/>
      <c r="M2478" s="62" t="s">
        <v>825</v>
      </c>
      <c r="N2478" s="62" t="s">
        <v>644</v>
      </c>
      <c r="O2478" s="62" t="s">
        <v>371</v>
      </c>
      <c r="P2478" s="62" t="s">
        <v>2421</v>
      </c>
      <c r="Q2478" s="66" t="s">
        <v>1972</v>
      </c>
    </row>
    <row r="2479" spans="1:17" x14ac:dyDescent="0.3">
      <c r="A2479" s="61" t="s">
        <v>2523</v>
      </c>
      <c r="B2479" s="62" t="s">
        <v>2524</v>
      </c>
      <c r="C2479" s="62" t="s">
        <v>2525</v>
      </c>
      <c r="D2479" s="63">
        <v>45809</v>
      </c>
      <c r="E2479" s="63">
        <v>46266</v>
      </c>
      <c r="F2479" s="62" t="s">
        <v>287</v>
      </c>
      <c r="G2479" s="62" t="s">
        <v>1262</v>
      </c>
      <c r="H2479" s="62" t="s">
        <v>462</v>
      </c>
      <c r="I2479" s="64">
        <v>20434.400000000001</v>
      </c>
      <c r="J2479" s="62" t="s">
        <v>550</v>
      </c>
      <c r="K2479" s="62" t="s">
        <v>462</v>
      </c>
      <c r="L2479" s="65"/>
      <c r="M2479" s="62" t="s">
        <v>825</v>
      </c>
      <c r="N2479" s="62" t="s">
        <v>644</v>
      </c>
      <c r="O2479" s="62" t="s">
        <v>371</v>
      </c>
      <c r="P2479" s="62" t="s">
        <v>2421</v>
      </c>
      <c r="Q2479" s="66" t="s">
        <v>1972</v>
      </c>
    </row>
    <row r="2480" spans="1:17" x14ac:dyDescent="0.3">
      <c r="A2480" s="61" t="s">
        <v>2523</v>
      </c>
      <c r="B2480" s="62" t="s">
        <v>2524</v>
      </c>
      <c r="C2480" s="62" t="s">
        <v>2525</v>
      </c>
      <c r="D2480" s="63">
        <v>45809</v>
      </c>
      <c r="E2480" s="63">
        <v>46266</v>
      </c>
      <c r="F2480" s="62" t="s">
        <v>287</v>
      </c>
      <c r="G2480" s="62" t="s">
        <v>1108</v>
      </c>
      <c r="H2480" s="62" t="s">
        <v>462</v>
      </c>
      <c r="I2480" s="64">
        <v>20434.400000000001</v>
      </c>
      <c r="J2480" s="62" t="s">
        <v>550</v>
      </c>
      <c r="K2480" s="62" t="s">
        <v>462</v>
      </c>
      <c r="L2480" s="65"/>
      <c r="M2480" s="62" t="s">
        <v>825</v>
      </c>
      <c r="N2480" s="62" t="s">
        <v>644</v>
      </c>
      <c r="O2480" s="62" t="s">
        <v>371</v>
      </c>
      <c r="P2480" s="62" t="s">
        <v>2421</v>
      </c>
      <c r="Q2480" s="66" t="s">
        <v>1972</v>
      </c>
    </row>
    <row r="2481" spans="1:17" x14ac:dyDescent="0.3">
      <c r="A2481" s="61" t="s">
        <v>2523</v>
      </c>
      <c r="B2481" s="62" t="s">
        <v>2524</v>
      </c>
      <c r="C2481" s="62" t="s">
        <v>2525</v>
      </c>
      <c r="D2481" s="63">
        <v>45809</v>
      </c>
      <c r="E2481" s="63">
        <v>46266</v>
      </c>
      <c r="F2481" s="62" t="s">
        <v>287</v>
      </c>
      <c r="G2481" s="62" t="s">
        <v>394</v>
      </c>
      <c r="H2481" s="62" t="s">
        <v>462</v>
      </c>
      <c r="I2481" s="64">
        <v>20434.400000000001</v>
      </c>
      <c r="J2481" s="62" t="s">
        <v>550</v>
      </c>
      <c r="K2481" s="62" t="s">
        <v>462</v>
      </c>
      <c r="L2481" s="65"/>
      <c r="M2481" s="62" t="s">
        <v>825</v>
      </c>
      <c r="N2481" s="62" t="s">
        <v>644</v>
      </c>
      <c r="O2481" s="62" t="s">
        <v>371</v>
      </c>
      <c r="P2481" s="62" t="s">
        <v>2421</v>
      </c>
      <c r="Q2481" s="66" t="s">
        <v>1972</v>
      </c>
    </row>
    <row r="2482" spans="1:17" x14ac:dyDescent="0.3">
      <c r="A2482" s="61" t="s">
        <v>2523</v>
      </c>
      <c r="B2482" s="62" t="s">
        <v>2524</v>
      </c>
      <c r="C2482" s="62" t="s">
        <v>2525</v>
      </c>
      <c r="D2482" s="63">
        <v>45809</v>
      </c>
      <c r="E2482" s="63">
        <v>46266</v>
      </c>
      <c r="F2482" s="62" t="s">
        <v>287</v>
      </c>
      <c r="G2482" s="62" t="s">
        <v>395</v>
      </c>
      <c r="H2482" s="62" t="s">
        <v>462</v>
      </c>
      <c r="I2482" s="64">
        <v>20434.400000000001</v>
      </c>
      <c r="J2482" s="62" t="s">
        <v>550</v>
      </c>
      <c r="K2482" s="62" t="s">
        <v>462</v>
      </c>
      <c r="L2482" s="65"/>
      <c r="M2482" s="62" t="s">
        <v>825</v>
      </c>
      <c r="N2482" s="62" t="s">
        <v>644</v>
      </c>
      <c r="O2482" s="62" t="s">
        <v>371</v>
      </c>
      <c r="P2482" s="62" t="s">
        <v>2421</v>
      </c>
      <c r="Q2482" s="66" t="s">
        <v>1972</v>
      </c>
    </row>
    <row r="2483" spans="1:17" x14ac:dyDescent="0.3">
      <c r="A2483" s="61" t="s">
        <v>2523</v>
      </c>
      <c r="B2483" s="62" t="s">
        <v>2524</v>
      </c>
      <c r="C2483" s="62" t="s">
        <v>2525</v>
      </c>
      <c r="D2483" s="63">
        <v>45809</v>
      </c>
      <c r="E2483" s="63">
        <v>46266</v>
      </c>
      <c r="F2483" s="62" t="s">
        <v>287</v>
      </c>
      <c r="G2483" s="62" t="s">
        <v>423</v>
      </c>
      <c r="H2483" s="62" t="s">
        <v>462</v>
      </c>
      <c r="I2483" s="64">
        <v>20434.400000000001</v>
      </c>
      <c r="J2483" s="62" t="s">
        <v>550</v>
      </c>
      <c r="K2483" s="62" t="s">
        <v>462</v>
      </c>
      <c r="L2483" s="65"/>
      <c r="M2483" s="62" t="s">
        <v>825</v>
      </c>
      <c r="N2483" s="62" t="s">
        <v>644</v>
      </c>
      <c r="O2483" s="62" t="s">
        <v>371</v>
      </c>
      <c r="P2483" s="62" t="s">
        <v>2421</v>
      </c>
      <c r="Q2483" s="66" t="s">
        <v>1972</v>
      </c>
    </row>
    <row r="2484" spans="1:17" x14ac:dyDescent="0.3">
      <c r="A2484" s="61" t="s">
        <v>2526</v>
      </c>
      <c r="B2484" s="62" t="s">
        <v>2527</v>
      </c>
      <c r="C2484" s="62" t="s">
        <v>2528</v>
      </c>
      <c r="D2484" s="63">
        <v>45797</v>
      </c>
      <c r="E2484" s="63">
        <v>46346</v>
      </c>
      <c r="F2484" s="62" t="s">
        <v>1936</v>
      </c>
      <c r="G2484" s="62" t="s">
        <v>747</v>
      </c>
      <c r="H2484" s="62" t="s">
        <v>467</v>
      </c>
      <c r="I2484" s="64">
        <v>225369</v>
      </c>
      <c r="J2484" s="62" t="s">
        <v>1322</v>
      </c>
      <c r="K2484" s="62" t="s">
        <v>467</v>
      </c>
      <c r="L2484" s="65"/>
      <c r="M2484" s="62" t="s">
        <v>825</v>
      </c>
      <c r="N2484" s="62" t="s">
        <v>558</v>
      </c>
      <c r="O2484" s="62" t="s">
        <v>426</v>
      </c>
      <c r="P2484" s="62" t="s">
        <v>2421</v>
      </c>
      <c r="Q2484" s="66" t="s">
        <v>1970</v>
      </c>
    </row>
    <row r="2485" spans="1:17" x14ac:dyDescent="0.3">
      <c r="A2485" s="61" t="s">
        <v>2529</v>
      </c>
      <c r="B2485" s="62" t="s">
        <v>2530</v>
      </c>
      <c r="C2485" s="62" t="s">
        <v>2531</v>
      </c>
      <c r="D2485" s="63">
        <v>45701</v>
      </c>
      <c r="E2485" s="63">
        <v>46065</v>
      </c>
      <c r="F2485" s="62" t="s">
        <v>1934</v>
      </c>
      <c r="G2485" s="62" t="s">
        <v>304</v>
      </c>
      <c r="H2485" s="62" t="s">
        <v>443</v>
      </c>
      <c r="I2485" s="64">
        <v>137372.935</v>
      </c>
      <c r="J2485" s="62" t="s">
        <v>1525</v>
      </c>
      <c r="K2485" s="62" t="s">
        <v>377</v>
      </c>
      <c r="L2485" s="65"/>
      <c r="M2485" s="62" t="s">
        <v>825</v>
      </c>
      <c r="N2485" s="62" t="s">
        <v>558</v>
      </c>
      <c r="O2485" s="62" t="s">
        <v>426</v>
      </c>
      <c r="P2485" s="62" t="s">
        <v>2421</v>
      </c>
      <c r="Q2485" s="66" t="s">
        <v>1972</v>
      </c>
    </row>
    <row r="2486" spans="1:17" x14ac:dyDescent="0.3">
      <c r="A2486" s="61" t="s">
        <v>2529</v>
      </c>
      <c r="B2486" s="62" t="s">
        <v>2530</v>
      </c>
      <c r="C2486" s="62" t="s">
        <v>2531</v>
      </c>
      <c r="D2486" s="63">
        <v>45701</v>
      </c>
      <c r="E2486" s="63">
        <v>46065</v>
      </c>
      <c r="F2486" s="62" t="s">
        <v>1958</v>
      </c>
      <c r="G2486" s="62" t="s">
        <v>304</v>
      </c>
      <c r="H2486" s="62" t="s">
        <v>443</v>
      </c>
      <c r="I2486" s="64">
        <v>137372.935</v>
      </c>
      <c r="J2486" s="62" t="s">
        <v>1525</v>
      </c>
      <c r="K2486" s="62" t="s">
        <v>377</v>
      </c>
      <c r="L2486" s="65"/>
      <c r="M2486" s="62" t="s">
        <v>825</v>
      </c>
      <c r="N2486" s="62" t="s">
        <v>558</v>
      </c>
      <c r="O2486" s="62" t="s">
        <v>426</v>
      </c>
      <c r="P2486" s="62" t="s">
        <v>2421</v>
      </c>
      <c r="Q2486" s="66" t="s">
        <v>1972</v>
      </c>
    </row>
    <row r="2487" spans="1:17" x14ac:dyDescent="0.3">
      <c r="A2487" s="61" t="s">
        <v>2532</v>
      </c>
      <c r="B2487" s="62" t="s">
        <v>2533</v>
      </c>
      <c r="C2487" s="62" t="s">
        <v>2534</v>
      </c>
      <c r="D2487" s="63">
        <v>45809</v>
      </c>
      <c r="E2487" s="63">
        <v>46357</v>
      </c>
      <c r="F2487" s="62" t="s">
        <v>348</v>
      </c>
      <c r="G2487" s="62" t="s">
        <v>348</v>
      </c>
      <c r="H2487" s="62" t="s">
        <v>467</v>
      </c>
      <c r="I2487" s="64">
        <v>113524</v>
      </c>
      <c r="J2487" s="62" t="s">
        <v>468</v>
      </c>
      <c r="K2487" s="62" t="s">
        <v>467</v>
      </c>
      <c r="L2487" s="65"/>
      <c r="M2487" s="62" t="s">
        <v>825</v>
      </c>
      <c r="N2487" s="62" t="s">
        <v>663</v>
      </c>
      <c r="O2487" s="62" t="s">
        <v>371</v>
      </c>
      <c r="P2487" s="62" t="s">
        <v>2421</v>
      </c>
      <c r="Q2487" s="66" t="s">
        <v>1970</v>
      </c>
    </row>
    <row r="2488" spans="1:17" x14ac:dyDescent="0.3">
      <c r="A2488" s="61" t="s">
        <v>2535</v>
      </c>
      <c r="B2488" s="62" t="s">
        <v>2536</v>
      </c>
      <c r="C2488" s="62" t="s">
        <v>2537</v>
      </c>
      <c r="D2488" s="63">
        <v>45803</v>
      </c>
      <c r="E2488" s="63">
        <v>46167</v>
      </c>
      <c r="F2488" s="62" t="s">
        <v>1945</v>
      </c>
      <c r="G2488" s="62" t="s">
        <v>400</v>
      </c>
      <c r="H2488" s="62" t="s">
        <v>443</v>
      </c>
      <c r="I2488" s="64">
        <v>229999.76</v>
      </c>
      <c r="J2488" s="62" t="s">
        <v>1525</v>
      </c>
      <c r="K2488" s="62" t="s">
        <v>377</v>
      </c>
      <c r="L2488" s="65"/>
      <c r="M2488" s="62" t="s">
        <v>825</v>
      </c>
      <c r="N2488" s="62" t="s">
        <v>892</v>
      </c>
      <c r="O2488" s="62" t="s">
        <v>375</v>
      </c>
      <c r="P2488" s="62" t="s">
        <v>2421</v>
      </c>
      <c r="Q2488" s="66" t="s">
        <v>2021</v>
      </c>
    </row>
    <row r="2489" spans="1:17" x14ac:dyDescent="0.3">
      <c r="A2489" s="61" t="s">
        <v>2538</v>
      </c>
      <c r="B2489" s="62" t="s">
        <v>2539</v>
      </c>
      <c r="C2489" s="62" t="s">
        <v>2540</v>
      </c>
      <c r="D2489" s="63">
        <v>45804</v>
      </c>
      <c r="E2489" s="63">
        <v>46534</v>
      </c>
      <c r="F2489" s="62" t="s">
        <v>1958</v>
      </c>
      <c r="G2489" s="62" t="s">
        <v>330</v>
      </c>
      <c r="H2489" s="62" t="s">
        <v>2420</v>
      </c>
      <c r="I2489" s="64">
        <v>344522.33333333302</v>
      </c>
      <c r="J2489" s="62" t="s">
        <v>2425</v>
      </c>
      <c r="K2489" s="62" t="s">
        <v>377</v>
      </c>
      <c r="L2489" s="65"/>
      <c r="M2489" s="62" t="s">
        <v>2465</v>
      </c>
      <c r="N2489" s="62" t="s">
        <v>314</v>
      </c>
      <c r="O2489" s="62" t="s">
        <v>315</v>
      </c>
      <c r="P2489" s="62" t="s">
        <v>2421</v>
      </c>
      <c r="Q2489" s="66" t="s">
        <v>1969</v>
      </c>
    </row>
    <row r="2490" spans="1:17" x14ac:dyDescent="0.3">
      <c r="A2490" s="61" t="s">
        <v>2538</v>
      </c>
      <c r="B2490" s="62" t="s">
        <v>2539</v>
      </c>
      <c r="C2490" s="62" t="s">
        <v>2540</v>
      </c>
      <c r="D2490" s="63">
        <v>45804</v>
      </c>
      <c r="E2490" s="63">
        <v>46534</v>
      </c>
      <c r="F2490" s="62" t="s">
        <v>1958</v>
      </c>
      <c r="G2490" s="62" t="s">
        <v>628</v>
      </c>
      <c r="H2490" s="62" t="s">
        <v>2420</v>
      </c>
      <c r="I2490" s="64">
        <v>344522.33333333302</v>
      </c>
      <c r="J2490" s="62" t="s">
        <v>2425</v>
      </c>
      <c r="K2490" s="62" t="s">
        <v>377</v>
      </c>
      <c r="L2490" s="65"/>
      <c r="M2490" s="62" t="s">
        <v>2465</v>
      </c>
      <c r="N2490" s="62" t="s">
        <v>314</v>
      </c>
      <c r="O2490" s="62" t="s">
        <v>315</v>
      </c>
      <c r="P2490" s="62" t="s">
        <v>2421</v>
      </c>
      <c r="Q2490" s="66" t="s">
        <v>1969</v>
      </c>
    </row>
    <row r="2491" spans="1:17" x14ac:dyDescent="0.3">
      <c r="A2491" s="61" t="s">
        <v>2538</v>
      </c>
      <c r="B2491" s="62" t="s">
        <v>2539</v>
      </c>
      <c r="C2491" s="62" t="s">
        <v>2540</v>
      </c>
      <c r="D2491" s="63">
        <v>45804</v>
      </c>
      <c r="E2491" s="63">
        <v>46534</v>
      </c>
      <c r="F2491" s="62" t="s">
        <v>1958</v>
      </c>
      <c r="G2491" s="62" t="s">
        <v>334</v>
      </c>
      <c r="H2491" s="62" t="s">
        <v>2420</v>
      </c>
      <c r="I2491" s="64">
        <v>344522.33333333302</v>
      </c>
      <c r="J2491" s="62" t="s">
        <v>2425</v>
      </c>
      <c r="K2491" s="62" t="s">
        <v>377</v>
      </c>
      <c r="L2491" s="65"/>
      <c r="M2491" s="62" t="s">
        <v>2465</v>
      </c>
      <c r="N2491" s="62" t="s">
        <v>314</v>
      </c>
      <c r="O2491" s="62" t="s">
        <v>315</v>
      </c>
      <c r="P2491" s="62" t="s">
        <v>2421</v>
      </c>
      <c r="Q2491" s="66" t="s">
        <v>1969</v>
      </c>
    </row>
    <row r="2492" spans="1:17" x14ac:dyDescent="0.3">
      <c r="A2492" s="61" t="s">
        <v>2538</v>
      </c>
      <c r="B2492" s="62" t="s">
        <v>2539</v>
      </c>
      <c r="C2492" s="62" t="s">
        <v>2540</v>
      </c>
      <c r="D2492" s="63">
        <v>45804</v>
      </c>
      <c r="E2492" s="63">
        <v>46534</v>
      </c>
      <c r="F2492" s="62" t="s">
        <v>1958</v>
      </c>
      <c r="G2492" s="62" t="s">
        <v>330</v>
      </c>
      <c r="H2492" s="62" t="s">
        <v>2427</v>
      </c>
      <c r="I2492" s="64">
        <v>11954</v>
      </c>
      <c r="J2492" s="62" t="s">
        <v>2541</v>
      </c>
      <c r="K2492" s="62" t="s">
        <v>377</v>
      </c>
      <c r="L2492" s="65"/>
      <c r="M2492" s="62" t="s">
        <v>2465</v>
      </c>
      <c r="N2492" s="62" t="s">
        <v>314</v>
      </c>
      <c r="O2492" s="62" t="s">
        <v>315</v>
      </c>
      <c r="P2492" s="62" t="s">
        <v>2421</v>
      </c>
      <c r="Q2492" s="66" t="s">
        <v>1969</v>
      </c>
    </row>
    <row r="2493" spans="1:17" x14ac:dyDescent="0.3">
      <c r="A2493" s="61" t="s">
        <v>2538</v>
      </c>
      <c r="B2493" s="62" t="s">
        <v>2539</v>
      </c>
      <c r="C2493" s="62" t="s">
        <v>2540</v>
      </c>
      <c r="D2493" s="63">
        <v>45804</v>
      </c>
      <c r="E2493" s="63">
        <v>46534</v>
      </c>
      <c r="F2493" s="62" t="s">
        <v>1958</v>
      </c>
      <c r="G2493" s="62" t="s">
        <v>628</v>
      </c>
      <c r="H2493" s="62" t="s">
        <v>2427</v>
      </c>
      <c r="I2493" s="64">
        <v>11954</v>
      </c>
      <c r="J2493" s="62" t="s">
        <v>2541</v>
      </c>
      <c r="K2493" s="62" t="s">
        <v>377</v>
      </c>
      <c r="L2493" s="65"/>
      <c r="M2493" s="62" t="s">
        <v>2465</v>
      </c>
      <c r="N2493" s="62" t="s">
        <v>314</v>
      </c>
      <c r="O2493" s="62" t="s">
        <v>315</v>
      </c>
      <c r="P2493" s="62" t="s">
        <v>2421</v>
      </c>
      <c r="Q2493" s="66" t="s">
        <v>1969</v>
      </c>
    </row>
    <row r="2494" spans="1:17" x14ac:dyDescent="0.3">
      <c r="A2494" s="61" t="s">
        <v>2538</v>
      </c>
      <c r="B2494" s="62" t="s">
        <v>2539</v>
      </c>
      <c r="C2494" s="62" t="s">
        <v>2540</v>
      </c>
      <c r="D2494" s="63">
        <v>45804</v>
      </c>
      <c r="E2494" s="63">
        <v>46534</v>
      </c>
      <c r="F2494" s="62" t="s">
        <v>1958</v>
      </c>
      <c r="G2494" s="62" t="s">
        <v>334</v>
      </c>
      <c r="H2494" s="62" t="s">
        <v>2427</v>
      </c>
      <c r="I2494" s="64">
        <v>11954</v>
      </c>
      <c r="J2494" s="62" t="s">
        <v>2541</v>
      </c>
      <c r="K2494" s="62" t="s">
        <v>377</v>
      </c>
      <c r="L2494" s="65"/>
      <c r="M2494" s="62" t="s">
        <v>2465</v>
      </c>
      <c r="N2494" s="62" t="s">
        <v>314</v>
      </c>
      <c r="O2494" s="62" t="s">
        <v>315</v>
      </c>
      <c r="P2494" s="62" t="s">
        <v>2421</v>
      </c>
      <c r="Q2494" s="66" t="s">
        <v>1969</v>
      </c>
    </row>
    <row r="2495" spans="1:17" x14ac:dyDescent="0.3">
      <c r="A2495" s="61" t="s">
        <v>2542</v>
      </c>
      <c r="B2495" s="62" t="s">
        <v>2543</v>
      </c>
      <c r="C2495" s="62" t="s">
        <v>2544</v>
      </c>
      <c r="D2495" s="63">
        <v>45582</v>
      </c>
      <c r="E2495" s="63">
        <v>46312</v>
      </c>
      <c r="F2495" s="62" t="s">
        <v>287</v>
      </c>
      <c r="G2495" s="62" t="s">
        <v>396</v>
      </c>
      <c r="H2495" s="62" t="s">
        <v>467</v>
      </c>
      <c r="I2495" s="64">
        <v>184252</v>
      </c>
      <c r="J2495" s="62" t="s">
        <v>803</v>
      </c>
      <c r="K2495" s="62" t="s">
        <v>467</v>
      </c>
      <c r="L2495" s="65"/>
      <c r="M2495" s="62" t="s">
        <v>825</v>
      </c>
      <c r="N2495" s="62" t="s">
        <v>579</v>
      </c>
      <c r="O2495" s="62" t="s">
        <v>428</v>
      </c>
      <c r="P2495" s="62" t="s">
        <v>2421</v>
      </c>
      <c r="Q2495" s="66" t="s">
        <v>2021</v>
      </c>
    </row>
    <row r="2496" spans="1:17" x14ac:dyDescent="0.3">
      <c r="A2496" s="61" t="s">
        <v>2542</v>
      </c>
      <c r="B2496" s="62" t="s">
        <v>2543</v>
      </c>
      <c r="C2496" s="62" t="s">
        <v>2544</v>
      </c>
      <c r="D2496" s="63">
        <v>45582</v>
      </c>
      <c r="E2496" s="63">
        <v>46312</v>
      </c>
      <c r="F2496" s="62" t="s">
        <v>1945</v>
      </c>
      <c r="G2496" s="62" t="s">
        <v>400</v>
      </c>
      <c r="H2496" s="62" t="s">
        <v>467</v>
      </c>
      <c r="I2496" s="64">
        <v>184252</v>
      </c>
      <c r="J2496" s="62" t="s">
        <v>803</v>
      </c>
      <c r="K2496" s="62" t="s">
        <v>467</v>
      </c>
      <c r="L2496" s="65"/>
      <c r="M2496" s="62" t="s">
        <v>825</v>
      </c>
      <c r="N2496" s="62" t="s">
        <v>579</v>
      </c>
      <c r="O2496" s="62" t="s">
        <v>428</v>
      </c>
      <c r="P2496" s="62" t="s">
        <v>2421</v>
      </c>
      <c r="Q2496" s="66" t="s">
        <v>2021</v>
      </c>
    </row>
    <row r="2497" spans="1:17" x14ac:dyDescent="0.3">
      <c r="A2497" s="61" t="s">
        <v>2545</v>
      </c>
      <c r="B2497" s="62" t="s">
        <v>2546</v>
      </c>
      <c r="C2497" s="62" t="s">
        <v>2547</v>
      </c>
      <c r="D2497" s="63">
        <v>45884</v>
      </c>
      <c r="E2497" s="63">
        <v>46934</v>
      </c>
      <c r="F2497" s="62" t="s">
        <v>1922</v>
      </c>
      <c r="G2497" s="62" t="s">
        <v>1196</v>
      </c>
      <c r="H2497" s="62" t="s">
        <v>362</v>
      </c>
      <c r="I2497" s="64">
        <v>18787.916666666701</v>
      </c>
      <c r="J2497" s="62" t="s">
        <v>363</v>
      </c>
      <c r="K2497" s="62" t="s">
        <v>1957</v>
      </c>
      <c r="L2497" s="65"/>
      <c r="M2497" s="62" t="s">
        <v>825</v>
      </c>
      <c r="N2497" s="62" t="s">
        <v>551</v>
      </c>
      <c r="O2497" s="62" t="s">
        <v>428</v>
      </c>
      <c r="P2497" s="62" t="s">
        <v>2421</v>
      </c>
      <c r="Q2497" s="66" t="s">
        <v>2021</v>
      </c>
    </row>
    <row r="2498" spans="1:17" x14ac:dyDescent="0.3">
      <c r="A2498" s="61" t="s">
        <v>2545</v>
      </c>
      <c r="B2498" s="62" t="s">
        <v>2546</v>
      </c>
      <c r="C2498" s="62" t="s">
        <v>2547</v>
      </c>
      <c r="D2498" s="63">
        <v>45884</v>
      </c>
      <c r="E2498" s="63">
        <v>46934</v>
      </c>
      <c r="F2498" s="62" t="s">
        <v>1922</v>
      </c>
      <c r="G2498" s="62" t="s">
        <v>376</v>
      </c>
      <c r="H2498" s="62" t="s">
        <v>362</v>
      </c>
      <c r="I2498" s="64">
        <v>18787.916666666701</v>
      </c>
      <c r="J2498" s="62" t="s">
        <v>363</v>
      </c>
      <c r="K2498" s="62" t="s">
        <v>1957</v>
      </c>
      <c r="L2498" s="65"/>
      <c r="M2498" s="62" t="s">
        <v>825</v>
      </c>
      <c r="N2498" s="62" t="s">
        <v>551</v>
      </c>
      <c r="O2498" s="62" t="s">
        <v>428</v>
      </c>
      <c r="P2498" s="62" t="s">
        <v>2421</v>
      </c>
      <c r="Q2498" s="66" t="s">
        <v>2021</v>
      </c>
    </row>
    <row r="2499" spans="1:17" x14ac:dyDescent="0.3">
      <c r="A2499" s="61" t="s">
        <v>2545</v>
      </c>
      <c r="B2499" s="62" t="s">
        <v>2546</v>
      </c>
      <c r="C2499" s="62" t="s">
        <v>2547</v>
      </c>
      <c r="D2499" s="63">
        <v>45884</v>
      </c>
      <c r="E2499" s="63">
        <v>46934</v>
      </c>
      <c r="F2499" s="62" t="s">
        <v>1922</v>
      </c>
      <c r="G2499" s="62" t="s">
        <v>381</v>
      </c>
      <c r="H2499" s="62" t="s">
        <v>362</v>
      </c>
      <c r="I2499" s="64">
        <v>18787.916666666701</v>
      </c>
      <c r="J2499" s="62" t="s">
        <v>363</v>
      </c>
      <c r="K2499" s="62" t="s">
        <v>1957</v>
      </c>
      <c r="L2499" s="65"/>
      <c r="M2499" s="62" t="s">
        <v>825</v>
      </c>
      <c r="N2499" s="62" t="s">
        <v>551</v>
      </c>
      <c r="O2499" s="62" t="s">
        <v>428</v>
      </c>
      <c r="P2499" s="62" t="s">
        <v>2421</v>
      </c>
      <c r="Q2499" s="66" t="s">
        <v>2021</v>
      </c>
    </row>
    <row r="2500" spans="1:17" x14ac:dyDescent="0.3">
      <c r="A2500" s="61" t="s">
        <v>2545</v>
      </c>
      <c r="B2500" s="62" t="s">
        <v>2546</v>
      </c>
      <c r="C2500" s="62" t="s">
        <v>2547</v>
      </c>
      <c r="D2500" s="63">
        <v>45884</v>
      </c>
      <c r="E2500" s="63">
        <v>46934</v>
      </c>
      <c r="F2500" s="62" t="s">
        <v>1922</v>
      </c>
      <c r="G2500" s="62" t="s">
        <v>382</v>
      </c>
      <c r="H2500" s="62" t="s">
        <v>362</v>
      </c>
      <c r="I2500" s="64">
        <v>18787.916666666701</v>
      </c>
      <c r="J2500" s="62" t="s">
        <v>363</v>
      </c>
      <c r="K2500" s="62" t="s">
        <v>1957</v>
      </c>
      <c r="L2500" s="65"/>
      <c r="M2500" s="62" t="s">
        <v>825</v>
      </c>
      <c r="N2500" s="62" t="s">
        <v>551</v>
      </c>
      <c r="O2500" s="62" t="s">
        <v>428</v>
      </c>
      <c r="P2500" s="62" t="s">
        <v>2421</v>
      </c>
      <c r="Q2500" s="66" t="s">
        <v>2021</v>
      </c>
    </row>
    <row r="2501" spans="1:17" x14ac:dyDescent="0.3">
      <c r="A2501" s="61" t="s">
        <v>2545</v>
      </c>
      <c r="B2501" s="62" t="s">
        <v>2546</v>
      </c>
      <c r="C2501" s="62" t="s">
        <v>2547</v>
      </c>
      <c r="D2501" s="63">
        <v>45884</v>
      </c>
      <c r="E2501" s="63">
        <v>46934</v>
      </c>
      <c r="F2501" s="62" t="s">
        <v>1922</v>
      </c>
      <c r="G2501" s="62" t="s">
        <v>383</v>
      </c>
      <c r="H2501" s="62" t="s">
        <v>362</v>
      </c>
      <c r="I2501" s="64">
        <v>18787.916666666701</v>
      </c>
      <c r="J2501" s="62" t="s">
        <v>363</v>
      </c>
      <c r="K2501" s="62" t="s">
        <v>1957</v>
      </c>
      <c r="L2501" s="65"/>
      <c r="M2501" s="62" t="s">
        <v>825</v>
      </c>
      <c r="N2501" s="62" t="s">
        <v>551</v>
      </c>
      <c r="O2501" s="62" t="s">
        <v>428</v>
      </c>
      <c r="P2501" s="62" t="s">
        <v>2421</v>
      </c>
      <c r="Q2501" s="66" t="s">
        <v>2021</v>
      </c>
    </row>
    <row r="2502" spans="1:17" x14ac:dyDescent="0.3">
      <c r="A2502" s="61" t="s">
        <v>2545</v>
      </c>
      <c r="B2502" s="62" t="s">
        <v>2546</v>
      </c>
      <c r="C2502" s="62" t="s">
        <v>2547</v>
      </c>
      <c r="D2502" s="63">
        <v>45884</v>
      </c>
      <c r="E2502" s="63">
        <v>46934</v>
      </c>
      <c r="F2502" s="62" t="s">
        <v>1922</v>
      </c>
      <c r="G2502" s="62" t="s">
        <v>386</v>
      </c>
      <c r="H2502" s="62" t="s">
        <v>362</v>
      </c>
      <c r="I2502" s="64">
        <v>18787.916666666701</v>
      </c>
      <c r="J2502" s="62" t="s">
        <v>363</v>
      </c>
      <c r="K2502" s="62" t="s">
        <v>1957</v>
      </c>
      <c r="L2502" s="65"/>
      <c r="M2502" s="62" t="s">
        <v>825</v>
      </c>
      <c r="N2502" s="62" t="s">
        <v>551</v>
      </c>
      <c r="O2502" s="62" t="s">
        <v>428</v>
      </c>
      <c r="P2502" s="62" t="s">
        <v>2421</v>
      </c>
      <c r="Q2502" s="66" t="s">
        <v>2021</v>
      </c>
    </row>
    <row r="2503" spans="1:17" x14ac:dyDescent="0.3">
      <c r="A2503" s="61" t="s">
        <v>2545</v>
      </c>
      <c r="B2503" s="62" t="s">
        <v>2546</v>
      </c>
      <c r="C2503" s="62" t="s">
        <v>2547</v>
      </c>
      <c r="D2503" s="63">
        <v>45884</v>
      </c>
      <c r="E2503" s="63">
        <v>46934</v>
      </c>
      <c r="F2503" s="62" t="s">
        <v>1959</v>
      </c>
      <c r="G2503" s="62" t="s">
        <v>466</v>
      </c>
      <c r="H2503" s="62" t="s">
        <v>362</v>
      </c>
      <c r="I2503" s="64">
        <v>28181.875</v>
      </c>
      <c r="J2503" s="62" t="s">
        <v>363</v>
      </c>
      <c r="K2503" s="62" t="s">
        <v>1957</v>
      </c>
      <c r="L2503" s="65"/>
      <c r="M2503" s="62" t="s">
        <v>825</v>
      </c>
      <c r="N2503" s="62" t="s">
        <v>551</v>
      </c>
      <c r="O2503" s="62" t="s">
        <v>428</v>
      </c>
      <c r="P2503" s="62" t="s">
        <v>2421</v>
      </c>
      <c r="Q2503" s="66" t="s">
        <v>2021</v>
      </c>
    </row>
    <row r="2504" spans="1:17" x14ac:dyDescent="0.3">
      <c r="A2504" s="61" t="s">
        <v>2545</v>
      </c>
      <c r="B2504" s="62" t="s">
        <v>2546</v>
      </c>
      <c r="C2504" s="62" t="s">
        <v>2547</v>
      </c>
      <c r="D2504" s="63">
        <v>45884</v>
      </c>
      <c r="E2504" s="63">
        <v>46934</v>
      </c>
      <c r="F2504" s="62" t="s">
        <v>1959</v>
      </c>
      <c r="G2504" s="62" t="s">
        <v>668</v>
      </c>
      <c r="H2504" s="62" t="s">
        <v>362</v>
      </c>
      <c r="I2504" s="64">
        <v>28181.875</v>
      </c>
      <c r="J2504" s="62" t="s">
        <v>363</v>
      </c>
      <c r="K2504" s="62" t="s">
        <v>1957</v>
      </c>
      <c r="L2504" s="65"/>
      <c r="M2504" s="62" t="s">
        <v>825</v>
      </c>
      <c r="N2504" s="62" t="s">
        <v>551</v>
      </c>
      <c r="O2504" s="62" t="s">
        <v>428</v>
      </c>
      <c r="P2504" s="62" t="s">
        <v>2421</v>
      </c>
      <c r="Q2504" s="66" t="s">
        <v>2021</v>
      </c>
    </row>
    <row r="2505" spans="1:17" x14ac:dyDescent="0.3">
      <c r="A2505" s="61" t="s">
        <v>2545</v>
      </c>
      <c r="B2505" s="62" t="s">
        <v>2546</v>
      </c>
      <c r="C2505" s="62" t="s">
        <v>2547</v>
      </c>
      <c r="D2505" s="63">
        <v>45884</v>
      </c>
      <c r="E2505" s="63">
        <v>46934</v>
      </c>
      <c r="F2505" s="62" t="s">
        <v>1959</v>
      </c>
      <c r="G2505" s="62" t="s">
        <v>475</v>
      </c>
      <c r="H2505" s="62" t="s">
        <v>362</v>
      </c>
      <c r="I2505" s="64">
        <v>28181.875</v>
      </c>
      <c r="J2505" s="62" t="s">
        <v>363</v>
      </c>
      <c r="K2505" s="62" t="s">
        <v>1957</v>
      </c>
      <c r="L2505" s="65"/>
      <c r="M2505" s="62" t="s">
        <v>825</v>
      </c>
      <c r="N2505" s="62" t="s">
        <v>551</v>
      </c>
      <c r="O2505" s="62" t="s">
        <v>428</v>
      </c>
      <c r="P2505" s="62" t="s">
        <v>2421</v>
      </c>
      <c r="Q2505" s="66" t="s">
        <v>2021</v>
      </c>
    </row>
    <row r="2506" spans="1:17" x14ac:dyDescent="0.3">
      <c r="A2506" s="61" t="s">
        <v>2545</v>
      </c>
      <c r="B2506" s="62" t="s">
        <v>2546</v>
      </c>
      <c r="C2506" s="62" t="s">
        <v>2547</v>
      </c>
      <c r="D2506" s="63">
        <v>45884</v>
      </c>
      <c r="E2506" s="63">
        <v>46934</v>
      </c>
      <c r="F2506" s="62" t="s">
        <v>1959</v>
      </c>
      <c r="G2506" s="62" t="s">
        <v>808</v>
      </c>
      <c r="H2506" s="62" t="s">
        <v>362</v>
      </c>
      <c r="I2506" s="64">
        <v>28181.875</v>
      </c>
      <c r="J2506" s="62" t="s">
        <v>363</v>
      </c>
      <c r="K2506" s="62" t="s">
        <v>1957</v>
      </c>
      <c r="L2506" s="65"/>
      <c r="M2506" s="62" t="s">
        <v>825</v>
      </c>
      <c r="N2506" s="62" t="s">
        <v>551</v>
      </c>
      <c r="O2506" s="62" t="s">
        <v>428</v>
      </c>
      <c r="P2506" s="62" t="s">
        <v>2421</v>
      </c>
      <c r="Q2506" s="66" t="s">
        <v>2021</v>
      </c>
    </row>
    <row r="2507" spans="1:17" x14ac:dyDescent="0.3">
      <c r="A2507" s="61" t="s">
        <v>2548</v>
      </c>
      <c r="B2507" s="62" t="s">
        <v>2549</v>
      </c>
      <c r="C2507" s="62" t="s">
        <v>2550</v>
      </c>
      <c r="D2507" s="63">
        <v>45860</v>
      </c>
      <c r="E2507" s="63">
        <v>47321</v>
      </c>
      <c r="F2507" s="62" t="s">
        <v>350</v>
      </c>
      <c r="G2507" s="62" t="s">
        <v>304</v>
      </c>
      <c r="H2507" s="62" t="s">
        <v>345</v>
      </c>
      <c r="I2507" s="64">
        <v>5400000</v>
      </c>
      <c r="J2507" s="62" t="s">
        <v>441</v>
      </c>
      <c r="K2507" s="62" t="s">
        <v>345</v>
      </c>
      <c r="L2507" s="65"/>
      <c r="M2507" s="62" t="s">
        <v>2465</v>
      </c>
      <c r="N2507" s="62" t="s">
        <v>673</v>
      </c>
      <c r="O2507" s="62" t="s">
        <v>371</v>
      </c>
      <c r="P2507" s="62" t="s">
        <v>2421</v>
      </c>
      <c r="Q2507" s="66" t="s">
        <v>1972</v>
      </c>
    </row>
    <row r="2508" spans="1:17" x14ac:dyDescent="0.3">
      <c r="A2508" s="61" t="s">
        <v>2551</v>
      </c>
      <c r="B2508" s="62" t="s">
        <v>2552</v>
      </c>
      <c r="C2508" s="62" t="s">
        <v>2553</v>
      </c>
      <c r="D2508" s="63">
        <v>45868</v>
      </c>
      <c r="E2508" s="63">
        <v>46416</v>
      </c>
      <c r="F2508" s="62" t="s">
        <v>1922</v>
      </c>
      <c r="G2508" s="62" t="s">
        <v>385</v>
      </c>
      <c r="H2508" s="62" t="s">
        <v>443</v>
      </c>
      <c r="I2508" s="64">
        <v>673920.94</v>
      </c>
      <c r="J2508" s="62" t="s">
        <v>939</v>
      </c>
      <c r="K2508" s="62" t="s">
        <v>377</v>
      </c>
      <c r="L2508" s="65"/>
      <c r="M2508" s="62" t="s">
        <v>825</v>
      </c>
      <c r="N2508" s="62" t="s">
        <v>644</v>
      </c>
      <c r="O2508" s="62" t="s">
        <v>371</v>
      </c>
      <c r="P2508" s="62" t="s">
        <v>2421</v>
      </c>
      <c r="Q2508" s="66" t="s">
        <v>1972</v>
      </c>
    </row>
    <row r="2509" spans="1:17" x14ac:dyDescent="0.3">
      <c r="A2509" s="61" t="s">
        <v>2554</v>
      </c>
      <c r="B2509" s="62" t="s">
        <v>2555</v>
      </c>
      <c r="C2509" s="62" t="s">
        <v>2556</v>
      </c>
      <c r="D2509" s="63">
        <v>45870</v>
      </c>
      <c r="E2509" s="63">
        <v>46232</v>
      </c>
      <c r="F2509" s="62" t="s">
        <v>287</v>
      </c>
      <c r="G2509" s="62" t="s">
        <v>396</v>
      </c>
      <c r="H2509" s="62" t="s">
        <v>443</v>
      </c>
      <c r="I2509" s="64">
        <v>668782.89</v>
      </c>
      <c r="J2509" s="62" t="s">
        <v>939</v>
      </c>
      <c r="K2509" s="62" t="s">
        <v>377</v>
      </c>
      <c r="L2509" s="65"/>
      <c r="M2509" s="62" t="s">
        <v>825</v>
      </c>
      <c r="N2509" s="62" t="s">
        <v>378</v>
      </c>
      <c r="O2509" s="62" t="s">
        <v>371</v>
      </c>
      <c r="P2509" s="62" t="s">
        <v>2421</v>
      </c>
      <c r="Q2509" s="66" t="s">
        <v>1972</v>
      </c>
    </row>
    <row r="2510" spans="1:17" x14ac:dyDescent="0.3">
      <c r="A2510" s="61" t="s">
        <v>2557</v>
      </c>
      <c r="B2510" s="62" t="s">
        <v>2558</v>
      </c>
      <c r="C2510" s="62" t="s">
        <v>2559</v>
      </c>
      <c r="D2510" s="63">
        <v>44880</v>
      </c>
      <c r="E2510" s="63">
        <v>46522</v>
      </c>
      <c r="F2510" s="62" t="s">
        <v>1921</v>
      </c>
      <c r="G2510" s="62" t="s">
        <v>304</v>
      </c>
      <c r="H2510" s="62" t="s">
        <v>467</v>
      </c>
      <c r="I2510" s="64">
        <v>307807</v>
      </c>
      <c r="J2510" s="62" t="s">
        <v>468</v>
      </c>
      <c r="K2510" s="62" t="s">
        <v>467</v>
      </c>
      <c r="L2510" s="65"/>
      <c r="M2510" s="62" t="s">
        <v>354</v>
      </c>
      <c r="N2510" s="62" t="s">
        <v>910</v>
      </c>
      <c r="O2510" s="62" t="s">
        <v>646</v>
      </c>
      <c r="P2510" s="62" t="s">
        <v>2421</v>
      </c>
      <c r="Q2510" s="66" t="s">
        <v>1967</v>
      </c>
    </row>
    <row r="2511" spans="1:17" x14ac:dyDescent="0.3">
      <c r="A2511" s="61" t="s">
        <v>2557</v>
      </c>
      <c r="B2511" s="62" t="s">
        <v>2558</v>
      </c>
      <c r="C2511" s="62" t="s">
        <v>2559</v>
      </c>
      <c r="D2511" s="63">
        <v>44880</v>
      </c>
      <c r="E2511" s="63">
        <v>46522</v>
      </c>
      <c r="F2511" s="62" t="s">
        <v>1945</v>
      </c>
      <c r="G2511" s="62" t="s">
        <v>304</v>
      </c>
      <c r="H2511" s="62" t="s">
        <v>467</v>
      </c>
      <c r="I2511" s="64">
        <v>307807</v>
      </c>
      <c r="J2511" s="62" t="s">
        <v>468</v>
      </c>
      <c r="K2511" s="62" t="s">
        <v>467</v>
      </c>
      <c r="L2511" s="65"/>
      <c r="M2511" s="62" t="s">
        <v>354</v>
      </c>
      <c r="N2511" s="62" t="s">
        <v>910</v>
      </c>
      <c r="O2511" s="62" t="s">
        <v>646</v>
      </c>
      <c r="P2511" s="62" t="s">
        <v>2421</v>
      </c>
      <c r="Q2511" s="66" t="s">
        <v>1967</v>
      </c>
    </row>
    <row r="2512" spans="1:17" x14ac:dyDescent="0.3">
      <c r="A2512" s="61" t="s">
        <v>2557</v>
      </c>
      <c r="B2512" s="62" t="s">
        <v>2558</v>
      </c>
      <c r="C2512" s="62" t="s">
        <v>2559</v>
      </c>
      <c r="D2512" s="63">
        <v>44880</v>
      </c>
      <c r="E2512" s="63">
        <v>46522</v>
      </c>
      <c r="F2512" s="62" t="s">
        <v>1921</v>
      </c>
      <c r="G2512" s="62" t="s">
        <v>304</v>
      </c>
      <c r="H2512" s="62" t="s">
        <v>2427</v>
      </c>
      <c r="I2512" s="64">
        <v>7485.5</v>
      </c>
      <c r="J2512" s="62" t="s">
        <v>2560</v>
      </c>
      <c r="K2512" s="62" t="s">
        <v>467</v>
      </c>
      <c r="L2512" s="65"/>
      <c r="M2512" s="62" t="s">
        <v>354</v>
      </c>
      <c r="N2512" s="62" t="s">
        <v>910</v>
      </c>
      <c r="O2512" s="62" t="s">
        <v>646</v>
      </c>
      <c r="P2512" s="62" t="s">
        <v>2421</v>
      </c>
      <c r="Q2512" s="66" t="s">
        <v>1967</v>
      </c>
    </row>
    <row r="2513" spans="1:17" x14ac:dyDescent="0.3">
      <c r="A2513" s="61" t="s">
        <v>2557</v>
      </c>
      <c r="B2513" s="62" t="s">
        <v>2558</v>
      </c>
      <c r="C2513" s="62" t="s">
        <v>2559</v>
      </c>
      <c r="D2513" s="63">
        <v>44880</v>
      </c>
      <c r="E2513" s="63">
        <v>46522</v>
      </c>
      <c r="F2513" s="62" t="s">
        <v>1945</v>
      </c>
      <c r="G2513" s="62" t="s">
        <v>304</v>
      </c>
      <c r="H2513" s="62" t="s">
        <v>2427</v>
      </c>
      <c r="I2513" s="64">
        <v>7485.5</v>
      </c>
      <c r="J2513" s="62" t="s">
        <v>2560</v>
      </c>
      <c r="K2513" s="62" t="s">
        <v>467</v>
      </c>
      <c r="L2513" s="65"/>
      <c r="M2513" s="62" t="s">
        <v>354</v>
      </c>
      <c r="N2513" s="62" t="s">
        <v>910</v>
      </c>
      <c r="O2513" s="62" t="s">
        <v>646</v>
      </c>
      <c r="P2513" s="62" t="s">
        <v>2421</v>
      </c>
      <c r="Q2513" s="66" t="s">
        <v>1967</v>
      </c>
    </row>
    <row r="2514" spans="1:17" x14ac:dyDescent="0.3">
      <c r="A2514" s="61" t="s">
        <v>2557</v>
      </c>
      <c r="B2514" s="62" t="s">
        <v>2558</v>
      </c>
      <c r="C2514" s="62" t="s">
        <v>2559</v>
      </c>
      <c r="D2514" s="63">
        <v>44880</v>
      </c>
      <c r="E2514" s="63">
        <v>46522</v>
      </c>
      <c r="F2514" s="62" t="s">
        <v>1921</v>
      </c>
      <c r="G2514" s="62" t="s">
        <v>304</v>
      </c>
      <c r="H2514" s="62" t="s">
        <v>2427</v>
      </c>
      <c r="I2514" s="64">
        <v>6183</v>
      </c>
      <c r="J2514" s="62" t="s">
        <v>2561</v>
      </c>
      <c r="K2514" s="62" t="s">
        <v>467</v>
      </c>
      <c r="L2514" s="65"/>
      <c r="M2514" s="62" t="s">
        <v>354</v>
      </c>
      <c r="N2514" s="62" t="s">
        <v>910</v>
      </c>
      <c r="O2514" s="62" t="s">
        <v>646</v>
      </c>
      <c r="P2514" s="62" t="s">
        <v>2421</v>
      </c>
      <c r="Q2514" s="66" t="s">
        <v>1967</v>
      </c>
    </row>
    <row r="2515" spans="1:17" x14ac:dyDescent="0.3">
      <c r="A2515" s="61" t="s">
        <v>2557</v>
      </c>
      <c r="B2515" s="62" t="s">
        <v>2558</v>
      </c>
      <c r="C2515" s="62" t="s">
        <v>2559</v>
      </c>
      <c r="D2515" s="63">
        <v>44880</v>
      </c>
      <c r="E2515" s="63">
        <v>46522</v>
      </c>
      <c r="F2515" s="62" t="s">
        <v>1945</v>
      </c>
      <c r="G2515" s="62" t="s">
        <v>304</v>
      </c>
      <c r="H2515" s="62" t="s">
        <v>2427</v>
      </c>
      <c r="I2515" s="64">
        <v>6183</v>
      </c>
      <c r="J2515" s="62" t="s">
        <v>2561</v>
      </c>
      <c r="K2515" s="62" t="s">
        <v>467</v>
      </c>
      <c r="L2515" s="65"/>
      <c r="M2515" s="62" t="s">
        <v>354</v>
      </c>
      <c r="N2515" s="62" t="s">
        <v>910</v>
      </c>
      <c r="O2515" s="62" t="s">
        <v>646</v>
      </c>
      <c r="P2515" s="62" t="s">
        <v>2421</v>
      </c>
      <c r="Q2515" s="66" t="s">
        <v>1967</v>
      </c>
    </row>
    <row r="2516" spans="1:17" x14ac:dyDescent="0.3">
      <c r="A2516" s="61" t="s">
        <v>2562</v>
      </c>
      <c r="B2516" s="62" t="s">
        <v>2563</v>
      </c>
      <c r="C2516" s="62" t="s">
        <v>2564</v>
      </c>
      <c r="D2516" s="63">
        <v>45867</v>
      </c>
      <c r="E2516" s="63">
        <v>46597</v>
      </c>
      <c r="F2516" s="62" t="s">
        <v>1930</v>
      </c>
      <c r="G2516" s="62" t="s">
        <v>572</v>
      </c>
      <c r="H2516" s="62" t="s">
        <v>443</v>
      </c>
      <c r="I2516" s="64">
        <v>53262.208333333299</v>
      </c>
      <c r="J2516" s="62" t="s">
        <v>939</v>
      </c>
      <c r="K2516" s="62" t="s">
        <v>377</v>
      </c>
      <c r="L2516" s="65"/>
      <c r="M2516" s="62" t="s">
        <v>825</v>
      </c>
      <c r="N2516" s="62" t="s">
        <v>471</v>
      </c>
      <c r="O2516" s="62" t="s">
        <v>371</v>
      </c>
      <c r="P2516" s="62" t="s">
        <v>2421</v>
      </c>
      <c r="Q2516" s="66" t="s">
        <v>1972</v>
      </c>
    </row>
    <row r="2517" spans="1:17" x14ac:dyDescent="0.3">
      <c r="A2517" s="61" t="s">
        <v>2562</v>
      </c>
      <c r="B2517" s="62" t="s">
        <v>2563</v>
      </c>
      <c r="C2517" s="62" t="s">
        <v>2564</v>
      </c>
      <c r="D2517" s="63">
        <v>45867</v>
      </c>
      <c r="E2517" s="63">
        <v>46597</v>
      </c>
      <c r="F2517" s="62" t="s">
        <v>1930</v>
      </c>
      <c r="G2517" s="62" t="s">
        <v>545</v>
      </c>
      <c r="H2517" s="62" t="s">
        <v>443</v>
      </c>
      <c r="I2517" s="64">
        <v>53262.208333333299</v>
      </c>
      <c r="J2517" s="62" t="s">
        <v>939</v>
      </c>
      <c r="K2517" s="62" t="s">
        <v>377</v>
      </c>
      <c r="L2517" s="65"/>
      <c r="M2517" s="62" t="s">
        <v>825</v>
      </c>
      <c r="N2517" s="62" t="s">
        <v>471</v>
      </c>
      <c r="O2517" s="62" t="s">
        <v>371</v>
      </c>
      <c r="P2517" s="62" t="s">
        <v>2421</v>
      </c>
      <c r="Q2517" s="66" t="s">
        <v>1972</v>
      </c>
    </row>
    <row r="2518" spans="1:17" x14ac:dyDescent="0.3">
      <c r="A2518" s="61" t="s">
        <v>2562</v>
      </c>
      <c r="B2518" s="62" t="s">
        <v>2563</v>
      </c>
      <c r="C2518" s="62" t="s">
        <v>2564</v>
      </c>
      <c r="D2518" s="63">
        <v>45867</v>
      </c>
      <c r="E2518" s="63">
        <v>46597</v>
      </c>
      <c r="F2518" s="62" t="s">
        <v>1935</v>
      </c>
      <c r="G2518" s="62" t="s">
        <v>1208</v>
      </c>
      <c r="H2518" s="62" t="s">
        <v>443</v>
      </c>
      <c r="I2518" s="64">
        <v>106524.41666666701</v>
      </c>
      <c r="J2518" s="62" t="s">
        <v>939</v>
      </c>
      <c r="K2518" s="62" t="s">
        <v>377</v>
      </c>
      <c r="L2518" s="65"/>
      <c r="M2518" s="62" t="s">
        <v>825</v>
      </c>
      <c r="N2518" s="62" t="s">
        <v>471</v>
      </c>
      <c r="O2518" s="62" t="s">
        <v>371</v>
      </c>
      <c r="P2518" s="62" t="s">
        <v>2421</v>
      </c>
      <c r="Q2518" s="66" t="s">
        <v>1972</v>
      </c>
    </row>
    <row r="2519" spans="1:17" x14ac:dyDescent="0.3">
      <c r="A2519" s="61" t="s">
        <v>2562</v>
      </c>
      <c r="B2519" s="62" t="s">
        <v>2563</v>
      </c>
      <c r="C2519" s="62" t="s">
        <v>2564</v>
      </c>
      <c r="D2519" s="63">
        <v>45867</v>
      </c>
      <c r="E2519" s="63">
        <v>46597</v>
      </c>
      <c r="F2519" s="62" t="s">
        <v>348</v>
      </c>
      <c r="G2519" s="62" t="s">
        <v>348</v>
      </c>
      <c r="H2519" s="62" t="s">
        <v>443</v>
      </c>
      <c r="I2519" s="64">
        <v>106524.41666666701</v>
      </c>
      <c r="J2519" s="62" t="s">
        <v>939</v>
      </c>
      <c r="K2519" s="62" t="s">
        <v>377</v>
      </c>
      <c r="L2519" s="65"/>
      <c r="M2519" s="62" t="s">
        <v>825</v>
      </c>
      <c r="N2519" s="62" t="s">
        <v>471</v>
      </c>
      <c r="O2519" s="62" t="s">
        <v>371</v>
      </c>
      <c r="P2519" s="62" t="s">
        <v>2421</v>
      </c>
      <c r="Q2519" s="66" t="s">
        <v>1972</v>
      </c>
    </row>
    <row r="2520" spans="1:17" x14ac:dyDescent="0.3">
      <c r="A2520" s="61" t="s">
        <v>2562</v>
      </c>
      <c r="B2520" s="62" t="s">
        <v>2563</v>
      </c>
      <c r="C2520" s="62" t="s">
        <v>2564</v>
      </c>
      <c r="D2520" s="63">
        <v>45867</v>
      </c>
      <c r="E2520" s="63">
        <v>46597</v>
      </c>
      <c r="F2520" s="62" t="s">
        <v>1937</v>
      </c>
      <c r="G2520" s="62" t="s">
        <v>699</v>
      </c>
      <c r="H2520" s="62" t="s">
        <v>443</v>
      </c>
      <c r="I2520" s="64">
        <v>106524.41666666701</v>
      </c>
      <c r="J2520" s="62" t="s">
        <v>939</v>
      </c>
      <c r="K2520" s="62" t="s">
        <v>377</v>
      </c>
      <c r="L2520" s="65"/>
      <c r="M2520" s="62" t="s">
        <v>825</v>
      </c>
      <c r="N2520" s="62" t="s">
        <v>471</v>
      </c>
      <c r="O2520" s="62" t="s">
        <v>371</v>
      </c>
      <c r="P2520" s="62" t="s">
        <v>2421</v>
      </c>
      <c r="Q2520" s="66" t="s">
        <v>1972</v>
      </c>
    </row>
    <row r="2521" spans="1:17" x14ac:dyDescent="0.3">
      <c r="A2521" s="61" t="s">
        <v>2562</v>
      </c>
      <c r="B2521" s="62" t="s">
        <v>2563</v>
      </c>
      <c r="C2521" s="62" t="s">
        <v>2564</v>
      </c>
      <c r="D2521" s="63">
        <v>45867</v>
      </c>
      <c r="E2521" s="63">
        <v>46597</v>
      </c>
      <c r="F2521" s="62" t="s">
        <v>1934</v>
      </c>
      <c r="G2521" s="62" t="s">
        <v>526</v>
      </c>
      <c r="H2521" s="62" t="s">
        <v>443</v>
      </c>
      <c r="I2521" s="64">
        <v>106524.41666666701</v>
      </c>
      <c r="J2521" s="62" t="s">
        <v>939</v>
      </c>
      <c r="K2521" s="62" t="s">
        <v>377</v>
      </c>
      <c r="L2521" s="65"/>
      <c r="M2521" s="62" t="s">
        <v>825</v>
      </c>
      <c r="N2521" s="62" t="s">
        <v>471</v>
      </c>
      <c r="O2521" s="62" t="s">
        <v>371</v>
      </c>
      <c r="P2521" s="62" t="s">
        <v>2421</v>
      </c>
      <c r="Q2521" s="66" t="s">
        <v>1972</v>
      </c>
    </row>
    <row r="2522" spans="1:17" x14ac:dyDescent="0.3">
      <c r="A2522" s="61" t="s">
        <v>2562</v>
      </c>
      <c r="B2522" s="62" t="s">
        <v>2563</v>
      </c>
      <c r="C2522" s="62" t="s">
        <v>2564</v>
      </c>
      <c r="D2522" s="63">
        <v>45867</v>
      </c>
      <c r="E2522" s="63">
        <v>46597</v>
      </c>
      <c r="F2522" s="62" t="s">
        <v>1958</v>
      </c>
      <c r="G2522" s="62" t="s">
        <v>332</v>
      </c>
      <c r="H2522" s="62" t="s">
        <v>443</v>
      </c>
      <c r="I2522" s="64">
        <v>106524.41666666701</v>
      </c>
      <c r="J2522" s="62" t="s">
        <v>939</v>
      </c>
      <c r="K2522" s="62" t="s">
        <v>377</v>
      </c>
      <c r="L2522" s="65"/>
      <c r="M2522" s="62" t="s">
        <v>825</v>
      </c>
      <c r="N2522" s="62" t="s">
        <v>471</v>
      </c>
      <c r="O2522" s="62" t="s">
        <v>371</v>
      </c>
      <c r="P2522" s="62" t="s">
        <v>2421</v>
      </c>
      <c r="Q2522" s="66" t="s">
        <v>1972</v>
      </c>
    </row>
    <row r="2523" spans="1:17" x14ac:dyDescent="0.3">
      <c r="A2523" s="61" t="s">
        <v>2562</v>
      </c>
      <c r="B2523" s="62" t="s">
        <v>2563</v>
      </c>
      <c r="C2523" s="62" t="s">
        <v>2564</v>
      </c>
      <c r="D2523" s="63">
        <v>45867</v>
      </c>
      <c r="E2523" s="63">
        <v>46597</v>
      </c>
      <c r="F2523" s="62" t="s">
        <v>1944</v>
      </c>
      <c r="G2523" s="62" t="s">
        <v>1127</v>
      </c>
      <c r="H2523" s="62" t="s">
        <v>443</v>
      </c>
      <c r="I2523" s="64">
        <v>106524.41666666701</v>
      </c>
      <c r="J2523" s="62" t="s">
        <v>939</v>
      </c>
      <c r="K2523" s="62" t="s">
        <v>377</v>
      </c>
      <c r="L2523" s="65"/>
      <c r="M2523" s="62" t="s">
        <v>825</v>
      </c>
      <c r="N2523" s="62" t="s">
        <v>471</v>
      </c>
      <c r="O2523" s="62" t="s">
        <v>371</v>
      </c>
      <c r="P2523" s="62" t="s">
        <v>2421</v>
      </c>
      <c r="Q2523" s="66" t="s">
        <v>1972</v>
      </c>
    </row>
    <row r="2524" spans="1:17" x14ac:dyDescent="0.3">
      <c r="A2524" s="61" t="s">
        <v>2562</v>
      </c>
      <c r="B2524" s="62" t="s">
        <v>2563</v>
      </c>
      <c r="C2524" s="62" t="s">
        <v>2564</v>
      </c>
      <c r="D2524" s="63">
        <v>45867</v>
      </c>
      <c r="E2524" s="63">
        <v>46597</v>
      </c>
      <c r="F2524" s="62" t="s">
        <v>1959</v>
      </c>
      <c r="G2524" s="62" t="s">
        <v>582</v>
      </c>
      <c r="H2524" s="62" t="s">
        <v>443</v>
      </c>
      <c r="I2524" s="64">
        <v>106524.41666666701</v>
      </c>
      <c r="J2524" s="62" t="s">
        <v>939</v>
      </c>
      <c r="K2524" s="62" t="s">
        <v>377</v>
      </c>
      <c r="L2524" s="65"/>
      <c r="M2524" s="62" t="s">
        <v>825</v>
      </c>
      <c r="N2524" s="62" t="s">
        <v>471</v>
      </c>
      <c r="O2524" s="62" t="s">
        <v>371</v>
      </c>
      <c r="P2524" s="62" t="s">
        <v>2421</v>
      </c>
      <c r="Q2524" s="66" t="s">
        <v>1972</v>
      </c>
    </row>
    <row r="2525" spans="1:17" x14ac:dyDescent="0.3">
      <c r="A2525" s="61" t="s">
        <v>2562</v>
      </c>
      <c r="B2525" s="62" t="s">
        <v>2563</v>
      </c>
      <c r="C2525" s="62" t="s">
        <v>2564</v>
      </c>
      <c r="D2525" s="63">
        <v>45867</v>
      </c>
      <c r="E2525" s="63">
        <v>46597</v>
      </c>
      <c r="F2525" s="62" t="s">
        <v>287</v>
      </c>
      <c r="G2525" s="62" t="s">
        <v>554</v>
      </c>
      <c r="H2525" s="62" t="s">
        <v>443</v>
      </c>
      <c r="I2525" s="64">
        <v>106524.41666666701</v>
      </c>
      <c r="J2525" s="62" t="s">
        <v>939</v>
      </c>
      <c r="K2525" s="62" t="s">
        <v>377</v>
      </c>
      <c r="L2525" s="65"/>
      <c r="M2525" s="62" t="s">
        <v>825</v>
      </c>
      <c r="N2525" s="62" t="s">
        <v>471</v>
      </c>
      <c r="O2525" s="62" t="s">
        <v>371</v>
      </c>
      <c r="P2525" s="62" t="s">
        <v>2421</v>
      </c>
      <c r="Q2525" s="66" t="s">
        <v>1972</v>
      </c>
    </row>
    <row r="2526" spans="1:17" x14ac:dyDescent="0.3">
      <c r="A2526" s="61" t="s">
        <v>2565</v>
      </c>
      <c r="B2526" s="62" t="s">
        <v>2566</v>
      </c>
      <c r="C2526" s="62" t="s">
        <v>2567</v>
      </c>
      <c r="D2526" s="63">
        <v>45868</v>
      </c>
      <c r="E2526" s="63">
        <v>46232</v>
      </c>
      <c r="F2526" s="62" t="s">
        <v>287</v>
      </c>
      <c r="G2526" s="62" t="s">
        <v>589</v>
      </c>
      <c r="H2526" s="62" t="s">
        <v>443</v>
      </c>
      <c r="I2526" s="64">
        <v>318793.55</v>
      </c>
      <c r="J2526" s="62" t="s">
        <v>939</v>
      </c>
      <c r="K2526" s="62" t="s">
        <v>377</v>
      </c>
      <c r="L2526" s="65"/>
      <c r="M2526" s="62" t="s">
        <v>825</v>
      </c>
      <c r="N2526" s="62" t="s">
        <v>378</v>
      </c>
      <c r="O2526" s="62" t="s">
        <v>371</v>
      </c>
      <c r="P2526" s="62" t="s">
        <v>2421</v>
      </c>
      <c r="Q2526" s="66" t="s">
        <v>1972</v>
      </c>
    </row>
    <row r="2527" spans="1:17" x14ac:dyDescent="0.3">
      <c r="A2527" s="61" t="s">
        <v>2565</v>
      </c>
      <c r="B2527" s="62" t="s">
        <v>2566</v>
      </c>
      <c r="C2527" s="62" t="s">
        <v>2567</v>
      </c>
      <c r="D2527" s="63">
        <v>45868</v>
      </c>
      <c r="E2527" s="63">
        <v>46232</v>
      </c>
      <c r="F2527" s="62" t="s">
        <v>287</v>
      </c>
      <c r="G2527" s="62" t="s">
        <v>396</v>
      </c>
      <c r="H2527" s="62" t="s">
        <v>443</v>
      </c>
      <c r="I2527" s="64">
        <v>318793.55</v>
      </c>
      <c r="J2527" s="62" t="s">
        <v>939</v>
      </c>
      <c r="K2527" s="62" t="s">
        <v>377</v>
      </c>
      <c r="L2527" s="65"/>
      <c r="M2527" s="62" t="s">
        <v>825</v>
      </c>
      <c r="N2527" s="62" t="s">
        <v>378</v>
      </c>
      <c r="O2527" s="62" t="s">
        <v>371</v>
      </c>
      <c r="P2527" s="62" t="s">
        <v>2421</v>
      </c>
      <c r="Q2527" s="66" t="s">
        <v>1972</v>
      </c>
    </row>
    <row r="2528" spans="1:17" x14ac:dyDescent="0.3">
      <c r="A2528" s="61" t="s">
        <v>2568</v>
      </c>
      <c r="B2528" s="62" t="s">
        <v>2569</v>
      </c>
      <c r="C2528" s="62" t="s">
        <v>2570</v>
      </c>
      <c r="D2528" s="63">
        <v>45597</v>
      </c>
      <c r="E2528" s="63">
        <v>46692</v>
      </c>
      <c r="F2528" s="62" t="s">
        <v>350</v>
      </c>
      <c r="G2528" s="62" t="s">
        <v>304</v>
      </c>
      <c r="H2528" s="62" t="s">
        <v>362</v>
      </c>
      <c r="I2528" s="64">
        <v>874287</v>
      </c>
      <c r="J2528" s="62" t="s">
        <v>363</v>
      </c>
      <c r="K2528" s="62" t="s">
        <v>362</v>
      </c>
      <c r="L2528" s="65"/>
      <c r="M2528" s="62" t="s">
        <v>2443</v>
      </c>
      <c r="N2528" s="62" t="s">
        <v>469</v>
      </c>
      <c r="O2528" s="62" t="s">
        <v>315</v>
      </c>
      <c r="P2528" s="62" t="s">
        <v>2421</v>
      </c>
      <c r="Q2528" s="66" t="s">
        <v>1968</v>
      </c>
    </row>
    <row r="2529" spans="1:17" x14ac:dyDescent="0.3">
      <c r="A2529" s="61" t="s">
        <v>2571</v>
      </c>
      <c r="B2529" s="62" t="s">
        <v>2572</v>
      </c>
      <c r="C2529" s="62" t="s">
        <v>2573</v>
      </c>
      <c r="D2529" s="63">
        <v>45839</v>
      </c>
      <c r="E2529" s="63">
        <v>46388</v>
      </c>
      <c r="F2529" s="62" t="s">
        <v>1936</v>
      </c>
      <c r="G2529" s="62" t="s">
        <v>1312</v>
      </c>
      <c r="H2529" s="62" t="s">
        <v>467</v>
      </c>
      <c r="I2529" s="64">
        <v>7599.0161290322603</v>
      </c>
      <c r="J2529" s="62" t="s">
        <v>468</v>
      </c>
      <c r="K2529" s="62" t="s">
        <v>467</v>
      </c>
      <c r="L2529" s="65"/>
      <c r="M2529" s="62" t="s">
        <v>1518</v>
      </c>
      <c r="N2529" s="62" t="s">
        <v>558</v>
      </c>
      <c r="O2529" s="62" t="s">
        <v>426</v>
      </c>
      <c r="P2529" s="62" t="s">
        <v>2421</v>
      </c>
      <c r="Q2529" s="66" t="s">
        <v>1972</v>
      </c>
    </row>
    <row r="2530" spans="1:17" x14ac:dyDescent="0.3">
      <c r="A2530" s="61" t="s">
        <v>2571</v>
      </c>
      <c r="B2530" s="62" t="s">
        <v>2572</v>
      </c>
      <c r="C2530" s="62" t="s">
        <v>2573</v>
      </c>
      <c r="D2530" s="63">
        <v>45839</v>
      </c>
      <c r="E2530" s="63">
        <v>46388</v>
      </c>
      <c r="F2530" s="62" t="s">
        <v>1936</v>
      </c>
      <c r="G2530" s="62" t="s">
        <v>730</v>
      </c>
      <c r="H2530" s="62" t="s">
        <v>467</v>
      </c>
      <c r="I2530" s="64">
        <v>7599.0161290322603</v>
      </c>
      <c r="J2530" s="62" t="s">
        <v>468</v>
      </c>
      <c r="K2530" s="62" t="s">
        <v>467</v>
      </c>
      <c r="L2530" s="65"/>
      <c r="M2530" s="62" t="s">
        <v>1518</v>
      </c>
      <c r="N2530" s="62" t="s">
        <v>558</v>
      </c>
      <c r="O2530" s="62" t="s">
        <v>426</v>
      </c>
      <c r="P2530" s="62" t="s">
        <v>2421</v>
      </c>
      <c r="Q2530" s="66" t="s">
        <v>1972</v>
      </c>
    </row>
    <row r="2531" spans="1:17" x14ac:dyDescent="0.3">
      <c r="A2531" s="61" t="s">
        <v>2571</v>
      </c>
      <c r="B2531" s="62" t="s">
        <v>2572</v>
      </c>
      <c r="C2531" s="62" t="s">
        <v>2573</v>
      </c>
      <c r="D2531" s="63">
        <v>45839</v>
      </c>
      <c r="E2531" s="63">
        <v>46388</v>
      </c>
      <c r="F2531" s="62" t="s">
        <v>1936</v>
      </c>
      <c r="G2531" s="62" t="s">
        <v>749</v>
      </c>
      <c r="H2531" s="62" t="s">
        <v>467</v>
      </c>
      <c r="I2531" s="64">
        <v>7599.0161290322603</v>
      </c>
      <c r="J2531" s="62" t="s">
        <v>468</v>
      </c>
      <c r="K2531" s="62" t="s">
        <v>467</v>
      </c>
      <c r="L2531" s="65"/>
      <c r="M2531" s="62" t="s">
        <v>1518</v>
      </c>
      <c r="N2531" s="62" t="s">
        <v>558</v>
      </c>
      <c r="O2531" s="62" t="s">
        <v>426</v>
      </c>
      <c r="P2531" s="62" t="s">
        <v>2421</v>
      </c>
      <c r="Q2531" s="66" t="s">
        <v>1972</v>
      </c>
    </row>
    <row r="2532" spans="1:17" x14ac:dyDescent="0.3">
      <c r="A2532" s="61" t="s">
        <v>2571</v>
      </c>
      <c r="B2532" s="62" t="s">
        <v>2572</v>
      </c>
      <c r="C2532" s="62" t="s">
        <v>2573</v>
      </c>
      <c r="D2532" s="63">
        <v>45839</v>
      </c>
      <c r="E2532" s="63">
        <v>46388</v>
      </c>
      <c r="F2532" s="62" t="s">
        <v>1936</v>
      </c>
      <c r="G2532" s="62" t="s">
        <v>865</v>
      </c>
      <c r="H2532" s="62" t="s">
        <v>467</v>
      </c>
      <c r="I2532" s="64">
        <v>7599.0161290322603</v>
      </c>
      <c r="J2532" s="62" t="s">
        <v>468</v>
      </c>
      <c r="K2532" s="62" t="s">
        <v>467</v>
      </c>
      <c r="L2532" s="65"/>
      <c r="M2532" s="62" t="s">
        <v>1518</v>
      </c>
      <c r="N2532" s="62" t="s">
        <v>558</v>
      </c>
      <c r="O2532" s="62" t="s">
        <v>426</v>
      </c>
      <c r="P2532" s="62" t="s">
        <v>2421</v>
      </c>
      <c r="Q2532" s="66" t="s">
        <v>1972</v>
      </c>
    </row>
    <row r="2533" spans="1:17" x14ac:dyDescent="0.3">
      <c r="A2533" s="61" t="s">
        <v>2571</v>
      </c>
      <c r="B2533" s="62" t="s">
        <v>2572</v>
      </c>
      <c r="C2533" s="62" t="s">
        <v>2573</v>
      </c>
      <c r="D2533" s="63">
        <v>45839</v>
      </c>
      <c r="E2533" s="63">
        <v>46388</v>
      </c>
      <c r="F2533" s="62" t="s">
        <v>1936</v>
      </c>
      <c r="G2533" s="62" t="s">
        <v>1313</v>
      </c>
      <c r="H2533" s="62" t="s">
        <v>467</v>
      </c>
      <c r="I2533" s="64">
        <v>7599.0161290322603</v>
      </c>
      <c r="J2533" s="62" t="s">
        <v>468</v>
      </c>
      <c r="K2533" s="62" t="s">
        <v>467</v>
      </c>
      <c r="L2533" s="65"/>
      <c r="M2533" s="62" t="s">
        <v>1518</v>
      </c>
      <c r="N2533" s="62" t="s">
        <v>558</v>
      </c>
      <c r="O2533" s="62" t="s">
        <v>426</v>
      </c>
      <c r="P2533" s="62" t="s">
        <v>2421</v>
      </c>
      <c r="Q2533" s="66" t="s">
        <v>1972</v>
      </c>
    </row>
    <row r="2534" spans="1:17" x14ac:dyDescent="0.3">
      <c r="A2534" s="61" t="s">
        <v>2571</v>
      </c>
      <c r="B2534" s="62" t="s">
        <v>2572</v>
      </c>
      <c r="C2534" s="62" t="s">
        <v>2573</v>
      </c>
      <c r="D2534" s="63">
        <v>45839</v>
      </c>
      <c r="E2534" s="63">
        <v>46388</v>
      </c>
      <c r="F2534" s="62" t="s">
        <v>1936</v>
      </c>
      <c r="G2534" s="62" t="s">
        <v>709</v>
      </c>
      <c r="H2534" s="62" t="s">
        <v>467</v>
      </c>
      <c r="I2534" s="64">
        <v>7599.0161290322603</v>
      </c>
      <c r="J2534" s="62" t="s">
        <v>468</v>
      </c>
      <c r="K2534" s="62" t="s">
        <v>467</v>
      </c>
      <c r="L2534" s="65"/>
      <c r="M2534" s="62" t="s">
        <v>1518</v>
      </c>
      <c r="N2534" s="62" t="s">
        <v>558</v>
      </c>
      <c r="O2534" s="62" t="s">
        <v>426</v>
      </c>
      <c r="P2534" s="62" t="s">
        <v>2421</v>
      </c>
      <c r="Q2534" s="66" t="s">
        <v>1972</v>
      </c>
    </row>
    <row r="2535" spans="1:17" x14ac:dyDescent="0.3">
      <c r="A2535" s="61" t="s">
        <v>2571</v>
      </c>
      <c r="B2535" s="62" t="s">
        <v>2572</v>
      </c>
      <c r="C2535" s="62" t="s">
        <v>2573</v>
      </c>
      <c r="D2535" s="63">
        <v>45839</v>
      </c>
      <c r="E2535" s="63">
        <v>46388</v>
      </c>
      <c r="F2535" s="62" t="s">
        <v>1936</v>
      </c>
      <c r="G2535" s="62" t="s">
        <v>745</v>
      </c>
      <c r="H2535" s="62" t="s">
        <v>467</v>
      </c>
      <c r="I2535" s="64">
        <v>7599.0161290322603</v>
      </c>
      <c r="J2535" s="62" t="s">
        <v>468</v>
      </c>
      <c r="K2535" s="62" t="s">
        <v>467</v>
      </c>
      <c r="L2535" s="65"/>
      <c r="M2535" s="62" t="s">
        <v>1518</v>
      </c>
      <c r="N2535" s="62" t="s">
        <v>558</v>
      </c>
      <c r="O2535" s="62" t="s">
        <v>426</v>
      </c>
      <c r="P2535" s="62" t="s">
        <v>2421</v>
      </c>
      <c r="Q2535" s="66" t="s">
        <v>1972</v>
      </c>
    </row>
    <row r="2536" spans="1:17" x14ac:dyDescent="0.3">
      <c r="A2536" s="61" t="s">
        <v>2571</v>
      </c>
      <c r="B2536" s="62" t="s">
        <v>2572</v>
      </c>
      <c r="C2536" s="62" t="s">
        <v>2573</v>
      </c>
      <c r="D2536" s="63">
        <v>45839</v>
      </c>
      <c r="E2536" s="63">
        <v>46388</v>
      </c>
      <c r="F2536" s="62" t="s">
        <v>1936</v>
      </c>
      <c r="G2536" s="62" t="s">
        <v>602</v>
      </c>
      <c r="H2536" s="62" t="s">
        <v>467</v>
      </c>
      <c r="I2536" s="64">
        <v>7599.0161290322603</v>
      </c>
      <c r="J2536" s="62" t="s">
        <v>468</v>
      </c>
      <c r="K2536" s="62" t="s">
        <v>467</v>
      </c>
      <c r="L2536" s="65"/>
      <c r="M2536" s="62" t="s">
        <v>1518</v>
      </c>
      <c r="N2536" s="62" t="s">
        <v>558</v>
      </c>
      <c r="O2536" s="62" t="s">
        <v>426</v>
      </c>
      <c r="P2536" s="62" t="s">
        <v>2421</v>
      </c>
      <c r="Q2536" s="66" t="s">
        <v>1972</v>
      </c>
    </row>
    <row r="2537" spans="1:17" x14ac:dyDescent="0.3">
      <c r="A2537" s="61" t="s">
        <v>2571</v>
      </c>
      <c r="B2537" s="62" t="s">
        <v>2572</v>
      </c>
      <c r="C2537" s="62" t="s">
        <v>2573</v>
      </c>
      <c r="D2537" s="63">
        <v>45839</v>
      </c>
      <c r="E2537" s="63">
        <v>46388</v>
      </c>
      <c r="F2537" s="62" t="s">
        <v>1936</v>
      </c>
      <c r="G2537" s="62" t="s">
        <v>797</v>
      </c>
      <c r="H2537" s="62" t="s">
        <v>467</v>
      </c>
      <c r="I2537" s="64">
        <v>7599.0161290322603</v>
      </c>
      <c r="J2537" s="62" t="s">
        <v>468</v>
      </c>
      <c r="K2537" s="62" t="s">
        <v>467</v>
      </c>
      <c r="L2537" s="65"/>
      <c r="M2537" s="62" t="s">
        <v>1518</v>
      </c>
      <c r="N2537" s="62" t="s">
        <v>558</v>
      </c>
      <c r="O2537" s="62" t="s">
        <v>426</v>
      </c>
      <c r="P2537" s="62" t="s">
        <v>2421</v>
      </c>
      <c r="Q2537" s="66" t="s">
        <v>1972</v>
      </c>
    </row>
    <row r="2538" spans="1:17" x14ac:dyDescent="0.3">
      <c r="A2538" s="61" t="s">
        <v>2571</v>
      </c>
      <c r="B2538" s="62" t="s">
        <v>2572</v>
      </c>
      <c r="C2538" s="62" t="s">
        <v>2573</v>
      </c>
      <c r="D2538" s="63">
        <v>45839</v>
      </c>
      <c r="E2538" s="63">
        <v>46388</v>
      </c>
      <c r="F2538" s="62" t="s">
        <v>1936</v>
      </c>
      <c r="G2538" s="62" t="s">
        <v>866</v>
      </c>
      <c r="H2538" s="62" t="s">
        <v>467</v>
      </c>
      <c r="I2538" s="64">
        <v>7599.0161290322603</v>
      </c>
      <c r="J2538" s="62" t="s">
        <v>468</v>
      </c>
      <c r="K2538" s="62" t="s">
        <v>467</v>
      </c>
      <c r="L2538" s="65"/>
      <c r="M2538" s="62" t="s">
        <v>1518</v>
      </c>
      <c r="N2538" s="62" t="s">
        <v>558</v>
      </c>
      <c r="O2538" s="62" t="s">
        <v>426</v>
      </c>
      <c r="P2538" s="62" t="s">
        <v>2421</v>
      </c>
      <c r="Q2538" s="66" t="s">
        <v>1972</v>
      </c>
    </row>
    <row r="2539" spans="1:17" x14ac:dyDescent="0.3">
      <c r="A2539" s="61" t="s">
        <v>2571</v>
      </c>
      <c r="B2539" s="62" t="s">
        <v>2572</v>
      </c>
      <c r="C2539" s="62" t="s">
        <v>2573</v>
      </c>
      <c r="D2539" s="63">
        <v>45839</v>
      </c>
      <c r="E2539" s="63">
        <v>46388</v>
      </c>
      <c r="F2539" s="62" t="s">
        <v>1936</v>
      </c>
      <c r="G2539" s="62" t="s">
        <v>761</v>
      </c>
      <c r="H2539" s="62" t="s">
        <v>467</v>
      </c>
      <c r="I2539" s="64">
        <v>7599.0161290322603</v>
      </c>
      <c r="J2539" s="62" t="s">
        <v>468</v>
      </c>
      <c r="K2539" s="62" t="s">
        <v>467</v>
      </c>
      <c r="L2539" s="65"/>
      <c r="M2539" s="62" t="s">
        <v>1518</v>
      </c>
      <c r="N2539" s="62" t="s">
        <v>558</v>
      </c>
      <c r="O2539" s="62" t="s">
        <v>426</v>
      </c>
      <c r="P2539" s="62" t="s">
        <v>2421</v>
      </c>
      <c r="Q2539" s="66" t="s">
        <v>1972</v>
      </c>
    </row>
    <row r="2540" spans="1:17" x14ac:dyDescent="0.3">
      <c r="A2540" s="61" t="s">
        <v>2571</v>
      </c>
      <c r="B2540" s="62" t="s">
        <v>2572</v>
      </c>
      <c r="C2540" s="62" t="s">
        <v>2573</v>
      </c>
      <c r="D2540" s="63">
        <v>45839</v>
      </c>
      <c r="E2540" s="63">
        <v>46388</v>
      </c>
      <c r="F2540" s="62" t="s">
        <v>1936</v>
      </c>
      <c r="G2540" s="62" t="s">
        <v>867</v>
      </c>
      <c r="H2540" s="62" t="s">
        <v>467</v>
      </c>
      <c r="I2540" s="64">
        <v>7599.0161290322603</v>
      </c>
      <c r="J2540" s="62" t="s">
        <v>468</v>
      </c>
      <c r="K2540" s="62" t="s">
        <v>467</v>
      </c>
      <c r="L2540" s="65"/>
      <c r="M2540" s="62" t="s">
        <v>1518</v>
      </c>
      <c r="N2540" s="62" t="s">
        <v>558</v>
      </c>
      <c r="O2540" s="62" t="s">
        <v>426</v>
      </c>
      <c r="P2540" s="62" t="s">
        <v>2421</v>
      </c>
      <c r="Q2540" s="66" t="s">
        <v>1972</v>
      </c>
    </row>
    <row r="2541" spans="1:17" x14ac:dyDescent="0.3">
      <c r="A2541" s="61" t="s">
        <v>2571</v>
      </c>
      <c r="B2541" s="62" t="s">
        <v>2572</v>
      </c>
      <c r="C2541" s="62" t="s">
        <v>2573</v>
      </c>
      <c r="D2541" s="63">
        <v>45839</v>
      </c>
      <c r="E2541" s="63">
        <v>46388</v>
      </c>
      <c r="F2541" s="62" t="s">
        <v>1936</v>
      </c>
      <c r="G2541" s="62" t="s">
        <v>710</v>
      </c>
      <c r="H2541" s="62" t="s">
        <v>467</v>
      </c>
      <c r="I2541" s="64">
        <v>7599.0161290322603</v>
      </c>
      <c r="J2541" s="62" t="s">
        <v>468</v>
      </c>
      <c r="K2541" s="62" t="s">
        <v>467</v>
      </c>
      <c r="L2541" s="65"/>
      <c r="M2541" s="62" t="s">
        <v>1518</v>
      </c>
      <c r="N2541" s="62" t="s">
        <v>558</v>
      </c>
      <c r="O2541" s="62" t="s">
        <v>426</v>
      </c>
      <c r="P2541" s="62" t="s">
        <v>2421</v>
      </c>
      <c r="Q2541" s="66" t="s">
        <v>1972</v>
      </c>
    </row>
    <row r="2542" spans="1:17" x14ac:dyDescent="0.3">
      <c r="A2542" s="61" t="s">
        <v>2571</v>
      </c>
      <c r="B2542" s="62" t="s">
        <v>2572</v>
      </c>
      <c r="C2542" s="62" t="s">
        <v>2573</v>
      </c>
      <c r="D2542" s="63">
        <v>45839</v>
      </c>
      <c r="E2542" s="63">
        <v>46388</v>
      </c>
      <c r="F2542" s="62" t="s">
        <v>1936</v>
      </c>
      <c r="G2542" s="62" t="s">
        <v>746</v>
      </c>
      <c r="H2542" s="62" t="s">
        <v>467</v>
      </c>
      <c r="I2542" s="64">
        <v>7599.0161290322603</v>
      </c>
      <c r="J2542" s="62" t="s">
        <v>468</v>
      </c>
      <c r="K2542" s="62" t="s">
        <v>467</v>
      </c>
      <c r="L2542" s="65"/>
      <c r="M2542" s="62" t="s">
        <v>1518</v>
      </c>
      <c r="N2542" s="62" t="s">
        <v>558</v>
      </c>
      <c r="O2542" s="62" t="s">
        <v>426</v>
      </c>
      <c r="P2542" s="62" t="s">
        <v>2421</v>
      </c>
      <c r="Q2542" s="66" t="s">
        <v>1972</v>
      </c>
    </row>
    <row r="2543" spans="1:17" x14ac:dyDescent="0.3">
      <c r="A2543" s="61" t="s">
        <v>2571</v>
      </c>
      <c r="B2543" s="62" t="s">
        <v>2572</v>
      </c>
      <c r="C2543" s="62" t="s">
        <v>2573</v>
      </c>
      <c r="D2543" s="63">
        <v>45839</v>
      </c>
      <c r="E2543" s="63">
        <v>46388</v>
      </c>
      <c r="F2543" s="62" t="s">
        <v>1936</v>
      </c>
      <c r="G2543" s="62" t="s">
        <v>604</v>
      </c>
      <c r="H2543" s="62" t="s">
        <v>467</v>
      </c>
      <c r="I2543" s="64">
        <v>7599.0161290322603</v>
      </c>
      <c r="J2543" s="62" t="s">
        <v>468</v>
      </c>
      <c r="K2543" s="62" t="s">
        <v>467</v>
      </c>
      <c r="L2543" s="65"/>
      <c r="M2543" s="62" t="s">
        <v>1518</v>
      </c>
      <c r="N2543" s="62" t="s">
        <v>558</v>
      </c>
      <c r="O2543" s="62" t="s">
        <v>426</v>
      </c>
      <c r="P2543" s="62" t="s">
        <v>2421</v>
      </c>
      <c r="Q2543" s="66" t="s">
        <v>1972</v>
      </c>
    </row>
    <row r="2544" spans="1:17" x14ac:dyDescent="0.3">
      <c r="A2544" s="61" t="s">
        <v>2571</v>
      </c>
      <c r="B2544" s="62" t="s">
        <v>2572</v>
      </c>
      <c r="C2544" s="62" t="s">
        <v>2573</v>
      </c>
      <c r="D2544" s="63">
        <v>45839</v>
      </c>
      <c r="E2544" s="63">
        <v>46388</v>
      </c>
      <c r="F2544" s="62" t="s">
        <v>1936</v>
      </c>
      <c r="G2544" s="62" t="s">
        <v>747</v>
      </c>
      <c r="H2544" s="62" t="s">
        <v>467</v>
      </c>
      <c r="I2544" s="64">
        <v>7599.0161290322603</v>
      </c>
      <c r="J2544" s="62" t="s">
        <v>468</v>
      </c>
      <c r="K2544" s="62" t="s">
        <v>467</v>
      </c>
      <c r="L2544" s="65"/>
      <c r="M2544" s="62" t="s">
        <v>1518</v>
      </c>
      <c r="N2544" s="62" t="s">
        <v>558</v>
      </c>
      <c r="O2544" s="62" t="s">
        <v>426</v>
      </c>
      <c r="P2544" s="62" t="s">
        <v>2421</v>
      </c>
      <c r="Q2544" s="66" t="s">
        <v>1972</v>
      </c>
    </row>
    <row r="2545" spans="1:17" x14ac:dyDescent="0.3">
      <c r="A2545" s="61" t="s">
        <v>2571</v>
      </c>
      <c r="B2545" s="62" t="s">
        <v>2572</v>
      </c>
      <c r="C2545" s="62" t="s">
        <v>2573</v>
      </c>
      <c r="D2545" s="63">
        <v>45839</v>
      </c>
      <c r="E2545" s="63">
        <v>46388</v>
      </c>
      <c r="F2545" s="62" t="s">
        <v>1936</v>
      </c>
      <c r="G2545" s="62" t="s">
        <v>868</v>
      </c>
      <c r="H2545" s="62" t="s">
        <v>467</v>
      </c>
      <c r="I2545" s="64">
        <v>7599.0161290322603</v>
      </c>
      <c r="J2545" s="62" t="s">
        <v>468</v>
      </c>
      <c r="K2545" s="62" t="s">
        <v>467</v>
      </c>
      <c r="L2545" s="65"/>
      <c r="M2545" s="62" t="s">
        <v>1518</v>
      </c>
      <c r="N2545" s="62" t="s">
        <v>558</v>
      </c>
      <c r="O2545" s="62" t="s">
        <v>426</v>
      </c>
      <c r="P2545" s="62" t="s">
        <v>2421</v>
      </c>
      <c r="Q2545" s="66" t="s">
        <v>1972</v>
      </c>
    </row>
    <row r="2546" spans="1:17" x14ac:dyDescent="0.3">
      <c r="A2546" s="61" t="s">
        <v>2571</v>
      </c>
      <c r="B2546" s="62" t="s">
        <v>2572</v>
      </c>
      <c r="C2546" s="62" t="s">
        <v>2573</v>
      </c>
      <c r="D2546" s="63">
        <v>45839</v>
      </c>
      <c r="E2546" s="63">
        <v>46388</v>
      </c>
      <c r="F2546" s="62" t="s">
        <v>1936</v>
      </c>
      <c r="G2546" s="62" t="s">
        <v>1223</v>
      </c>
      <c r="H2546" s="62" t="s">
        <v>467</v>
      </c>
      <c r="I2546" s="64">
        <v>7599.0161290322603</v>
      </c>
      <c r="J2546" s="62" t="s">
        <v>468</v>
      </c>
      <c r="K2546" s="62" t="s">
        <v>467</v>
      </c>
      <c r="L2546" s="65"/>
      <c r="M2546" s="62" t="s">
        <v>1518</v>
      </c>
      <c r="N2546" s="62" t="s">
        <v>558</v>
      </c>
      <c r="O2546" s="62" t="s">
        <v>426</v>
      </c>
      <c r="P2546" s="62" t="s">
        <v>2421</v>
      </c>
      <c r="Q2546" s="66" t="s">
        <v>1972</v>
      </c>
    </row>
    <row r="2547" spans="1:17" x14ac:dyDescent="0.3">
      <c r="A2547" s="61" t="s">
        <v>2571</v>
      </c>
      <c r="B2547" s="62" t="s">
        <v>2572</v>
      </c>
      <c r="C2547" s="62" t="s">
        <v>2573</v>
      </c>
      <c r="D2547" s="63">
        <v>45839</v>
      </c>
      <c r="E2547" s="63">
        <v>46388</v>
      </c>
      <c r="F2547" s="62" t="s">
        <v>1936</v>
      </c>
      <c r="G2547" s="62" t="s">
        <v>750</v>
      </c>
      <c r="H2547" s="62" t="s">
        <v>467</v>
      </c>
      <c r="I2547" s="64">
        <v>7599.0161290322603</v>
      </c>
      <c r="J2547" s="62" t="s">
        <v>468</v>
      </c>
      <c r="K2547" s="62" t="s">
        <v>467</v>
      </c>
      <c r="L2547" s="65"/>
      <c r="M2547" s="62" t="s">
        <v>1518</v>
      </c>
      <c r="N2547" s="62" t="s">
        <v>558</v>
      </c>
      <c r="O2547" s="62" t="s">
        <v>426</v>
      </c>
      <c r="P2547" s="62" t="s">
        <v>2421</v>
      </c>
      <c r="Q2547" s="66" t="s">
        <v>1972</v>
      </c>
    </row>
    <row r="2548" spans="1:17" x14ac:dyDescent="0.3">
      <c r="A2548" s="61" t="s">
        <v>2571</v>
      </c>
      <c r="B2548" s="62" t="s">
        <v>2572</v>
      </c>
      <c r="C2548" s="62" t="s">
        <v>2573</v>
      </c>
      <c r="D2548" s="63">
        <v>45839</v>
      </c>
      <c r="E2548" s="63">
        <v>46388</v>
      </c>
      <c r="F2548" s="62" t="s">
        <v>1936</v>
      </c>
      <c r="G2548" s="62" t="s">
        <v>711</v>
      </c>
      <c r="H2548" s="62" t="s">
        <v>467</v>
      </c>
      <c r="I2548" s="64">
        <v>7599.0161290322603</v>
      </c>
      <c r="J2548" s="62" t="s">
        <v>468</v>
      </c>
      <c r="K2548" s="62" t="s">
        <v>467</v>
      </c>
      <c r="L2548" s="65"/>
      <c r="M2548" s="62" t="s">
        <v>1518</v>
      </c>
      <c r="N2548" s="62" t="s">
        <v>558</v>
      </c>
      <c r="O2548" s="62" t="s">
        <v>426</v>
      </c>
      <c r="P2548" s="62" t="s">
        <v>2421</v>
      </c>
      <c r="Q2548" s="66" t="s">
        <v>1972</v>
      </c>
    </row>
    <row r="2549" spans="1:17" x14ac:dyDescent="0.3">
      <c r="A2549" s="61" t="s">
        <v>2571</v>
      </c>
      <c r="B2549" s="62" t="s">
        <v>2572</v>
      </c>
      <c r="C2549" s="62" t="s">
        <v>2573</v>
      </c>
      <c r="D2549" s="63">
        <v>45839</v>
      </c>
      <c r="E2549" s="63">
        <v>46388</v>
      </c>
      <c r="F2549" s="62" t="s">
        <v>1936</v>
      </c>
      <c r="G2549" s="62" t="s">
        <v>798</v>
      </c>
      <c r="H2549" s="62" t="s">
        <v>467</v>
      </c>
      <c r="I2549" s="64">
        <v>7599.0161290322603</v>
      </c>
      <c r="J2549" s="62" t="s">
        <v>468</v>
      </c>
      <c r="K2549" s="62" t="s">
        <v>467</v>
      </c>
      <c r="L2549" s="65"/>
      <c r="M2549" s="62" t="s">
        <v>1518</v>
      </c>
      <c r="N2549" s="62" t="s">
        <v>558</v>
      </c>
      <c r="O2549" s="62" t="s">
        <v>426</v>
      </c>
      <c r="P2549" s="62" t="s">
        <v>2421</v>
      </c>
      <c r="Q2549" s="66" t="s">
        <v>1972</v>
      </c>
    </row>
    <row r="2550" spans="1:17" x14ac:dyDescent="0.3">
      <c r="A2550" s="61" t="s">
        <v>2571</v>
      </c>
      <c r="B2550" s="62" t="s">
        <v>2572</v>
      </c>
      <c r="C2550" s="62" t="s">
        <v>2573</v>
      </c>
      <c r="D2550" s="63">
        <v>45839</v>
      </c>
      <c r="E2550" s="63">
        <v>46388</v>
      </c>
      <c r="F2550" s="62" t="s">
        <v>1936</v>
      </c>
      <c r="G2550" s="62" t="s">
        <v>748</v>
      </c>
      <c r="H2550" s="62" t="s">
        <v>467</v>
      </c>
      <c r="I2550" s="64">
        <v>7599.0161290322603</v>
      </c>
      <c r="J2550" s="62" t="s">
        <v>468</v>
      </c>
      <c r="K2550" s="62" t="s">
        <v>467</v>
      </c>
      <c r="L2550" s="65"/>
      <c r="M2550" s="62" t="s">
        <v>1518</v>
      </c>
      <c r="N2550" s="62" t="s">
        <v>558</v>
      </c>
      <c r="O2550" s="62" t="s">
        <v>426</v>
      </c>
      <c r="P2550" s="62" t="s">
        <v>2421</v>
      </c>
      <c r="Q2550" s="66" t="s">
        <v>1972</v>
      </c>
    </row>
    <row r="2551" spans="1:17" x14ac:dyDescent="0.3">
      <c r="A2551" s="61" t="s">
        <v>2571</v>
      </c>
      <c r="B2551" s="62" t="s">
        <v>2572</v>
      </c>
      <c r="C2551" s="62" t="s">
        <v>2573</v>
      </c>
      <c r="D2551" s="63">
        <v>45839</v>
      </c>
      <c r="E2551" s="63">
        <v>46388</v>
      </c>
      <c r="F2551" s="62" t="s">
        <v>1936</v>
      </c>
      <c r="G2551" s="62" t="s">
        <v>411</v>
      </c>
      <c r="H2551" s="62" t="s">
        <v>467</v>
      </c>
      <c r="I2551" s="64">
        <v>7599.0161290322603</v>
      </c>
      <c r="J2551" s="62" t="s">
        <v>468</v>
      </c>
      <c r="K2551" s="62" t="s">
        <v>467</v>
      </c>
      <c r="L2551" s="65"/>
      <c r="M2551" s="62" t="s">
        <v>1518</v>
      </c>
      <c r="N2551" s="62" t="s">
        <v>558</v>
      </c>
      <c r="O2551" s="62" t="s">
        <v>426</v>
      </c>
      <c r="P2551" s="62" t="s">
        <v>2421</v>
      </c>
      <c r="Q2551" s="66" t="s">
        <v>1972</v>
      </c>
    </row>
    <row r="2552" spans="1:17" x14ac:dyDescent="0.3">
      <c r="A2552" s="61" t="s">
        <v>2571</v>
      </c>
      <c r="B2552" s="62" t="s">
        <v>2572</v>
      </c>
      <c r="C2552" s="62" t="s">
        <v>2573</v>
      </c>
      <c r="D2552" s="63">
        <v>45839</v>
      </c>
      <c r="E2552" s="63">
        <v>46388</v>
      </c>
      <c r="F2552" s="62" t="s">
        <v>1936</v>
      </c>
      <c r="G2552" s="62" t="s">
        <v>1314</v>
      </c>
      <c r="H2552" s="62" t="s">
        <v>467</v>
      </c>
      <c r="I2552" s="64">
        <v>7599.0161290322603</v>
      </c>
      <c r="J2552" s="62" t="s">
        <v>468</v>
      </c>
      <c r="K2552" s="62" t="s">
        <v>467</v>
      </c>
      <c r="L2552" s="65"/>
      <c r="M2552" s="62" t="s">
        <v>1518</v>
      </c>
      <c r="N2552" s="62" t="s">
        <v>558</v>
      </c>
      <c r="O2552" s="62" t="s">
        <v>426</v>
      </c>
      <c r="P2552" s="62" t="s">
        <v>2421</v>
      </c>
      <c r="Q2552" s="66" t="s">
        <v>1972</v>
      </c>
    </row>
    <row r="2553" spans="1:17" x14ac:dyDescent="0.3">
      <c r="A2553" s="61" t="s">
        <v>2571</v>
      </c>
      <c r="B2553" s="62" t="s">
        <v>2572</v>
      </c>
      <c r="C2553" s="62" t="s">
        <v>2573</v>
      </c>
      <c r="D2553" s="63">
        <v>45839</v>
      </c>
      <c r="E2553" s="63">
        <v>46388</v>
      </c>
      <c r="F2553" s="62" t="s">
        <v>1936</v>
      </c>
      <c r="G2553" s="62" t="s">
        <v>605</v>
      </c>
      <c r="H2553" s="62" t="s">
        <v>467</v>
      </c>
      <c r="I2553" s="64">
        <v>7599.0161290322603</v>
      </c>
      <c r="J2553" s="62" t="s">
        <v>468</v>
      </c>
      <c r="K2553" s="62" t="s">
        <v>467</v>
      </c>
      <c r="L2553" s="65"/>
      <c r="M2553" s="62" t="s">
        <v>1518</v>
      </c>
      <c r="N2553" s="62" t="s">
        <v>558</v>
      </c>
      <c r="O2553" s="62" t="s">
        <v>426</v>
      </c>
      <c r="P2553" s="62" t="s">
        <v>2421</v>
      </c>
      <c r="Q2553" s="66" t="s">
        <v>1972</v>
      </c>
    </row>
    <row r="2554" spans="1:17" x14ac:dyDescent="0.3">
      <c r="A2554" s="61" t="s">
        <v>2571</v>
      </c>
      <c r="B2554" s="62" t="s">
        <v>2572</v>
      </c>
      <c r="C2554" s="62" t="s">
        <v>2573</v>
      </c>
      <c r="D2554" s="63">
        <v>45839</v>
      </c>
      <c r="E2554" s="63">
        <v>46388</v>
      </c>
      <c r="F2554" s="62" t="s">
        <v>1936</v>
      </c>
      <c r="G2554" s="62" t="s">
        <v>412</v>
      </c>
      <c r="H2554" s="62" t="s">
        <v>467</v>
      </c>
      <c r="I2554" s="64">
        <v>7599.0161290322603</v>
      </c>
      <c r="J2554" s="62" t="s">
        <v>468</v>
      </c>
      <c r="K2554" s="62" t="s">
        <v>467</v>
      </c>
      <c r="L2554" s="65"/>
      <c r="M2554" s="62" t="s">
        <v>1518</v>
      </c>
      <c r="N2554" s="62" t="s">
        <v>558</v>
      </c>
      <c r="O2554" s="62" t="s">
        <v>426</v>
      </c>
      <c r="P2554" s="62" t="s">
        <v>2421</v>
      </c>
      <c r="Q2554" s="66" t="s">
        <v>1972</v>
      </c>
    </row>
    <row r="2555" spans="1:17" x14ac:dyDescent="0.3">
      <c r="A2555" s="61" t="s">
        <v>2571</v>
      </c>
      <c r="B2555" s="62" t="s">
        <v>2572</v>
      </c>
      <c r="C2555" s="62" t="s">
        <v>2573</v>
      </c>
      <c r="D2555" s="63">
        <v>45839</v>
      </c>
      <c r="E2555" s="63">
        <v>46388</v>
      </c>
      <c r="F2555" s="62" t="s">
        <v>1936</v>
      </c>
      <c r="G2555" s="62" t="s">
        <v>413</v>
      </c>
      <c r="H2555" s="62" t="s">
        <v>467</v>
      </c>
      <c r="I2555" s="64">
        <v>7599.0161290322603</v>
      </c>
      <c r="J2555" s="62" t="s">
        <v>468</v>
      </c>
      <c r="K2555" s="62" t="s">
        <v>467</v>
      </c>
      <c r="L2555" s="65"/>
      <c r="M2555" s="62" t="s">
        <v>1518</v>
      </c>
      <c r="N2555" s="62" t="s">
        <v>558</v>
      </c>
      <c r="O2555" s="62" t="s">
        <v>426</v>
      </c>
      <c r="P2555" s="62" t="s">
        <v>2421</v>
      </c>
      <c r="Q2555" s="66" t="s">
        <v>1972</v>
      </c>
    </row>
    <row r="2556" spans="1:17" x14ac:dyDescent="0.3">
      <c r="A2556" s="61" t="s">
        <v>2571</v>
      </c>
      <c r="B2556" s="62" t="s">
        <v>2572</v>
      </c>
      <c r="C2556" s="62" t="s">
        <v>2573</v>
      </c>
      <c r="D2556" s="63">
        <v>45839</v>
      </c>
      <c r="E2556" s="63">
        <v>46388</v>
      </c>
      <c r="F2556" s="62" t="s">
        <v>1936</v>
      </c>
      <c r="G2556" s="62" t="s">
        <v>1261</v>
      </c>
      <c r="H2556" s="62" t="s">
        <v>467</v>
      </c>
      <c r="I2556" s="64">
        <v>7599.0161290322603</v>
      </c>
      <c r="J2556" s="62" t="s">
        <v>468</v>
      </c>
      <c r="K2556" s="62" t="s">
        <v>467</v>
      </c>
      <c r="L2556" s="65"/>
      <c r="M2556" s="62" t="s">
        <v>1518</v>
      </c>
      <c r="N2556" s="62" t="s">
        <v>558</v>
      </c>
      <c r="O2556" s="62" t="s">
        <v>426</v>
      </c>
      <c r="P2556" s="62" t="s">
        <v>2421</v>
      </c>
      <c r="Q2556" s="66" t="s">
        <v>1972</v>
      </c>
    </row>
    <row r="2557" spans="1:17" x14ac:dyDescent="0.3">
      <c r="A2557" s="61" t="s">
        <v>2571</v>
      </c>
      <c r="B2557" s="62" t="s">
        <v>2572</v>
      </c>
      <c r="C2557" s="62" t="s">
        <v>2573</v>
      </c>
      <c r="D2557" s="63">
        <v>45839</v>
      </c>
      <c r="E2557" s="63">
        <v>46388</v>
      </c>
      <c r="F2557" s="62" t="s">
        <v>1936</v>
      </c>
      <c r="G2557" s="62" t="s">
        <v>414</v>
      </c>
      <c r="H2557" s="62" t="s">
        <v>467</v>
      </c>
      <c r="I2557" s="64">
        <v>7599.0161290322603</v>
      </c>
      <c r="J2557" s="62" t="s">
        <v>468</v>
      </c>
      <c r="K2557" s="62" t="s">
        <v>467</v>
      </c>
      <c r="L2557" s="65"/>
      <c r="M2557" s="62" t="s">
        <v>1518</v>
      </c>
      <c r="N2557" s="62" t="s">
        <v>558</v>
      </c>
      <c r="O2557" s="62" t="s">
        <v>426</v>
      </c>
      <c r="P2557" s="62" t="s">
        <v>2421</v>
      </c>
      <c r="Q2557" s="66" t="s">
        <v>1972</v>
      </c>
    </row>
    <row r="2558" spans="1:17" x14ac:dyDescent="0.3">
      <c r="A2558" s="61" t="s">
        <v>2571</v>
      </c>
      <c r="B2558" s="62" t="s">
        <v>2572</v>
      </c>
      <c r="C2558" s="62" t="s">
        <v>2573</v>
      </c>
      <c r="D2558" s="63">
        <v>45839</v>
      </c>
      <c r="E2558" s="63">
        <v>46388</v>
      </c>
      <c r="F2558" s="62" t="s">
        <v>1936</v>
      </c>
      <c r="G2558" s="62" t="s">
        <v>547</v>
      </c>
      <c r="H2558" s="62" t="s">
        <v>467</v>
      </c>
      <c r="I2558" s="64">
        <v>7599.0161290322603</v>
      </c>
      <c r="J2558" s="62" t="s">
        <v>468</v>
      </c>
      <c r="K2558" s="62" t="s">
        <v>467</v>
      </c>
      <c r="L2558" s="65"/>
      <c r="M2558" s="62" t="s">
        <v>1518</v>
      </c>
      <c r="N2558" s="62" t="s">
        <v>558</v>
      </c>
      <c r="O2558" s="62" t="s">
        <v>426</v>
      </c>
      <c r="P2558" s="62" t="s">
        <v>2421</v>
      </c>
      <c r="Q2558" s="66" t="s">
        <v>1972</v>
      </c>
    </row>
    <row r="2559" spans="1:17" x14ac:dyDescent="0.3">
      <c r="A2559" s="61" t="s">
        <v>2571</v>
      </c>
      <c r="B2559" s="62" t="s">
        <v>2572</v>
      </c>
      <c r="C2559" s="62" t="s">
        <v>2573</v>
      </c>
      <c r="D2559" s="63">
        <v>45839</v>
      </c>
      <c r="E2559" s="63">
        <v>46388</v>
      </c>
      <c r="F2559" s="62" t="s">
        <v>1936</v>
      </c>
      <c r="G2559" s="62" t="s">
        <v>869</v>
      </c>
      <c r="H2559" s="62" t="s">
        <v>467</v>
      </c>
      <c r="I2559" s="64">
        <v>7599.0161290322603</v>
      </c>
      <c r="J2559" s="62" t="s">
        <v>468</v>
      </c>
      <c r="K2559" s="62" t="s">
        <v>467</v>
      </c>
      <c r="L2559" s="65"/>
      <c r="M2559" s="62" t="s">
        <v>1518</v>
      </c>
      <c r="N2559" s="62" t="s">
        <v>558</v>
      </c>
      <c r="O2559" s="62" t="s">
        <v>426</v>
      </c>
      <c r="P2559" s="62" t="s">
        <v>2421</v>
      </c>
      <c r="Q2559" s="66" t="s">
        <v>1972</v>
      </c>
    </row>
    <row r="2560" spans="1:17" x14ac:dyDescent="0.3">
      <c r="A2560" s="61" t="s">
        <v>2571</v>
      </c>
      <c r="B2560" s="62" t="s">
        <v>2572</v>
      </c>
      <c r="C2560" s="62" t="s">
        <v>2573</v>
      </c>
      <c r="D2560" s="63">
        <v>45839</v>
      </c>
      <c r="E2560" s="63">
        <v>46388</v>
      </c>
      <c r="F2560" s="62" t="s">
        <v>1930</v>
      </c>
      <c r="G2560" s="62" t="s">
        <v>544</v>
      </c>
      <c r="H2560" s="62" t="s">
        <v>467</v>
      </c>
      <c r="I2560" s="64">
        <v>117784.75</v>
      </c>
      <c r="J2560" s="62" t="s">
        <v>468</v>
      </c>
      <c r="K2560" s="62" t="s">
        <v>467</v>
      </c>
      <c r="L2560" s="65"/>
      <c r="M2560" s="62" t="s">
        <v>1518</v>
      </c>
      <c r="N2560" s="62" t="s">
        <v>558</v>
      </c>
      <c r="O2560" s="62" t="s">
        <v>426</v>
      </c>
      <c r="P2560" s="62" t="s">
        <v>2421</v>
      </c>
      <c r="Q2560" s="66" t="s">
        <v>1972</v>
      </c>
    </row>
    <row r="2561" spans="1:17" x14ac:dyDescent="0.3">
      <c r="A2561" s="61" t="s">
        <v>2571</v>
      </c>
      <c r="B2561" s="62" t="s">
        <v>2572</v>
      </c>
      <c r="C2561" s="62" t="s">
        <v>2573</v>
      </c>
      <c r="D2561" s="63">
        <v>45839</v>
      </c>
      <c r="E2561" s="63">
        <v>46388</v>
      </c>
      <c r="F2561" s="62" t="s">
        <v>1930</v>
      </c>
      <c r="G2561" s="62" t="s">
        <v>532</v>
      </c>
      <c r="H2561" s="62" t="s">
        <v>467</v>
      </c>
      <c r="I2561" s="64">
        <v>117784.75</v>
      </c>
      <c r="J2561" s="62" t="s">
        <v>468</v>
      </c>
      <c r="K2561" s="62" t="s">
        <v>467</v>
      </c>
      <c r="L2561" s="65"/>
      <c r="M2561" s="62" t="s">
        <v>1518</v>
      </c>
      <c r="N2561" s="62" t="s">
        <v>558</v>
      </c>
      <c r="O2561" s="62" t="s">
        <v>426</v>
      </c>
      <c r="P2561" s="62" t="s">
        <v>2421</v>
      </c>
      <c r="Q2561" s="66" t="s">
        <v>1972</v>
      </c>
    </row>
    <row r="2562" spans="1:17" x14ac:dyDescent="0.3">
      <c r="A2562" s="61" t="s">
        <v>2574</v>
      </c>
      <c r="B2562" s="62" t="s">
        <v>2575</v>
      </c>
      <c r="C2562" s="62" t="s">
        <v>2576</v>
      </c>
      <c r="D2562" s="63">
        <v>45582</v>
      </c>
      <c r="E2562" s="63">
        <v>46494</v>
      </c>
      <c r="F2562" s="62" t="s">
        <v>1930</v>
      </c>
      <c r="G2562" s="62" t="s">
        <v>284</v>
      </c>
      <c r="H2562" s="62" t="s">
        <v>467</v>
      </c>
      <c r="I2562" s="64">
        <v>90828.75</v>
      </c>
      <c r="J2562" s="62" t="s">
        <v>803</v>
      </c>
      <c r="K2562" s="62" t="s">
        <v>467</v>
      </c>
      <c r="L2562" s="65"/>
      <c r="M2562" s="62" t="s">
        <v>825</v>
      </c>
      <c r="N2562" s="62" t="s">
        <v>374</v>
      </c>
      <c r="O2562" s="62" t="s">
        <v>375</v>
      </c>
      <c r="P2562" s="62" t="s">
        <v>2421</v>
      </c>
      <c r="Q2562" s="66" t="s">
        <v>1968</v>
      </c>
    </row>
    <row r="2563" spans="1:17" x14ac:dyDescent="0.3">
      <c r="A2563" s="61" t="s">
        <v>2574</v>
      </c>
      <c r="B2563" s="62" t="s">
        <v>2575</v>
      </c>
      <c r="C2563" s="62" t="s">
        <v>2576</v>
      </c>
      <c r="D2563" s="63">
        <v>45582</v>
      </c>
      <c r="E2563" s="63">
        <v>46494</v>
      </c>
      <c r="F2563" s="62" t="s">
        <v>1930</v>
      </c>
      <c r="G2563" s="62" t="s">
        <v>642</v>
      </c>
      <c r="H2563" s="62" t="s">
        <v>467</v>
      </c>
      <c r="I2563" s="64">
        <v>90828.75</v>
      </c>
      <c r="J2563" s="62" t="s">
        <v>803</v>
      </c>
      <c r="K2563" s="62" t="s">
        <v>467</v>
      </c>
      <c r="L2563" s="65"/>
      <c r="M2563" s="62" t="s">
        <v>825</v>
      </c>
      <c r="N2563" s="62" t="s">
        <v>374</v>
      </c>
      <c r="O2563" s="62" t="s">
        <v>375</v>
      </c>
      <c r="P2563" s="62" t="s">
        <v>2421</v>
      </c>
      <c r="Q2563" s="66" t="s">
        <v>1968</v>
      </c>
    </row>
    <row r="2564" spans="1:17" x14ac:dyDescent="0.3">
      <c r="A2564" s="61" t="s">
        <v>2574</v>
      </c>
      <c r="B2564" s="62" t="s">
        <v>2575</v>
      </c>
      <c r="C2564" s="62" t="s">
        <v>2576</v>
      </c>
      <c r="D2564" s="63">
        <v>45582</v>
      </c>
      <c r="E2564" s="63">
        <v>46494</v>
      </c>
      <c r="F2564" s="62" t="s">
        <v>1930</v>
      </c>
      <c r="G2564" s="62" t="s">
        <v>997</v>
      </c>
      <c r="H2564" s="62" t="s">
        <v>467</v>
      </c>
      <c r="I2564" s="64">
        <v>90828.75</v>
      </c>
      <c r="J2564" s="62" t="s">
        <v>803</v>
      </c>
      <c r="K2564" s="62" t="s">
        <v>467</v>
      </c>
      <c r="L2564" s="65"/>
      <c r="M2564" s="62" t="s">
        <v>825</v>
      </c>
      <c r="N2564" s="62" t="s">
        <v>374</v>
      </c>
      <c r="O2564" s="62" t="s">
        <v>375</v>
      </c>
      <c r="P2564" s="62" t="s">
        <v>2421</v>
      </c>
      <c r="Q2564" s="66" t="s">
        <v>1968</v>
      </c>
    </row>
    <row r="2565" spans="1:17" x14ac:dyDescent="0.3">
      <c r="A2565" s="61" t="s">
        <v>2574</v>
      </c>
      <c r="B2565" s="62" t="s">
        <v>2575</v>
      </c>
      <c r="C2565" s="62" t="s">
        <v>2576</v>
      </c>
      <c r="D2565" s="63">
        <v>45582</v>
      </c>
      <c r="E2565" s="63">
        <v>46494</v>
      </c>
      <c r="F2565" s="62" t="s">
        <v>1930</v>
      </c>
      <c r="G2565" s="62" t="s">
        <v>453</v>
      </c>
      <c r="H2565" s="62" t="s">
        <v>467</v>
      </c>
      <c r="I2565" s="64">
        <v>90828.75</v>
      </c>
      <c r="J2565" s="62" t="s">
        <v>803</v>
      </c>
      <c r="K2565" s="62" t="s">
        <v>467</v>
      </c>
      <c r="L2565" s="65"/>
      <c r="M2565" s="62" t="s">
        <v>825</v>
      </c>
      <c r="N2565" s="62" t="s">
        <v>374</v>
      </c>
      <c r="O2565" s="62" t="s">
        <v>375</v>
      </c>
      <c r="P2565" s="62" t="s">
        <v>2421</v>
      </c>
      <c r="Q2565" s="66" t="s">
        <v>1968</v>
      </c>
    </row>
    <row r="2566" spans="1:17" x14ac:dyDescent="0.3">
      <c r="A2566" s="61" t="s">
        <v>2574</v>
      </c>
      <c r="B2566" s="62" t="s">
        <v>2575</v>
      </c>
      <c r="C2566" s="62" t="s">
        <v>2576</v>
      </c>
      <c r="D2566" s="63">
        <v>45582</v>
      </c>
      <c r="E2566" s="63">
        <v>46494</v>
      </c>
      <c r="F2566" s="62" t="s">
        <v>1930</v>
      </c>
      <c r="G2566" s="62" t="s">
        <v>284</v>
      </c>
      <c r="H2566" s="62" t="s">
        <v>2427</v>
      </c>
      <c r="I2566" s="64">
        <v>4646.5</v>
      </c>
      <c r="J2566" s="62" t="s">
        <v>2476</v>
      </c>
      <c r="K2566" s="62" t="s">
        <v>467</v>
      </c>
      <c r="L2566" s="65"/>
      <c r="M2566" s="62" t="s">
        <v>825</v>
      </c>
      <c r="N2566" s="62" t="s">
        <v>374</v>
      </c>
      <c r="O2566" s="62" t="s">
        <v>375</v>
      </c>
      <c r="P2566" s="62" t="s">
        <v>2421</v>
      </c>
      <c r="Q2566" s="66" t="s">
        <v>1968</v>
      </c>
    </row>
    <row r="2567" spans="1:17" x14ac:dyDescent="0.3">
      <c r="A2567" s="61" t="s">
        <v>2574</v>
      </c>
      <c r="B2567" s="62" t="s">
        <v>2575</v>
      </c>
      <c r="C2567" s="62" t="s">
        <v>2576</v>
      </c>
      <c r="D2567" s="63">
        <v>45582</v>
      </c>
      <c r="E2567" s="63">
        <v>46494</v>
      </c>
      <c r="F2567" s="62" t="s">
        <v>1930</v>
      </c>
      <c r="G2567" s="62" t="s">
        <v>642</v>
      </c>
      <c r="H2567" s="62" t="s">
        <v>2427</v>
      </c>
      <c r="I2567" s="64">
        <v>4646.5</v>
      </c>
      <c r="J2567" s="62" t="s">
        <v>2476</v>
      </c>
      <c r="K2567" s="62" t="s">
        <v>467</v>
      </c>
      <c r="L2567" s="65"/>
      <c r="M2567" s="62" t="s">
        <v>825</v>
      </c>
      <c r="N2567" s="62" t="s">
        <v>374</v>
      </c>
      <c r="O2567" s="62" t="s">
        <v>375</v>
      </c>
      <c r="P2567" s="62" t="s">
        <v>2421</v>
      </c>
      <c r="Q2567" s="66" t="s">
        <v>1968</v>
      </c>
    </row>
    <row r="2568" spans="1:17" x14ac:dyDescent="0.3">
      <c r="A2568" s="61" t="s">
        <v>2574</v>
      </c>
      <c r="B2568" s="62" t="s">
        <v>2575</v>
      </c>
      <c r="C2568" s="62" t="s">
        <v>2576</v>
      </c>
      <c r="D2568" s="63">
        <v>45582</v>
      </c>
      <c r="E2568" s="63">
        <v>46494</v>
      </c>
      <c r="F2568" s="62" t="s">
        <v>1930</v>
      </c>
      <c r="G2568" s="62" t="s">
        <v>997</v>
      </c>
      <c r="H2568" s="62" t="s">
        <v>2427</v>
      </c>
      <c r="I2568" s="64">
        <v>4646.5</v>
      </c>
      <c r="J2568" s="62" t="s">
        <v>2476</v>
      </c>
      <c r="K2568" s="62" t="s">
        <v>467</v>
      </c>
      <c r="L2568" s="65"/>
      <c r="M2568" s="62" t="s">
        <v>825</v>
      </c>
      <c r="N2568" s="62" t="s">
        <v>374</v>
      </c>
      <c r="O2568" s="62" t="s">
        <v>375</v>
      </c>
      <c r="P2568" s="62" t="s">
        <v>2421</v>
      </c>
      <c r="Q2568" s="66" t="s">
        <v>1968</v>
      </c>
    </row>
    <row r="2569" spans="1:17" x14ac:dyDescent="0.3">
      <c r="A2569" s="61" t="s">
        <v>2574</v>
      </c>
      <c r="B2569" s="62" t="s">
        <v>2575</v>
      </c>
      <c r="C2569" s="62" t="s">
        <v>2576</v>
      </c>
      <c r="D2569" s="63">
        <v>45582</v>
      </c>
      <c r="E2569" s="63">
        <v>46494</v>
      </c>
      <c r="F2569" s="62" t="s">
        <v>1930</v>
      </c>
      <c r="G2569" s="62" t="s">
        <v>453</v>
      </c>
      <c r="H2569" s="62" t="s">
        <v>2427</v>
      </c>
      <c r="I2569" s="64">
        <v>4646.5</v>
      </c>
      <c r="J2569" s="62" t="s">
        <v>2476</v>
      </c>
      <c r="K2569" s="62" t="s">
        <v>467</v>
      </c>
      <c r="L2569" s="65"/>
      <c r="M2569" s="62" t="s">
        <v>825</v>
      </c>
      <c r="N2569" s="62" t="s">
        <v>374</v>
      </c>
      <c r="O2569" s="62" t="s">
        <v>375</v>
      </c>
      <c r="P2569" s="62" t="s">
        <v>2421</v>
      </c>
      <c r="Q2569" s="66" t="s">
        <v>1968</v>
      </c>
    </row>
    <row r="2570" spans="1:17" x14ac:dyDescent="0.3">
      <c r="A2570" s="61" t="s">
        <v>2577</v>
      </c>
      <c r="B2570" s="62" t="s">
        <v>2578</v>
      </c>
      <c r="C2570" s="62" t="s">
        <v>2579</v>
      </c>
      <c r="D2570" s="63">
        <v>45658</v>
      </c>
      <c r="E2570" s="63">
        <v>46752</v>
      </c>
      <c r="F2570" s="62" t="s">
        <v>286</v>
      </c>
      <c r="G2570" s="62" t="s">
        <v>304</v>
      </c>
      <c r="H2570" s="62" t="s">
        <v>2427</v>
      </c>
      <c r="I2570" s="64">
        <v>82866</v>
      </c>
      <c r="J2570" s="62" t="s">
        <v>2580</v>
      </c>
      <c r="K2570" s="62" t="s">
        <v>2581</v>
      </c>
      <c r="L2570" s="65"/>
      <c r="M2570" s="62" t="s">
        <v>424</v>
      </c>
      <c r="N2570" s="62" t="s">
        <v>671</v>
      </c>
      <c r="O2570" s="62" t="s">
        <v>426</v>
      </c>
      <c r="P2570" s="62" t="s">
        <v>2421</v>
      </c>
      <c r="Q2570" s="66" t="s">
        <v>1972</v>
      </c>
    </row>
    <row r="2571" spans="1:17" x14ac:dyDescent="0.3">
      <c r="A2571" s="61" t="s">
        <v>2577</v>
      </c>
      <c r="B2571" s="62" t="s">
        <v>2578</v>
      </c>
      <c r="C2571" s="62" t="s">
        <v>2579</v>
      </c>
      <c r="D2571" s="63">
        <v>45658</v>
      </c>
      <c r="E2571" s="63">
        <v>46752</v>
      </c>
      <c r="F2571" s="62" t="s">
        <v>1930</v>
      </c>
      <c r="G2571" s="62" t="s">
        <v>304</v>
      </c>
      <c r="H2571" s="62" t="s">
        <v>2427</v>
      </c>
      <c r="I2571" s="64">
        <v>82866</v>
      </c>
      <c r="J2571" s="62" t="s">
        <v>2580</v>
      </c>
      <c r="K2571" s="62" t="s">
        <v>2581</v>
      </c>
      <c r="L2571" s="65"/>
      <c r="M2571" s="62" t="s">
        <v>424</v>
      </c>
      <c r="N2571" s="62" t="s">
        <v>671</v>
      </c>
      <c r="O2571" s="62" t="s">
        <v>426</v>
      </c>
      <c r="P2571" s="62" t="s">
        <v>2421</v>
      </c>
      <c r="Q2571" s="66" t="s">
        <v>1972</v>
      </c>
    </row>
    <row r="2572" spans="1:17" x14ac:dyDescent="0.3">
      <c r="A2572" s="61" t="s">
        <v>2577</v>
      </c>
      <c r="B2572" s="62" t="s">
        <v>2578</v>
      </c>
      <c r="C2572" s="62" t="s">
        <v>2579</v>
      </c>
      <c r="D2572" s="63">
        <v>45658</v>
      </c>
      <c r="E2572" s="63">
        <v>46752</v>
      </c>
      <c r="F2572" s="62" t="s">
        <v>1959</v>
      </c>
      <c r="G2572" s="62" t="s">
        <v>304</v>
      </c>
      <c r="H2572" s="62" t="s">
        <v>2427</v>
      </c>
      <c r="I2572" s="64">
        <v>82866</v>
      </c>
      <c r="J2572" s="62" t="s">
        <v>2580</v>
      </c>
      <c r="K2572" s="62" t="s">
        <v>2581</v>
      </c>
      <c r="L2572" s="65"/>
      <c r="M2572" s="62" t="s">
        <v>424</v>
      </c>
      <c r="N2572" s="62" t="s">
        <v>671</v>
      </c>
      <c r="O2572" s="62" t="s">
        <v>426</v>
      </c>
      <c r="P2572" s="62" t="s">
        <v>2421</v>
      </c>
      <c r="Q2572" s="66" t="s">
        <v>1972</v>
      </c>
    </row>
    <row r="2573" spans="1:17" x14ac:dyDescent="0.3">
      <c r="A2573" s="61" t="s">
        <v>2577</v>
      </c>
      <c r="B2573" s="62" t="s">
        <v>2578</v>
      </c>
      <c r="C2573" s="62" t="s">
        <v>2579</v>
      </c>
      <c r="D2573" s="63">
        <v>45658</v>
      </c>
      <c r="E2573" s="63">
        <v>46752</v>
      </c>
      <c r="F2573" s="62" t="s">
        <v>287</v>
      </c>
      <c r="G2573" s="62" t="s">
        <v>304</v>
      </c>
      <c r="H2573" s="62" t="s">
        <v>2427</v>
      </c>
      <c r="I2573" s="64">
        <v>82866</v>
      </c>
      <c r="J2573" s="62" t="s">
        <v>2580</v>
      </c>
      <c r="K2573" s="62" t="s">
        <v>2581</v>
      </c>
      <c r="L2573" s="65"/>
      <c r="M2573" s="62" t="s">
        <v>424</v>
      </c>
      <c r="N2573" s="62" t="s">
        <v>671</v>
      </c>
      <c r="O2573" s="62" t="s">
        <v>426</v>
      </c>
      <c r="P2573" s="62" t="s">
        <v>2421</v>
      </c>
      <c r="Q2573" s="66" t="s">
        <v>1972</v>
      </c>
    </row>
    <row r="2574" spans="1:17" x14ac:dyDescent="0.3">
      <c r="A2574" s="61" t="s">
        <v>2582</v>
      </c>
      <c r="B2574" s="62" t="s">
        <v>2583</v>
      </c>
      <c r="C2574" s="62" t="s">
        <v>2584</v>
      </c>
      <c r="D2574" s="63">
        <v>45765</v>
      </c>
      <c r="E2574" s="63">
        <v>46129</v>
      </c>
      <c r="F2574" s="62" t="s">
        <v>1936</v>
      </c>
      <c r="G2574" s="62" t="s">
        <v>749</v>
      </c>
      <c r="H2574" s="62" t="s">
        <v>443</v>
      </c>
      <c r="I2574" s="64">
        <v>26695.477500000001</v>
      </c>
      <c r="J2574" s="62" t="s">
        <v>2585</v>
      </c>
      <c r="K2574" s="62" t="s">
        <v>360</v>
      </c>
      <c r="L2574" s="65"/>
      <c r="M2574" s="62" t="s">
        <v>2443</v>
      </c>
      <c r="N2574" s="62" t="s">
        <v>916</v>
      </c>
      <c r="O2574" s="62" t="s">
        <v>315</v>
      </c>
      <c r="P2574" s="62" t="s">
        <v>2421</v>
      </c>
      <c r="Q2574" s="66" t="s">
        <v>1969</v>
      </c>
    </row>
    <row r="2575" spans="1:17" x14ac:dyDescent="0.3">
      <c r="A2575" s="61" t="s">
        <v>2582</v>
      </c>
      <c r="B2575" s="62" t="s">
        <v>2583</v>
      </c>
      <c r="C2575" s="62" t="s">
        <v>2584</v>
      </c>
      <c r="D2575" s="63">
        <v>45765</v>
      </c>
      <c r="E2575" s="63">
        <v>46129</v>
      </c>
      <c r="F2575" s="62" t="s">
        <v>1936</v>
      </c>
      <c r="G2575" s="62" t="s">
        <v>865</v>
      </c>
      <c r="H2575" s="62" t="s">
        <v>443</v>
      </c>
      <c r="I2575" s="64">
        <v>26695.477500000001</v>
      </c>
      <c r="J2575" s="62" t="s">
        <v>2585</v>
      </c>
      <c r="K2575" s="62" t="s">
        <v>360</v>
      </c>
      <c r="L2575" s="65"/>
      <c r="M2575" s="62" t="s">
        <v>2443</v>
      </c>
      <c r="N2575" s="62" t="s">
        <v>916</v>
      </c>
      <c r="O2575" s="62" t="s">
        <v>315</v>
      </c>
      <c r="P2575" s="62" t="s">
        <v>2421</v>
      </c>
      <c r="Q2575" s="66" t="s">
        <v>1969</v>
      </c>
    </row>
    <row r="2576" spans="1:17" x14ac:dyDescent="0.3">
      <c r="A2576" s="61" t="s">
        <v>2582</v>
      </c>
      <c r="B2576" s="62" t="s">
        <v>2583</v>
      </c>
      <c r="C2576" s="62" t="s">
        <v>2584</v>
      </c>
      <c r="D2576" s="63">
        <v>45765</v>
      </c>
      <c r="E2576" s="63">
        <v>46129</v>
      </c>
      <c r="F2576" s="62" t="s">
        <v>1936</v>
      </c>
      <c r="G2576" s="62" t="s">
        <v>709</v>
      </c>
      <c r="H2576" s="62" t="s">
        <v>443</v>
      </c>
      <c r="I2576" s="64">
        <v>26695.477500000001</v>
      </c>
      <c r="J2576" s="62" t="s">
        <v>2585</v>
      </c>
      <c r="K2576" s="62" t="s">
        <v>360</v>
      </c>
      <c r="L2576" s="65"/>
      <c r="M2576" s="62" t="s">
        <v>2443</v>
      </c>
      <c r="N2576" s="62" t="s">
        <v>916</v>
      </c>
      <c r="O2576" s="62" t="s">
        <v>315</v>
      </c>
      <c r="P2576" s="62" t="s">
        <v>2421</v>
      </c>
      <c r="Q2576" s="66" t="s">
        <v>1969</v>
      </c>
    </row>
    <row r="2577" spans="1:17" x14ac:dyDescent="0.3">
      <c r="A2577" s="61" t="s">
        <v>2582</v>
      </c>
      <c r="B2577" s="62" t="s">
        <v>2583</v>
      </c>
      <c r="C2577" s="62" t="s">
        <v>2584</v>
      </c>
      <c r="D2577" s="63">
        <v>45765</v>
      </c>
      <c r="E2577" s="63">
        <v>46129</v>
      </c>
      <c r="F2577" s="62" t="s">
        <v>1936</v>
      </c>
      <c r="G2577" s="62" t="s">
        <v>745</v>
      </c>
      <c r="H2577" s="62" t="s">
        <v>443</v>
      </c>
      <c r="I2577" s="64">
        <v>26695.477500000001</v>
      </c>
      <c r="J2577" s="62" t="s">
        <v>2585</v>
      </c>
      <c r="K2577" s="62" t="s">
        <v>360</v>
      </c>
      <c r="L2577" s="65"/>
      <c r="M2577" s="62" t="s">
        <v>2443</v>
      </c>
      <c r="N2577" s="62" t="s">
        <v>916</v>
      </c>
      <c r="O2577" s="62" t="s">
        <v>315</v>
      </c>
      <c r="P2577" s="62" t="s">
        <v>2421</v>
      </c>
      <c r="Q2577" s="66" t="s">
        <v>1969</v>
      </c>
    </row>
    <row r="2578" spans="1:17" x14ac:dyDescent="0.3">
      <c r="A2578" s="61" t="s">
        <v>2582</v>
      </c>
      <c r="B2578" s="62" t="s">
        <v>2583</v>
      </c>
      <c r="C2578" s="62" t="s">
        <v>2584</v>
      </c>
      <c r="D2578" s="63">
        <v>45765</v>
      </c>
      <c r="E2578" s="63">
        <v>46129</v>
      </c>
      <c r="F2578" s="62" t="s">
        <v>1936</v>
      </c>
      <c r="G2578" s="62" t="s">
        <v>797</v>
      </c>
      <c r="H2578" s="62" t="s">
        <v>443</v>
      </c>
      <c r="I2578" s="64">
        <v>26695.477500000001</v>
      </c>
      <c r="J2578" s="62" t="s">
        <v>2585</v>
      </c>
      <c r="K2578" s="62" t="s">
        <v>360</v>
      </c>
      <c r="L2578" s="65"/>
      <c r="M2578" s="62" t="s">
        <v>2443</v>
      </c>
      <c r="N2578" s="62" t="s">
        <v>916</v>
      </c>
      <c r="O2578" s="62" t="s">
        <v>315</v>
      </c>
      <c r="P2578" s="62" t="s">
        <v>2421</v>
      </c>
      <c r="Q2578" s="66" t="s">
        <v>1969</v>
      </c>
    </row>
    <row r="2579" spans="1:17" x14ac:dyDescent="0.3">
      <c r="A2579" s="61" t="s">
        <v>2582</v>
      </c>
      <c r="B2579" s="62" t="s">
        <v>2583</v>
      </c>
      <c r="C2579" s="62" t="s">
        <v>2584</v>
      </c>
      <c r="D2579" s="63">
        <v>45765</v>
      </c>
      <c r="E2579" s="63">
        <v>46129</v>
      </c>
      <c r="F2579" s="62" t="s">
        <v>1936</v>
      </c>
      <c r="G2579" s="62" t="s">
        <v>866</v>
      </c>
      <c r="H2579" s="62" t="s">
        <v>443</v>
      </c>
      <c r="I2579" s="64">
        <v>26695.477500000001</v>
      </c>
      <c r="J2579" s="62" t="s">
        <v>2585</v>
      </c>
      <c r="K2579" s="62" t="s">
        <v>360</v>
      </c>
      <c r="L2579" s="65"/>
      <c r="M2579" s="62" t="s">
        <v>2443</v>
      </c>
      <c r="N2579" s="62" t="s">
        <v>916</v>
      </c>
      <c r="O2579" s="62" t="s">
        <v>315</v>
      </c>
      <c r="P2579" s="62" t="s">
        <v>2421</v>
      </c>
      <c r="Q2579" s="66" t="s">
        <v>1969</v>
      </c>
    </row>
    <row r="2580" spans="1:17" x14ac:dyDescent="0.3">
      <c r="A2580" s="61" t="s">
        <v>2582</v>
      </c>
      <c r="B2580" s="62" t="s">
        <v>2583</v>
      </c>
      <c r="C2580" s="62" t="s">
        <v>2584</v>
      </c>
      <c r="D2580" s="63">
        <v>45765</v>
      </c>
      <c r="E2580" s="63">
        <v>46129</v>
      </c>
      <c r="F2580" s="62" t="s">
        <v>1936</v>
      </c>
      <c r="G2580" s="62" t="s">
        <v>761</v>
      </c>
      <c r="H2580" s="62" t="s">
        <v>443</v>
      </c>
      <c r="I2580" s="64">
        <v>26695.477500000001</v>
      </c>
      <c r="J2580" s="62" t="s">
        <v>2585</v>
      </c>
      <c r="K2580" s="62" t="s">
        <v>360</v>
      </c>
      <c r="L2580" s="65"/>
      <c r="M2580" s="62" t="s">
        <v>2443</v>
      </c>
      <c r="N2580" s="62" t="s">
        <v>916</v>
      </c>
      <c r="O2580" s="62" t="s">
        <v>315</v>
      </c>
      <c r="P2580" s="62" t="s">
        <v>2421</v>
      </c>
      <c r="Q2580" s="66" t="s">
        <v>1969</v>
      </c>
    </row>
    <row r="2581" spans="1:17" x14ac:dyDescent="0.3">
      <c r="A2581" s="61" t="s">
        <v>2582</v>
      </c>
      <c r="B2581" s="62" t="s">
        <v>2583</v>
      </c>
      <c r="C2581" s="62" t="s">
        <v>2584</v>
      </c>
      <c r="D2581" s="63">
        <v>45765</v>
      </c>
      <c r="E2581" s="63">
        <v>46129</v>
      </c>
      <c r="F2581" s="62" t="s">
        <v>1936</v>
      </c>
      <c r="G2581" s="62" t="s">
        <v>867</v>
      </c>
      <c r="H2581" s="62" t="s">
        <v>443</v>
      </c>
      <c r="I2581" s="64">
        <v>26695.477500000001</v>
      </c>
      <c r="J2581" s="62" t="s">
        <v>2585</v>
      </c>
      <c r="K2581" s="62" t="s">
        <v>360</v>
      </c>
      <c r="L2581" s="65"/>
      <c r="M2581" s="62" t="s">
        <v>2443</v>
      </c>
      <c r="N2581" s="62" t="s">
        <v>916</v>
      </c>
      <c r="O2581" s="62" t="s">
        <v>315</v>
      </c>
      <c r="P2581" s="62" t="s">
        <v>2421</v>
      </c>
      <c r="Q2581" s="66" t="s">
        <v>1969</v>
      </c>
    </row>
    <row r="2582" spans="1:17" x14ac:dyDescent="0.3">
      <c r="A2582" s="61" t="s">
        <v>2582</v>
      </c>
      <c r="B2582" s="62" t="s">
        <v>2583</v>
      </c>
      <c r="C2582" s="62" t="s">
        <v>2584</v>
      </c>
      <c r="D2582" s="63">
        <v>45765</v>
      </c>
      <c r="E2582" s="63">
        <v>46129</v>
      </c>
      <c r="F2582" s="62" t="s">
        <v>1936</v>
      </c>
      <c r="G2582" s="62" t="s">
        <v>604</v>
      </c>
      <c r="H2582" s="62" t="s">
        <v>443</v>
      </c>
      <c r="I2582" s="64">
        <v>26695.477500000001</v>
      </c>
      <c r="J2582" s="62" t="s">
        <v>2585</v>
      </c>
      <c r="K2582" s="62" t="s">
        <v>360</v>
      </c>
      <c r="L2582" s="65"/>
      <c r="M2582" s="62" t="s">
        <v>2443</v>
      </c>
      <c r="N2582" s="62" t="s">
        <v>916</v>
      </c>
      <c r="O2582" s="62" t="s">
        <v>315</v>
      </c>
      <c r="P2582" s="62" t="s">
        <v>2421</v>
      </c>
      <c r="Q2582" s="66" t="s">
        <v>1969</v>
      </c>
    </row>
    <row r="2583" spans="1:17" x14ac:dyDescent="0.3">
      <c r="A2583" s="61" t="s">
        <v>2582</v>
      </c>
      <c r="B2583" s="62" t="s">
        <v>2583</v>
      </c>
      <c r="C2583" s="62" t="s">
        <v>2584</v>
      </c>
      <c r="D2583" s="63">
        <v>45765</v>
      </c>
      <c r="E2583" s="63">
        <v>46129</v>
      </c>
      <c r="F2583" s="62" t="s">
        <v>1936</v>
      </c>
      <c r="G2583" s="62" t="s">
        <v>1223</v>
      </c>
      <c r="H2583" s="62" t="s">
        <v>443</v>
      </c>
      <c r="I2583" s="64">
        <v>26695.477500000001</v>
      </c>
      <c r="J2583" s="62" t="s">
        <v>2585</v>
      </c>
      <c r="K2583" s="62" t="s">
        <v>360</v>
      </c>
      <c r="L2583" s="65"/>
      <c r="M2583" s="62" t="s">
        <v>2443</v>
      </c>
      <c r="N2583" s="62" t="s">
        <v>916</v>
      </c>
      <c r="O2583" s="62" t="s">
        <v>315</v>
      </c>
      <c r="P2583" s="62" t="s">
        <v>2421</v>
      </c>
      <c r="Q2583" s="66" t="s">
        <v>1969</v>
      </c>
    </row>
    <row r="2584" spans="1:17" x14ac:dyDescent="0.3">
      <c r="A2584" s="61" t="s">
        <v>2582</v>
      </c>
      <c r="B2584" s="62" t="s">
        <v>2583</v>
      </c>
      <c r="C2584" s="62" t="s">
        <v>2584</v>
      </c>
      <c r="D2584" s="63">
        <v>45765</v>
      </c>
      <c r="E2584" s="63">
        <v>46129</v>
      </c>
      <c r="F2584" s="62" t="s">
        <v>1936</v>
      </c>
      <c r="G2584" s="62" t="s">
        <v>750</v>
      </c>
      <c r="H2584" s="62" t="s">
        <v>443</v>
      </c>
      <c r="I2584" s="64">
        <v>26695.477500000001</v>
      </c>
      <c r="J2584" s="62" t="s">
        <v>2585</v>
      </c>
      <c r="K2584" s="62" t="s">
        <v>360</v>
      </c>
      <c r="L2584" s="65"/>
      <c r="M2584" s="62" t="s">
        <v>2443</v>
      </c>
      <c r="N2584" s="62" t="s">
        <v>916</v>
      </c>
      <c r="O2584" s="62" t="s">
        <v>315</v>
      </c>
      <c r="P2584" s="62" t="s">
        <v>2421</v>
      </c>
      <c r="Q2584" s="66" t="s">
        <v>1969</v>
      </c>
    </row>
    <row r="2585" spans="1:17" x14ac:dyDescent="0.3">
      <c r="A2585" s="61" t="s">
        <v>2582</v>
      </c>
      <c r="B2585" s="62" t="s">
        <v>2583</v>
      </c>
      <c r="C2585" s="62" t="s">
        <v>2584</v>
      </c>
      <c r="D2585" s="63">
        <v>45765</v>
      </c>
      <c r="E2585" s="63">
        <v>46129</v>
      </c>
      <c r="F2585" s="62" t="s">
        <v>1936</v>
      </c>
      <c r="G2585" s="62" t="s">
        <v>411</v>
      </c>
      <c r="H2585" s="62" t="s">
        <v>443</v>
      </c>
      <c r="I2585" s="64">
        <v>26695.477500000001</v>
      </c>
      <c r="J2585" s="62" t="s">
        <v>2585</v>
      </c>
      <c r="K2585" s="62" t="s">
        <v>360</v>
      </c>
      <c r="L2585" s="65"/>
      <c r="M2585" s="62" t="s">
        <v>2443</v>
      </c>
      <c r="N2585" s="62" t="s">
        <v>916</v>
      </c>
      <c r="O2585" s="62" t="s">
        <v>315</v>
      </c>
      <c r="P2585" s="62" t="s">
        <v>2421</v>
      </c>
      <c r="Q2585" s="66" t="s">
        <v>1969</v>
      </c>
    </row>
    <row r="2586" spans="1:17" x14ac:dyDescent="0.3">
      <c r="A2586" s="61" t="s">
        <v>2586</v>
      </c>
      <c r="B2586" s="62" t="s">
        <v>2587</v>
      </c>
      <c r="C2586" s="62" t="s">
        <v>2588</v>
      </c>
      <c r="D2586" s="63">
        <v>45566</v>
      </c>
      <c r="E2586" s="63">
        <v>46295</v>
      </c>
      <c r="F2586" s="62" t="s">
        <v>350</v>
      </c>
      <c r="G2586" s="62" t="s">
        <v>304</v>
      </c>
      <c r="H2586" s="62" t="s">
        <v>377</v>
      </c>
      <c r="I2586" s="64">
        <v>303279.77</v>
      </c>
      <c r="J2586" s="62" t="s">
        <v>956</v>
      </c>
      <c r="K2586" s="62" t="s">
        <v>377</v>
      </c>
      <c r="L2586" s="65"/>
      <c r="M2586" s="62" t="s">
        <v>1518</v>
      </c>
      <c r="N2586" s="62" t="s">
        <v>2589</v>
      </c>
      <c r="O2586" s="62" t="s">
        <v>459</v>
      </c>
      <c r="P2586" s="62" t="s">
        <v>2421</v>
      </c>
      <c r="Q2586" s="66" t="s">
        <v>1971</v>
      </c>
    </row>
    <row r="2587" spans="1:17" x14ac:dyDescent="0.3">
      <c r="A2587" s="61" t="s">
        <v>2590</v>
      </c>
      <c r="B2587" s="62" t="s">
        <v>2591</v>
      </c>
      <c r="C2587" s="62" t="s">
        <v>2592</v>
      </c>
      <c r="D2587" s="63">
        <v>45867</v>
      </c>
      <c r="E2587" s="63">
        <v>46141</v>
      </c>
      <c r="F2587" s="62" t="s">
        <v>1930</v>
      </c>
      <c r="G2587" s="62" t="s">
        <v>1207</v>
      </c>
      <c r="H2587" s="62" t="s">
        <v>443</v>
      </c>
      <c r="I2587" s="64">
        <v>671367.84</v>
      </c>
      <c r="J2587" s="62" t="s">
        <v>939</v>
      </c>
      <c r="K2587" s="62" t="s">
        <v>377</v>
      </c>
      <c r="L2587" s="65"/>
      <c r="M2587" s="62" t="s">
        <v>825</v>
      </c>
      <c r="N2587" s="62" t="s">
        <v>644</v>
      </c>
      <c r="O2587" s="62" t="s">
        <v>371</v>
      </c>
      <c r="P2587" s="62" t="s">
        <v>2421</v>
      </c>
      <c r="Q2587" s="66" t="s">
        <v>1972</v>
      </c>
    </row>
    <row r="2588" spans="1:17" x14ac:dyDescent="0.3">
      <c r="A2588" s="61" t="s">
        <v>2593</v>
      </c>
      <c r="B2588" s="62" t="s">
        <v>2594</v>
      </c>
      <c r="C2588" s="62" t="s">
        <v>2595</v>
      </c>
      <c r="D2588" s="63">
        <v>45901</v>
      </c>
      <c r="E2588" s="63">
        <v>46054</v>
      </c>
      <c r="F2588" s="62" t="s">
        <v>348</v>
      </c>
      <c r="G2588" s="62" t="s">
        <v>348</v>
      </c>
      <c r="H2588" s="62" t="s">
        <v>931</v>
      </c>
      <c r="I2588" s="64">
        <v>11898.98</v>
      </c>
      <c r="J2588" s="62" t="s">
        <v>1852</v>
      </c>
      <c r="K2588" s="62" t="s">
        <v>1957</v>
      </c>
      <c r="L2588" s="65"/>
      <c r="M2588" s="62" t="s">
        <v>424</v>
      </c>
      <c r="N2588" s="62" t="s">
        <v>579</v>
      </c>
      <c r="O2588" s="62" t="s">
        <v>428</v>
      </c>
      <c r="P2588" s="62" t="s">
        <v>2421</v>
      </c>
      <c r="Q2588" s="66" t="s">
        <v>1989</v>
      </c>
    </row>
    <row r="2589" spans="1:17" x14ac:dyDescent="0.3">
      <c r="A2589" s="61" t="s">
        <v>2596</v>
      </c>
      <c r="B2589" s="62" t="s">
        <v>2597</v>
      </c>
      <c r="C2589" s="62" t="s">
        <v>2598</v>
      </c>
      <c r="D2589" s="63">
        <v>45880</v>
      </c>
      <c r="E2589" s="63">
        <v>46334</v>
      </c>
      <c r="F2589" s="62" t="s">
        <v>1922</v>
      </c>
      <c r="G2589" s="62" t="s">
        <v>1196</v>
      </c>
      <c r="H2589" s="62" t="s">
        <v>443</v>
      </c>
      <c r="I2589" s="64">
        <v>28469.028750000001</v>
      </c>
      <c r="J2589" s="62" t="s">
        <v>939</v>
      </c>
      <c r="K2589" s="62" t="s">
        <v>377</v>
      </c>
      <c r="L2589" s="65"/>
      <c r="M2589" s="62" t="s">
        <v>825</v>
      </c>
      <c r="N2589" s="62" t="s">
        <v>644</v>
      </c>
      <c r="O2589" s="62" t="s">
        <v>371</v>
      </c>
      <c r="P2589" s="62" t="s">
        <v>2421</v>
      </c>
      <c r="Q2589" s="66" t="s">
        <v>1972</v>
      </c>
    </row>
    <row r="2590" spans="1:17" x14ac:dyDescent="0.3">
      <c r="A2590" s="61" t="s">
        <v>2596</v>
      </c>
      <c r="B2590" s="62" t="s">
        <v>2597</v>
      </c>
      <c r="C2590" s="62" t="s">
        <v>2598</v>
      </c>
      <c r="D2590" s="63">
        <v>45880</v>
      </c>
      <c r="E2590" s="63">
        <v>46334</v>
      </c>
      <c r="F2590" s="62" t="s">
        <v>1922</v>
      </c>
      <c r="G2590" s="62" t="s">
        <v>376</v>
      </c>
      <c r="H2590" s="62" t="s">
        <v>443</v>
      </c>
      <c r="I2590" s="64">
        <v>28469.028750000001</v>
      </c>
      <c r="J2590" s="62" t="s">
        <v>939</v>
      </c>
      <c r="K2590" s="62" t="s">
        <v>377</v>
      </c>
      <c r="L2590" s="65"/>
      <c r="M2590" s="62" t="s">
        <v>825</v>
      </c>
      <c r="N2590" s="62" t="s">
        <v>644</v>
      </c>
      <c r="O2590" s="62" t="s">
        <v>371</v>
      </c>
      <c r="P2590" s="62" t="s">
        <v>2421</v>
      </c>
      <c r="Q2590" s="66" t="s">
        <v>1972</v>
      </c>
    </row>
    <row r="2591" spans="1:17" x14ac:dyDescent="0.3">
      <c r="A2591" s="61" t="s">
        <v>2596</v>
      </c>
      <c r="B2591" s="62" t="s">
        <v>2597</v>
      </c>
      <c r="C2591" s="62" t="s">
        <v>2598</v>
      </c>
      <c r="D2591" s="63">
        <v>45880</v>
      </c>
      <c r="E2591" s="63">
        <v>46334</v>
      </c>
      <c r="F2591" s="62" t="s">
        <v>1922</v>
      </c>
      <c r="G2591" s="62" t="s">
        <v>836</v>
      </c>
      <c r="H2591" s="62" t="s">
        <v>443</v>
      </c>
      <c r="I2591" s="64">
        <v>28469.028750000001</v>
      </c>
      <c r="J2591" s="62" t="s">
        <v>939</v>
      </c>
      <c r="K2591" s="62" t="s">
        <v>377</v>
      </c>
      <c r="L2591" s="65"/>
      <c r="M2591" s="62" t="s">
        <v>825</v>
      </c>
      <c r="N2591" s="62" t="s">
        <v>644</v>
      </c>
      <c r="O2591" s="62" t="s">
        <v>371</v>
      </c>
      <c r="P2591" s="62" t="s">
        <v>2421</v>
      </c>
      <c r="Q2591" s="66" t="s">
        <v>1972</v>
      </c>
    </row>
    <row r="2592" spans="1:17" x14ac:dyDescent="0.3">
      <c r="A2592" s="61" t="s">
        <v>2596</v>
      </c>
      <c r="B2592" s="62" t="s">
        <v>2597</v>
      </c>
      <c r="C2592" s="62" t="s">
        <v>2598</v>
      </c>
      <c r="D2592" s="63">
        <v>45880</v>
      </c>
      <c r="E2592" s="63">
        <v>46334</v>
      </c>
      <c r="F2592" s="62" t="s">
        <v>1922</v>
      </c>
      <c r="G2592" s="62" t="s">
        <v>382</v>
      </c>
      <c r="H2592" s="62" t="s">
        <v>443</v>
      </c>
      <c r="I2592" s="64">
        <v>28469.028750000001</v>
      </c>
      <c r="J2592" s="62" t="s">
        <v>939</v>
      </c>
      <c r="K2592" s="62" t="s">
        <v>377</v>
      </c>
      <c r="L2592" s="65"/>
      <c r="M2592" s="62" t="s">
        <v>825</v>
      </c>
      <c r="N2592" s="62" t="s">
        <v>644</v>
      </c>
      <c r="O2592" s="62" t="s">
        <v>371</v>
      </c>
      <c r="P2592" s="62" t="s">
        <v>2421</v>
      </c>
      <c r="Q2592" s="66" t="s">
        <v>1972</v>
      </c>
    </row>
    <row r="2593" spans="1:17" x14ac:dyDescent="0.3">
      <c r="A2593" s="61" t="s">
        <v>2596</v>
      </c>
      <c r="B2593" s="62" t="s">
        <v>2597</v>
      </c>
      <c r="C2593" s="62" t="s">
        <v>2598</v>
      </c>
      <c r="D2593" s="63">
        <v>45880</v>
      </c>
      <c r="E2593" s="63">
        <v>46334</v>
      </c>
      <c r="F2593" s="62" t="s">
        <v>1922</v>
      </c>
      <c r="G2593" s="62" t="s">
        <v>383</v>
      </c>
      <c r="H2593" s="62" t="s">
        <v>443</v>
      </c>
      <c r="I2593" s="64">
        <v>28469.028750000001</v>
      </c>
      <c r="J2593" s="62" t="s">
        <v>939</v>
      </c>
      <c r="K2593" s="62" t="s">
        <v>377</v>
      </c>
      <c r="L2593" s="65"/>
      <c r="M2593" s="62" t="s">
        <v>825</v>
      </c>
      <c r="N2593" s="62" t="s">
        <v>644</v>
      </c>
      <c r="O2593" s="62" t="s">
        <v>371</v>
      </c>
      <c r="P2593" s="62" t="s">
        <v>2421</v>
      </c>
      <c r="Q2593" s="66" t="s">
        <v>1972</v>
      </c>
    </row>
    <row r="2594" spans="1:17" x14ac:dyDescent="0.3">
      <c r="A2594" s="61" t="s">
        <v>2596</v>
      </c>
      <c r="B2594" s="62" t="s">
        <v>2597</v>
      </c>
      <c r="C2594" s="62" t="s">
        <v>2598</v>
      </c>
      <c r="D2594" s="63">
        <v>45880</v>
      </c>
      <c r="E2594" s="63">
        <v>46334</v>
      </c>
      <c r="F2594" s="62" t="s">
        <v>1922</v>
      </c>
      <c r="G2594" s="62" t="s">
        <v>384</v>
      </c>
      <c r="H2594" s="62" t="s">
        <v>443</v>
      </c>
      <c r="I2594" s="64">
        <v>28469.028750000001</v>
      </c>
      <c r="J2594" s="62" t="s">
        <v>939</v>
      </c>
      <c r="K2594" s="62" t="s">
        <v>377</v>
      </c>
      <c r="L2594" s="65"/>
      <c r="M2594" s="62" t="s">
        <v>825</v>
      </c>
      <c r="N2594" s="62" t="s">
        <v>644</v>
      </c>
      <c r="O2594" s="62" t="s">
        <v>371</v>
      </c>
      <c r="P2594" s="62" t="s">
        <v>2421</v>
      </c>
      <c r="Q2594" s="66" t="s">
        <v>1972</v>
      </c>
    </row>
    <row r="2595" spans="1:17" x14ac:dyDescent="0.3">
      <c r="A2595" s="61" t="s">
        <v>2596</v>
      </c>
      <c r="B2595" s="62" t="s">
        <v>2597</v>
      </c>
      <c r="C2595" s="62" t="s">
        <v>2598</v>
      </c>
      <c r="D2595" s="63">
        <v>45880</v>
      </c>
      <c r="E2595" s="63">
        <v>46334</v>
      </c>
      <c r="F2595" s="62" t="s">
        <v>1922</v>
      </c>
      <c r="G2595" s="62" t="s">
        <v>385</v>
      </c>
      <c r="H2595" s="62" t="s">
        <v>443</v>
      </c>
      <c r="I2595" s="64">
        <v>28469.028750000001</v>
      </c>
      <c r="J2595" s="62" t="s">
        <v>939</v>
      </c>
      <c r="K2595" s="62" t="s">
        <v>377</v>
      </c>
      <c r="L2595" s="65"/>
      <c r="M2595" s="62" t="s">
        <v>825</v>
      </c>
      <c r="N2595" s="62" t="s">
        <v>644</v>
      </c>
      <c r="O2595" s="62" t="s">
        <v>371</v>
      </c>
      <c r="P2595" s="62" t="s">
        <v>2421</v>
      </c>
      <c r="Q2595" s="66" t="s">
        <v>1972</v>
      </c>
    </row>
    <row r="2596" spans="1:17" x14ac:dyDescent="0.3">
      <c r="A2596" s="61" t="s">
        <v>2596</v>
      </c>
      <c r="B2596" s="62" t="s">
        <v>2597</v>
      </c>
      <c r="C2596" s="62" t="s">
        <v>2598</v>
      </c>
      <c r="D2596" s="63">
        <v>45880</v>
      </c>
      <c r="E2596" s="63">
        <v>46334</v>
      </c>
      <c r="F2596" s="62" t="s">
        <v>1922</v>
      </c>
      <c r="G2596" s="62" t="s">
        <v>386</v>
      </c>
      <c r="H2596" s="62" t="s">
        <v>443</v>
      </c>
      <c r="I2596" s="64">
        <v>28469.028750000001</v>
      </c>
      <c r="J2596" s="62" t="s">
        <v>939</v>
      </c>
      <c r="K2596" s="62" t="s">
        <v>377</v>
      </c>
      <c r="L2596" s="65"/>
      <c r="M2596" s="62" t="s">
        <v>825</v>
      </c>
      <c r="N2596" s="62" t="s">
        <v>644</v>
      </c>
      <c r="O2596" s="62" t="s">
        <v>371</v>
      </c>
      <c r="P2596" s="62" t="s">
        <v>2421</v>
      </c>
      <c r="Q2596" s="66" t="s">
        <v>1972</v>
      </c>
    </row>
    <row r="2597" spans="1:17" x14ac:dyDescent="0.3">
      <c r="A2597" s="61" t="s">
        <v>2596</v>
      </c>
      <c r="B2597" s="62" t="s">
        <v>2597</v>
      </c>
      <c r="C2597" s="62" t="s">
        <v>2598</v>
      </c>
      <c r="D2597" s="63">
        <v>45880</v>
      </c>
      <c r="E2597" s="63">
        <v>46334</v>
      </c>
      <c r="F2597" s="62" t="s">
        <v>287</v>
      </c>
      <c r="G2597" s="62" t="s">
        <v>304</v>
      </c>
      <c r="H2597" s="62" t="s">
        <v>443</v>
      </c>
      <c r="I2597" s="64">
        <v>227752.23</v>
      </c>
      <c r="J2597" s="62" t="s">
        <v>939</v>
      </c>
      <c r="K2597" s="62" t="s">
        <v>377</v>
      </c>
      <c r="L2597" s="65"/>
      <c r="M2597" s="62" t="s">
        <v>825</v>
      </c>
      <c r="N2597" s="62" t="s">
        <v>644</v>
      </c>
      <c r="O2597" s="62" t="s">
        <v>371</v>
      </c>
      <c r="P2597" s="62" t="s">
        <v>2421</v>
      </c>
      <c r="Q2597" s="66" t="s">
        <v>1972</v>
      </c>
    </row>
    <row r="2598" spans="1:17" x14ac:dyDescent="0.3">
      <c r="A2598" s="61" t="s">
        <v>2599</v>
      </c>
      <c r="B2598" s="62" t="s">
        <v>2600</v>
      </c>
      <c r="C2598" s="62" t="s">
        <v>2601</v>
      </c>
      <c r="D2598" s="63">
        <v>45856</v>
      </c>
      <c r="E2598" s="63">
        <v>46221</v>
      </c>
      <c r="F2598" s="62" t="s">
        <v>1935</v>
      </c>
      <c r="G2598" s="62" t="s">
        <v>304</v>
      </c>
      <c r="H2598" s="62" t="s">
        <v>2427</v>
      </c>
      <c r="I2598" s="64">
        <v>9555.2857142857101</v>
      </c>
      <c r="J2598" s="62" t="s">
        <v>1294</v>
      </c>
      <c r="K2598" s="62" t="s">
        <v>2433</v>
      </c>
      <c r="L2598" s="65"/>
      <c r="M2598" s="62" t="s">
        <v>1518</v>
      </c>
      <c r="N2598" s="62" t="s">
        <v>531</v>
      </c>
      <c r="O2598" s="62" t="s">
        <v>459</v>
      </c>
      <c r="P2598" s="62" t="s">
        <v>2421</v>
      </c>
      <c r="Q2598" s="66" t="s">
        <v>1971</v>
      </c>
    </row>
    <row r="2599" spans="1:17" x14ac:dyDescent="0.3">
      <c r="A2599" s="61" t="s">
        <v>2599</v>
      </c>
      <c r="B2599" s="62" t="s">
        <v>2600</v>
      </c>
      <c r="C2599" s="62" t="s">
        <v>2601</v>
      </c>
      <c r="D2599" s="63">
        <v>45856</v>
      </c>
      <c r="E2599" s="63">
        <v>46221</v>
      </c>
      <c r="F2599" s="62" t="s">
        <v>1944</v>
      </c>
      <c r="G2599" s="62" t="s">
        <v>304</v>
      </c>
      <c r="H2599" s="62" t="s">
        <v>2427</v>
      </c>
      <c r="I2599" s="64">
        <v>9555.2857142857101</v>
      </c>
      <c r="J2599" s="62" t="s">
        <v>1294</v>
      </c>
      <c r="K2599" s="62" t="s">
        <v>2433</v>
      </c>
      <c r="L2599" s="65"/>
      <c r="M2599" s="62" t="s">
        <v>1518</v>
      </c>
      <c r="N2599" s="62" t="s">
        <v>531</v>
      </c>
      <c r="O2599" s="62" t="s">
        <v>459</v>
      </c>
      <c r="P2599" s="62" t="s">
        <v>2421</v>
      </c>
      <c r="Q2599" s="66" t="s">
        <v>1971</v>
      </c>
    </row>
    <row r="2600" spans="1:17" x14ac:dyDescent="0.3">
      <c r="A2600" s="61" t="s">
        <v>2599</v>
      </c>
      <c r="B2600" s="62" t="s">
        <v>2600</v>
      </c>
      <c r="C2600" s="62" t="s">
        <v>2601</v>
      </c>
      <c r="D2600" s="63">
        <v>45856</v>
      </c>
      <c r="E2600" s="63">
        <v>46221</v>
      </c>
      <c r="F2600" s="62" t="s">
        <v>1930</v>
      </c>
      <c r="G2600" s="62" t="s">
        <v>304</v>
      </c>
      <c r="H2600" s="62" t="s">
        <v>2427</v>
      </c>
      <c r="I2600" s="64">
        <v>9555.2857142857101</v>
      </c>
      <c r="J2600" s="62" t="s">
        <v>1294</v>
      </c>
      <c r="K2600" s="62" t="s">
        <v>2433</v>
      </c>
      <c r="L2600" s="65"/>
      <c r="M2600" s="62" t="s">
        <v>1518</v>
      </c>
      <c r="N2600" s="62" t="s">
        <v>531</v>
      </c>
      <c r="O2600" s="62" t="s">
        <v>459</v>
      </c>
      <c r="P2600" s="62" t="s">
        <v>2421</v>
      </c>
      <c r="Q2600" s="66" t="s">
        <v>1971</v>
      </c>
    </row>
    <row r="2601" spans="1:17" x14ac:dyDescent="0.3">
      <c r="A2601" s="61" t="s">
        <v>2599</v>
      </c>
      <c r="B2601" s="62" t="s">
        <v>2600</v>
      </c>
      <c r="C2601" s="62" t="s">
        <v>2601</v>
      </c>
      <c r="D2601" s="63">
        <v>45856</v>
      </c>
      <c r="E2601" s="63">
        <v>46221</v>
      </c>
      <c r="F2601" s="62" t="s">
        <v>284</v>
      </c>
      <c r="G2601" s="62" t="s">
        <v>304</v>
      </c>
      <c r="H2601" s="62" t="s">
        <v>2427</v>
      </c>
      <c r="I2601" s="64">
        <v>9555.2857142857101</v>
      </c>
      <c r="J2601" s="62" t="s">
        <v>1294</v>
      </c>
      <c r="K2601" s="62" t="s">
        <v>2433</v>
      </c>
      <c r="L2601" s="65"/>
      <c r="M2601" s="62" t="s">
        <v>1518</v>
      </c>
      <c r="N2601" s="62" t="s">
        <v>531</v>
      </c>
      <c r="O2601" s="62" t="s">
        <v>459</v>
      </c>
      <c r="P2601" s="62" t="s">
        <v>2421</v>
      </c>
      <c r="Q2601" s="66" t="s">
        <v>1971</v>
      </c>
    </row>
    <row r="2602" spans="1:17" x14ac:dyDescent="0.3">
      <c r="A2602" s="61" t="s">
        <v>2599</v>
      </c>
      <c r="B2602" s="62" t="s">
        <v>2600</v>
      </c>
      <c r="C2602" s="62" t="s">
        <v>2601</v>
      </c>
      <c r="D2602" s="63">
        <v>45856</v>
      </c>
      <c r="E2602" s="63">
        <v>46221</v>
      </c>
      <c r="F2602" s="62" t="s">
        <v>288</v>
      </c>
      <c r="G2602" s="62" t="s">
        <v>304</v>
      </c>
      <c r="H2602" s="62" t="s">
        <v>2427</v>
      </c>
      <c r="I2602" s="64">
        <v>9555.2857142857101</v>
      </c>
      <c r="J2602" s="62" t="s">
        <v>1294</v>
      </c>
      <c r="K2602" s="62" t="s">
        <v>2433</v>
      </c>
      <c r="L2602" s="65"/>
      <c r="M2602" s="62" t="s">
        <v>1518</v>
      </c>
      <c r="N2602" s="62" t="s">
        <v>531</v>
      </c>
      <c r="O2602" s="62" t="s">
        <v>459</v>
      </c>
      <c r="P2602" s="62" t="s">
        <v>2421</v>
      </c>
      <c r="Q2602" s="66" t="s">
        <v>1971</v>
      </c>
    </row>
    <row r="2603" spans="1:17" x14ac:dyDescent="0.3">
      <c r="A2603" s="61" t="s">
        <v>2599</v>
      </c>
      <c r="B2603" s="62" t="s">
        <v>2600</v>
      </c>
      <c r="C2603" s="62" t="s">
        <v>2601</v>
      </c>
      <c r="D2603" s="63">
        <v>45856</v>
      </c>
      <c r="E2603" s="63">
        <v>46221</v>
      </c>
      <c r="F2603" s="62" t="s">
        <v>1936</v>
      </c>
      <c r="G2603" s="62" t="s">
        <v>304</v>
      </c>
      <c r="H2603" s="62" t="s">
        <v>2427</v>
      </c>
      <c r="I2603" s="64">
        <v>9555.2857142857101</v>
      </c>
      <c r="J2603" s="62" t="s">
        <v>1294</v>
      </c>
      <c r="K2603" s="62" t="s">
        <v>2433</v>
      </c>
      <c r="L2603" s="65"/>
      <c r="M2603" s="62" t="s">
        <v>1518</v>
      </c>
      <c r="N2603" s="62" t="s">
        <v>531</v>
      </c>
      <c r="O2603" s="62" t="s">
        <v>459</v>
      </c>
      <c r="P2603" s="62" t="s">
        <v>2421</v>
      </c>
      <c r="Q2603" s="66" t="s">
        <v>1971</v>
      </c>
    </row>
    <row r="2604" spans="1:17" x14ac:dyDescent="0.3">
      <c r="A2604" s="61" t="s">
        <v>2599</v>
      </c>
      <c r="B2604" s="62" t="s">
        <v>2600</v>
      </c>
      <c r="C2604" s="62" t="s">
        <v>2601</v>
      </c>
      <c r="D2604" s="63">
        <v>45856</v>
      </c>
      <c r="E2604" s="63">
        <v>46221</v>
      </c>
      <c r="F2604" s="62" t="s">
        <v>287</v>
      </c>
      <c r="G2604" s="62" t="s">
        <v>304</v>
      </c>
      <c r="H2604" s="62" t="s">
        <v>2427</v>
      </c>
      <c r="I2604" s="64">
        <v>9555.2857142857101</v>
      </c>
      <c r="J2604" s="62" t="s">
        <v>1294</v>
      </c>
      <c r="K2604" s="62" t="s">
        <v>2433</v>
      </c>
      <c r="L2604" s="65"/>
      <c r="M2604" s="62" t="s">
        <v>1518</v>
      </c>
      <c r="N2604" s="62" t="s">
        <v>531</v>
      </c>
      <c r="O2604" s="62" t="s">
        <v>459</v>
      </c>
      <c r="P2604" s="62" t="s">
        <v>2421</v>
      </c>
      <c r="Q2604" s="66" t="s">
        <v>1971</v>
      </c>
    </row>
    <row r="2605" spans="1:17" x14ac:dyDescent="0.3">
      <c r="A2605" s="61" t="s">
        <v>2602</v>
      </c>
      <c r="B2605" s="62" t="s">
        <v>2603</v>
      </c>
      <c r="C2605" s="62" t="s">
        <v>2604</v>
      </c>
      <c r="D2605" s="63">
        <v>45383</v>
      </c>
      <c r="E2605" s="63">
        <v>46112</v>
      </c>
      <c r="F2605" s="62" t="s">
        <v>1959</v>
      </c>
      <c r="G2605" s="62" t="s">
        <v>475</v>
      </c>
      <c r="H2605" s="62" t="s">
        <v>373</v>
      </c>
      <c r="I2605" s="64">
        <v>298737.5</v>
      </c>
      <c r="J2605" s="62" t="s">
        <v>373</v>
      </c>
      <c r="K2605" s="62" t="s">
        <v>1693</v>
      </c>
      <c r="L2605" s="65"/>
      <c r="M2605" s="62" t="s">
        <v>825</v>
      </c>
      <c r="N2605" s="62" t="s">
        <v>1021</v>
      </c>
      <c r="O2605" s="62" t="s">
        <v>571</v>
      </c>
      <c r="P2605" s="62" t="s">
        <v>2421</v>
      </c>
      <c r="Q2605" s="66" t="s">
        <v>1966</v>
      </c>
    </row>
    <row r="2606" spans="1:17" x14ac:dyDescent="0.3">
      <c r="A2606" s="61" t="s">
        <v>2602</v>
      </c>
      <c r="B2606" s="62" t="s">
        <v>2603</v>
      </c>
      <c r="C2606" s="62" t="s">
        <v>2604</v>
      </c>
      <c r="D2606" s="63">
        <v>45383</v>
      </c>
      <c r="E2606" s="63">
        <v>46112</v>
      </c>
      <c r="F2606" s="62" t="s">
        <v>1936</v>
      </c>
      <c r="G2606" s="62" t="s">
        <v>411</v>
      </c>
      <c r="H2606" s="62" t="s">
        <v>373</v>
      </c>
      <c r="I2606" s="64">
        <v>298737.5</v>
      </c>
      <c r="J2606" s="62" t="s">
        <v>373</v>
      </c>
      <c r="K2606" s="62" t="s">
        <v>1693</v>
      </c>
      <c r="L2606" s="65"/>
      <c r="M2606" s="62" t="s">
        <v>825</v>
      </c>
      <c r="N2606" s="62" t="s">
        <v>1021</v>
      </c>
      <c r="O2606" s="62" t="s">
        <v>571</v>
      </c>
      <c r="P2606" s="62" t="s">
        <v>2421</v>
      </c>
      <c r="Q2606" s="66" t="s">
        <v>1966</v>
      </c>
    </row>
    <row r="2607" spans="1:17" x14ac:dyDescent="0.3">
      <c r="A2607" s="61" t="s">
        <v>2605</v>
      </c>
      <c r="B2607" s="62" t="s">
        <v>2606</v>
      </c>
      <c r="C2607" s="62" t="s">
        <v>2607</v>
      </c>
      <c r="D2607" s="63">
        <v>45866</v>
      </c>
      <c r="E2607" s="63">
        <v>46780</v>
      </c>
      <c r="F2607" s="62" t="s">
        <v>282</v>
      </c>
      <c r="G2607" s="62" t="s">
        <v>286</v>
      </c>
      <c r="H2607" s="62" t="s">
        <v>467</v>
      </c>
      <c r="I2607" s="64">
        <v>53338.5</v>
      </c>
      <c r="J2607" s="62" t="s">
        <v>468</v>
      </c>
      <c r="K2607" s="62" t="s">
        <v>467</v>
      </c>
      <c r="L2607" s="65"/>
      <c r="M2607" s="62" t="s">
        <v>825</v>
      </c>
      <c r="N2607" s="62" t="s">
        <v>551</v>
      </c>
      <c r="O2607" s="62" t="s">
        <v>428</v>
      </c>
      <c r="P2607" s="62" t="s">
        <v>2421</v>
      </c>
      <c r="Q2607" s="66" t="s">
        <v>2021</v>
      </c>
    </row>
    <row r="2608" spans="1:17" x14ac:dyDescent="0.3">
      <c r="A2608" s="61" t="s">
        <v>2605</v>
      </c>
      <c r="B2608" s="62" t="s">
        <v>2606</v>
      </c>
      <c r="C2608" s="62" t="s">
        <v>2607</v>
      </c>
      <c r="D2608" s="63">
        <v>45866</v>
      </c>
      <c r="E2608" s="63">
        <v>46780</v>
      </c>
      <c r="F2608" s="62" t="s">
        <v>282</v>
      </c>
      <c r="G2608" s="62" t="s">
        <v>470</v>
      </c>
      <c r="H2608" s="62" t="s">
        <v>467</v>
      </c>
      <c r="I2608" s="64">
        <v>53338.5</v>
      </c>
      <c r="J2608" s="62" t="s">
        <v>468</v>
      </c>
      <c r="K2608" s="62" t="s">
        <v>467</v>
      </c>
      <c r="L2608" s="65"/>
      <c r="M2608" s="62" t="s">
        <v>825</v>
      </c>
      <c r="N2608" s="62" t="s">
        <v>551</v>
      </c>
      <c r="O2608" s="62" t="s">
        <v>428</v>
      </c>
      <c r="P2608" s="62" t="s">
        <v>2421</v>
      </c>
      <c r="Q2608" s="66" t="s">
        <v>2021</v>
      </c>
    </row>
    <row r="2609" spans="1:17" x14ac:dyDescent="0.3">
      <c r="A2609" s="61" t="s">
        <v>2605</v>
      </c>
      <c r="B2609" s="62" t="s">
        <v>2606</v>
      </c>
      <c r="C2609" s="62" t="s">
        <v>2607</v>
      </c>
      <c r="D2609" s="63">
        <v>45866</v>
      </c>
      <c r="E2609" s="63">
        <v>46780</v>
      </c>
      <c r="F2609" s="62" t="s">
        <v>282</v>
      </c>
      <c r="G2609" s="62" t="s">
        <v>472</v>
      </c>
      <c r="H2609" s="62" t="s">
        <v>467</v>
      </c>
      <c r="I2609" s="64">
        <v>53338.5</v>
      </c>
      <c r="J2609" s="62" t="s">
        <v>468</v>
      </c>
      <c r="K2609" s="62" t="s">
        <v>467</v>
      </c>
      <c r="L2609" s="65"/>
      <c r="M2609" s="62" t="s">
        <v>825</v>
      </c>
      <c r="N2609" s="62" t="s">
        <v>551</v>
      </c>
      <c r="O2609" s="62" t="s">
        <v>428</v>
      </c>
      <c r="P2609" s="62" t="s">
        <v>2421</v>
      </c>
      <c r="Q2609" s="66" t="s">
        <v>2021</v>
      </c>
    </row>
    <row r="2610" spans="1:17" x14ac:dyDescent="0.3">
      <c r="A2610" s="61" t="s">
        <v>2605</v>
      </c>
      <c r="B2610" s="62" t="s">
        <v>2606</v>
      </c>
      <c r="C2610" s="62" t="s">
        <v>2607</v>
      </c>
      <c r="D2610" s="63">
        <v>45866</v>
      </c>
      <c r="E2610" s="63">
        <v>46780</v>
      </c>
      <c r="F2610" s="62" t="s">
        <v>282</v>
      </c>
      <c r="G2610" s="62" t="s">
        <v>833</v>
      </c>
      <c r="H2610" s="62" t="s">
        <v>467</v>
      </c>
      <c r="I2610" s="64">
        <v>53338.5</v>
      </c>
      <c r="J2610" s="62" t="s">
        <v>468</v>
      </c>
      <c r="K2610" s="62" t="s">
        <v>467</v>
      </c>
      <c r="L2610" s="65"/>
      <c r="M2610" s="62" t="s">
        <v>825</v>
      </c>
      <c r="N2610" s="62" t="s">
        <v>551</v>
      </c>
      <c r="O2610" s="62" t="s">
        <v>428</v>
      </c>
      <c r="P2610" s="62" t="s">
        <v>2421</v>
      </c>
      <c r="Q2610" s="66" t="s">
        <v>2021</v>
      </c>
    </row>
    <row r="2611" spans="1:17" x14ac:dyDescent="0.3">
      <c r="A2611" s="61" t="s">
        <v>2605</v>
      </c>
      <c r="B2611" s="62" t="s">
        <v>2606</v>
      </c>
      <c r="C2611" s="62" t="s">
        <v>2607</v>
      </c>
      <c r="D2611" s="63">
        <v>45866</v>
      </c>
      <c r="E2611" s="63">
        <v>46780</v>
      </c>
      <c r="F2611" s="62" t="s">
        <v>282</v>
      </c>
      <c r="G2611" s="62" t="s">
        <v>473</v>
      </c>
      <c r="H2611" s="62" t="s">
        <v>467</v>
      </c>
      <c r="I2611" s="64">
        <v>53338.5</v>
      </c>
      <c r="J2611" s="62" t="s">
        <v>468</v>
      </c>
      <c r="K2611" s="62" t="s">
        <v>467</v>
      </c>
      <c r="L2611" s="65"/>
      <c r="M2611" s="62" t="s">
        <v>825</v>
      </c>
      <c r="N2611" s="62" t="s">
        <v>551</v>
      </c>
      <c r="O2611" s="62" t="s">
        <v>428</v>
      </c>
      <c r="P2611" s="62" t="s">
        <v>2421</v>
      </c>
      <c r="Q2611" s="66" t="s">
        <v>2021</v>
      </c>
    </row>
    <row r="2612" spans="1:17" x14ac:dyDescent="0.3">
      <c r="A2612" s="61" t="s">
        <v>2605</v>
      </c>
      <c r="B2612" s="62" t="s">
        <v>2606</v>
      </c>
      <c r="C2612" s="62" t="s">
        <v>2607</v>
      </c>
      <c r="D2612" s="63">
        <v>45866</v>
      </c>
      <c r="E2612" s="63">
        <v>46780</v>
      </c>
      <c r="F2612" s="62" t="s">
        <v>282</v>
      </c>
      <c r="G2612" s="62" t="s">
        <v>577</v>
      </c>
      <c r="H2612" s="62" t="s">
        <v>467</v>
      </c>
      <c r="I2612" s="64">
        <v>53338.5</v>
      </c>
      <c r="J2612" s="62" t="s">
        <v>468</v>
      </c>
      <c r="K2612" s="62" t="s">
        <v>467</v>
      </c>
      <c r="L2612" s="65"/>
      <c r="M2612" s="62" t="s">
        <v>825</v>
      </c>
      <c r="N2612" s="62" t="s">
        <v>551</v>
      </c>
      <c r="O2612" s="62" t="s">
        <v>428</v>
      </c>
      <c r="P2612" s="62" t="s">
        <v>2421</v>
      </c>
      <c r="Q2612" s="66" t="s">
        <v>2021</v>
      </c>
    </row>
    <row r="2613" spans="1:17" x14ac:dyDescent="0.3">
      <c r="A2613" s="61" t="s">
        <v>2605</v>
      </c>
      <c r="B2613" s="62" t="s">
        <v>2606</v>
      </c>
      <c r="C2613" s="62" t="s">
        <v>2607</v>
      </c>
      <c r="D2613" s="63">
        <v>45866</v>
      </c>
      <c r="E2613" s="63">
        <v>46780</v>
      </c>
      <c r="F2613" s="62" t="s">
        <v>1936</v>
      </c>
      <c r="G2613" s="62" t="s">
        <v>602</v>
      </c>
      <c r="H2613" s="62" t="s">
        <v>467</v>
      </c>
      <c r="I2613" s="64">
        <v>53338.5</v>
      </c>
      <c r="J2613" s="62" t="s">
        <v>468</v>
      </c>
      <c r="K2613" s="62" t="s">
        <v>467</v>
      </c>
      <c r="L2613" s="65"/>
      <c r="M2613" s="62" t="s">
        <v>825</v>
      </c>
      <c r="N2613" s="62" t="s">
        <v>551</v>
      </c>
      <c r="O2613" s="62" t="s">
        <v>428</v>
      </c>
      <c r="P2613" s="62" t="s">
        <v>2421</v>
      </c>
      <c r="Q2613" s="66" t="s">
        <v>2021</v>
      </c>
    </row>
    <row r="2614" spans="1:17" x14ac:dyDescent="0.3">
      <c r="A2614" s="61" t="s">
        <v>2605</v>
      </c>
      <c r="B2614" s="62" t="s">
        <v>2606</v>
      </c>
      <c r="C2614" s="62" t="s">
        <v>2607</v>
      </c>
      <c r="D2614" s="63">
        <v>45866</v>
      </c>
      <c r="E2614" s="63">
        <v>46780</v>
      </c>
      <c r="F2614" s="62" t="s">
        <v>1936</v>
      </c>
      <c r="G2614" s="62" t="s">
        <v>604</v>
      </c>
      <c r="H2614" s="62" t="s">
        <v>467</v>
      </c>
      <c r="I2614" s="64">
        <v>53338.5</v>
      </c>
      <c r="J2614" s="62" t="s">
        <v>468</v>
      </c>
      <c r="K2614" s="62" t="s">
        <v>467</v>
      </c>
      <c r="L2614" s="65"/>
      <c r="M2614" s="62" t="s">
        <v>825</v>
      </c>
      <c r="N2614" s="62" t="s">
        <v>551</v>
      </c>
      <c r="O2614" s="62" t="s">
        <v>428</v>
      </c>
      <c r="P2614" s="62" t="s">
        <v>2421</v>
      </c>
      <c r="Q2614" s="66" t="s">
        <v>2021</v>
      </c>
    </row>
    <row r="2615" spans="1:17" x14ac:dyDescent="0.3">
      <c r="A2615" s="61" t="s">
        <v>2605</v>
      </c>
      <c r="B2615" s="62" t="s">
        <v>2606</v>
      </c>
      <c r="C2615" s="62" t="s">
        <v>2607</v>
      </c>
      <c r="D2615" s="63">
        <v>45866</v>
      </c>
      <c r="E2615" s="63">
        <v>46780</v>
      </c>
      <c r="F2615" s="62" t="s">
        <v>1936</v>
      </c>
      <c r="G2615" s="62" t="s">
        <v>1223</v>
      </c>
      <c r="H2615" s="62" t="s">
        <v>467</v>
      </c>
      <c r="I2615" s="64">
        <v>53338.5</v>
      </c>
      <c r="J2615" s="62" t="s">
        <v>468</v>
      </c>
      <c r="K2615" s="62" t="s">
        <v>467</v>
      </c>
      <c r="L2615" s="65"/>
      <c r="M2615" s="62" t="s">
        <v>825</v>
      </c>
      <c r="N2615" s="62" t="s">
        <v>551</v>
      </c>
      <c r="O2615" s="62" t="s">
        <v>428</v>
      </c>
      <c r="P2615" s="62" t="s">
        <v>2421</v>
      </c>
      <c r="Q2615" s="66" t="s">
        <v>2021</v>
      </c>
    </row>
    <row r="2616" spans="1:17" x14ac:dyDescent="0.3">
      <c r="A2616" s="61" t="s">
        <v>2605</v>
      </c>
      <c r="B2616" s="62" t="s">
        <v>2606</v>
      </c>
      <c r="C2616" s="62" t="s">
        <v>2607</v>
      </c>
      <c r="D2616" s="63">
        <v>45866</v>
      </c>
      <c r="E2616" s="63">
        <v>46780</v>
      </c>
      <c r="F2616" s="62" t="s">
        <v>1936</v>
      </c>
      <c r="G2616" s="62" t="s">
        <v>711</v>
      </c>
      <c r="H2616" s="62" t="s">
        <v>467</v>
      </c>
      <c r="I2616" s="64">
        <v>53338.5</v>
      </c>
      <c r="J2616" s="62" t="s">
        <v>468</v>
      </c>
      <c r="K2616" s="62" t="s">
        <v>467</v>
      </c>
      <c r="L2616" s="65"/>
      <c r="M2616" s="62" t="s">
        <v>825</v>
      </c>
      <c r="N2616" s="62" t="s">
        <v>551</v>
      </c>
      <c r="O2616" s="62" t="s">
        <v>428</v>
      </c>
      <c r="P2616" s="62" t="s">
        <v>2421</v>
      </c>
      <c r="Q2616" s="66" t="s">
        <v>2021</v>
      </c>
    </row>
    <row r="2617" spans="1:17" x14ac:dyDescent="0.3">
      <c r="A2617" s="61" t="s">
        <v>2605</v>
      </c>
      <c r="B2617" s="62" t="s">
        <v>2606</v>
      </c>
      <c r="C2617" s="62" t="s">
        <v>2607</v>
      </c>
      <c r="D2617" s="63">
        <v>45866</v>
      </c>
      <c r="E2617" s="63">
        <v>46780</v>
      </c>
      <c r="F2617" s="62" t="s">
        <v>1936</v>
      </c>
      <c r="G2617" s="62" t="s">
        <v>411</v>
      </c>
      <c r="H2617" s="62" t="s">
        <v>467</v>
      </c>
      <c r="I2617" s="64">
        <v>53338.5</v>
      </c>
      <c r="J2617" s="62" t="s">
        <v>468</v>
      </c>
      <c r="K2617" s="62" t="s">
        <v>467</v>
      </c>
      <c r="L2617" s="65"/>
      <c r="M2617" s="62" t="s">
        <v>825</v>
      </c>
      <c r="N2617" s="62" t="s">
        <v>551</v>
      </c>
      <c r="O2617" s="62" t="s">
        <v>428</v>
      </c>
      <c r="P2617" s="62" t="s">
        <v>2421</v>
      </c>
      <c r="Q2617" s="66" t="s">
        <v>2021</v>
      </c>
    </row>
    <row r="2618" spans="1:17" x14ac:dyDescent="0.3">
      <c r="A2618" s="61" t="s">
        <v>2605</v>
      </c>
      <c r="B2618" s="62" t="s">
        <v>2606</v>
      </c>
      <c r="C2618" s="62" t="s">
        <v>2607</v>
      </c>
      <c r="D2618" s="63">
        <v>45866</v>
      </c>
      <c r="E2618" s="63">
        <v>46780</v>
      </c>
      <c r="F2618" s="62" t="s">
        <v>1936</v>
      </c>
      <c r="G2618" s="62" t="s">
        <v>605</v>
      </c>
      <c r="H2618" s="62" t="s">
        <v>467</v>
      </c>
      <c r="I2618" s="64">
        <v>53338.5</v>
      </c>
      <c r="J2618" s="62" t="s">
        <v>468</v>
      </c>
      <c r="K2618" s="62" t="s">
        <v>467</v>
      </c>
      <c r="L2618" s="65"/>
      <c r="M2618" s="62" t="s">
        <v>825</v>
      </c>
      <c r="N2618" s="62" t="s">
        <v>551</v>
      </c>
      <c r="O2618" s="62" t="s">
        <v>428</v>
      </c>
      <c r="P2618" s="62" t="s">
        <v>2421</v>
      </c>
      <c r="Q2618" s="66" t="s">
        <v>2021</v>
      </c>
    </row>
    <row r="2619" spans="1:17" x14ac:dyDescent="0.3">
      <c r="A2619" s="61" t="s">
        <v>2608</v>
      </c>
      <c r="B2619" s="62" t="s">
        <v>2609</v>
      </c>
      <c r="C2619" s="62" t="s">
        <v>2610</v>
      </c>
      <c r="D2619" s="63">
        <v>45870</v>
      </c>
      <c r="E2619" s="63">
        <v>46418</v>
      </c>
      <c r="F2619" s="62" t="s">
        <v>1922</v>
      </c>
      <c r="G2619" s="62" t="s">
        <v>383</v>
      </c>
      <c r="H2619" s="62" t="s">
        <v>2427</v>
      </c>
      <c r="I2619" s="64">
        <v>60818.938571428604</v>
      </c>
      <c r="J2619" s="62" t="s">
        <v>664</v>
      </c>
      <c r="K2619" s="62" t="s">
        <v>377</v>
      </c>
      <c r="L2619" s="65"/>
      <c r="M2619" s="62" t="s">
        <v>825</v>
      </c>
      <c r="N2619" s="62" t="s">
        <v>639</v>
      </c>
      <c r="O2619" s="62" t="s">
        <v>371</v>
      </c>
      <c r="P2619" s="62" t="s">
        <v>2421</v>
      </c>
      <c r="Q2619" s="66" t="s">
        <v>1970</v>
      </c>
    </row>
    <row r="2620" spans="1:17" x14ac:dyDescent="0.3">
      <c r="A2620" s="61" t="s">
        <v>2608</v>
      </c>
      <c r="B2620" s="62" t="s">
        <v>2609</v>
      </c>
      <c r="C2620" s="62" t="s">
        <v>2610</v>
      </c>
      <c r="D2620" s="63">
        <v>45870</v>
      </c>
      <c r="E2620" s="63">
        <v>46418</v>
      </c>
      <c r="F2620" s="62" t="s">
        <v>1922</v>
      </c>
      <c r="G2620" s="62" t="s">
        <v>387</v>
      </c>
      <c r="H2620" s="62" t="s">
        <v>2427</v>
      </c>
      <c r="I2620" s="64">
        <v>60818.938571428604</v>
      </c>
      <c r="J2620" s="62" t="s">
        <v>664</v>
      </c>
      <c r="K2620" s="62" t="s">
        <v>377</v>
      </c>
      <c r="L2620" s="65"/>
      <c r="M2620" s="62" t="s">
        <v>825</v>
      </c>
      <c r="N2620" s="62" t="s">
        <v>639</v>
      </c>
      <c r="O2620" s="62" t="s">
        <v>371</v>
      </c>
      <c r="P2620" s="62" t="s">
        <v>2421</v>
      </c>
      <c r="Q2620" s="66" t="s">
        <v>1970</v>
      </c>
    </row>
    <row r="2621" spans="1:17" x14ac:dyDescent="0.3">
      <c r="A2621" s="61" t="s">
        <v>2608</v>
      </c>
      <c r="B2621" s="62" t="s">
        <v>2609</v>
      </c>
      <c r="C2621" s="62" t="s">
        <v>2610</v>
      </c>
      <c r="D2621" s="63">
        <v>45870</v>
      </c>
      <c r="E2621" s="63">
        <v>46418</v>
      </c>
      <c r="F2621" s="62" t="s">
        <v>1930</v>
      </c>
      <c r="G2621" s="62" t="s">
        <v>721</v>
      </c>
      <c r="H2621" s="62" t="s">
        <v>2427</v>
      </c>
      <c r="I2621" s="64">
        <v>60818.938571428604</v>
      </c>
      <c r="J2621" s="62" t="s">
        <v>664</v>
      </c>
      <c r="K2621" s="62" t="s">
        <v>377</v>
      </c>
      <c r="L2621" s="65"/>
      <c r="M2621" s="62" t="s">
        <v>825</v>
      </c>
      <c r="N2621" s="62" t="s">
        <v>639</v>
      </c>
      <c r="O2621" s="62" t="s">
        <v>371</v>
      </c>
      <c r="P2621" s="62" t="s">
        <v>2421</v>
      </c>
      <c r="Q2621" s="66" t="s">
        <v>1970</v>
      </c>
    </row>
    <row r="2622" spans="1:17" x14ac:dyDescent="0.3">
      <c r="A2622" s="61" t="s">
        <v>2608</v>
      </c>
      <c r="B2622" s="62" t="s">
        <v>2609</v>
      </c>
      <c r="C2622" s="62" t="s">
        <v>2610</v>
      </c>
      <c r="D2622" s="63">
        <v>45870</v>
      </c>
      <c r="E2622" s="63">
        <v>46418</v>
      </c>
      <c r="F2622" s="62" t="s">
        <v>1930</v>
      </c>
      <c r="G2622" s="62" t="s">
        <v>723</v>
      </c>
      <c r="H2622" s="62" t="s">
        <v>2427</v>
      </c>
      <c r="I2622" s="64">
        <v>60818.938571428604</v>
      </c>
      <c r="J2622" s="62" t="s">
        <v>664</v>
      </c>
      <c r="K2622" s="62" t="s">
        <v>377</v>
      </c>
      <c r="L2622" s="65"/>
      <c r="M2622" s="62" t="s">
        <v>825</v>
      </c>
      <c r="N2622" s="62" t="s">
        <v>639</v>
      </c>
      <c r="O2622" s="62" t="s">
        <v>371</v>
      </c>
      <c r="P2622" s="62" t="s">
        <v>2421</v>
      </c>
      <c r="Q2622" s="66" t="s">
        <v>1970</v>
      </c>
    </row>
    <row r="2623" spans="1:17" x14ac:dyDescent="0.3">
      <c r="A2623" s="61" t="s">
        <v>2608</v>
      </c>
      <c r="B2623" s="62" t="s">
        <v>2609</v>
      </c>
      <c r="C2623" s="62" t="s">
        <v>2610</v>
      </c>
      <c r="D2623" s="63">
        <v>45870</v>
      </c>
      <c r="E2623" s="63">
        <v>46418</v>
      </c>
      <c r="F2623" s="62" t="s">
        <v>1936</v>
      </c>
      <c r="G2623" s="62" t="s">
        <v>730</v>
      </c>
      <c r="H2623" s="62" t="s">
        <v>2427</v>
      </c>
      <c r="I2623" s="64">
        <v>60818.938571428604</v>
      </c>
      <c r="J2623" s="62" t="s">
        <v>664</v>
      </c>
      <c r="K2623" s="62" t="s">
        <v>377</v>
      </c>
      <c r="L2623" s="65"/>
      <c r="M2623" s="62" t="s">
        <v>825</v>
      </c>
      <c r="N2623" s="62" t="s">
        <v>639</v>
      </c>
      <c r="O2623" s="62" t="s">
        <v>371</v>
      </c>
      <c r="P2623" s="62" t="s">
        <v>2421</v>
      </c>
      <c r="Q2623" s="66" t="s">
        <v>1970</v>
      </c>
    </row>
    <row r="2624" spans="1:17" x14ac:dyDescent="0.3">
      <c r="A2624" s="61" t="s">
        <v>2608</v>
      </c>
      <c r="B2624" s="62" t="s">
        <v>2609</v>
      </c>
      <c r="C2624" s="62" t="s">
        <v>2610</v>
      </c>
      <c r="D2624" s="63">
        <v>45870</v>
      </c>
      <c r="E2624" s="63">
        <v>46418</v>
      </c>
      <c r="F2624" s="62" t="s">
        <v>1936</v>
      </c>
      <c r="G2624" s="62" t="s">
        <v>604</v>
      </c>
      <c r="H2624" s="62" t="s">
        <v>2427</v>
      </c>
      <c r="I2624" s="64">
        <v>60818.938571428604</v>
      </c>
      <c r="J2624" s="62" t="s">
        <v>664</v>
      </c>
      <c r="K2624" s="62" t="s">
        <v>377</v>
      </c>
      <c r="L2624" s="65"/>
      <c r="M2624" s="62" t="s">
        <v>825</v>
      </c>
      <c r="N2624" s="62" t="s">
        <v>639</v>
      </c>
      <c r="O2624" s="62" t="s">
        <v>371</v>
      </c>
      <c r="P2624" s="62" t="s">
        <v>2421</v>
      </c>
      <c r="Q2624" s="66" t="s">
        <v>1970</v>
      </c>
    </row>
    <row r="2625" spans="1:17" x14ac:dyDescent="0.3">
      <c r="A2625" s="61" t="s">
        <v>2608</v>
      </c>
      <c r="B2625" s="62" t="s">
        <v>2609</v>
      </c>
      <c r="C2625" s="62" t="s">
        <v>2610</v>
      </c>
      <c r="D2625" s="63">
        <v>45870</v>
      </c>
      <c r="E2625" s="63">
        <v>46418</v>
      </c>
      <c r="F2625" s="62" t="s">
        <v>1921</v>
      </c>
      <c r="G2625" s="62" t="s">
        <v>484</v>
      </c>
      <c r="H2625" s="62" t="s">
        <v>2427</v>
      </c>
      <c r="I2625" s="64">
        <v>121637.877142857</v>
      </c>
      <c r="J2625" s="62" t="s">
        <v>664</v>
      </c>
      <c r="K2625" s="62" t="s">
        <v>377</v>
      </c>
      <c r="L2625" s="65"/>
      <c r="M2625" s="62" t="s">
        <v>825</v>
      </c>
      <c r="N2625" s="62" t="s">
        <v>639</v>
      </c>
      <c r="O2625" s="62" t="s">
        <v>371</v>
      </c>
      <c r="P2625" s="62" t="s">
        <v>2421</v>
      </c>
      <c r="Q2625" s="66" t="s">
        <v>1970</v>
      </c>
    </row>
    <row r="2626" spans="1:17" x14ac:dyDescent="0.3">
      <c r="A2626" s="61" t="s">
        <v>2608</v>
      </c>
      <c r="B2626" s="62" t="s">
        <v>2609</v>
      </c>
      <c r="C2626" s="62" t="s">
        <v>2610</v>
      </c>
      <c r="D2626" s="63">
        <v>45870</v>
      </c>
      <c r="E2626" s="63">
        <v>46418</v>
      </c>
      <c r="F2626" s="62" t="s">
        <v>1940</v>
      </c>
      <c r="G2626" s="62" t="s">
        <v>451</v>
      </c>
      <c r="H2626" s="62" t="s">
        <v>2427</v>
      </c>
      <c r="I2626" s="64">
        <v>121637.877142857</v>
      </c>
      <c r="J2626" s="62" t="s">
        <v>664</v>
      </c>
      <c r="K2626" s="62" t="s">
        <v>377</v>
      </c>
      <c r="L2626" s="65"/>
      <c r="M2626" s="62" t="s">
        <v>825</v>
      </c>
      <c r="N2626" s="62" t="s">
        <v>639</v>
      </c>
      <c r="O2626" s="62" t="s">
        <v>371</v>
      </c>
      <c r="P2626" s="62" t="s">
        <v>2421</v>
      </c>
      <c r="Q2626" s="66" t="s">
        <v>1970</v>
      </c>
    </row>
    <row r="2627" spans="1:17" x14ac:dyDescent="0.3">
      <c r="A2627" s="67" t="s">
        <v>2608</v>
      </c>
      <c r="B2627" s="28" t="s">
        <v>2609</v>
      </c>
      <c r="C2627" s="28" t="s">
        <v>2610</v>
      </c>
      <c r="D2627" s="29">
        <v>45870</v>
      </c>
      <c r="E2627" s="29">
        <v>46418</v>
      </c>
      <c r="F2627" s="28" t="s">
        <v>289</v>
      </c>
      <c r="G2627" s="28" t="s">
        <v>595</v>
      </c>
      <c r="H2627" s="28" t="s">
        <v>2427</v>
      </c>
      <c r="I2627" s="68">
        <v>121637.877142857</v>
      </c>
      <c r="J2627" s="28" t="s">
        <v>664</v>
      </c>
      <c r="K2627" s="28" t="s">
        <v>377</v>
      </c>
      <c r="L2627" s="65"/>
      <c r="M2627" s="28" t="s">
        <v>825</v>
      </c>
      <c r="N2627" s="28" t="s">
        <v>639</v>
      </c>
      <c r="O2627" s="28" t="s">
        <v>371</v>
      </c>
      <c r="P2627" s="28" t="s">
        <v>2421</v>
      </c>
      <c r="Q2627" s="69" t="s">
        <v>1970</v>
      </c>
    </row>
    <row r="2628" spans="1:17" x14ac:dyDescent="0.3">
      <c r="A2628" s="67" t="s">
        <v>2608</v>
      </c>
      <c r="B2628" s="28" t="s">
        <v>2609</v>
      </c>
      <c r="C2628" s="28" t="s">
        <v>2610</v>
      </c>
      <c r="D2628" s="29">
        <v>45870</v>
      </c>
      <c r="E2628" s="29">
        <v>46418</v>
      </c>
      <c r="F2628" s="28" t="s">
        <v>1959</v>
      </c>
      <c r="G2628" s="28" t="s">
        <v>585</v>
      </c>
      <c r="H2628" s="28" t="s">
        <v>2427</v>
      </c>
      <c r="I2628" s="68">
        <v>121637.877142857</v>
      </c>
      <c r="J2628" s="28" t="s">
        <v>664</v>
      </c>
      <c r="K2628" s="28" t="s">
        <v>377</v>
      </c>
      <c r="L2628" s="65"/>
      <c r="M2628" s="28" t="s">
        <v>825</v>
      </c>
      <c r="N2628" s="28" t="s">
        <v>639</v>
      </c>
      <c r="O2628" s="28" t="s">
        <v>371</v>
      </c>
      <c r="P2628" s="28" t="s">
        <v>2421</v>
      </c>
      <c r="Q2628" s="69" t="s">
        <v>1970</v>
      </c>
    </row>
    <row r="2629" spans="1:17" x14ac:dyDescent="0.3">
      <c r="A2629" s="67" t="s">
        <v>2611</v>
      </c>
      <c r="B2629" s="28" t="s">
        <v>2612</v>
      </c>
      <c r="C2629" s="28" t="s">
        <v>2613</v>
      </c>
      <c r="D2629" s="29">
        <v>45525</v>
      </c>
      <c r="E2629" s="29">
        <v>46255</v>
      </c>
      <c r="F2629" s="28" t="s">
        <v>1930</v>
      </c>
      <c r="G2629" s="28" t="s">
        <v>721</v>
      </c>
      <c r="H2629" s="28" t="s">
        <v>467</v>
      </c>
      <c r="I2629" s="68">
        <v>23541.944444444402</v>
      </c>
      <c r="J2629" s="28" t="s">
        <v>468</v>
      </c>
      <c r="K2629" s="28" t="s">
        <v>467</v>
      </c>
      <c r="L2629" s="65"/>
      <c r="M2629" s="28" t="s">
        <v>2443</v>
      </c>
      <c r="N2629" s="28" t="s">
        <v>558</v>
      </c>
      <c r="O2629" s="28" t="s">
        <v>426</v>
      </c>
      <c r="P2629" s="28" t="s">
        <v>2421</v>
      </c>
      <c r="Q2629" s="69" t="s">
        <v>2021</v>
      </c>
    </row>
    <row r="2630" spans="1:17" x14ac:dyDescent="0.3">
      <c r="A2630" s="67" t="s">
        <v>2611</v>
      </c>
      <c r="B2630" s="28" t="s">
        <v>2612</v>
      </c>
      <c r="C2630" s="28" t="s">
        <v>2613</v>
      </c>
      <c r="D2630" s="29">
        <v>45525</v>
      </c>
      <c r="E2630" s="29">
        <v>46255</v>
      </c>
      <c r="F2630" s="28" t="s">
        <v>1930</v>
      </c>
      <c r="G2630" s="28" t="s">
        <v>453</v>
      </c>
      <c r="H2630" s="28" t="s">
        <v>467</v>
      </c>
      <c r="I2630" s="68">
        <v>23541.944444444402</v>
      </c>
      <c r="J2630" s="28" t="s">
        <v>468</v>
      </c>
      <c r="K2630" s="28" t="s">
        <v>467</v>
      </c>
      <c r="L2630" s="65"/>
      <c r="M2630" s="28" t="s">
        <v>2443</v>
      </c>
      <c r="N2630" s="28" t="s">
        <v>558</v>
      </c>
      <c r="O2630" s="28" t="s">
        <v>426</v>
      </c>
      <c r="P2630" s="28" t="s">
        <v>2421</v>
      </c>
      <c r="Q2630" s="69" t="s">
        <v>2021</v>
      </c>
    </row>
    <row r="2631" spans="1:17" x14ac:dyDescent="0.3">
      <c r="A2631" s="67" t="s">
        <v>2611</v>
      </c>
      <c r="B2631" s="28" t="s">
        <v>2612</v>
      </c>
      <c r="C2631" s="28" t="s">
        <v>2613</v>
      </c>
      <c r="D2631" s="29">
        <v>45525</v>
      </c>
      <c r="E2631" s="29">
        <v>46255</v>
      </c>
      <c r="F2631" s="28" t="s">
        <v>1930</v>
      </c>
      <c r="G2631" s="28" t="s">
        <v>546</v>
      </c>
      <c r="H2631" s="28" t="s">
        <v>467</v>
      </c>
      <c r="I2631" s="68">
        <v>23541.944444444402</v>
      </c>
      <c r="J2631" s="28" t="s">
        <v>468</v>
      </c>
      <c r="K2631" s="28" t="s">
        <v>467</v>
      </c>
      <c r="L2631" s="65"/>
      <c r="M2631" s="28" t="s">
        <v>2443</v>
      </c>
      <c r="N2631" s="28" t="s">
        <v>558</v>
      </c>
      <c r="O2631" s="28" t="s">
        <v>426</v>
      </c>
      <c r="P2631" s="28" t="s">
        <v>2421</v>
      </c>
      <c r="Q2631" s="69" t="s">
        <v>2021</v>
      </c>
    </row>
    <row r="2632" spans="1:17" x14ac:dyDescent="0.3">
      <c r="A2632" s="67" t="s">
        <v>2611</v>
      </c>
      <c r="B2632" s="28" t="s">
        <v>2612</v>
      </c>
      <c r="C2632" s="28" t="s">
        <v>2613</v>
      </c>
      <c r="D2632" s="29">
        <v>45525</v>
      </c>
      <c r="E2632" s="29">
        <v>46255</v>
      </c>
      <c r="F2632" s="28" t="s">
        <v>286</v>
      </c>
      <c r="G2632" s="28" t="s">
        <v>476</v>
      </c>
      <c r="H2632" s="28" t="s">
        <v>467</v>
      </c>
      <c r="I2632" s="68">
        <v>70625.833333333299</v>
      </c>
      <c r="J2632" s="28" t="s">
        <v>468</v>
      </c>
      <c r="K2632" s="28" t="s">
        <v>467</v>
      </c>
      <c r="L2632" s="65"/>
      <c r="M2632" s="28" t="s">
        <v>2443</v>
      </c>
      <c r="N2632" s="28" t="s">
        <v>558</v>
      </c>
      <c r="O2632" s="28" t="s">
        <v>426</v>
      </c>
      <c r="P2632" s="28" t="s">
        <v>2421</v>
      </c>
      <c r="Q2632" s="69" t="s">
        <v>2021</v>
      </c>
    </row>
    <row r="2633" spans="1:17" x14ac:dyDescent="0.3">
      <c r="A2633" s="67" t="s">
        <v>2611</v>
      </c>
      <c r="B2633" s="28" t="s">
        <v>2612</v>
      </c>
      <c r="C2633" s="28" t="s">
        <v>2613</v>
      </c>
      <c r="D2633" s="29">
        <v>45525</v>
      </c>
      <c r="E2633" s="29">
        <v>46255</v>
      </c>
      <c r="F2633" s="28" t="s">
        <v>348</v>
      </c>
      <c r="G2633" s="28" t="s">
        <v>348</v>
      </c>
      <c r="H2633" s="28" t="s">
        <v>467</v>
      </c>
      <c r="I2633" s="68">
        <v>70625.833333333299</v>
      </c>
      <c r="J2633" s="28" t="s">
        <v>468</v>
      </c>
      <c r="K2633" s="28" t="s">
        <v>467</v>
      </c>
      <c r="L2633" s="65"/>
      <c r="M2633" s="28" t="s">
        <v>2443</v>
      </c>
      <c r="N2633" s="28" t="s">
        <v>558</v>
      </c>
      <c r="O2633" s="28" t="s">
        <v>426</v>
      </c>
      <c r="P2633" s="28" t="s">
        <v>2421</v>
      </c>
      <c r="Q2633" s="69" t="s">
        <v>2021</v>
      </c>
    </row>
    <row r="2634" spans="1:17" x14ac:dyDescent="0.3">
      <c r="A2634" s="67" t="s">
        <v>2611</v>
      </c>
      <c r="B2634" s="28" t="s">
        <v>2612</v>
      </c>
      <c r="C2634" s="28" t="s">
        <v>2613</v>
      </c>
      <c r="D2634" s="29">
        <v>45525</v>
      </c>
      <c r="E2634" s="29">
        <v>46255</v>
      </c>
      <c r="F2634" s="28" t="s">
        <v>1936</v>
      </c>
      <c r="G2634" s="28" t="s">
        <v>730</v>
      </c>
      <c r="H2634" s="28" t="s">
        <v>467</v>
      </c>
      <c r="I2634" s="68">
        <v>70625.833333333299</v>
      </c>
      <c r="J2634" s="28" t="s">
        <v>468</v>
      </c>
      <c r="K2634" s="28" t="s">
        <v>467</v>
      </c>
      <c r="L2634" s="65"/>
      <c r="M2634" s="28" t="s">
        <v>2443</v>
      </c>
      <c r="N2634" s="28" t="s">
        <v>558</v>
      </c>
      <c r="O2634" s="28" t="s">
        <v>426</v>
      </c>
      <c r="P2634" s="28" t="s">
        <v>2421</v>
      </c>
      <c r="Q2634" s="69" t="s">
        <v>2021</v>
      </c>
    </row>
    <row r="2635" spans="1:17" x14ac:dyDescent="0.3">
      <c r="A2635" s="67" t="s">
        <v>2611</v>
      </c>
      <c r="B2635" s="28" t="s">
        <v>2612</v>
      </c>
      <c r="C2635" s="28" t="s">
        <v>2613</v>
      </c>
      <c r="D2635" s="29">
        <v>45525</v>
      </c>
      <c r="E2635" s="29">
        <v>46255</v>
      </c>
      <c r="F2635" s="28" t="s">
        <v>287</v>
      </c>
      <c r="G2635" s="28" t="s">
        <v>390</v>
      </c>
      <c r="H2635" s="28" t="s">
        <v>467</v>
      </c>
      <c r="I2635" s="68">
        <v>70625.833333333299</v>
      </c>
      <c r="J2635" s="28" t="s">
        <v>468</v>
      </c>
      <c r="K2635" s="28" t="s">
        <v>467</v>
      </c>
      <c r="L2635" s="65"/>
      <c r="M2635" s="28" t="s">
        <v>2443</v>
      </c>
      <c r="N2635" s="28" t="s">
        <v>558</v>
      </c>
      <c r="O2635" s="28" t="s">
        <v>426</v>
      </c>
      <c r="P2635" s="28" t="s">
        <v>2421</v>
      </c>
      <c r="Q2635" s="69" t="s">
        <v>2021</v>
      </c>
    </row>
    <row r="2636" spans="1:17" x14ac:dyDescent="0.3">
      <c r="A2636" s="67" t="s">
        <v>2611</v>
      </c>
      <c r="B2636" s="28" t="s">
        <v>2612</v>
      </c>
      <c r="C2636" s="28" t="s">
        <v>2613</v>
      </c>
      <c r="D2636" s="29">
        <v>45525</v>
      </c>
      <c r="E2636" s="29">
        <v>46255</v>
      </c>
      <c r="F2636" s="28" t="s">
        <v>1945</v>
      </c>
      <c r="G2636" s="28" t="s">
        <v>555</v>
      </c>
      <c r="H2636" s="28" t="s">
        <v>467</v>
      </c>
      <c r="I2636" s="68">
        <v>70625.833333333299</v>
      </c>
      <c r="J2636" s="28" t="s">
        <v>468</v>
      </c>
      <c r="K2636" s="28" t="s">
        <v>467</v>
      </c>
      <c r="L2636" s="65"/>
      <c r="M2636" s="28" t="s">
        <v>2443</v>
      </c>
      <c r="N2636" s="28" t="s">
        <v>558</v>
      </c>
      <c r="O2636" s="28" t="s">
        <v>426</v>
      </c>
      <c r="P2636" s="28" t="s">
        <v>2421</v>
      </c>
      <c r="Q2636" s="69" t="s">
        <v>2021</v>
      </c>
    </row>
    <row r="2637" spans="1:17" x14ac:dyDescent="0.3">
      <c r="A2637" s="67" t="s">
        <v>2611</v>
      </c>
      <c r="B2637" s="28" t="s">
        <v>2612</v>
      </c>
      <c r="C2637" s="28" t="s">
        <v>2613</v>
      </c>
      <c r="D2637" s="29">
        <v>45525</v>
      </c>
      <c r="E2637" s="29">
        <v>46255</v>
      </c>
      <c r="F2637" s="28" t="s">
        <v>1930</v>
      </c>
      <c r="G2637" s="28" t="s">
        <v>721</v>
      </c>
      <c r="H2637" s="28" t="s">
        <v>2427</v>
      </c>
      <c r="I2637" s="68">
        <v>1296.8333333333301</v>
      </c>
      <c r="J2637" s="28" t="s">
        <v>1189</v>
      </c>
      <c r="K2637" s="28" t="s">
        <v>467</v>
      </c>
      <c r="L2637" s="65"/>
      <c r="M2637" s="28" t="s">
        <v>2443</v>
      </c>
      <c r="N2637" s="28" t="s">
        <v>558</v>
      </c>
      <c r="O2637" s="28" t="s">
        <v>426</v>
      </c>
      <c r="P2637" s="28" t="s">
        <v>2421</v>
      </c>
      <c r="Q2637" s="69" t="s">
        <v>2021</v>
      </c>
    </row>
    <row r="2638" spans="1:17" x14ac:dyDescent="0.3">
      <c r="A2638" s="67" t="s">
        <v>2611</v>
      </c>
      <c r="B2638" s="28" t="s">
        <v>2612</v>
      </c>
      <c r="C2638" s="28" t="s">
        <v>2613</v>
      </c>
      <c r="D2638" s="29">
        <v>45525</v>
      </c>
      <c r="E2638" s="29">
        <v>46255</v>
      </c>
      <c r="F2638" s="28" t="s">
        <v>1930</v>
      </c>
      <c r="G2638" s="28" t="s">
        <v>453</v>
      </c>
      <c r="H2638" s="28" t="s">
        <v>2427</v>
      </c>
      <c r="I2638" s="68">
        <v>1296.8333333333301</v>
      </c>
      <c r="J2638" s="28" t="s">
        <v>1189</v>
      </c>
      <c r="K2638" s="28" t="s">
        <v>467</v>
      </c>
      <c r="L2638" s="65"/>
      <c r="M2638" s="28" t="s">
        <v>2443</v>
      </c>
      <c r="N2638" s="28" t="s">
        <v>558</v>
      </c>
      <c r="O2638" s="28" t="s">
        <v>426</v>
      </c>
      <c r="P2638" s="28" t="s">
        <v>2421</v>
      </c>
      <c r="Q2638" s="69" t="s">
        <v>2021</v>
      </c>
    </row>
    <row r="2639" spans="1:17" x14ac:dyDescent="0.3">
      <c r="A2639" s="67" t="s">
        <v>2611</v>
      </c>
      <c r="B2639" s="28" t="s">
        <v>2612</v>
      </c>
      <c r="C2639" s="28" t="s">
        <v>2613</v>
      </c>
      <c r="D2639" s="29">
        <v>45525</v>
      </c>
      <c r="E2639" s="29">
        <v>46255</v>
      </c>
      <c r="F2639" s="28" t="s">
        <v>1930</v>
      </c>
      <c r="G2639" s="28" t="s">
        <v>546</v>
      </c>
      <c r="H2639" s="28" t="s">
        <v>2427</v>
      </c>
      <c r="I2639" s="68">
        <v>1296.8333333333301</v>
      </c>
      <c r="J2639" s="28" t="s">
        <v>1189</v>
      </c>
      <c r="K2639" s="28" t="s">
        <v>467</v>
      </c>
      <c r="L2639" s="65"/>
      <c r="M2639" s="28" t="s">
        <v>2443</v>
      </c>
      <c r="N2639" s="28" t="s">
        <v>558</v>
      </c>
      <c r="O2639" s="28" t="s">
        <v>426</v>
      </c>
      <c r="P2639" s="28" t="s">
        <v>2421</v>
      </c>
      <c r="Q2639" s="69" t="s">
        <v>2021</v>
      </c>
    </row>
    <row r="2640" spans="1:17" x14ac:dyDescent="0.3">
      <c r="A2640" s="67" t="s">
        <v>2611</v>
      </c>
      <c r="B2640" s="28" t="s">
        <v>2612</v>
      </c>
      <c r="C2640" s="28" t="s">
        <v>2613</v>
      </c>
      <c r="D2640" s="29">
        <v>45525</v>
      </c>
      <c r="E2640" s="29">
        <v>46255</v>
      </c>
      <c r="F2640" s="28" t="s">
        <v>286</v>
      </c>
      <c r="G2640" s="28" t="s">
        <v>476</v>
      </c>
      <c r="H2640" s="28" t="s">
        <v>2427</v>
      </c>
      <c r="I2640" s="68">
        <v>3890.5</v>
      </c>
      <c r="J2640" s="28" t="s">
        <v>1189</v>
      </c>
      <c r="K2640" s="28" t="s">
        <v>467</v>
      </c>
      <c r="L2640" s="65"/>
      <c r="M2640" s="28" t="s">
        <v>2443</v>
      </c>
      <c r="N2640" s="28" t="s">
        <v>558</v>
      </c>
      <c r="O2640" s="28" t="s">
        <v>426</v>
      </c>
      <c r="P2640" s="28" t="s">
        <v>2421</v>
      </c>
      <c r="Q2640" s="69" t="s">
        <v>2021</v>
      </c>
    </row>
    <row r="2641" spans="1:17" x14ac:dyDescent="0.3">
      <c r="A2641" s="67" t="s">
        <v>2611</v>
      </c>
      <c r="B2641" s="28" t="s">
        <v>2612</v>
      </c>
      <c r="C2641" s="28" t="s">
        <v>2613</v>
      </c>
      <c r="D2641" s="29">
        <v>45525</v>
      </c>
      <c r="E2641" s="29">
        <v>46255</v>
      </c>
      <c r="F2641" s="28" t="s">
        <v>348</v>
      </c>
      <c r="G2641" s="28" t="s">
        <v>348</v>
      </c>
      <c r="H2641" s="28" t="s">
        <v>2427</v>
      </c>
      <c r="I2641" s="68">
        <v>3890.5</v>
      </c>
      <c r="J2641" s="28" t="s">
        <v>1189</v>
      </c>
      <c r="K2641" s="28" t="s">
        <v>467</v>
      </c>
      <c r="L2641" s="65"/>
      <c r="M2641" s="28" t="s">
        <v>2443</v>
      </c>
      <c r="N2641" s="28" t="s">
        <v>558</v>
      </c>
      <c r="O2641" s="28" t="s">
        <v>426</v>
      </c>
      <c r="P2641" s="28" t="s">
        <v>2421</v>
      </c>
      <c r="Q2641" s="69" t="s">
        <v>2021</v>
      </c>
    </row>
    <row r="2642" spans="1:17" x14ac:dyDescent="0.3">
      <c r="A2642" s="67" t="s">
        <v>2611</v>
      </c>
      <c r="B2642" s="28" t="s">
        <v>2612</v>
      </c>
      <c r="C2642" s="28" t="s">
        <v>2613</v>
      </c>
      <c r="D2642" s="29">
        <v>45525</v>
      </c>
      <c r="E2642" s="29">
        <v>46255</v>
      </c>
      <c r="F2642" s="28" t="s">
        <v>1936</v>
      </c>
      <c r="G2642" s="28" t="s">
        <v>730</v>
      </c>
      <c r="H2642" s="28" t="s">
        <v>2427</v>
      </c>
      <c r="I2642" s="68">
        <v>3890.5</v>
      </c>
      <c r="J2642" s="28" t="s">
        <v>1189</v>
      </c>
      <c r="K2642" s="28" t="s">
        <v>467</v>
      </c>
      <c r="L2642" s="65"/>
      <c r="M2642" s="28" t="s">
        <v>2443</v>
      </c>
      <c r="N2642" s="28" t="s">
        <v>558</v>
      </c>
      <c r="O2642" s="28" t="s">
        <v>426</v>
      </c>
      <c r="P2642" s="28" t="s">
        <v>2421</v>
      </c>
      <c r="Q2642" s="69" t="s">
        <v>2021</v>
      </c>
    </row>
    <row r="2643" spans="1:17" x14ac:dyDescent="0.3">
      <c r="A2643" s="67" t="s">
        <v>2611</v>
      </c>
      <c r="B2643" s="28" t="s">
        <v>2612</v>
      </c>
      <c r="C2643" s="28" t="s">
        <v>2613</v>
      </c>
      <c r="D2643" s="29">
        <v>45525</v>
      </c>
      <c r="E2643" s="29">
        <v>46255</v>
      </c>
      <c r="F2643" s="28" t="s">
        <v>287</v>
      </c>
      <c r="G2643" s="28" t="s">
        <v>390</v>
      </c>
      <c r="H2643" s="28" t="s">
        <v>2427</v>
      </c>
      <c r="I2643" s="68">
        <v>3890.5</v>
      </c>
      <c r="J2643" s="28" t="s">
        <v>1189</v>
      </c>
      <c r="K2643" s="28" t="s">
        <v>467</v>
      </c>
      <c r="L2643" s="65"/>
      <c r="M2643" s="28" t="s">
        <v>2443</v>
      </c>
      <c r="N2643" s="28" t="s">
        <v>558</v>
      </c>
      <c r="O2643" s="28" t="s">
        <v>426</v>
      </c>
      <c r="P2643" s="28" t="s">
        <v>2421</v>
      </c>
      <c r="Q2643" s="69" t="s">
        <v>2021</v>
      </c>
    </row>
    <row r="2644" spans="1:17" x14ac:dyDescent="0.3">
      <c r="A2644" s="67" t="s">
        <v>2611</v>
      </c>
      <c r="B2644" s="28" t="s">
        <v>2612</v>
      </c>
      <c r="C2644" s="28" t="s">
        <v>2613</v>
      </c>
      <c r="D2644" s="29">
        <v>45525</v>
      </c>
      <c r="E2644" s="29">
        <v>46255</v>
      </c>
      <c r="F2644" s="28" t="s">
        <v>1945</v>
      </c>
      <c r="G2644" s="28" t="s">
        <v>555</v>
      </c>
      <c r="H2644" s="28" t="s">
        <v>2427</v>
      </c>
      <c r="I2644" s="68">
        <v>3890.5</v>
      </c>
      <c r="J2644" s="28" t="s">
        <v>1189</v>
      </c>
      <c r="K2644" s="28" t="s">
        <v>467</v>
      </c>
      <c r="L2644" s="65"/>
      <c r="M2644" s="28" t="s">
        <v>2443</v>
      </c>
      <c r="N2644" s="28" t="s">
        <v>558</v>
      </c>
      <c r="O2644" s="28" t="s">
        <v>426</v>
      </c>
      <c r="P2644" s="28" t="s">
        <v>2421</v>
      </c>
      <c r="Q2644" s="69" t="s">
        <v>2021</v>
      </c>
    </row>
    <row r="2645" spans="1:17" x14ac:dyDescent="0.3">
      <c r="A2645" s="67" t="s">
        <v>2611</v>
      </c>
      <c r="B2645" s="28" t="s">
        <v>2612</v>
      </c>
      <c r="C2645" s="28" t="s">
        <v>2613</v>
      </c>
      <c r="D2645" s="29">
        <v>45525</v>
      </c>
      <c r="E2645" s="29">
        <v>46255</v>
      </c>
      <c r="F2645" s="28" t="s">
        <v>1930</v>
      </c>
      <c r="G2645" s="28" t="s">
        <v>721</v>
      </c>
      <c r="H2645" s="28" t="s">
        <v>467</v>
      </c>
      <c r="I2645" s="68">
        <v>3865.8888888888901</v>
      </c>
      <c r="J2645" s="28" t="s">
        <v>999</v>
      </c>
      <c r="K2645" s="28" t="s">
        <v>467</v>
      </c>
      <c r="L2645" s="65"/>
      <c r="M2645" s="28" t="s">
        <v>2443</v>
      </c>
      <c r="N2645" s="28" t="s">
        <v>558</v>
      </c>
      <c r="O2645" s="28" t="s">
        <v>426</v>
      </c>
      <c r="P2645" s="28" t="s">
        <v>2421</v>
      </c>
      <c r="Q2645" s="69" t="s">
        <v>2021</v>
      </c>
    </row>
    <row r="2646" spans="1:17" x14ac:dyDescent="0.3">
      <c r="A2646" s="67" t="s">
        <v>2611</v>
      </c>
      <c r="B2646" s="28" t="s">
        <v>2612</v>
      </c>
      <c r="C2646" s="28" t="s">
        <v>2613</v>
      </c>
      <c r="D2646" s="29">
        <v>45525</v>
      </c>
      <c r="E2646" s="29">
        <v>46255</v>
      </c>
      <c r="F2646" s="28" t="s">
        <v>1930</v>
      </c>
      <c r="G2646" s="28" t="s">
        <v>453</v>
      </c>
      <c r="H2646" s="28" t="s">
        <v>467</v>
      </c>
      <c r="I2646" s="68">
        <v>3865.8888888888901</v>
      </c>
      <c r="J2646" s="28" t="s">
        <v>999</v>
      </c>
      <c r="K2646" s="28" t="s">
        <v>467</v>
      </c>
      <c r="L2646" s="65"/>
      <c r="M2646" s="28" t="s">
        <v>2443</v>
      </c>
      <c r="N2646" s="28" t="s">
        <v>558</v>
      </c>
      <c r="O2646" s="28" t="s">
        <v>426</v>
      </c>
      <c r="P2646" s="28" t="s">
        <v>2421</v>
      </c>
      <c r="Q2646" s="69" t="s">
        <v>2021</v>
      </c>
    </row>
    <row r="2647" spans="1:17" x14ac:dyDescent="0.3">
      <c r="A2647" s="67" t="s">
        <v>2611</v>
      </c>
      <c r="B2647" s="28" t="s">
        <v>2612</v>
      </c>
      <c r="C2647" s="28" t="s">
        <v>2613</v>
      </c>
      <c r="D2647" s="29">
        <v>45525</v>
      </c>
      <c r="E2647" s="29">
        <v>46255</v>
      </c>
      <c r="F2647" s="28" t="s">
        <v>1930</v>
      </c>
      <c r="G2647" s="28" t="s">
        <v>546</v>
      </c>
      <c r="H2647" s="28" t="s">
        <v>467</v>
      </c>
      <c r="I2647" s="68">
        <v>3865.8888888888901</v>
      </c>
      <c r="J2647" s="28" t="s">
        <v>999</v>
      </c>
      <c r="K2647" s="28" t="s">
        <v>467</v>
      </c>
      <c r="L2647" s="65"/>
      <c r="M2647" s="28" t="s">
        <v>2443</v>
      </c>
      <c r="N2647" s="28" t="s">
        <v>558</v>
      </c>
      <c r="O2647" s="28" t="s">
        <v>426</v>
      </c>
      <c r="P2647" s="28" t="s">
        <v>2421</v>
      </c>
      <c r="Q2647" s="69" t="s">
        <v>2021</v>
      </c>
    </row>
    <row r="2648" spans="1:17" x14ac:dyDescent="0.3">
      <c r="A2648" s="67" t="s">
        <v>2611</v>
      </c>
      <c r="B2648" s="28" t="s">
        <v>2612</v>
      </c>
      <c r="C2648" s="28" t="s">
        <v>2613</v>
      </c>
      <c r="D2648" s="29">
        <v>45525</v>
      </c>
      <c r="E2648" s="29">
        <v>46255</v>
      </c>
      <c r="F2648" s="28" t="s">
        <v>286</v>
      </c>
      <c r="G2648" s="28" t="s">
        <v>476</v>
      </c>
      <c r="H2648" s="28" t="s">
        <v>467</v>
      </c>
      <c r="I2648" s="68">
        <v>11597.666666666701</v>
      </c>
      <c r="J2648" s="28" t="s">
        <v>999</v>
      </c>
      <c r="K2648" s="28" t="s">
        <v>467</v>
      </c>
      <c r="L2648" s="65"/>
      <c r="M2648" s="28" t="s">
        <v>2443</v>
      </c>
      <c r="N2648" s="28" t="s">
        <v>558</v>
      </c>
      <c r="O2648" s="28" t="s">
        <v>426</v>
      </c>
      <c r="P2648" s="28" t="s">
        <v>2421</v>
      </c>
      <c r="Q2648" s="69" t="s">
        <v>2021</v>
      </c>
    </row>
    <row r="2649" spans="1:17" x14ac:dyDescent="0.3">
      <c r="A2649" s="67" t="s">
        <v>2611</v>
      </c>
      <c r="B2649" s="28" t="s">
        <v>2612</v>
      </c>
      <c r="C2649" s="28" t="s">
        <v>2613</v>
      </c>
      <c r="D2649" s="29">
        <v>45525</v>
      </c>
      <c r="E2649" s="29">
        <v>46255</v>
      </c>
      <c r="F2649" s="28" t="s">
        <v>348</v>
      </c>
      <c r="G2649" s="28" t="s">
        <v>348</v>
      </c>
      <c r="H2649" s="28" t="s">
        <v>467</v>
      </c>
      <c r="I2649" s="68">
        <v>11597.666666666701</v>
      </c>
      <c r="J2649" s="28" t="s">
        <v>999</v>
      </c>
      <c r="K2649" s="28" t="s">
        <v>467</v>
      </c>
      <c r="L2649" s="65"/>
      <c r="M2649" s="28" t="s">
        <v>2443</v>
      </c>
      <c r="N2649" s="28" t="s">
        <v>558</v>
      </c>
      <c r="O2649" s="28" t="s">
        <v>426</v>
      </c>
      <c r="P2649" s="28" t="s">
        <v>2421</v>
      </c>
      <c r="Q2649" s="69" t="s">
        <v>2021</v>
      </c>
    </row>
    <row r="2650" spans="1:17" x14ac:dyDescent="0.3">
      <c r="A2650" s="67" t="s">
        <v>2611</v>
      </c>
      <c r="B2650" s="28" t="s">
        <v>2612</v>
      </c>
      <c r="C2650" s="28" t="s">
        <v>2613</v>
      </c>
      <c r="D2650" s="29">
        <v>45525</v>
      </c>
      <c r="E2650" s="29">
        <v>46255</v>
      </c>
      <c r="F2650" s="28" t="s">
        <v>1936</v>
      </c>
      <c r="G2650" s="28" t="s">
        <v>730</v>
      </c>
      <c r="H2650" s="28" t="s">
        <v>467</v>
      </c>
      <c r="I2650" s="68">
        <v>11597.666666666701</v>
      </c>
      <c r="J2650" s="28" t="s">
        <v>999</v>
      </c>
      <c r="K2650" s="28" t="s">
        <v>467</v>
      </c>
      <c r="L2650" s="65"/>
      <c r="M2650" s="28" t="s">
        <v>2443</v>
      </c>
      <c r="N2650" s="28" t="s">
        <v>558</v>
      </c>
      <c r="O2650" s="28" t="s">
        <v>426</v>
      </c>
      <c r="P2650" s="28" t="s">
        <v>2421</v>
      </c>
      <c r="Q2650" s="69" t="s">
        <v>2021</v>
      </c>
    </row>
    <row r="2651" spans="1:17" x14ac:dyDescent="0.3">
      <c r="A2651" s="67" t="s">
        <v>2611</v>
      </c>
      <c r="B2651" s="28" t="s">
        <v>2612</v>
      </c>
      <c r="C2651" s="28" t="s">
        <v>2613</v>
      </c>
      <c r="D2651" s="29">
        <v>45525</v>
      </c>
      <c r="E2651" s="29">
        <v>46255</v>
      </c>
      <c r="F2651" s="28" t="s">
        <v>287</v>
      </c>
      <c r="G2651" s="28" t="s">
        <v>390</v>
      </c>
      <c r="H2651" s="28" t="s">
        <v>467</v>
      </c>
      <c r="I2651" s="68">
        <v>11597.666666666701</v>
      </c>
      <c r="J2651" s="28" t="s">
        <v>999</v>
      </c>
      <c r="K2651" s="28" t="s">
        <v>467</v>
      </c>
      <c r="L2651" s="65"/>
      <c r="M2651" s="28" t="s">
        <v>2443</v>
      </c>
      <c r="N2651" s="28" t="s">
        <v>558</v>
      </c>
      <c r="O2651" s="28" t="s">
        <v>426</v>
      </c>
      <c r="P2651" s="28" t="s">
        <v>2421</v>
      </c>
      <c r="Q2651" s="69" t="s">
        <v>2021</v>
      </c>
    </row>
    <row r="2652" spans="1:17" x14ac:dyDescent="0.3">
      <c r="A2652" s="67" t="s">
        <v>2611</v>
      </c>
      <c r="B2652" s="28" t="s">
        <v>2612</v>
      </c>
      <c r="C2652" s="28" t="s">
        <v>2613</v>
      </c>
      <c r="D2652" s="29">
        <v>45525</v>
      </c>
      <c r="E2652" s="29">
        <v>46255</v>
      </c>
      <c r="F2652" s="28" t="s">
        <v>1945</v>
      </c>
      <c r="G2652" s="28" t="s">
        <v>555</v>
      </c>
      <c r="H2652" s="28" t="s">
        <v>467</v>
      </c>
      <c r="I2652" s="68">
        <v>11597.666666666701</v>
      </c>
      <c r="J2652" s="28" t="s">
        <v>999</v>
      </c>
      <c r="K2652" s="28" t="s">
        <v>467</v>
      </c>
      <c r="L2652" s="65"/>
      <c r="M2652" s="28" t="s">
        <v>2443</v>
      </c>
      <c r="N2652" s="28" t="s">
        <v>558</v>
      </c>
      <c r="O2652" s="28" t="s">
        <v>426</v>
      </c>
      <c r="P2652" s="28" t="s">
        <v>2421</v>
      </c>
      <c r="Q2652" s="69" t="s">
        <v>2021</v>
      </c>
    </row>
    <row r="2653" spans="1:17" x14ac:dyDescent="0.3">
      <c r="A2653" s="67" t="s">
        <v>2614</v>
      </c>
      <c r="B2653" s="28" t="s">
        <v>2615</v>
      </c>
      <c r="C2653" s="28" t="s">
        <v>946</v>
      </c>
      <c r="D2653" s="29">
        <v>45884</v>
      </c>
      <c r="E2653" s="29">
        <v>46142</v>
      </c>
      <c r="F2653" s="28" t="s">
        <v>287</v>
      </c>
      <c r="G2653" s="28" t="s">
        <v>589</v>
      </c>
      <c r="H2653" s="28" t="s">
        <v>373</v>
      </c>
      <c r="I2653" s="68">
        <v>112937.035714286</v>
      </c>
      <c r="J2653" s="28" t="s">
        <v>373</v>
      </c>
      <c r="K2653" s="28" t="s">
        <v>1693</v>
      </c>
      <c r="L2653" s="65"/>
      <c r="M2653" s="28" t="s">
        <v>2443</v>
      </c>
      <c r="N2653" s="28" t="s">
        <v>640</v>
      </c>
      <c r="O2653" s="28" t="s">
        <v>417</v>
      </c>
      <c r="P2653" s="28" t="s">
        <v>2421</v>
      </c>
      <c r="Q2653" s="69" t="s">
        <v>1972</v>
      </c>
    </row>
    <row r="2654" spans="1:17" x14ac:dyDescent="0.3">
      <c r="A2654" s="67" t="s">
        <v>2614</v>
      </c>
      <c r="B2654" s="28" t="s">
        <v>2615</v>
      </c>
      <c r="C2654" s="28" t="s">
        <v>946</v>
      </c>
      <c r="D2654" s="29">
        <v>45884</v>
      </c>
      <c r="E2654" s="29">
        <v>46142</v>
      </c>
      <c r="F2654" s="28" t="s">
        <v>287</v>
      </c>
      <c r="G2654" s="28" t="s">
        <v>590</v>
      </c>
      <c r="H2654" s="28" t="s">
        <v>373</v>
      </c>
      <c r="I2654" s="68">
        <v>112937.035714286</v>
      </c>
      <c r="J2654" s="28" t="s">
        <v>373</v>
      </c>
      <c r="K2654" s="28" t="s">
        <v>1693</v>
      </c>
      <c r="L2654" s="65"/>
      <c r="M2654" s="28" t="s">
        <v>2443</v>
      </c>
      <c r="N2654" s="28" t="s">
        <v>640</v>
      </c>
      <c r="O2654" s="28" t="s">
        <v>417</v>
      </c>
      <c r="P2654" s="28" t="s">
        <v>2421</v>
      </c>
      <c r="Q2654" s="69" t="s">
        <v>1972</v>
      </c>
    </row>
    <row r="2655" spans="1:17" x14ac:dyDescent="0.3">
      <c r="A2655" s="67" t="s">
        <v>2614</v>
      </c>
      <c r="B2655" s="28" t="s">
        <v>2615</v>
      </c>
      <c r="C2655" s="28" t="s">
        <v>946</v>
      </c>
      <c r="D2655" s="29">
        <v>45884</v>
      </c>
      <c r="E2655" s="29">
        <v>46142</v>
      </c>
      <c r="F2655" s="28" t="s">
        <v>287</v>
      </c>
      <c r="G2655" s="28" t="s">
        <v>591</v>
      </c>
      <c r="H2655" s="28" t="s">
        <v>373</v>
      </c>
      <c r="I2655" s="68">
        <v>112937.035714286</v>
      </c>
      <c r="J2655" s="28" t="s">
        <v>373</v>
      </c>
      <c r="K2655" s="28" t="s">
        <v>1693</v>
      </c>
      <c r="L2655" s="65"/>
      <c r="M2655" s="28" t="s">
        <v>2443</v>
      </c>
      <c r="N2655" s="28" t="s">
        <v>640</v>
      </c>
      <c r="O2655" s="28" t="s">
        <v>417</v>
      </c>
      <c r="P2655" s="28" t="s">
        <v>2421</v>
      </c>
      <c r="Q2655" s="69" t="s">
        <v>1972</v>
      </c>
    </row>
    <row r="2656" spans="1:17" x14ac:dyDescent="0.3">
      <c r="A2656" s="67" t="s">
        <v>2614</v>
      </c>
      <c r="B2656" s="28" t="s">
        <v>2615</v>
      </c>
      <c r="C2656" s="28" t="s">
        <v>946</v>
      </c>
      <c r="D2656" s="29">
        <v>45884</v>
      </c>
      <c r="E2656" s="29">
        <v>46142</v>
      </c>
      <c r="F2656" s="28" t="s">
        <v>287</v>
      </c>
      <c r="G2656" s="28" t="s">
        <v>592</v>
      </c>
      <c r="H2656" s="28" t="s">
        <v>373</v>
      </c>
      <c r="I2656" s="68">
        <v>112937.035714286</v>
      </c>
      <c r="J2656" s="28" t="s">
        <v>373</v>
      </c>
      <c r="K2656" s="28" t="s">
        <v>1693</v>
      </c>
      <c r="L2656" s="65"/>
      <c r="M2656" s="28" t="s">
        <v>2443</v>
      </c>
      <c r="N2656" s="28" t="s">
        <v>640</v>
      </c>
      <c r="O2656" s="28" t="s">
        <v>417</v>
      </c>
      <c r="P2656" s="28" t="s">
        <v>2421</v>
      </c>
      <c r="Q2656" s="69" t="s">
        <v>1972</v>
      </c>
    </row>
    <row r="2657" spans="1:17" x14ac:dyDescent="0.3">
      <c r="A2657" s="67" t="s">
        <v>2614</v>
      </c>
      <c r="B2657" s="28" t="s">
        <v>2615</v>
      </c>
      <c r="C2657" s="28" t="s">
        <v>946</v>
      </c>
      <c r="D2657" s="29">
        <v>45884</v>
      </c>
      <c r="E2657" s="29">
        <v>46142</v>
      </c>
      <c r="F2657" s="28" t="s">
        <v>287</v>
      </c>
      <c r="G2657" s="28" t="s">
        <v>425</v>
      </c>
      <c r="H2657" s="28" t="s">
        <v>373</v>
      </c>
      <c r="I2657" s="68">
        <v>112937.035714286</v>
      </c>
      <c r="J2657" s="28" t="s">
        <v>373</v>
      </c>
      <c r="K2657" s="28" t="s">
        <v>1693</v>
      </c>
      <c r="L2657" s="65"/>
      <c r="M2657" s="28" t="s">
        <v>2443</v>
      </c>
      <c r="N2657" s="28" t="s">
        <v>640</v>
      </c>
      <c r="O2657" s="28" t="s">
        <v>417</v>
      </c>
      <c r="P2657" s="28" t="s">
        <v>2421</v>
      </c>
      <c r="Q2657" s="69" t="s">
        <v>1972</v>
      </c>
    </row>
    <row r="2658" spans="1:17" x14ac:dyDescent="0.3">
      <c r="A2658" s="67" t="s">
        <v>2614</v>
      </c>
      <c r="B2658" s="28" t="s">
        <v>2615</v>
      </c>
      <c r="C2658" s="28" t="s">
        <v>946</v>
      </c>
      <c r="D2658" s="29">
        <v>45884</v>
      </c>
      <c r="E2658" s="29">
        <v>46142</v>
      </c>
      <c r="F2658" s="28" t="s">
        <v>287</v>
      </c>
      <c r="G2658" s="28" t="s">
        <v>593</v>
      </c>
      <c r="H2658" s="28" t="s">
        <v>373</v>
      </c>
      <c r="I2658" s="68">
        <v>112937.035714286</v>
      </c>
      <c r="J2658" s="28" t="s">
        <v>373</v>
      </c>
      <c r="K2658" s="28" t="s">
        <v>1693</v>
      </c>
      <c r="L2658" s="65"/>
      <c r="M2658" s="28" t="s">
        <v>2443</v>
      </c>
      <c r="N2658" s="28" t="s">
        <v>640</v>
      </c>
      <c r="O2658" s="28" t="s">
        <v>417</v>
      </c>
      <c r="P2658" s="28" t="s">
        <v>2421</v>
      </c>
      <c r="Q2658" s="69" t="s">
        <v>1972</v>
      </c>
    </row>
    <row r="2659" spans="1:17" x14ac:dyDescent="0.3">
      <c r="A2659" s="67" t="s">
        <v>2614</v>
      </c>
      <c r="B2659" s="28" t="s">
        <v>2615</v>
      </c>
      <c r="C2659" s="28" t="s">
        <v>946</v>
      </c>
      <c r="D2659" s="29">
        <v>45884</v>
      </c>
      <c r="E2659" s="29">
        <v>46142</v>
      </c>
      <c r="F2659" s="28" t="s">
        <v>287</v>
      </c>
      <c r="G2659" s="28" t="s">
        <v>396</v>
      </c>
      <c r="H2659" s="28" t="s">
        <v>373</v>
      </c>
      <c r="I2659" s="68">
        <v>112937.035714286</v>
      </c>
      <c r="J2659" s="28" t="s">
        <v>373</v>
      </c>
      <c r="K2659" s="28" t="s">
        <v>1693</v>
      </c>
      <c r="L2659" s="65"/>
      <c r="M2659" s="28" t="s">
        <v>2443</v>
      </c>
      <c r="N2659" s="28" t="s">
        <v>640</v>
      </c>
      <c r="O2659" s="28" t="s">
        <v>417</v>
      </c>
      <c r="P2659" s="28" t="s">
        <v>2421</v>
      </c>
      <c r="Q2659" s="69" t="s">
        <v>1972</v>
      </c>
    </row>
    <row r="2660" spans="1:17" x14ac:dyDescent="0.3">
      <c r="A2660" s="67" t="s">
        <v>2614</v>
      </c>
      <c r="B2660" s="28" t="s">
        <v>2615</v>
      </c>
      <c r="C2660" s="28" t="s">
        <v>946</v>
      </c>
      <c r="D2660" s="29">
        <v>45884</v>
      </c>
      <c r="E2660" s="29">
        <v>46142</v>
      </c>
      <c r="F2660" s="28" t="s">
        <v>1922</v>
      </c>
      <c r="G2660" s="28" t="s">
        <v>349</v>
      </c>
      <c r="H2660" s="28" t="s">
        <v>373</v>
      </c>
      <c r="I2660" s="68">
        <v>158111.85</v>
      </c>
      <c r="J2660" s="28" t="s">
        <v>373</v>
      </c>
      <c r="K2660" s="28" t="s">
        <v>1693</v>
      </c>
      <c r="L2660" s="65"/>
      <c r="M2660" s="28" t="s">
        <v>2443</v>
      </c>
      <c r="N2660" s="28" t="s">
        <v>640</v>
      </c>
      <c r="O2660" s="28" t="s">
        <v>417</v>
      </c>
      <c r="P2660" s="28" t="s">
        <v>2421</v>
      </c>
      <c r="Q2660" s="69" t="s">
        <v>1972</v>
      </c>
    </row>
    <row r="2661" spans="1:17" x14ac:dyDescent="0.3">
      <c r="A2661" s="67" t="s">
        <v>2614</v>
      </c>
      <c r="B2661" s="28" t="s">
        <v>2615</v>
      </c>
      <c r="C2661" s="28" t="s">
        <v>946</v>
      </c>
      <c r="D2661" s="29">
        <v>45884</v>
      </c>
      <c r="E2661" s="29">
        <v>46142</v>
      </c>
      <c r="F2661" s="28" t="s">
        <v>1922</v>
      </c>
      <c r="G2661" s="28" t="s">
        <v>836</v>
      </c>
      <c r="H2661" s="28" t="s">
        <v>373</v>
      </c>
      <c r="I2661" s="68">
        <v>158111.85</v>
      </c>
      <c r="J2661" s="28" t="s">
        <v>373</v>
      </c>
      <c r="K2661" s="28" t="s">
        <v>1693</v>
      </c>
      <c r="L2661" s="65"/>
      <c r="M2661" s="28" t="s">
        <v>2443</v>
      </c>
      <c r="N2661" s="28" t="s">
        <v>640</v>
      </c>
      <c r="O2661" s="28" t="s">
        <v>417</v>
      </c>
      <c r="P2661" s="28" t="s">
        <v>2421</v>
      </c>
      <c r="Q2661" s="69" t="s">
        <v>1972</v>
      </c>
    </row>
    <row r="2662" spans="1:17" x14ac:dyDescent="0.3">
      <c r="A2662" s="67" t="s">
        <v>2614</v>
      </c>
      <c r="B2662" s="28" t="s">
        <v>2615</v>
      </c>
      <c r="C2662" s="28" t="s">
        <v>946</v>
      </c>
      <c r="D2662" s="29">
        <v>45884</v>
      </c>
      <c r="E2662" s="29">
        <v>46142</v>
      </c>
      <c r="F2662" s="28" t="s">
        <v>1922</v>
      </c>
      <c r="G2662" s="28" t="s">
        <v>385</v>
      </c>
      <c r="H2662" s="28" t="s">
        <v>373</v>
      </c>
      <c r="I2662" s="68">
        <v>158111.85</v>
      </c>
      <c r="J2662" s="28" t="s">
        <v>373</v>
      </c>
      <c r="K2662" s="28" t="s">
        <v>1693</v>
      </c>
      <c r="L2662" s="65"/>
      <c r="M2662" s="28" t="s">
        <v>2443</v>
      </c>
      <c r="N2662" s="28" t="s">
        <v>640</v>
      </c>
      <c r="O2662" s="28" t="s">
        <v>417</v>
      </c>
      <c r="P2662" s="28" t="s">
        <v>2421</v>
      </c>
      <c r="Q2662" s="69" t="s">
        <v>1972</v>
      </c>
    </row>
    <row r="2663" spans="1:17" x14ac:dyDescent="0.3">
      <c r="A2663" s="67" t="s">
        <v>2614</v>
      </c>
      <c r="B2663" s="28" t="s">
        <v>2615</v>
      </c>
      <c r="C2663" s="28" t="s">
        <v>946</v>
      </c>
      <c r="D2663" s="29">
        <v>45884</v>
      </c>
      <c r="E2663" s="29">
        <v>46142</v>
      </c>
      <c r="F2663" s="28" t="s">
        <v>1922</v>
      </c>
      <c r="G2663" s="28" t="s">
        <v>386</v>
      </c>
      <c r="H2663" s="28" t="s">
        <v>373</v>
      </c>
      <c r="I2663" s="68">
        <v>158111.85</v>
      </c>
      <c r="J2663" s="28" t="s">
        <v>373</v>
      </c>
      <c r="K2663" s="28" t="s">
        <v>1693</v>
      </c>
      <c r="L2663" s="65"/>
      <c r="M2663" s="28" t="s">
        <v>2443</v>
      </c>
      <c r="N2663" s="28" t="s">
        <v>640</v>
      </c>
      <c r="O2663" s="28" t="s">
        <v>417</v>
      </c>
      <c r="P2663" s="28" t="s">
        <v>2421</v>
      </c>
      <c r="Q2663" s="69" t="s">
        <v>1972</v>
      </c>
    </row>
    <row r="2664" spans="1:17" x14ac:dyDescent="0.3">
      <c r="A2664" s="67" t="s">
        <v>2614</v>
      </c>
      <c r="B2664" s="28" t="s">
        <v>2615</v>
      </c>
      <c r="C2664" s="28" t="s">
        <v>946</v>
      </c>
      <c r="D2664" s="29">
        <v>45884</v>
      </c>
      <c r="E2664" s="29">
        <v>46142</v>
      </c>
      <c r="F2664" s="28" t="s">
        <v>1922</v>
      </c>
      <c r="G2664" s="28" t="s">
        <v>387</v>
      </c>
      <c r="H2664" s="28" t="s">
        <v>373</v>
      </c>
      <c r="I2664" s="68">
        <v>158111.85</v>
      </c>
      <c r="J2664" s="28" t="s">
        <v>373</v>
      </c>
      <c r="K2664" s="28" t="s">
        <v>1693</v>
      </c>
      <c r="L2664" s="65"/>
      <c r="M2664" s="28" t="s">
        <v>2443</v>
      </c>
      <c r="N2664" s="28" t="s">
        <v>640</v>
      </c>
      <c r="O2664" s="28" t="s">
        <v>417</v>
      </c>
      <c r="P2664" s="28" t="s">
        <v>2421</v>
      </c>
      <c r="Q2664" s="69" t="s">
        <v>1972</v>
      </c>
    </row>
    <row r="2665" spans="1:17" x14ac:dyDescent="0.3">
      <c r="A2665" s="67" t="s">
        <v>2614</v>
      </c>
      <c r="B2665" s="28" t="s">
        <v>2615</v>
      </c>
      <c r="C2665" s="28" t="s">
        <v>946</v>
      </c>
      <c r="D2665" s="29">
        <v>45884</v>
      </c>
      <c r="E2665" s="29">
        <v>46142</v>
      </c>
      <c r="F2665" s="28" t="s">
        <v>282</v>
      </c>
      <c r="G2665" s="28" t="s">
        <v>854</v>
      </c>
      <c r="H2665" s="28" t="s">
        <v>373</v>
      </c>
      <c r="I2665" s="68">
        <v>197639.8125</v>
      </c>
      <c r="J2665" s="28" t="s">
        <v>373</v>
      </c>
      <c r="K2665" s="28" t="s">
        <v>1693</v>
      </c>
      <c r="L2665" s="65"/>
      <c r="M2665" s="28" t="s">
        <v>2443</v>
      </c>
      <c r="N2665" s="28" t="s">
        <v>640</v>
      </c>
      <c r="O2665" s="28" t="s">
        <v>417</v>
      </c>
      <c r="P2665" s="28" t="s">
        <v>2421</v>
      </c>
      <c r="Q2665" s="69" t="s">
        <v>1972</v>
      </c>
    </row>
    <row r="2666" spans="1:17" x14ac:dyDescent="0.3">
      <c r="A2666" s="67" t="s">
        <v>2614</v>
      </c>
      <c r="B2666" s="28" t="s">
        <v>2615</v>
      </c>
      <c r="C2666" s="28" t="s">
        <v>946</v>
      </c>
      <c r="D2666" s="29">
        <v>45884</v>
      </c>
      <c r="E2666" s="29">
        <v>46142</v>
      </c>
      <c r="F2666" s="28" t="s">
        <v>282</v>
      </c>
      <c r="G2666" s="28" t="s">
        <v>1258</v>
      </c>
      <c r="H2666" s="28" t="s">
        <v>373</v>
      </c>
      <c r="I2666" s="68">
        <v>197639.8125</v>
      </c>
      <c r="J2666" s="28" t="s">
        <v>373</v>
      </c>
      <c r="K2666" s="28" t="s">
        <v>1693</v>
      </c>
      <c r="L2666" s="65"/>
      <c r="M2666" s="28" t="s">
        <v>2443</v>
      </c>
      <c r="N2666" s="28" t="s">
        <v>640</v>
      </c>
      <c r="O2666" s="28" t="s">
        <v>417</v>
      </c>
      <c r="P2666" s="28" t="s">
        <v>2421</v>
      </c>
      <c r="Q2666" s="69" t="s">
        <v>1972</v>
      </c>
    </row>
    <row r="2667" spans="1:17" x14ac:dyDescent="0.3">
      <c r="A2667" s="67" t="s">
        <v>2614</v>
      </c>
      <c r="B2667" s="28" t="s">
        <v>2615</v>
      </c>
      <c r="C2667" s="28" t="s">
        <v>946</v>
      </c>
      <c r="D2667" s="29">
        <v>45884</v>
      </c>
      <c r="E2667" s="29">
        <v>46142</v>
      </c>
      <c r="F2667" s="28" t="s">
        <v>282</v>
      </c>
      <c r="G2667" s="28" t="s">
        <v>439</v>
      </c>
      <c r="H2667" s="28" t="s">
        <v>373</v>
      </c>
      <c r="I2667" s="68">
        <v>197639.8125</v>
      </c>
      <c r="J2667" s="28" t="s">
        <v>373</v>
      </c>
      <c r="K2667" s="28" t="s">
        <v>1693</v>
      </c>
      <c r="L2667" s="65"/>
      <c r="M2667" s="28" t="s">
        <v>2443</v>
      </c>
      <c r="N2667" s="28" t="s">
        <v>640</v>
      </c>
      <c r="O2667" s="28" t="s">
        <v>417</v>
      </c>
      <c r="P2667" s="28" t="s">
        <v>2421</v>
      </c>
      <c r="Q2667" s="69" t="s">
        <v>1972</v>
      </c>
    </row>
    <row r="2668" spans="1:17" x14ac:dyDescent="0.3">
      <c r="A2668" s="67" t="s">
        <v>2614</v>
      </c>
      <c r="B2668" s="28" t="s">
        <v>2615</v>
      </c>
      <c r="C2668" s="28" t="s">
        <v>946</v>
      </c>
      <c r="D2668" s="29">
        <v>45884</v>
      </c>
      <c r="E2668" s="29">
        <v>46142</v>
      </c>
      <c r="F2668" s="28" t="s">
        <v>282</v>
      </c>
      <c r="G2668" s="28" t="s">
        <v>870</v>
      </c>
      <c r="H2668" s="28" t="s">
        <v>373</v>
      </c>
      <c r="I2668" s="68">
        <v>197639.8125</v>
      </c>
      <c r="J2668" s="28" t="s">
        <v>373</v>
      </c>
      <c r="K2668" s="28" t="s">
        <v>1693</v>
      </c>
      <c r="L2668" s="65"/>
      <c r="M2668" s="28" t="s">
        <v>2443</v>
      </c>
      <c r="N2668" s="28" t="s">
        <v>640</v>
      </c>
      <c r="O2668" s="28" t="s">
        <v>417</v>
      </c>
      <c r="P2668" s="28" t="s">
        <v>2421</v>
      </c>
      <c r="Q2668" s="69" t="s">
        <v>1972</v>
      </c>
    </row>
    <row r="2669" spans="1:17" x14ac:dyDescent="0.3">
      <c r="A2669" s="67" t="s">
        <v>2614</v>
      </c>
      <c r="B2669" s="28" t="s">
        <v>2615</v>
      </c>
      <c r="C2669" s="28" t="s">
        <v>946</v>
      </c>
      <c r="D2669" s="29">
        <v>45884</v>
      </c>
      <c r="E2669" s="29">
        <v>46142</v>
      </c>
      <c r="F2669" s="28" t="s">
        <v>1921</v>
      </c>
      <c r="G2669" s="28" t="s">
        <v>559</v>
      </c>
      <c r="H2669" s="28" t="s">
        <v>373</v>
      </c>
      <c r="I2669" s="68">
        <v>395279.625</v>
      </c>
      <c r="J2669" s="28" t="s">
        <v>373</v>
      </c>
      <c r="K2669" s="28" t="s">
        <v>1693</v>
      </c>
      <c r="L2669" s="65"/>
      <c r="M2669" s="28" t="s">
        <v>2443</v>
      </c>
      <c r="N2669" s="28" t="s">
        <v>640</v>
      </c>
      <c r="O2669" s="28" t="s">
        <v>417</v>
      </c>
      <c r="P2669" s="28" t="s">
        <v>2421</v>
      </c>
      <c r="Q2669" s="69" t="s">
        <v>1972</v>
      </c>
    </row>
    <row r="2670" spans="1:17" x14ac:dyDescent="0.3">
      <c r="A2670" s="67" t="s">
        <v>2614</v>
      </c>
      <c r="B2670" s="28" t="s">
        <v>2615</v>
      </c>
      <c r="C2670" s="28" t="s">
        <v>946</v>
      </c>
      <c r="D2670" s="29">
        <v>45884</v>
      </c>
      <c r="E2670" s="29">
        <v>46142</v>
      </c>
      <c r="F2670" s="28" t="s">
        <v>1921</v>
      </c>
      <c r="G2670" s="28" t="s">
        <v>487</v>
      </c>
      <c r="H2670" s="28" t="s">
        <v>373</v>
      </c>
      <c r="I2670" s="68">
        <v>395279.625</v>
      </c>
      <c r="J2670" s="28" t="s">
        <v>373</v>
      </c>
      <c r="K2670" s="28" t="s">
        <v>1693</v>
      </c>
      <c r="L2670" s="65"/>
      <c r="M2670" s="28" t="s">
        <v>2443</v>
      </c>
      <c r="N2670" s="28" t="s">
        <v>640</v>
      </c>
      <c r="O2670" s="28" t="s">
        <v>417</v>
      </c>
      <c r="P2670" s="28" t="s">
        <v>2421</v>
      </c>
      <c r="Q2670" s="69" t="s">
        <v>1972</v>
      </c>
    </row>
    <row r="2671" spans="1:17" x14ac:dyDescent="0.3">
      <c r="A2671" s="67" t="s">
        <v>2616</v>
      </c>
      <c r="B2671" s="28" t="s">
        <v>2617</v>
      </c>
      <c r="C2671" s="28" t="s">
        <v>2618</v>
      </c>
      <c r="D2671" s="29">
        <v>45908</v>
      </c>
      <c r="E2671" s="29">
        <v>46450</v>
      </c>
      <c r="F2671" s="28" t="s">
        <v>1961</v>
      </c>
      <c r="G2671" s="28" t="s">
        <v>2619</v>
      </c>
      <c r="H2671" s="28" t="s">
        <v>443</v>
      </c>
      <c r="I2671" s="68">
        <v>40394.451999999997</v>
      </c>
      <c r="J2671" s="28" t="s">
        <v>939</v>
      </c>
      <c r="K2671" s="28" t="s">
        <v>377</v>
      </c>
      <c r="L2671" s="65"/>
      <c r="M2671" s="28" t="s">
        <v>825</v>
      </c>
      <c r="N2671" s="28" t="s">
        <v>644</v>
      </c>
      <c r="O2671" s="28" t="s">
        <v>371</v>
      </c>
      <c r="P2671" s="28" t="s">
        <v>2421</v>
      </c>
      <c r="Q2671" s="69" t="s">
        <v>1972</v>
      </c>
    </row>
    <row r="2672" spans="1:17" x14ac:dyDescent="0.3">
      <c r="A2672" s="67" t="s">
        <v>2616</v>
      </c>
      <c r="B2672" s="28" t="s">
        <v>2617</v>
      </c>
      <c r="C2672" s="28" t="s">
        <v>2618</v>
      </c>
      <c r="D2672" s="29">
        <v>45908</v>
      </c>
      <c r="E2672" s="29">
        <v>46450</v>
      </c>
      <c r="F2672" s="28" t="s">
        <v>1961</v>
      </c>
      <c r="G2672" s="28" t="s">
        <v>2620</v>
      </c>
      <c r="H2672" s="28" t="s">
        <v>443</v>
      </c>
      <c r="I2672" s="68">
        <v>40394.451999999997</v>
      </c>
      <c r="J2672" s="28" t="s">
        <v>939</v>
      </c>
      <c r="K2672" s="28" t="s">
        <v>377</v>
      </c>
      <c r="L2672" s="65"/>
      <c r="M2672" s="28" t="s">
        <v>825</v>
      </c>
      <c r="N2672" s="28" t="s">
        <v>644</v>
      </c>
      <c r="O2672" s="28" t="s">
        <v>371</v>
      </c>
      <c r="P2672" s="28" t="s">
        <v>2421</v>
      </c>
      <c r="Q2672" s="69" t="s">
        <v>1972</v>
      </c>
    </row>
    <row r="2673" spans="1:17" x14ac:dyDescent="0.3">
      <c r="A2673" s="67" t="s">
        <v>2616</v>
      </c>
      <c r="B2673" s="28" t="s">
        <v>2617</v>
      </c>
      <c r="C2673" s="28" t="s">
        <v>2618</v>
      </c>
      <c r="D2673" s="29">
        <v>45908</v>
      </c>
      <c r="E2673" s="29">
        <v>46450</v>
      </c>
      <c r="F2673" s="28" t="s">
        <v>1961</v>
      </c>
      <c r="G2673" s="28" t="s">
        <v>2621</v>
      </c>
      <c r="H2673" s="28" t="s">
        <v>443</v>
      </c>
      <c r="I2673" s="68">
        <v>40394.451999999997</v>
      </c>
      <c r="J2673" s="28" t="s">
        <v>939</v>
      </c>
      <c r="K2673" s="28" t="s">
        <v>377</v>
      </c>
      <c r="L2673" s="65"/>
      <c r="M2673" s="28" t="s">
        <v>825</v>
      </c>
      <c r="N2673" s="28" t="s">
        <v>644</v>
      </c>
      <c r="O2673" s="28" t="s">
        <v>371</v>
      </c>
      <c r="P2673" s="28" t="s">
        <v>2421</v>
      </c>
      <c r="Q2673" s="69" t="s">
        <v>1972</v>
      </c>
    </row>
    <row r="2674" spans="1:17" x14ac:dyDescent="0.3">
      <c r="A2674" s="67" t="s">
        <v>2616</v>
      </c>
      <c r="B2674" s="28" t="s">
        <v>2617</v>
      </c>
      <c r="C2674" s="28" t="s">
        <v>2618</v>
      </c>
      <c r="D2674" s="29">
        <v>45908</v>
      </c>
      <c r="E2674" s="29">
        <v>46450</v>
      </c>
      <c r="F2674" s="28" t="s">
        <v>1961</v>
      </c>
      <c r="G2674" s="28" t="s">
        <v>1400</v>
      </c>
      <c r="H2674" s="28" t="s">
        <v>443</v>
      </c>
      <c r="I2674" s="68">
        <v>40394.451999999997</v>
      </c>
      <c r="J2674" s="28" t="s">
        <v>939</v>
      </c>
      <c r="K2674" s="28" t="s">
        <v>377</v>
      </c>
      <c r="L2674" s="65"/>
      <c r="M2674" s="28" t="s">
        <v>825</v>
      </c>
      <c r="N2674" s="28" t="s">
        <v>644</v>
      </c>
      <c r="O2674" s="28" t="s">
        <v>371</v>
      </c>
      <c r="P2674" s="28" t="s">
        <v>2421</v>
      </c>
      <c r="Q2674" s="69" t="s">
        <v>1972</v>
      </c>
    </row>
    <row r="2675" spans="1:17" x14ac:dyDescent="0.3">
      <c r="A2675" s="67" t="s">
        <v>2616</v>
      </c>
      <c r="B2675" s="28" t="s">
        <v>2617</v>
      </c>
      <c r="C2675" s="28" t="s">
        <v>2618</v>
      </c>
      <c r="D2675" s="29">
        <v>45908</v>
      </c>
      <c r="E2675" s="29">
        <v>46450</v>
      </c>
      <c r="F2675" s="28" t="s">
        <v>1961</v>
      </c>
      <c r="G2675" s="28" t="s">
        <v>2622</v>
      </c>
      <c r="H2675" s="28" t="s">
        <v>443</v>
      </c>
      <c r="I2675" s="68">
        <v>40394.451999999997</v>
      </c>
      <c r="J2675" s="28" t="s">
        <v>939</v>
      </c>
      <c r="K2675" s="28" t="s">
        <v>377</v>
      </c>
      <c r="L2675" s="65"/>
      <c r="M2675" s="28" t="s">
        <v>825</v>
      </c>
      <c r="N2675" s="28" t="s">
        <v>644</v>
      </c>
      <c r="O2675" s="28" t="s">
        <v>371</v>
      </c>
      <c r="P2675" s="28" t="s">
        <v>2421</v>
      </c>
      <c r="Q2675" s="69" t="s">
        <v>1972</v>
      </c>
    </row>
    <row r="2676" spans="1:17" x14ac:dyDescent="0.3">
      <c r="A2676" s="67" t="s">
        <v>2616</v>
      </c>
      <c r="B2676" s="28" t="s">
        <v>2617</v>
      </c>
      <c r="C2676" s="28" t="s">
        <v>2618</v>
      </c>
      <c r="D2676" s="29">
        <v>45908</v>
      </c>
      <c r="E2676" s="29">
        <v>46450</v>
      </c>
      <c r="F2676" s="28" t="s">
        <v>1958</v>
      </c>
      <c r="G2676" s="28" t="s">
        <v>330</v>
      </c>
      <c r="H2676" s="28" t="s">
        <v>443</v>
      </c>
      <c r="I2676" s="68">
        <v>100986.13</v>
      </c>
      <c r="J2676" s="28" t="s">
        <v>939</v>
      </c>
      <c r="K2676" s="28" t="s">
        <v>377</v>
      </c>
      <c r="L2676" s="65"/>
      <c r="M2676" s="28" t="s">
        <v>825</v>
      </c>
      <c r="N2676" s="28" t="s">
        <v>644</v>
      </c>
      <c r="O2676" s="28" t="s">
        <v>371</v>
      </c>
      <c r="P2676" s="28" t="s">
        <v>2421</v>
      </c>
      <c r="Q2676" s="69" t="s">
        <v>1972</v>
      </c>
    </row>
    <row r="2677" spans="1:17" x14ac:dyDescent="0.3">
      <c r="A2677" s="67" t="s">
        <v>2616</v>
      </c>
      <c r="B2677" s="28" t="s">
        <v>2617</v>
      </c>
      <c r="C2677" s="28" t="s">
        <v>2618</v>
      </c>
      <c r="D2677" s="29">
        <v>45908</v>
      </c>
      <c r="E2677" s="29">
        <v>46450</v>
      </c>
      <c r="F2677" s="28" t="s">
        <v>1958</v>
      </c>
      <c r="G2677" s="28" t="s">
        <v>628</v>
      </c>
      <c r="H2677" s="28" t="s">
        <v>443</v>
      </c>
      <c r="I2677" s="68">
        <v>100986.13</v>
      </c>
      <c r="J2677" s="28" t="s">
        <v>939</v>
      </c>
      <c r="K2677" s="28" t="s">
        <v>377</v>
      </c>
      <c r="L2677" s="65"/>
      <c r="M2677" s="28" t="s">
        <v>825</v>
      </c>
      <c r="N2677" s="28" t="s">
        <v>644</v>
      </c>
      <c r="O2677" s="28" t="s">
        <v>371</v>
      </c>
      <c r="P2677" s="28" t="s">
        <v>2421</v>
      </c>
      <c r="Q2677" s="69" t="s">
        <v>1972</v>
      </c>
    </row>
    <row r="2678" spans="1:17" x14ac:dyDescent="0.3">
      <c r="A2678" s="67" t="s">
        <v>2623</v>
      </c>
      <c r="B2678" s="28" t="s">
        <v>2624</v>
      </c>
      <c r="C2678" s="28" t="s">
        <v>2625</v>
      </c>
      <c r="D2678" s="29">
        <v>45717</v>
      </c>
      <c r="E2678" s="29">
        <v>46081</v>
      </c>
      <c r="F2678" s="28" t="s">
        <v>350</v>
      </c>
      <c r="G2678" s="28" t="s">
        <v>304</v>
      </c>
      <c r="H2678" s="28" t="s">
        <v>373</v>
      </c>
      <c r="I2678" s="68">
        <v>416000</v>
      </c>
      <c r="J2678" s="28" t="s">
        <v>373</v>
      </c>
      <c r="K2678" s="28" t="s">
        <v>1693</v>
      </c>
      <c r="L2678" s="65"/>
      <c r="M2678" s="28" t="s">
        <v>825</v>
      </c>
      <c r="N2678" s="28" t="s">
        <v>558</v>
      </c>
      <c r="O2678" s="28" t="s">
        <v>426</v>
      </c>
      <c r="P2678" s="28" t="s">
        <v>2421</v>
      </c>
      <c r="Q2678" s="69" t="s">
        <v>1972</v>
      </c>
    </row>
    <row r="2679" spans="1:17" x14ac:dyDescent="0.3">
      <c r="A2679" s="67" t="s">
        <v>2626</v>
      </c>
      <c r="B2679" s="28" t="s">
        <v>2627</v>
      </c>
      <c r="C2679" s="28" t="s">
        <v>820</v>
      </c>
      <c r="D2679" s="29">
        <v>45861</v>
      </c>
      <c r="E2679" s="29">
        <v>46752</v>
      </c>
      <c r="F2679" s="28" t="s">
        <v>1916</v>
      </c>
      <c r="G2679" s="28" t="s">
        <v>304</v>
      </c>
      <c r="H2679" s="28" t="s">
        <v>351</v>
      </c>
      <c r="I2679" s="68">
        <v>2159424</v>
      </c>
      <c r="J2679" s="28" t="s">
        <v>352</v>
      </c>
      <c r="K2679" s="28" t="s">
        <v>351</v>
      </c>
      <c r="L2679" s="65"/>
      <c r="M2679" s="28" t="s">
        <v>1518</v>
      </c>
      <c r="N2679" s="28" t="s">
        <v>778</v>
      </c>
      <c r="O2679" s="28" t="s">
        <v>459</v>
      </c>
      <c r="P2679" s="28" t="s">
        <v>2421</v>
      </c>
      <c r="Q2679" s="69" t="s">
        <v>1971</v>
      </c>
    </row>
    <row r="2680" spans="1:17" x14ac:dyDescent="0.3">
      <c r="A2680" s="67" t="s">
        <v>2626</v>
      </c>
      <c r="B2680" s="28" t="s">
        <v>2627</v>
      </c>
      <c r="C2680" s="28" t="s">
        <v>820</v>
      </c>
      <c r="D2680" s="29">
        <v>45861</v>
      </c>
      <c r="E2680" s="29">
        <v>46752</v>
      </c>
      <c r="F2680" s="28" t="s">
        <v>1934</v>
      </c>
      <c r="G2680" s="28" t="s">
        <v>304</v>
      </c>
      <c r="H2680" s="28" t="s">
        <v>351</v>
      </c>
      <c r="I2680" s="68">
        <v>2159424</v>
      </c>
      <c r="J2680" s="28" t="s">
        <v>352</v>
      </c>
      <c r="K2680" s="28" t="s">
        <v>351</v>
      </c>
      <c r="L2680" s="65"/>
      <c r="M2680" s="28" t="s">
        <v>1518</v>
      </c>
      <c r="N2680" s="28" t="s">
        <v>778</v>
      </c>
      <c r="O2680" s="28" t="s">
        <v>459</v>
      </c>
      <c r="P2680" s="28" t="s">
        <v>2421</v>
      </c>
      <c r="Q2680" s="69" t="s">
        <v>1971</v>
      </c>
    </row>
    <row r="2681" spans="1:17" x14ac:dyDescent="0.3">
      <c r="A2681" s="67" t="s">
        <v>2626</v>
      </c>
      <c r="B2681" s="28" t="s">
        <v>2627</v>
      </c>
      <c r="C2681" s="28" t="s">
        <v>820</v>
      </c>
      <c r="D2681" s="29">
        <v>45861</v>
      </c>
      <c r="E2681" s="29">
        <v>46752</v>
      </c>
      <c r="F2681" s="28" t="s">
        <v>1958</v>
      </c>
      <c r="G2681" s="28" t="s">
        <v>304</v>
      </c>
      <c r="H2681" s="28" t="s">
        <v>351</v>
      </c>
      <c r="I2681" s="68">
        <v>2159424</v>
      </c>
      <c r="J2681" s="28" t="s">
        <v>352</v>
      </c>
      <c r="K2681" s="28" t="s">
        <v>351</v>
      </c>
      <c r="L2681" s="65"/>
      <c r="M2681" s="28" t="s">
        <v>1518</v>
      </c>
      <c r="N2681" s="28" t="s">
        <v>778</v>
      </c>
      <c r="O2681" s="28" t="s">
        <v>459</v>
      </c>
      <c r="P2681" s="28" t="s">
        <v>2421</v>
      </c>
      <c r="Q2681" s="69" t="s">
        <v>1971</v>
      </c>
    </row>
    <row r="2682" spans="1:17" x14ac:dyDescent="0.3">
      <c r="A2682" s="67" t="s">
        <v>2626</v>
      </c>
      <c r="B2682" s="28" t="s">
        <v>2627</v>
      </c>
      <c r="C2682" s="28" t="s">
        <v>820</v>
      </c>
      <c r="D2682" s="29">
        <v>45861</v>
      </c>
      <c r="E2682" s="29">
        <v>46752</v>
      </c>
      <c r="F2682" s="28" t="s">
        <v>1961</v>
      </c>
      <c r="G2682" s="28" t="s">
        <v>304</v>
      </c>
      <c r="H2682" s="28" t="s">
        <v>351</v>
      </c>
      <c r="I2682" s="68">
        <v>2159424</v>
      </c>
      <c r="J2682" s="28" t="s">
        <v>352</v>
      </c>
      <c r="K2682" s="28" t="s">
        <v>351</v>
      </c>
      <c r="L2682" s="65"/>
      <c r="M2682" s="28" t="s">
        <v>1518</v>
      </c>
      <c r="N2682" s="28" t="s">
        <v>778</v>
      </c>
      <c r="O2682" s="28" t="s">
        <v>459</v>
      </c>
      <c r="P2682" s="28" t="s">
        <v>2421</v>
      </c>
      <c r="Q2682" s="69" t="s">
        <v>1971</v>
      </c>
    </row>
    <row r="2683" spans="1:17" x14ac:dyDescent="0.3">
      <c r="A2683" s="67" t="s">
        <v>2626</v>
      </c>
      <c r="B2683" s="28" t="s">
        <v>2627</v>
      </c>
      <c r="C2683" s="28" t="s">
        <v>820</v>
      </c>
      <c r="D2683" s="29">
        <v>45861</v>
      </c>
      <c r="E2683" s="29">
        <v>46752</v>
      </c>
      <c r="F2683" s="28" t="s">
        <v>1938</v>
      </c>
      <c r="G2683" s="28" t="s">
        <v>304</v>
      </c>
      <c r="H2683" s="28" t="s">
        <v>351</v>
      </c>
      <c r="I2683" s="68">
        <v>2159424</v>
      </c>
      <c r="J2683" s="28" t="s">
        <v>352</v>
      </c>
      <c r="K2683" s="28" t="s">
        <v>351</v>
      </c>
      <c r="L2683" s="65"/>
      <c r="M2683" s="28" t="s">
        <v>1518</v>
      </c>
      <c r="N2683" s="28" t="s">
        <v>778</v>
      </c>
      <c r="O2683" s="28" t="s">
        <v>459</v>
      </c>
      <c r="P2683" s="28" t="s">
        <v>2421</v>
      </c>
      <c r="Q2683" s="69" t="s">
        <v>1971</v>
      </c>
    </row>
    <row r="2684" spans="1:17" x14ac:dyDescent="0.3">
      <c r="A2684" s="67" t="s">
        <v>2626</v>
      </c>
      <c r="B2684" s="28" t="s">
        <v>2627</v>
      </c>
      <c r="C2684" s="28" t="s">
        <v>820</v>
      </c>
      <c r="D2684" s="29">
        <v>45861</v>
      </c>
      <c r="E2684" s="29">
        <v>46752</v>
      </c>
      <c r="F2684" s="28" t="s">
        <v>1941</v>
      </c>
      <c r="G2684" s="28" t="s">
        <v>304</v>
      </c>
      <c r="H2684" s="28" t="s">
        <v>351</v>
      </c>
      <c r="I2684" s="68">
        <v>2159424</v>
      </c>
      <c r="J2684" s="28" t="s">
        <v>352</v>
      </c>
      <c r="K2684" s="28" t="s">
        <v>351</v>
      </c>
      <c r="L2684" s="65"/>
      <c r="M2684" s="28" t="s">
        <v>1518</v>
      </c>
      <c r="N2684" s="28" t="s">
        <v>778</v>
      </c>
      <c r="O2684" s="28" t="s">
        <v>459</v>
      </c>
      <c r="P2684" s="28" t="s">
        <v>2421</v>
      </c>
      <c r="Q2684" s="69" t="s">
        <v>1971</v>
      </c>
    </row>
    <row r="2685" spans="1:17" x14ac:dyDescent="0.3">
      <c r="A2685" s="67" t="s">
        <v>2626</v>
      </c>
      <c r="B2685" s="28" t="s">
        <v>2627</v>
      </c>
      <c r="C2685" s="28" t="s">
        <v>820</v>
      </c>
      <c r="D2685" s="29">
        <v>45861</v>
      </c>
      <c r="E2685" s="29">
        <v>46752</v>
      </c>
      <c r="F2685" s="28" t="s">
        <v>1963</v>
      </c>
      <c r="G2685" s="28" t="s">
        <v>304</v>
      </c>
      <c r="H2685" s="28" t="s">
        <v>351</v>
      </c>
      <c r="I2685" s="68">
        <v>2159424</v>
      </c>
      <c r="J2685" s="28" t="s">
        <v>352</v>
      </c>
      <c r="K2685" s="28" t="s">
        <v>351</v>
      </c>
      <c r="L2685" s="65"/>
      <c r="M2685" s="28" t="s">
        <v>1518</v>
      </c>
      <c r="N2685" s="28" t="s">
        <v>778</v>
      </c>
      <c r="O2685" s="28" t="s">
        <v>459</v>
      </c>
      <c r="P2685" s="28" t="s">
        <v>2421</v>
      </c>
      <c r="Q2685" s="69" t="s">
        <v>1971</v>
      </c>
    </row>
    <row r="2686" spans="1:17" x14ac:dyDescent="0.3">
      <c r="A2686" s="67" t="s">
        <v>2626</v>
      </c>
      <c r="B2686" s="28" t="s">
        <v>2627</v>
      </c>
      <c r="C2686" s="28" t="s">
        <v>820</v>
      </c>
      <c r="D2686" s="29">
        <v>45861</v>
      </c>
      <c r="E2686" s="29">
        <v>46752</v>
      </c>
      <c r="F2686" s="28" t="s">
        <v>1948</v>
      </c>
      <c r="G2686" s="28" t="s">
        <v>304</v>
      </c>
      <c r="H2686" s="28" t="s">
        <v>351</v>
      </c>
      <c r="I2686" s="68">
        <v>2159424</v>
      </c>
      <c r="J2686" s="28" t="s">
        <v>352</v>
      </c>
      <c r="K2686" s="28" t="s">
        <v>351</v>
      </c>
      <c r="L2686" s="65"/>
      <c r="M2686" s="28" t="s">
        <v>1518</v>
      </c>
      <c r="N2686" s="28" t="s">
        <v>778</v>
      </c>
      <c r="O2686" s="28" t="s">
        <v>459</v>
      </c>
      <c r="P2686" s="28" t="s">
        <v>2421</v>
      </c>
      <c r="Q2686" s="69" t="s">
        <v>1971</v>
      </c>
    </row>
    <row r="2687" spans="1:17" x14ac:dyDescent="0.3">
      <c r="A2687" s="67" t="s">
        <v>2626</v>
      </c>
      <c r="B2687" s="28" t="s">
        <v>2627</v>
      </c>
      <c r="C2687" s="28" t="s">
        <v>820</v>
      </c>
      <c r="D2687" s="29">
        <v>45861</v>
      </c>
      <c r="E2687" s="29">
        <v>46752</v>
      </c>
      <c r="F2687" s="28" t="s">
        <v>1959</v>
      </c>
      <c r="G2687" s="28" t="s">
        <v>304</v>
      </c>
      <c r="H2687" s="28" t="s">
        <v>351</v>
      </c>
      <c r="I2687" s="68">
        <v>2159424</v>
      </c>
      <c r="J2687" s="28" t="s">
        <v>352</v>
      </c>
      <c r="K2687" s="28" t="s">
        <v>351</v>
      </c>
      <c r="L2687" s="65"/>
      <c r="M2687" s="28" t="s">
        <v>1518</v>
      </c>
      <c r="N2687" s="28" t="s">
        <v>778</v>
      </c>
      <c r="O2687" s="28" t="s">
        <v>459</v>
      </c>
      <c r="P2687" s="28" t="s">
        <v>2421</v>
      </c>
      <c r="Q2687" s="69" t="s">
        <v>1971</v>
      </c>
    </row>
    <row r="2688" spans="1:17" x14ac:dyDescent="0.3">
      <c r="A2688" s="67" t="s">
        <v>2628</v>
      </c>
      <c r="B2688" s="28" t="s">
        <v>2629</v>
      </c>
      <c r="C2688" s="28" t="s">
        <v>2630</v>
      </c>
      <c r="D2688" s="29">
        <v>45924</v>
      </c>
      <c r="E2688" s="29">
        <v>46477</v>
      </c>
      <c r="F2688" s="28" t="s">
        <v>348</v>
      </c>
      <c r="G2688" s="28" t="s">
        <v>348</v>
      </c>
      <c r="H2688" s="28" t="s">
        <v>351</v>
      </c>
      <c r="I2688" s="68">
        <v>146100.84</v>
      </c>
      <c r="J2688" s="28" t="s">
        <v>2631</v>
      </c>
      <c r="K2688" s="28" t="s">
        <v>351</v>
      </c>
      <c r="L2688" s="65"/>
      <c r="M2688" s="28" t="s">
        <v>1518</v>
      </c>
      <c r="N2688" s="28" t="s">
        <v>1260</v>
      </c>
      <c r="O2688" s="28" t="s">
        <v>459</v>
      </c>
      <c r="P2688" s="28" t="s">
        <v>2421</v>
      </c>
      <c r="Q2688" s="69" t="s">
        <v>1971</v>
      </c>
    </row>
    <row r="2689" spans="1:17" x14ac:dyDescent="0.3">
      <c r="A2689" s="67" t="s">
        <v>2632</v>
      </c>
      <c r="B2689" s="28" t="s">
        <v>2633</v>
      </c>
      <c r="C2689" s="28" t="s">
        <v>2634</v>
      </c>
      <c r="D2689" s="29">
        <v>45770</v>
      </c>
      <c r="E2689" s="29">
        <v>46203</v>
      </c>
      <c r="F2689" s="28" t="s">
        <v>350</v>
      </c>
      <c r="G2689" s="28" t="s">
        <v>350</v>
      </c>
      <c r="H2689" s="28" t="s">
        <v>443</v>
      </c>
      <c r="I2689" s="68">
        <v>300000</v>
      </c>
      <c r="J2689" s="28" t="s">
        <v>2635</v>
      </c>
      <c r="K2689" s="28" t="s">
        <v>377</v>
      </c>
      <c r="L2689" s="65"/>
      <c r="M2689" s="28" t="s">
        <v>1518</v>
      </c>
      <c r="N2689" s="28" t="s">
        <v>531</v>
      </c>
      <c r="O2689" s="28" t="s">
        <v>459</v>
      </c>
      <c r="P2689" s="28" t="s">
        <v>2421</v>
      </c>
      <c r="Q2689" s="69" t="s">
        <v>1971</v>
      </c>
    </row>
    <row r="2690" spans="1:17" x14ac:dyDescent="0.3">
      <c r="A2690" s="67" t="s">
        <v>2636</v>
      </c>
      <c r="B2690" s="28" t="s">
        <v>2637</v>
      </c>
      <c r="C2690" s="28" t="s">
        <v>2638</v>
      </c>
      <c r="D2690" s="29">
        <v>45809</v>
      </c>
      <c r="E2690" s="29">
        <v>46265</v>
      </c>
      <c r="F2690" s="28" t="s">
        <v>1945</v>
      </c>
      <c r="G2690" s="28" t="s">
        <v>555</v>
      </c>
      <c r="H2690" s="28" t="s">
        <v>373</v>
      </c>
      <c r="I2690" s="68">
        <v>9066.6666666666697</v>
      </c>
      <c r="J2690" s="28" t="s">
        <v>373</v>
      </c>
      <c r="K2690" s="28" t="s">
        <v>1693</v>
      </c>
      <c r="L2690" s="65"/>
      <c r="M2690" s="28" t="s">
        <v>1518</v>
      </c>
      <c r="N2690" s="28" t="s">
        <v>635</v>
      </c>
      <c r="O2690" s="28" t="s">
        <v>375</v>
      </c>
      <c r="P2690" s="28" t="s">
        <v>2421</v>
      </c>
      <c r="Q2690" s="69" t="s">
        <v>1967</v>
      </c>
    </row>
    <row r="2691" spans="1:17" x14ac:dyDescent="0.3">
      <c r="A2691" s="67" t="s">
        <v>2636</v>
      </c>
      <c r="B2691" s="28" t="s">
        <v>2637</v>
      </c>
      <c r="C2691" s="28" t="s">
        <v>2638</v>
      </c>
      <c r="D2691" s="29">
        <v>45809</v>
      </c>
      <c r="E2691" s="29">
        <v>46265</v>
      </c>
      <c r="F2691" s="28" t="s">
        <v>1945</v>
      </c>
      <c r="G2691" s="28" t="s">
        <v>450</v>
      </c>
      <c r="H2691" s="28" t="s">
        <v>373</v>
      </c>
      <c r="I2691" s="68">
        <v>9066.6666666666697</v>
      </c>
      <c r="J2691" s="28" t="s">
        <v>373</v>
      </c>
      <c r="K2691" s="28" t="s">
        <v>1693</v>
      </c>
      <c r="L2691" s="65"/>
      <c r="M2691" s="28" t="s">
        <v>1518</v>
      </c>
      <c r="N2691" s="28" t="s">
        <v>635</v>
      </c>
      <c r="O2691" s="28" t="s">
        <v>375</v>
      </c>
      <c r="P2691" s="28" t="s">
        <v>2421</v>
      </c>
      <c r="Q2691" s="69" t="s">
        <v>1967</v>
      </c>
    </row>
    <row r="2692" spans="1:17" x14ac:dyDescent="0.3">
      <c r="A2692" s="67" t="s">
        <v>2636</v>
      </c>
      <c r="B2692" s="28" t="s">
        <v>2637</v>
      </c>
      <c r="C2692" s="28" t="s">
        <v>2638</v>
      </c>
      <c r="D2692" s="29">
        <v>45809</v>
      </c>
      <c r="E2692" s="29">
        <v>46265</v>
      </c>
      <c r="F2692" s="28" t="s">
        <v>1945</v>
      </c>
      <c r="G2692" s="28" t="s">
        <v>405</v>
      </c>
      <c r="H2692" s="28" t="s">
        <v>373</v>
      </c>
      <c r="I2692" s="68">
        <v>9066.6666666666697</v>
      </c>
      <c r="J2692" s="28" t="s">
        <v>373</v>
      </c>
      <c r="K2692" s="28" t="s">
        <v>1693</v>
      </c>
      <c r="L2692" s="65"/>
      <c r="M2692" s="28" t="s">
        <v>1518</v>
      </c>
      <c r="N2692" s="28" t="s">
        <v>635</v>
      </c>
      <c r="O2692" s="28" t="s">
        <v>375</v>
      </c>
      <c r="P2692" s="28" t="s">
        <v>2421</v>
      </c>
      <c r="Q2692" s="69" t="s">
        <v>1967</v>
      </c>
    </row>
    <row r="2693" spans="1:17" x14ac:dyDescent="0.3">
      <c r="A2693" s="67" t="s">
        <v>2636</v>
      </c>
      <c r="B2693" s="28" t="s">
        <v>2637</v>
      </c>
      <c r="C2693" s="28" t="s">
        <v>2638</v>
      </c>
      <c r="D2693" s="29">
        <v>45809</v>
      </c>
      <c r="E2693" s="29">
        <v>46265</v>
      </c>
      <c r="F2693" s="28" t="s">
        <v>288</v>
      </c>
      <c r="G2693" s="28" t="s">
        <v>2639</v>
      </c>
      <c r="H2693" s="28" t="s">
        <v>373</v>
      </c>
      <c r="I2693" s="68">
        <v>13600</v>
      </c>
      <c r="J2693" s="28" t="s">
        <v>373</v>
      </c>
      <c r="K2693" s="28" t="s">
        <v>1693</v>
      </c>
      <c r="L2693" s="65"/>
      <c r="M2693" s="28" t="s">
        <v>1518</v>
      </c>
      <c r="N2693" s="28" t="s">
        <v>635</v>
      </c>
      <c r="O2693" s="28" t="s">
        <v>375</v>
      </c>
      <c r="P2693" s="28" t="s">
        <v>2421</v>
      </c>
      <c r="Q2693" s="69" t="s">
        <v>1967</v>
      </c>
    </row>
    <row r="2694" spans="1:17" x14ac:dyDescent="0.3">
      <c r="A2694" s="67" t="s">
        <v>2636</v>
      </c>
      <c r="B2694" s="28" t="s">
        <v>2637</v>
      </c>
      <c r="C2694" s="28" t="s">
        <v>2638</v>
      </c>
      <c r="D2694" s="29">
        <v>45809</v>
      </c>
      <c r="E2694" s="29">
        <v>46265</v>
      </c>
      <c r="F2694" s="28" t="s">
        <v>288</v>
      </c>
      <c r="G2694" s="28" t="s">
        <v>454</v>
      </c>
      <c r="H2694" s="28" t="s">
        <v>373</v>
      </c>
      <c r="I2694" s="68">
        <v>13600</v>
      </c>
      <c r="J2694" s="28" t="s">
        <v>373</v>
      </c>
      <c r="K2694" s="28" t="s">
        <v>1693</v>
      </c>
      <c r="L2694" s="65"/>
      <c r="M2694" s="28" t="s">
        <v>1518</v>
      </c>
      <c r="N2694" s="28" t="s">
        <v>635</v>
      </c>
      <c r="O2694" s="28" t="s">
        <v>375</v>
      </c>
      <c r="P2694" s="28" t="s">
        <v>2421</v>
      </c>
      <c r="Q2694" s="69" t="s">
        <v>1967</v>
      </c>
    </row>
    <row r="2695" spans="1:17" x14ac:dyDescent="0.3">
      <c r="A2695" s="67" t="s">
        <v>2636</v>
      </c>
      <c r="B2695" s="28" t="s">
        <v>2637</v>
      </c>
      <c r="C2695" s="28" t="s">
        <v>2638</v>
      </c>
      <c r="D2695" s="29">
        <v>45809</v>
      </c>
      <c r="E2695" s="29">
        <v>46265</v>
      </c>
      <c r="F2695" s="28" t="s">
        <v>1937</v>
      </c>
      <c r="G2695" s="28" t="s">
        <v>1579</v>
      </c>
      <c r="H2695" s="28" t="s">
        <v>373</v>
      </c>
      <c r="I2695" s="68">
        <v>27200</v>
      </c>
      <c r="J2695" s="28" t="s">
        <v>373</v>
      </c>
      <c r="K2695" s="28" t="s">
        <v>1693</v>
      </c>
      <c r="L2695" s="65"/>
      <c r="M2695" s="28" t="s">
        <v>1518</v>
      </c>
      <c r="N2695" s="28" t="s">
        <v>635</v>
      </c>
      <c r="O2695" s="28" t="s">
        <v>375</v>
      </c>
      <c r="P2695" s="28" t="s">
        <v>2421</v>
      </c>
      <c r="Q2695" s="69" t="s">
        <v>1967</v>
      </c>
    </row>
    <row r="2696" spans="1:17" x14ac:dyDescent="0.3">
      <c r="A2696" s="67" t="s">
        <v>2640</v>
      </c>
      <c r="B2696" s="28" t="s">
        <v>2641</v>
      </c>
      <c r="C2696" s="28" t="s">
        <v>2642</v>
      </c>
      <c r="D2696" s="29">
        <v>44835</v>
      </c>
      <c r="E2696" s="29">
        <v>46295</v>
      </c>
      <c r="F2696" s="28" t="s">
        <v>1941</v>
      </c>
      <c r="G2696" s="28" t="s">
        <v>319</v>
      </c>
      <c r="H2696" s="28" t="s">
        <v>2427</v>
      </c>
      <c r="I2696" s="68">
        <v>2057</v>
      </c>
      <c r="J2696" s="28" t="s">
        <v>2643</v>
      </c>
      <c r="K2696" s="28" t="s">
        <v>2433</v>
      </c>
      <c r="L2696" s="65"/>
      <c r="M2696" s="28" t="s">
        <v>307</v>
      </c>
      <c r="N2696" s="28" t="s">
        <v>378</v>
      </c>
      <c r="O2696" s="28" t="s">
        <v>371</v>
      </c>
      <c r="P2696" s="28" t="s">
        <v>2421</v>
      </c>
      <c r="Q2696" s="69" t="s">
        <v>1972</v>
      </c>
    </row>
    <row r="2697" spans="1:17" x14ac:dyDescent="0.3">
      <c r="A2697" s="67" t="s">
        <v>2640</v>
      </c>
      <c r="B2697" s="28" t="s">
        <v>2641</v>
      </c>
      <c r="C2697" s="28" t="s">
        <v>2642</v>
      </c>
      <c r="D2697" s="29">
        <v>44835</v>
      </c>
      <c r="E2697" s="29">
        <v>46295</v>
      </c>
      <c r="F2697" s="28" t="s">
        <v>1941</v>
      </c>
      <c r="G2697" s="28" t="s">
        <v>325</v>
      </c>
      <c r="H2697" s="28" t="s">
        <v>2427</v>
      </c>
      <c r="I2697" s="68">
        <v>2057</v>
      </c>
      <c r="J2697" s="28" t="s">
        <v>2643</v>
      </c>
      <c r="K2697" s="28" t="s">
        <v>2433</v>
      </c>
      <c r="L2697" s="65"/>
      <c r="M2697" s="28" t="s">
        <v>307</v>
      </c>
      <c r="N2697" s="28" t="s">
        <v>378</v>
      </c>
      <c r="O2697" s="28" t="s">
        <v>371</v>
      </c>
      <c r="P2697" s="28" t="s">
        <v>2421</v>
      </c>
      <c r="Q2697" s="69" t="s">
        <v>1972</v>
      </c>
    </row>
    <row r="2698" spans="1:17" x14ac:dyDescent="0.3">
      <c r="A2698" s="67" t="s">
        <v>2640</v>
      </c>
      <c r="B2698" s="28" t="s">
        <v>2641</v>
      </c>
      <c r="C2698" s="28" t="s">
        <v>2642</v>
      </c>
      <c r="D2698" s="29">
        <v>44835</v>
      </c>
      <c r="E2698" s="29">
        <v>46295</v>
      </c>
      <c r="F2698" s="28" t="s">
        <v>1941</v>
      </c>
      <c r="G2698" s="28" t="s">
        <v>399</v>
      </c>
      <c r="H2698" s="28" t="s">
        <v>2427</v>
      </c>
      <c r="I2698" s="68">
        <v>2057</v>
      </c>
      <c r="J2698" s="28" t="s">
        <v>2643</v>
      </c>
      <c r="K2698" s="28" t="s">
        <v>2433</v>
      </c>
      <c r="L2698" s="65"/>
      <c r="M2698" s="28" t="s">
        <v>307</v>
      </c>
      <c r="N2698" s="28" t="s">
        <v>378</v>
      </c>
      <c r="O2698" s="28" t="s">
        <v>371</v>
      </c>
      <c r="P2698" s="28" t="s">
        <v>2421</v>
      </c>
      <c r="Q2698" s="69" t="s">
        <v>1972</v>
      </c>
    </row>
    <row r="2699" spans="1:17" x14ac:dyDescent="0.3">
      <c r="A2699" s="67" t="s">
        <v>2640</v>
      </c>
      <c r="B2699" s="28" t="s">
        <v>2641</v>
      </c>
      <c r="C2699" s="28" t="s">
        <v>2642</v>
      </c>
      <c r="D2699" s="29">
        <v>44835</v>
      </c>
      <c r="E2699" s="29">
        <v>46295</v>
      </c>
      <c r="F2699" s="28" t="s">
        <v>1941</v>
      </c>
      <c r="G2699" s="28" t="s">
        <v>319</v>
      </c>
      <c r="H2699" s="28" t="s">
        <v>2427</v>
      </c>
      <c r="I2699" s="68">
        <v>100577.33333333299</v>
      </c>
      <c r="J2699" s="28" t="s">
        <v>660</v>
      </c>
      <c r="K2699" s="28" t="s">
        <v>2433</v>
      </c>
      <c r="L2699" s="65"/>
      <c r="M2699" s="28" t="s">
        <v>307</v>
      </c>
      <c r="N2699" s="28" t="s">
        <v>378</v>
      </c>
      <c r="O2699" s="28" t="s">
        <v>371</v>
      </c>
      <c r="P2699" s="28" t="s">
        <v>2421</v>
      </c>
      <c r="Q2699" s="69" t="s">
        <v>1972</v>
      </c>
    </row>
    <row r="2700" spans="1:17" x14ac:dyDescent="0.3">
      <c r="A2700" s="67" t="s">
        <v>2640</v>
      </c>
      <c r="B2700" s="28" t="s">
        <v>2641</v>
      </c>
      <c r="C2700" s="28" t="s">
        <v>2642</v>
      </c>
      <c r="D2700" s="29">
        <v>44835</v>
      </c>
      <c r="E2700" s="29">
        <v>46295</v>
      </c>
      <c r="F2700" s="28" t="s">
        <v>1941</v>
      </c>
      <c r="G2700" s="28" t="s">
        <v>325</v>
      </c>
      <c r="H2700" s="28" t="s">
        <v>2427</v>
      </c>
      <c r="I2700" s="68">
        <v>100577.33333333299</v>
      </c>
      <c r="J2700" s="28" t="s">
        <v>660</v>
      </c>
      <c r="K2700" s="28" t="s">
        <v>2433</v>
      </c>
      <c r="L2700" s="65"/>
      <c r="M2700" s="28" t="s">
        <v>307</v>
      </c>
      <c r="N2700" s="28" t="s">
        <v>378</v>
      </c>
      <c r="O2700" s="28" t="s">
        <v>371</v>
      </c>
      <c r="P2700" s="28" t="s">
        <v>2421</v>
      </c>
      <c r="Q2700" s="69" t="s">
        <v>1972</v>
      </c>
    </row>
    <row r="2701" spans="1:17" x14ac:dyDescent="0.3">
      <c r="A2701" s="67" t="s">
        <v>2640</v>
      </c>
      <c r="B2701" s="28" t="s">
        <v>2641</v>
      </c>
      <c r="C2701" s="28" t="s">
        <v>2642</v>
      </c>
      <c r="D2701" s="29">
        <v>44835</v>
      </c>
      <c r="E2701" s="29">
        <v>46295</v>
      </c>
      <c r="F2701" s="28" t="s">
        <v>1941</v>
      </c>
      <c r="G2701" s="28" t="s">
        <v>399</v>
      </c>
      <c r="H2701" s="28" t="s">
        <v>2427</v>
      </c>
      <c r="I2701" s="68">
        <v>100577.33333333299</v>
      </c>
      <c r="J2701" s="28" t="s">
        <v>660</v>
      </c>
      <c r="K2701" s="28" t="s">
        <v>2433</v>
      </c>
      <c r="L2701" s="65"/>
      <c r="M2701" s="28" t="s">
        <v>307</v>
      </c>
      <c r="N2701" s="28" t="s">
        <v>378</v>
      </c>
      <c r="O2701" s="28" t="s">
        <v>371</v>
      </c>
      <c r="P2701" s="28" t="s">
        <v>2421</v>
      </c>
      <c r="Q2701" s="69" t="s">
        <v>1972</v>
      </c>
    </row>
    <row r="2702" spans="1:17" x14ac:dyDescent="0.3">
      <c r="A2702" s="67" t="s">
        <v>2640</v>
      </c>
      <c r="B2702" s="28" t="s">
        <v>2641</v>
      </c>
      <c r="C2702" s="28" t="s">
        <v>2642</v>
      </c>
      <c r="D2702" s="29">
        <v>44835</v>
      </c>
      <c r="E2702" s="29">
        <v>46295</v>
      </c>
      <c r="F2702" s="28" t="s">
        <v>1941</v>
      </c>
      <c r="G2702" s="28" t="s">
        <v>319</v>
      </c>
      <c r="H2702" s="28" t="s">
        <v>443</v>
      </c>
      <c r="I2702" s="68">
        <v>12310.666666666701</v>
      </c>
      <c r="J2702" s="28" t="s">
        <v>2644</v>
      </c>
      <c r="K2702" s="28" t="s">
        <v>2433</v>
      </c>
      <c r="L2702" s="65"/>
      <c r="M2702" s="28" t="s">
        <v>307</v>
      </c>
      <c r="N2702" s="28" t="s">
        <v>378</v>
      </c>
      <c r="O2702" s="28" t="s">
        <v>371</v>
      </c>
      <c r="P2702" s="28" t="s">
        <v>2421</v>
      </c>
      <c r="Q2702" s="69" t="s">
        <v>1972</v>
      </c>
    </row>
    <row r="2703" spans="1:17" x14ac:dyDescent="0.3">
      <c r="A2703" s="67" t="s">
        <v>2640</v>
      </c>
      <c r="B2703" s="28" t="s">
        <v>2641</v>
      </c>
      <c r="C2703" s="28" t="s">
        <v>2642</v>
      </c>
      <c r="D2703" s="29">
        <v>44835</v>
      </c>
      <c r="E2703" s="29">
        <v>46295</v>
      </c>
      <c r="F2703" s="28" t="s">
        <v>1941</v>
      </c>
      <c r="G2703" s="28" t="s">
        <v>325</v>
      </c>
      <c r="H2703" s="28" t="s">
        <v>443</v>
      </c>
      <c r="I2703" s="68">
        <v>12310.666666666701</v>
      </c>
      <c r="J2703" s="28" t="s">
        <v>2644</v>
      </c>
      <c r="K2703" s="28" t="s">
        <v>2433</v>
      </c>
      <c r="L2703" s="65"/>
      <c r="M2703" s="28" t="s">
        <v>307</v>
      </c>
      <c r="N2703" s="28" t="s">
        <v>378</v>
      </c>
      <c r="O2703" s="28" t="s">
        <v>371</v>
      </c>
      <c r="P2703" s="28" t="s">
        <v>2421</v>
      </c>
      <c r="Q2703" s="69" t="s">
        <v>1972</v>
      </c>
    </row>
    <row r="2704" spans="1:17" x14ac:dyDescent="0.3">
      <c r="A2704" s="67" t="s">
        <v>2640</v>
      </c>
      <c r="B2704" s="28" t="s">
        <v>2641</v>
      </c>
      <c r="C2704" s="28" t="s">
        <v>2642</v>
      </c>
      <c r="D2704" s="29">
        <v>44835</v>
      </c>
      <c r="E2704" s="29">
        <v>46295</v>
      </c>
      <c r="F2704" s="28" t="s">
        <v>1941</v>
      </c>
      <c r="G2704" s="28" t="s">
        <v>399</v>
      </c>
      <c r="H2704" s="28" t="s">
        <v>443</v>
      </c>
      <c r="I2704" s="68">
        <v>12310.666666666701</v>
      </c>
      <c r="J2704" s="28" t="s">
        <v>2644</v>
      </c>
      <c r="K2704" s="28" t="s">
        <v>2433</v>
      </c>
      <c r="L2704" s="65"/>
      <c r="M2704" s="28" t="s">
        <v>307</v>
      </c>
      <c r="N2704" s="28" t="s">
        <v>378</v>
      </c>
      <c r="O2704" s="28" t="s">
        <v>371</v>
      </c>
      <c r="P2704" s="28" t="s">
        <v>2421</v>
      </c>
      <c r="Q2704" s="69" t="s">
        <v>1972</v>
      </c>
    </row>
    <row r="2705" spans="1:17" x14ac:dyDescent="0.3">
      <c r="A2705" s="67" t="s">
        <v>2645</v>
      </c>
      <c r="B2705" s="28" t="s">
        <v>2646</v>
      </c>
      <c r="C2705" s="28" t="s">
        <v>2647</v>
      </c>
      <c r="D2705" s="29">
        <v>45862</v>
      </c>
      <c r="E2705" s="29">
        <v>46319</v>
      </c>
      <c r="F2705" s="28" t="s">
        <v>1945</v>
      </c>
      <c r="G2705" s="28" t="s">
        <v>402</v>
      </c>
      <c r="H2705" s="28" t="s">
        <v>2427</v>
      </c>
      <c r="I2705" s="68">
        <v>262.66666666666703</v>
      </c>
      <c r="J2705" s="28" t="s">
        <v>2507</v>
      </c>
      <c r="K2705" s="28" t="s">
        <v>2433</v>
      </c>
      <c r="L2705" s="65"/>
      <c r="M2705" s="28" t="s">
        <v>1518</v>
      </c>
      <c r="N2705" s="28" t="s">
        <v>469</v>
      </c>
      <c r="O2705" s="28" t="s">
        <v>315</v>
      </c>
      <c r="P2705" s="28" t="s">
        <v>2421</v>
      </c>
      <c r="Q2705" s="69" t="s">
        <v>1969</v>
      </c>
    </row>
    <row r="2706" spans="1:17" x14ac:dyDescent="0.3">
      <c r="A2706" s="67" t="s">
        <v>2645</v>
      </c>
      <c r="B2706" s="28" t="s">
        <v>2646</v>
      </c>
      <c r="C2706" s="28" t="s">
        <v>2647</v>
      </c>
      <c r="D2706" s="29">
        <v>45862</v>
      </c>
      <c r="E2706" s="29">
        <v>46319</v>
      </c>
      <c r="F2706" s="28" t="s">
        <v>1945</v>
      </c>
      <c r="G2706" s="28" t="s">
        <v>404</v>
      </c>
      <c r="H2706" s="28" t="s">
        <v>2427</v>
      </c>
      <c r="I2706" s="68">
        <v>262.66666666666703</v>
      </c>
      <c r="J2706" s="28" t="s">
        <v>2507</v>
      </c>
      <c r="K2706" s="28" t="s">
        <v>2433</v>
      </c>
      <c r="L2706" s="65"/>
      <c r="M2706" s="28" t="s">
        <v>1518</v>
      </c>
      <c r="N2706" s="28" t="s">
        <v>469</v>
      </c>
      <c r="O2706" s="28" t="s">
        <v>315</v>
      </c>
      <c r="P2706" s="28" t="s">
        <v>2421</v>
      </c>
      <c r="Q2706" s="69" t="s">
        <v>1969</v>
      </c>
    </row>
    <row r="2707" spans="1:17" x14ac:dyDescent="0.3">
      <c r="A2707" s="67" t="s">
        <v>2645</v>
      </c>
      <c r="B2707" s="28" t="s">
        <v>2646</v>
      </c>
      <c r="C2707" s="28" t="s">
        <v>2647</v>
      </c>
      <c r="D2707" s="29">
        <v>45862</v>
      </c>
      <c r="E2707" s="29">
        <v>46319</v>
      </c>
      <c r="F2707" s="28" t="s">
        <v>1945</v>
      </c>
      <c r="G2707" s="28" t="s">
        <v>405</v>
      </c>
      <c r="H2707" s="28" t="s">
        <v>2427</v>
      </c>
      <c r="I2707" s="68">
        <v>262.66666666666703</v>
      </c>
      <c r="J2707" s="28" t="s">
        <v>2507</v>
      </c>
      <c r="K2707" s="28" t="s">
        <v>2433</v>
      </c>
      <c r="L2707" s="65"/>
      <c r="M2707" s="28" t="s">
        <v>1518</v>
      </c>
      <c r="N2707" s="28" t="s">
        <v>469</v>
      </c>
      <c r="O2707" s="28" t="s">
        <v>315</v>
      </c>
      <c r="P2707" s="28" t="s">
        <v>2421</v>
      </c>
      <c r="Q2707" s="69" t="s">
        <v>1969</v>
      </c>
    </row>
    <row r="2708" spans="1:17" x14ac:dyDescent="0.3">
      <c r="A2708" s="67" t="s">
        <v>2645</v>
      </c>
      <c r="B2708" s="28" t="s">
        <v>2646</v>
      </c>
      <c r="C2708" s="28" t="s">
        <v>2647</v>
      </c>
      <c r="D2708" s="29">
        <v>45862</v>
      </c>
      <c r="E2708" s="29">
        <v>46319</v>
      </c>
      <c r="F2708" s="28" t="s">
        <v>1945</v>
      </c>
      <c r="G2708" s="28" t="s">
        <v>402</v>
      </c>
      <c r="H2708" s="28" t="s">
        <v>467</v>
      </c>
      <c r="I2708" s="68">
        <v>31377</v>
      </c>
      <c r="J2708" s="28" t="s">
        <v>1805</v>
      </c>
      <c r="K2708" s="28" t="s">
        <v>2433</v>
      </c>
      <c r="L2708" s="65"/>
      <c r="M2708" s="28" t="s">
        <v>1518</v>
      </c>
      <c r="N2708" s="28" t="s">
        <v>469</v>
      </c>
      <c r="O2708" s="28" t="s">
        <v>315</v>
      </c>
      <c r="P2708" s="28" t="s">
        <v>2421</v>
      </c>
      <c r="Q2708" s="69" t="s">
        <v>1969</v>
      </c>
    </row>
    <row r="2709" spans="1:17" x14ac:dyDescent="0.3">
      <c r="A2709" s="67" t="s">
        <v>2645</v>
      </c>
      <c r="B2709" s="28" t="s">
        <v>2646</v>
      </c>
      <c r="C2709" s="28" t="s">
        <v>2647</v>
      </c>
      <c r="D2709" s="29">
        <v>45862</v>
      </c>
      <c r="E2709" s="29">
        <v>46319</v>
      </c>
      <c r="F2709" s="28" t="s">
        <v>1945</v>
      </c>
      <c r="G2709" s="28" t="s">
        <v>404</v>
      </c>
      <c r="H2709" s="28" t="s">
        <v>467</v>
      </c>
      <c r="I2709" s="68">
        <v>31377</v>
      </c>
      <c r="J2709" s="28" t="s">
        <v>1805</v>
      </c>
      <c r="K2709" s="28" t="s">
        <v>2433</v>
      </c>
      <c r="L2709" s="65"/>
      <c r="M2709" s="28" t="s">
        <v>1518</v>
      </c>
      <c r="N2709" s="28" t="s">
        <v>469</v>
      </c>
      <c r="O2709" s="28" t="s">
        <v>315</v>
      </c>
      <c r="P2709" s="28" t="s">
        <v>2421</v>
      </c>
      <c r="Q2709" s="69" t="s">
        <v>1969</v>
      </c>
    </row>
    <row r="2710" spans="1:17" x14ac:dyDescent="0.3">
      <c r="A2710" s="67" t="s">
        <v>2645</v>
      </c>
      <c r="B2710" s="28" t="s">
        <v>2646</v>
      </c>
      <c r="C2710" s="28" t="s">
        <v>2647</v>
      </c>
      <c r="D2710" s="29">
        <v>45862</v>
      </c>
      <c r="E2710" s="29">
        <v>46319</v>
      </c>
      <c r="F2710" s="28" t="s">
        <v>1945</v>
      </c>
      <c r="G2710" s="28" t="s">
        <v>405</v>
      </c>
      <c r="H2710" s="28" t="s">
        <v>467</v>
      </c>
      <c r="I2710" s="68">
        <v>31377</v>
      </c>
      <c r="J2710" s="28" t="s">
        <v>1805</v>
      </c>
      <c r="K2710" s="28" t="s">
        <v>2433</v>
      </c>
      <c r="L2710" s="65"/>
      <c r="M2710" s="28" t="s">
        <v>1518</v>
      </c>
      <c r="N2710" s="28" t="s">
        <v>469</v>
      </c>
      <c r="O2710" s="28" t="s">
        <v>315</v>
      </c>
      <c r="P2710" s="28" t="s">
        <v>2421</v>
      </c>
      <c r="Q2710" s="69" t="s">
        <v>1969</v>
      </c>
    </row>
    <row r="2711" spans="1:17" x14ac:dyDescent="0.3">
      <c r="A2711" s="67" t="s">
        <v>2645</v>
      </c>
      <c r="B2711" s="28" t="s">
        <v>2646</v>
      </c>
      <c r="C2711" s="28" t="s">
        <v>2647</v>
      </c>
      <c r="D2711" s="29">
        <v>45862</v>
      </c>
      <c r="E2711" s="29">
        <v>46319</v>
      </c>
      <c r="F2711" s="28" t="s">
        <v>1945</v>
      </c>
      <c r="G2711" s="28" t="s">
        <v>402</v>
      </c>
      <c r="H2711" s="28" t="s">
        <v>2427</v>
      </c>
      <c r="I2711" s="68">
        <v>12702.333333333299</v>
      </c>
      <c r="J2711" s="28" t="s">
        <v>2648</v>
      </c>
      <c r="K2711" s="28" t="s">
        <v>2433</v>
      </c>
      <c r="L2711" s="65"/>
      <c r="M2711" s="28" t="s">
        <v>1518</v>
      </c>
      <c r="N2711" s="28" t="s">
        <v>469</v>
      </c>
      <c r="O2711" s="28" t="s">
        <v>315</v>
      </c>
      <c r="P2711" s="28" t="s">
        <v>2421</v>
      </c>
      <c r="Q2711" s="69" t="s">
        <v>1969</v>
      </c>
    </row>
    <row r="2712" spans="1:17" x14ac:dyDescent="0.3">
      <c r="A2712" s="67" t="s">
        <v>2645</v>
      </c>
      <c r="B2712" s="28" t="s">
        <v>2646</v>
      </c>
      <c r="C2712" s="28" t="s">
        <v>2647</v>
      </c>
      <c r="D2712" s="29">
        <v>45862</v>
      </c>
      <c r="E2712" s="29">
        <v>46319</v>
      </c>
      <c r="F2712" s="28" t="s">
        <v>1945</v>
      </c>
      <c r="G2712" s="28" t="s">
        <v>404</v>
      </c>
      <c r="H2712" s="28" t="s">
        <v>2427</v>
      </c>
      <c r="I2712" s="68">
        <v>12702.333333333299</v>
      </c>
      <c r="J2712" s="28" t="s">
        <v>2648</v>
      </c>
      <c r="K2712" s="28" t="s">
        <v>2433</v>
      </c>
      <c r="L2712" s="65"/>
      <c r="M2712" s="28" t="s">
        <v>1518</v>
      </c>
      <c r="N2712" s="28" t="s">
        <v>469</v>
      </c>
      <c r="O2712" s="28" t="s">
        <v>315</v>
      </c>
      <c r="P2712" s="28" t="s">
        <v>2421</v>
      </c>
      <c r="Q2712" s="69" t="s">
        <v>1969</v>
      </c>
    </row>
    <row r="2713" spans="1:17" x14ac:dyDescent="0.3">
      <c r="A2713" s="67" t="s">
        <v>2645</v>
      </c>
      <c r="B2713" s="28" t="s">
        <v>2646</v>
      </c>
      <c r="C2713" s="28" t="s">
        <v>2647</v>
      </c>
      <c r="D2713" s="29">
        <v>45862</v>
      </c>
      <c r="E2713" s="29">
        <v>46319</v>
      </c>
      <c r="F2713" s="28" t="s">
        <v>1945</v>
      </c>
      <c r="G2713" s="28" t="s">
        <v>405</v>
      </c>
      <c r="H2713" s="28" t="s">
        <v>2427</v>
      </c>
      <c r="I2713" s="68">
        <v>12702.333333333299</v>
      </c>
      <c r="J2713" s="28" t="s">
        <v>2648</v>
      </c>
      <c r="K2713" s="28" t="s">
        <v>2433</v>
      </c>
      <c r="L2713" s="65"/>
      <c r="M2713" s="28" t="s">
        <v>1518</v>
      </c>
      <c r="N2713" s="28" t="s">
        <v>469</v>
      </c>
      <c r="O2713" s="28" t="s">
        <v>315</v>
      </c>
      <c r="P2713" s="28" t="s">
        <v>2421</v>
      </c>
      <c r="Q2713" s="69" t="s">
        <v>1969</v>
      </c>
    </row>
    <row r="2714" spans="1:17" x14ac:dyDescent="0.3">
      <c r="A2714" s="67" t="s">
        <v>2649</v>
      </c>
      <c r="B2714" s="28" t="s">
        <v>2650</v>
      </c>
      <c r="C2714" s="28" t="s">
        <v>2651</v>
      </c>
      <c r="D2714" s="29">
        <v>45674</v>
      </c>
      <c r="E2714" s="29">
        <v>46387</v>
      </c>
      <c r="F2714" s="28" t="s">
        <v>1930</v>
      </c>
      <c r="G2714" s="28" t="s">
        <v>304</v>
      </c>
      <c r="H2714" s="28" t="s">
        <v>311</v>
      </c>
      <c r="I2714" s="68">
        <v>1145713.8400000001</v>
      </c>
      <c r="J2714" s="28" t="s">
        <v>2652</v>
      </c>
      <c r="K2714" s="28" t="s">
        <v>311</v>
      </c>
      <c r="L2714" s="65"/>
      <c r="M2714" s="28" t="s">
        <v>2443</v>
      </c>
      <c r="N2714" s="28" t="s">
        <v>640</v>
      </c>
      <c r="O2714" s="28" t="s">
        <v>417</v>
      </c>
      <c r="P2714" s="28" t="s">
        <v>2421</v>
      </c>
      <c r="Q2714" s="69" t="s">
        <v>2021</v>
      </c>
    </row>
    <row r="2715" spans="1:17" x14ac:dyDescent="0.3">
      <c r="A2715" s="67" t="s">
        <v>2649</v>
      </c>
      <c r="B2715" s="28" t="s">
        <v>2650</v>
      </c>
      <c r="C2715" s="28" t="s">
        <v>2651</v>
      </c>
      <c r="D2715" s="29">
        <v>45674</v>
      </c>
      <c r="E2715" s="29">
        <v>46387</v>
      </c>
      <c r="F2715" s="28" t="s">
        <v>1936</v>
      </c>
      <c r="G2715" s="28" t="s">
        <v>730</v>
      </c>
      <c r="H2715" s="28" t="s">
        <v>311</v>
      </c>
      <c r="I2715" s="68">
        <v>1145713.8400000001</v>
      </c>
      <c r="J2715" s="28" t="s">
        <v>2652</v>
      </c>
      <c r="K2715" s="28" t="s">
        <v>311</v>
      </c>
      <c r="L2715" s="65"/>
      <c r="M2715" s="28" t="s">
        <v>2443</v>
      </c>
      <c r="N2715" s="28" t="s">
        <v>640</v>
      </c>
      <c r="O2715" s="28" t="s">
        <v>417</v>
      </c>
      <c r="P2715" s="28" t="s">
        <v>2421</v>
      </c>
      <c r="Q2715" s="69" t="s">
        <v>2021</v>
      </c>
    </row>
    <row r="2716" spans="1:17" x14ac:dyDescent="0.3">
      <c r="A2716" s="67" t="s">
        <v>2653</v>
      </c>
      <c r="B2716" s="28" t="s">
        <v>2654</v>
      </c>
      <c r="C2716" s="28" t="s">
        <v>2655</v>
      </c>
      <c r="D2716" s="29">
        <v>45933</v>
      </c>
      <c r="E2716" s="29">
        <v>46721</v>
      </c>
      <c r="F2716" s="28" t="s">
        <v>1931</v>
      </c>
      <c r="G2716" s="28" t="s">
        <v>281</v>
      </c>
      <c r="H2716" s="28" t="s">
        <v>360</v>
      </c>
      <c r="I2716" s="68">
        <v>182374.9</v>
      </c>
      <c r="J2716" s="28" t="s">
        <v>361</v>
      </c>
      <c r="K2716" s="28" t="s">
        <v>360</v>
      </c>
      <c r="L2716" s="65"/>
      <c r="M2716" s="28" t="s">
        <v>1518</v>
      </c>
      <c r="N2716" s="28" t="s">
        <v>1088</v>
      </c>
      <c r="O2716" s="28" t="s">
        <v>646</v>
      </c>
      <c r="P2716" s="28" t="s">
        <v>2421</v>
      </c>
      <c r="Q2716" s="69" t="s">
        <v>1974</v>
      </c>
    </row>
    <row r="2717" spans="1:17" x14ac:dyDescent="0.3">
      <c r="A2717" s="67" t="s">
        <v>2653</v>
      </c>
      <c r="B2717" s="28" t="s">
        <v>2654</v>
      </c>
      <c r="C2717" s="28" t="s">
        <v>2655</v>
      </c>
      <c r="D2717" s="29">
        <v>45933</v>
      </c>
      <c r="E2717" s="29">
        <v>46721</v>
      </c>
      <c r="F2717" s="28" t="s">
        <v>282</v>
      </c>
      <c r="G2717" s="28" t="s">
        <v>283</v>
      </c>
      <c r="H2717" s="28" t="s">
        <v>360</v>
      </c>
      <c r="I2717" s="68">
        <v>182374.9</v>
      </c>
      <c r="J2717" s="28" t="s">
        <v>361</v>
      </c>
      <c r="K2717" s="28" t="s">
        <v>360</v>
      </c>
      <c r="L2717" s="65"/>
      <c r="M2717" s="28" t="s">
        <v>1518</v>
      </c>
      <c r="N2717" s="28" t="s">
        <v>1088</v>
      </c>
      <c r="O2717" s="28" t="s">
        <v>646</v>
      </c>
      <c r="P2717" s="28" t="s">
        <v>2421</v>
      </c>
      <c r="Q2717" s="69" t="s">
        <v>1974</v>
      </c>
    </row>
    <row r="2718" spans="1:17" x14ac:dyDescent="0.3">
      <c r="A2718" s="67" t="s">
        <v>2653</v>
      </c>
      <c r="B2718" s="28" t="s">
        <v>2654</v>
      </c>
      <c r="C2718" s="28" t="s">
        <v>2655</v>
      </c>
      <c r="D2718" s="29">
        <v>45933</v>
      </c>
      <c r="E2718" s="29">
        <v>46721</v>
      </c>
      <c r="F2718" s="28" t="s">
        <v>286</v>
      </c>
      <c r="G2718" s="28" t="s">
        <v>476</v>
      </c>
      <c r="H2718" s="28" t="s">
        <v>360</v>
      </c>
      <c r="I2718" s="68">
        <v>182374.9</v>
      </c>
      <c r="J2718" s="28" t="s">
        <v>361</v>
      </c>
      <c r="K2718" s="28" t="s">
        <v>360</v>
      </c>
      <c r="L2718" s="65"/>
      <c r="M2718" s="28" t="s">
        <v>1518</v>
      </c>
      <c r="N2718" s="28" t="s">
        <v>1088</v>
      </c>
      <c r="O2718" s="28" t="s">
        <v>646</v>
      </c>
      <c r="P2718" s="28" t="s">
        <v>2421</v>
      </c>
      <c r="Q2718" s="69" t="s">
        <v>1974</v>
      </c>
    </row>
    <row r="2719" spans="1:17" x14ac:dyDescent="0.3">
      <c r="A2719" s="67" t="s">
        <v>2653</v>
      </c>
      <c r="B2719" s="28" t="s">
        <v>2654</v>
      </c>
      <c r="C2719" s="28" t="s">
        <v>2655</v>
      </c>
      <c r="D2719" s="29">
        <v>45933</v>
      </c>
      <c r="E2719" s="29">
        <v>46721</v>
      </c>
      <c r="F2719" s="28" t="s">
        <v>348</v>
      </c>
      <c r="G2719" s="28" t="s">
        <v>348</v>
      </c>
      <c r="H2719" s="28" t="s">
        <v>360</v>
      </c>
      <c r="I2719" s="68">
        <v>182374.9</v>
      </c>
      <c r="J2719" s="28" t="s">
        <v>361</v>
      </c>
      <c r="K2719" s="28" t="s">
        <v>360</v>
      </c>
      <c r="L2719" s="65"/>
      <c r="M2719" s="28" t="s">
        <v>1518</v>
      </c>
      <c r="N2719" s="28" t="s">
        <v>1088</v>
      </c>
      <c r="O2719" s="28" t="s">
        <v>646</v>
      </c>
      <c r="P2719" s="28" t="s">
        <v>2421</v>
      </c>
      <c r="Q2719" s="69" t="s">
        <v>1974</v>
      </c>
    </row>
    <row r="2720" spans="1:17" x14ac:dyDescent="0.3">
      <c r="A2720" s="67" t="s">
        <v>2653</v>
      </c>
      <c r="B2720" s="28" t="s">
        <v>2654</v>
      </c>
      <c r="C2720" s="28" t="s">
        <v>2655</v>
      </c>
      <c r="D2720" s="29">
        <v>45933</v>
      </c>
      <c r="E2720" s="29">
        <v>46721</v>
      </c>
      <c r="F2720" s="28" t="s">
        <v>1922</v>
      </c>
      <c r="G2720" s="28" t="s">
        <v>349</v>
      </c>
      <c r="H2720" s="28" t="s">
        <v>360</v>
      </c>
      <c r="I2720" s="68">
        <v>182374.9</v>
      </c>
      <c r="J2720" s="28" t="s">
        <v>361</v>
      </c>
      <c r="K2720" s="28" t="s">
        <v>360</v>
      </c>
      <c r="L2720" s="65"/>
      <c r="M2720" s="28" t="s">
        <v>1518</v>
      </c>
      <c r="N2720" s="28" t="s">
        <v>1088</v>
      </c>
      <c r="O2720" s="28" t="s">
        <v>646</v>
      </c>
      <c r="P2720" s="28" t="s">
        <v>2421</v>
      </c>
      <c r="Q2720" s="69" t="s">
        <v>1974</v>
      </c>
    </row>
    <row r="2721" spans="1:17" x14ac:dyDescent="0.3">
      <c r="A2721" s="67" t="s">
        <v>2653</v>
      </c>
      <c r="B2721" s="28" t="s">
        <v>2654</v>
      </c>
      <c r="C2721" s="28" t="s">
        <v>2655</v>
      </c>
      <c r="D2721" s="29">
        <v>45933</v>
      </c>
      <c r="E2721" s="29">
        <v>46721</v>
      </c>
      <c r="F2721" s="28" t="s">
        <v>1943</v>
      </c>
      <c r="G2721" s="28" t="s">
        <v>452</v>
      </c>
      <c r="H2721" s="28" t="s">
        <v>360</v>
      </c>
      <c r="I2721" s="68">
        <v>182374.9</v>
      </c>
      <c r="J2721" s="28" t="s">
        <v>361</v>
      </c>
      <c r="K2721" s="28" t="s">
        <v>360</v>
      </c>
      <c r="L2721" s="65"/>
      <c r="M2721" s="28" t="s">
        <v>1518</v>
      </c>
      <c r="N2721" s="28" t="s">
        <v>1088</v>
      </c>
      <c r="O2721" s="28" t="s">
        <v>646</v>
      </c>
      <c r="P2721" s="28" t="s">
        <v>2421</v>
      </c>
      <c r="Q2721" s="69" t="s">
        <v>1974</v>
      </c>
    </row>
    <row r="2722" spans="1:17" x14ac:dyDescent="0.3">
      <c r="A2722" s="67" t="s">
        <v>2653</v>
      </c>
      <c r="B2722" s="28" t="s">
        <v>2654</v>
      </c>
      <c r="C2722" s="28" t="s">
        <v>2655</v>
      </c>
      <c r="D2722" s="29">
        <v>45933</v>
      </c>
      <c r="E2722" s="29">
        <v>46721</v>
      </c>
      <c r="F2722" s="28" t="s">
        <v>1939</v>
      </c>
      <c r="G2722" s="28" t="s">
        <v>539</v>
      </c>
      <c r="H2722" s="28" t="s">
        <v>360</v>
      </c>
      <c r="I2722" s="68">
        <v>182374.9</v>
      </c>
      <c r="J2722" s="28" t="s">
        <v>361</v>
      </c>
      <c r="K2722" s="28" t="s">
        <v>360</v>
      </c>
      <c r="L2722" s="65"/>
      <c r="M2722" s="28" t="s">
        <v>1518</v>
      </c>
      <c r="N2722" s="28" t="s">
        <v>1088</v>
      </c>
      <c r="O2722" s="28" t="s">
        <v>646</v>
      </c>
      <c r="P2722" s="28" t="s">
        <v>2421</v>
      </c>
      <c r="Q2722" s="69" t="s">
        <v>1974</v>
      </c>
    </row>
    <row r="2723" spans="1:17" x14ac:dyDescent="0.3">
      <c r="A2723" s="67" t="s">
        <v>2653</v>
      </c>
      <c r="B2723" s="28" t="s">
        <v>2654</v>
      </c>
      <c r="C2723" s="28" t="s">
        <v>2655</v>
      </c>
      <c r="D2723" s="29">
        <v>45933</v>
      </c>
      <c r="E2723" s="29">
        <v>46721</v>
      </c>
      <c r="F2723" s="28" t="s">
        <v>1930</v>
      </c>
      <c r="G2723" s="28" t="s">
        <v>453</v>
      </c>
      <c r="H2723" s="28" t="s">
        <v>360</v>
      </c>
      <c r="I2723" s="68">
        <v>182374.9</v>
      </c>
      <c r="J2723" s="28" t="s">
        <v>361</v>
      </c>
      <c r="K2723" s="28" t="s">
        <v>360</v>
      </c>
      <c r="L2723" s="65"/>
      <c r="M2723" s="28" t="s">
        <v>1518</v>
      </c>
      <c r="N2723" s="28" t="s">
        <v>1088</v>
      </c>
      <c r="O2723" s="28" t="s">
        <v>646</v>
      </c>
      <c r="P2723" s="28" t="s">
        <v>2421</v>
      </c>
      <c r="Q2723" s="69" t="s">
        <v>1974</v>
      </c>
    </row>
    <row r="2724" spans="1:17" x14ac:dyDescent="0.3">
      <c r="A2724" s="67" t="s">
        <v>2653</v>
      </c>
      <c r="B2724" s="28" t="s">
        <v>2654</v>
      </c>
      <c r="C2724" s="28" t="s">
        <v>2655</v>
      </c>
      <c r="D2724" s="29">
        <v>45933</v>
      </c>
      <c r="E2724" s="29">
        <v>46721</v>
      </c>
      <c r="F2724" s="28" t="s">
        <v>1941</v>
      </c>
      <c r="G2724" s="28" t="s">
        <v>325</v>
      </c>
      <c r="H2724" s="28" t="s">
        <v>360</v>
      </c>
      <c r="I2724" s="68">
        <v>182374.9</v>
      </c>
      <c r="J2724" s="28" t="s">
        <v>361</v>
      </c>
      <c r="K2724" s="28" t="s">
        <v>360</v>
      </c>
      <c r="L2724" s="65"/>
      <c r="M2724" s="28" t="s">
        <v>1518</v>
      </c>
      <c r="N2724" s="28" t="s">
        <v>1088</v>
      </c>
      <c r="O2724" s="28" t="s">
        <v>646</v>
      </c>
      <c r="P2724" s="28" t="s">
        <v>2421</v>
      </c>
      <c r="Q2724" s="69" t="s">
        <v>1974</v>
      </c>
    </row>
    <row r="2725" spans="1:17" x14ac:dyDescent="0.3">
      <c r="A2725" s="67" t="s">
        <v>2653</v>
      </c>
      <c r="B2725" s="28" t="s">
        <v>2654</v>
      </c>
      <c r="C2725" s="28" t="s">
        <v>2655</v>
      </c>
      <c r="D2725" s="29">
        <v>45933</v>
      </c>
      <c r="E2725" s="29">
        <v>46721</v>
      </c>
      <c r="F2725" s="28" t="s">
        <v>1945</v>
      </c>
      <c r="G2725" s="28" t="s">
        <v>555</v>
      </c>
      <c r="H2725" s="28" t="s">
        <v>360</v>
      </c>
      <c r="I2725" s="68">
        <v>182374.9</v>
      </c>
      <c r="J2725" s="28" t="s">
        <v>361</v>
      </c>
      <c r="K2725" s="28" t="s">
        <v>360</v>
      </c>
      <c r="L2725" s="65"/>
      <c r="M2725" s="28" t="s">
        <v>1518</v>
      </c>
      <c r="N2725" s="28" t="s">
        <v>1088</v>
      </c>
      <c r="O2725" s="28" t="s">
        <v>646</v>
      </c>
      <c r="P2725" s="28" t="s">
        <v>2421</v>
      </c>
      <c r="Q2725" s="69" t="s">
        <v>1974</v>
      </c>
    </row>
    <row r="2726" spans="1:17" x14ac:dyDescent="0.3">
      <c r="A2726" s="67" t="s">
        <v>2656</v>
      </c>
      <c r="B2726" s="28" t="s">
        <v>2657</v>
      </c>
      <c r="C2726" s="28" t="s">
        <v>2658</v>
      </c>
      <c r="D2726" s="29">
        <v>45905</v>
      </c>
      <c r="E2726" s="29">
        <v>47000</v>
      </c>
      <c r="F2726" s="28" t="s">
        <v>1930</v>
      </c>
      <c r="G2726" s="28" t="s">
        <v>721</v>
      </c>
      <c r="H2726" s="28" t="s">
        <v>360</v>
      </c>
      <c r="I2726" s="68">
        <v>191676.96</v>
      </c>
      <c r="J2726" s="28" t="s">
        <v>662</v>
      </c>
      <c r="K2726" s="28" t="s">
        <v>360</v>
      </c>
      <c r="L2726" s="65"/>
      <c r="M2726" s="28" t="s">
        <v>825</v>
      </c>
      <c r="N2726" s="28" t="s">
        <v>378</v>
      </c>
      <c r="O2726" s="28" t="s">
        <v>371</v>
      </c>
      <c r="P2726" s="28" t="s">
        <v>2421</v>
      </c>
      <c r="Q2726" s="69" t="s">
        <v>1972</v>
      </c>
    </row>
    <row r="2727" spans="1:17" x14ac:dyDescent="0.3">
      <c r="A2727" s="67" t="s">
        <v>2656</v>
      </c>
      <c r="B2727" s="28" t="s">
        <v>2657</v>
      </c>
      <c r="C2727" s="28" t="s">
        <v>2658</v>
      </c>
      <c r="D2727" s="29">
        <v>45905</v>
      </c>
      <c r="E2727" s="29">
        <v>47000</v>
      </c>
      <c r="F2727" s="28" t="s">
        <v>1930</v>
      </c>
      <c r="G2727" s="28" t="s">
        <v>1207</v>
      </c>
      <c r="H2727" s="28" t="s">
        <v>360</v>
      </c>
      <c r="I2727" s="68">
        <v>191676.96</v>
      </c>
      <c r="J2727" s="28" t="s">
        <v>662</v>
      </c>
      <c r="K2727" s="28" t="s">
        <v>360</v>
      </c>
      <c r="L2727" s="65"/>
      <c r="M2727" s="28" t="s">
        <v>825</v>
      </c>
      <c r="N2727" s="28" t="s">
        <v>378</v>
      </c>
      <c r="O2727" s="28" t="s">
        <v>371</v>
      </c>
      <c r="P2727" s="28" t="s">
        <v>2421</v>
      </c>
      <c r="Q2727" s="69" t="s">
        <v>1972</v>
      </c>
    </row>
    <row r="2728" spans="1:17" x14ac:dyDescent="0.3">
      <c r="A2728" s="67" t="s">
        <v>2656</v>
      </c>
      <c r="B2728" s="28" t="s">
        <v>2657</v>
      </c>
      <c r="C2728" s="28" t="s">
        <v>2658</v>
      </c>
      <c r="D2728" s="29">
        <v>45905</v>
      </c>
      <c r="E2728" s="29">
        <v>47000</v>
      </c>
      <c r="F2728" s="28" t="s">
        <v>1934</v>
      </c>
      <c r="G2728" s="28" t="s">
        <v>304</v>
      </c>
      <c r="H2728" s="28" t="s">
        <v>360</v>
      </c>
      <c r="I2728" s="68">
        <v>383353.92</v>
      </c>
      <c r="J2728" s="28" t="s">
        <v>662</v>
      </c>
      <c r="K2728" s="28" t="s">
        <v>360</v>
      </c>
      <c r="L2728" s="65"/>
      <c r="M2728" s="28" t="s">
        <v>825</v>
      </c>
      <c r="N2728" s="28" t="s">
        <v>378</v>
      </c>
      <c r="O2728" s="28" t="s">
        <v>371</v>
      </c>
      <c r="P2728" s="28" t="s">
        <v>2421</v>
      </c>
      <c r="Q2728" s="69" t="s">
        <v>1972</v>
      </c>
    </row>
    <row r="2729" spans="1:17" x14ac:dyDescent="0.3">
      <c r="A2729" s="67" t="s">
        <v>2656</v>
      </c>
      <c r="B2729" s="28" t="s">
        <v>2657</v>
      </c>
      <c r="C2729" s="28" t="s">
        <v>2658</v>
      </c>
      <c r="D2729" s="29">
        <v>45905</v>
      </c>
      <c r="E2729" s="29">
        <v>47000</v>
      </c>
      <c r="F2729" s="28" t="s">
        <v>1936</v>
      </c>
      <c r="G2729" s="28" t="s">
        <v>304</v>
      </c>
      <c r="H2729" s="28" t="s">
        <v>360</v>
      </c>
      <c r="I2729" s="68">
        <v>383353.92</v>
      </c>
      <c r="J2729" s="28" t="s">
        <v>662</v>
      </c>
      <c r="K2729" s="28" t="s">
        <v>360</v>
      </c>
      <c r="L2729" s="65"/>
      <c r="M2729" s="28" t="s">
        <v>825</v>
      </c>
      <c r="N2729" s="28" t="s">
        <v>378</v>
      </c>
      <c r="O2729" s="28" t="s">
        <v>371</v>
      </c>
      <c r="P2729" s="28" t="s">
        <v>2421</v>
      </c>
      <c r="Q2729" s="69" t="s">
        <v>1972</v>
      </c>
    </row>
    <row r="2730" spans="1:17" x14ac:dyDescent="0.3">
      <c r="A2730" s="67" t="s">
        <v>2659</v>
      </c>
      <c r="B2730" s="28" t="s">
        <v>2660</v>
      </c>
      <c r="C2730" s="28" t="s">
        <v>2661</v>
      </c>
      <c r="D2730" s="29">
        <v>45658</v>
      </c>
      <c r="E2730" s="29">
        <v>46203</v>
      </c>
      <c r="F2730" s="28" t="s">
        <v>350</v>
      </c>
      <c r="G2730" s="28" t="s">
        <v>304</v>
      </c>
      <c r="H2730" s="28" t="s">
        <v>373</v>
      </c>
      <c r="I2730" s="68">
        <v>260417</v>
      </c>
      <c r="J2730" s="28" t="s">
        <v>373</v>
      </c>
      <c r="K2730" s="28" t="s">
        <v>1693</v>
      </c>
      <c r="L2730" s="65"/>
      <c r="M2730" s="28" t="s">
        <v>825</v>
      </c>
      <c r="N2730" s="28" t="s">
        <v>370</v>
      </c>
      <c r="O2730" s="28" t="s">
        <v>371</v>
      </c>
      <c r="P2730" s="28" t="s">
        <v>2421</v>
      </c>
      <c r="Q2730" s="69" t="s">
        <v>1976</v>
      </c>
    </row>
    <row r="2731" spans="1:17" x14ac:dyDescent="0.3">
      <c r="A2731" s="67" t="s">
        <v>2662</v>
      </c>
      <c r="B2731" s="28" t="s">
        <v>2663</v>
      </c>
      <c r="C2731" s="28" t="s">
        <v>2664</v>
      </c>
      <c r="D2731" s="29">
        <v>45658</v>
      </c>
      <c r="E2731" s="29">
        <v>46387</v>
      </c>
      <c r="F2731" s="28" t="s">
        <v>350</v>
      </c>
      <c r="G2731" s="28" t="s">
        <v>304</v>
      </c>
      <c r="H2731" s="28" t="s">
        <v>311</v>
      </c>
      <c r="I2731" s="68">
        <v>1040222</v>
      </c>
      <c r="J2731" s="28" t="s">
        <v>1732</v>
      </c>
      <c r="K2731" s="28" t="s">
        <v>311</v>
      </c>
      <c r="L2731" s="65"/>
      <c r="M2731" s="28" t="s">
        <v>825</v>
      </c>
      <c r="N2731" s="28" t="s">
        <v>378</v>
      </c>
      <c r="O2731" s="28" t="s">
        <v>371</v>
      </c>
      <c r="P2731" s="28" t="s">
        <v>2421</v>
      </c>
      <c r="Q2731" s="69" t="s">
        <v>1976</v>
      </c>
    </row>
    <row r="2732" spans="1:17" x14ac:dyDescent="0.3">
      <c r="A2732" s="67" t="s">
        <v>2665</v>
      </c>
      <c r="B2732" s="28" t="s">
        <v>2666</v>
      </c>
      <c r="C2732" s="28" t="s">
        <v>2667</v>
      </c>
      <c r="D2732" s="29">
        <v>45953</v>
      </c>
      <c r="E2732" s="29">
        <v>46866</v>
      </c>
      <c r="F2732" s="28" t="s">
        <v>1959</v>
      </c>
      <c r="G2732" s="28" t="s">
        <v>585</v>
      </c>
      <c r="H2732" s="28" t="s">
        <v>467</v>
      </c>
      <c r="I2732" s="68">
        <v>36460.875</v>
      </c>
      <c r="J2732" s="28" t="s">
        <v>468</v>
      </c>
      <c r="K2732" s="28" t="s">
        <v>467</v>
      </c>
      <c r="L2732" s="65"/>
      <c r="M2732" s="28" t="s">
        <v>825</v>
      </c>
      <c r="N2732" s="28" t="s">
        <v>370</v>
      </c>
      <c r="O2732" s="28" t="s">
        <v>371</v>
      </c>
      <c r="P2732" s="28" t="s">
        <v>2421</v>
      </c>
      <c r="Q2732" s="69" t="s">
        <v>2021</v>
      </c>
    </row>
    <row r="2733" spans="1:17" x14ac:dyDescent="0.3">
      <c r="A2733" s="67" t="s">
        <v>2665</v>
      </c>
      <c r="B2733" s="28" t="s">
        <v>2666</v>
      </c>
      <c r="C2733" s="28" t="s">
        <v>2667</v>
      </c>
      <c r="D2733" s="29">
        <v>45953</v>
      </c>
      <c r="E2733" s="29">
        <v>46866</v>
      </c>
      <c r="F2733" s="28" t="s">
        <v>1959</v>
      </c>
      <c r="G2733" s="28" t="s">
        <v>588</v>
      </c>
      <c r="H2733" s="28" t="s">
        <v>467</v>
      </c>
      <c r="I2733" s="68">
        <v>36460.875</v>
      </c>
      <c r="J2733" s="28" t="s">
        <v>468</v>
      </c>
      <c r="K2733" s="28" t="s">
        <v>467</v>
      </c>
      <c r="L2733" s="65"/>
      <c r="M2733" s="28" t="s">
        <v>825</v>
      </c>
      <c r="N2733" s="28" t="s">
        <v>370</v>
      </c>
      <c r="O2733" s="28" t="s">
        <v>371</v>
      </c>
      <c r="P2733" s="28" t="s">
        <v>2421</v>
      </c>
      <c r="Q2733" s="69" t="s">
        <v>2021</v>
      </c>
    </row>
    <row r="2734" spans="1:17" x14ac:dyDescent="0.3">
      <c r="A2734" s="67" t="s">
        <v>2665</v>
      </c>
      <c r="B2734" s="28" t="s">
        <v>2666</v>
      </c>
      <c r="C2734" s="28" t="s">
        <v>2667</v>
      </c>
      <c r="D2734" s="29">
        <v>45953</v>
      </c>
      <c r="E2734" s="29">
        <v>46866</v>
      </c>
      <c r="F2734" s="28" t="s">
        <v>1945</v>
      </c>
      <c r="G2734" s="28" t="s">
        <v>400</v>
      </c>
      <c r="H2734" s="28" t="s">
        <v>467</v>
      </c>
      <c r="I2734" s="68">
        <v>36460.875</v>
      </c>
      <c r="J2734" s="28" t="s">
        <v>468</v>
      </c>
      <c r="K2734" s="28" t="s">
        <v>467</v>
      </c>
      <c r="L2734" s="65"/>
      <c r="M2734" s="28" t="s">
        <v>825</v>
      </c>
      <c r="N2734" s="28" t="s">
        <v>370</v>
      </c>
      <c r="O2734" s="28" t="s">
        <v>371</v>
      </c>
      <c r="P2734" s="28" t="s">
        <v>2421</v>
      </c>
      <c r="Q2734" s="69" t="s">
        <v>2021</v>
      </c>
    </row>
    <row r="2735" spans="1:17" x14ac:dyDescent="0.3">
      <c r="A2735" s="67" t="s">
        <v>2665</v>
      </c>
      <c r="B2735" s="28" t="s">
        <v>2666</v>
      </c>
      <c r="C2735" s="28" t="s">
        <v>2667</v>
      </c>
      <c r="D2735" s="29">
        <v>45953</v>
      </c>
      <c r="E2735" s="29">
        <v>46866</v>
      </c>
      <c r="F2735" s="28" t="s">
        <v>1945</v>
      </c>
      <c r="G2735" s="28" t="s">
        <v>555</v>
      </c>
      <c r="H2735" s="28" t="s">
        <v>467</v>
      </c>
      <c r="I2735" s="68">
        <v>36460.875</v>
      </c>
      <c r="J2735" s="28" t="s">
        <v>468</v>
      </c>
      <c r="K2735" s="28" t="s">
        <v>467</v>
      </c>
      <c r="L2735" s="65"/>
      <c r="M2735" s="28" t="s">
        <v>825</v>
      </c>
      <c r="N2735" s="28" t="s">
        <v>370</v>
      </c>
      <c r="O2735" s="28" t="s">
        <v>371</v>
      </c>
      <c r="P2735" s="28" t="s">
        <v>2421</v>
      </c>
      <c r="Q2735" s="69" t="s">
        <v>2021</v>
      </c>
    </row>
    <row r="2736" spans="1:17" x14ac:dyDescent="0.3">
      <c r="A2736" s="67" t="s">
        <v>2665</v>
      </c>
      <c r="B2736" s="28" t="s">
        <v>2666</v>
      </c>
      <c r="C2736" s="28" t="s">
        <v>2667</v>
      </c>
      <c r="D2736" s="29">
        <v>45953</v>
      </c>
      <c r="E2736" s="29">
        <v>46866</v>
      </c>
      <c r="F2736" s="28" t="s">
        <v>1936</v>
      </c>
      <c r="G2736" s="28" t="s">
        <v>411</v>
      </c>
      <c r="H2736" s="28" t="s">
        <v>467</v>
      </c>
      <c r="I2736" s="68">
        <v>72921.75</v>
      </c>
      <c r="J2736" s="28" t="s">
        <v>468</v>
      </c>
      <c r="K2736" s="28" t="s">
        <v>467</v>
      </c>
      <c r="L2736" s="65"/>
      <c r="M2736" s="28" t="s">
        <v>825</v>
      </c>
      <c r="N2736" s="28" t="s">
        <v>370</v>
      </c>
      <c r="O2736" s="28" t="s">
        <v>371</v>
      </c>
      <c r="P2736" s="28" t="s">
        <v>2421</v>
      </c>
      <c r="Q2736" s="69" t="s">
        <v>2021</v>
      </c>
    </row>
    <row r="2737" spans="1:17" x14ac:dyDescent="0.3">
      <c r="A2737" s="67" t="s">
        <v>2665</v>
      </c>
      <c r="B2737" s="28" t="s">
        <v>2666</v>
      </c>
      <c r="C2737" s="28" t="s">
        <v>2667</v>
      </c>
      <c r="D2737" s="29">
        <v>45953</v>
      </c>
      <c r="E2737" s="29">
        <v>46866</v>
      </c>
      <c r="F2737" s="28" t="s">
        <v>287</v>
      </c>
      <c r="G2737" s="28" t="s">
        <v>396</v>
      </c>
      <c r="H2737" s="28" t="s">
        <v>467</v>
      </c>
      <c r="I2737" s="68">
        <v>72921.75</v>
      </c>
      <c r="J2737" s="28" t="s">
        <v>468</v>
      </c>
      <c r="K2737" s="28" t="s">
        <v>467</v>
      </c>
      <c r="L2737" s="65"/>
      <c r="M2737" s="28" t="s">
        <v>825</v>
      </c>
      <c r="N2737" s="28" t="s">
        <v>370</v>
      </c>
      <c r="O2737" s="28" t="s">
        <v>371</v>
      </c>
      <c r="P2737" s="28" t="s">
        <v>2421</v>
      </c>
      <c r="Q2737" s="69" t="s">
        <v>2021</v>
      </c>
    </row>
    <row r="2738" spans="1:17" x14ac:dyDescent="0.3">
      <c r="A2738" s="67" t="s">
        <v>2665</v>
      </c>
      <c r="B2738" s="28" t="s">
        <v>2666</v>
      </c>
      <c r="C2738" s="28" t="s">
        <v>2667</v>
      </c>
      <c r="D2738" s="29">
        <v>45953</v>
      </c>
      <c r="E2738" s="29">
        <v>46866</v>
      </c>
      <c r="F2738" s="28" t="s">
        <v>1959</v>
      </c>
      <c r="G2738" s="28" t="s">
        <v>585</v>
      </c>
      <c r="H2738" s="28" t="s">
        <v>2427</v>
      </c>
      <c r="I2738" s="68">
        <v>16042.75</v>
      </c>
      <c r="J2738" s="28" t="s">
        <v>2668</v>
      </c>
      <c r="K2738" s="28" t="s">
        <v>467</v>
      </c>
      <c r="L2738" s="65"/>
      <c r="M2738" s="28" t="s">
        <v>825</v>
      </c>
      <c r="N2738" s="28" t="s">
        <v>370</v>
      </c>
      <c r="O2738" s="28" t="s">
        <v>371</v>
      </c>
      <c r="P2738" s="28" t="s">
        <v>2421</v>
      </c>
      <c r="Q2738" s="69" t="s">
        <v>2021</v>
      </c>
    </row>
    <row r="2739" spans="1:17" x14ac:dyDescent="0.3">
      <c r="A2739" s="67" t="s">
        <v>2665</v>
      </c>
      <c r="B2739" s="28" t="s">
        <v>2666</v>
      </c>
      <c r="C2739" s="28" t="s">
        <v>2667</v>
      </c>
      <c r="D2739" s="29">
        <v>45953</v>
      </c>
      <c r="E2739" s="29">
        <v>46866</v>
      </c>
      <c r="F2739" s="28" t="s">
        <v>1959</v>
      </c>
      <c r="G2739" s="28" t="s">
        <v>588</v>
      </c>
      <c r="H2739" s="28" t="s">
        <v>2427</v>
      </c>
      <c r="I2739" s="68">
        <v>16042.75</v>
      </c>
      <c r="J2739" s="28" t="s">
        <v>2668</v>
      </c>
      <c r="K2739" s="28" t="s">
        <v>467</v>
      </c>
      <c r="L2739" s="65"/>
      <c r="M2739" s="28" t="s">
        <v>825</v>
      </c>
      <c r="N2739" s="28" t="s">
        <v>370</v>
      </c>
      <c r="O2739" s="28" t="s">
        <v>371</v>
      </c>
      <c r="P2739" s="28" t="s">
        <v>2421</v>
      </c>
      <c r="Q2739" s="69" t="s">
        <v>2021</v>
      </c>
    </row>
    <row r="2740" spans="1:17" x14ac:dyDescent="0.3">
      <c r="A2740" s="67" t="s">
        <v>2665</v>
      </c>
      <c r="B2740" s="28" t="s">
        <v>2666</v>
      </c>
      <c r="C2740" s="28" t="s">
        <v>2667</v>
      </c>
      <c r="D2740" s="29">
        <v>45953</v>
      </c>
      <c r="E2740" s="29">
        <v>46866</v>
      </c>
      <c r="F2740" s="28" t="s">
        <v>1945</v>
      </c>
      <c r="G2740" s="28" t="s">
        <v>400</v>
      </c>
      <c r="H2740" s="28" t="s">
        <v>2427</v>
      </c>
      <c r="I2740" s="68">
        <v>16042.75</v>
      </c>
      <c r="J2740" s="28" t="s">
        <v>2668</v>
      </c>
      <c r="K2740" s="28" t="s">
        <v>467</v>
      </c>
      <c r="L2740" s="65"/>
      <c r="M2740" s="28" t="s">
        <v>825</v>
      </c>
      <c r="N2740" s="28" t="s">
        <v>370</v>
      </c>
      <c r="O2740" s="28" t="s">
        <v>371</v>
      </c>
      <c r="P2740" s="28" t="s">
        <v>2421</v>
      </c>
      <c r="Q2740" s="69" t="s">
        <v>2021</v>
      </c>
    </row>
    <row r="2741" spans="1:17" x14ac:dyDescent="0.3">
      <c r="A2741" s="67" t="s">
        <v>2665</v>
      </c>
      <c r="B2741" s="28" t="s">
        <v>2666</v>
      </c>
      <c r="C2741" s="28" t="s">
        <v>2667</v>
      </c>
      <c r="D2741" s="29">
        <v>45953</v>
      </c>
      <c r="E2741" s="29">
        <v>46866</v>
      </c>
      <c r="F2741" s="28" t="s">
        <v>1945</v>
      </c>
      <c r="G2741" s="28" t="s">
        <v>555</v>
      </c>
      <c r="H2741" s="28" t="s">
        <v>2427</v>
      </c>
      <c r="I2741" s="68">
        <v>16042.75</v>
      </c>
      <c r="J2741" s="28" t="s">
        <v>2668</v>
      </c>
      <c r="K2741" s="28" t="s">
        <v>467</v>
      </c>
      <c r="L2741" s="65"/>
      <c r="M2741" s="28" t="s">
        <v>825</v>
      </c>
      <c r="N2741" s="28" t="s">
        <v>370</v>
      </c>
      <c r="O2741" s="28" t="s">
        <v>371</v>
      </c>
      <c r="P2741" s="28" t="s">
        <v>2421</v>
      </c>
      <c r="Q2741" s="69" t="s">
        <v>2021</v>
      </c>
    </row>
    <row r="2742" spans="1:17" x14ac:dyDescent="0.3">
      <c r="A2742" s="67" t="s">
        <v>2665</v>
      </c>
      <c r="B2742" s="28" t="s">
        <v>2666</v>
      </c>
      <c r="C2742" s="28" t="s">
        <v>2667</v>
      </c>
      <c r="D2742" s="29">
        <v>45953</v>
      </c>
      <c r="E2742" s="29">
        <v>46866</v>
      </c>
      <c r="F2742" s="28" t="s">
        <v>1936</v>
      </c>
      <c r="G2742" s="28" t="s">
        <v>411</v>
      </c>
      <c r="H2742" s="28" t="s">
        <v>2427</v>
      </c>
      <c r="I2742" s="68">
        <v>32085.5</v>
      </c>
      <c r="J2742" s="28" t="s">
        <v>2668</v>
      </c>
      <c r="K2742" s="28" t="s">
        <v>467</v>
      </c>
      <c r="L2742" s="65"/>
      <c r="M2742" s="28" t="s">
        <v>825</v>
      </c>
      <c r="N2742" s="28" t="s">
        <v>370</v>
      </c>
      <c r="O2742" s="28" t="s">
        <v>371</v>
      </c>
      <c r="P2742" s="28" t="s">
        <v>2421</v>
      </c>
      <c r="Q2742" s="69" t="s">
        <v>2021</v>
      </c>
    </row>
    <row r="2743" spans="1:17" x14ac:dyDescent="0.3">
      <c r="A2743" s="67" t="s">
        <v>2665</v>
      </c>
      <c r="B2743" s="28" t="s">
        <v>2666</v>
      </c>
      <c r="C2743" s="28" t="s">
        <v>2667</v>
      </c>
      <c r="D2743" s="29">
        <v>45953</v>
      </c>
      <c r="E2743" s="29">
        <v>46866</v>
      </c>
      <c r="F2743" s="28" t="s">
        <v>287</v>
      </c>
      <c r="G2743" s="28" t="s">
        <v>396</v>
      </c>
      <c r="H2743" s="28" t="s">
        <v>2427</v>
      </c>
      <c r="I2743" s="68">
        <v>32085.5</v>
      </c>
      <c r="J2743" s="28" t="s">
        <v>2668</v>
      </c>
      <c r="K2743" s="28" t="s">
        <v>467</v>
      </c>
      <c r="L2743" s="65"/>
      <c r="M2743" s="28" t="s">
        <v>825</v>
      </c>
      <c r="N2743" s="28" t="s">
        <v>370</v>
      </c>
      <c r="O2743" s="28" t="s">
        <v>371</v>
      </c>
      <c r="P2743" s="28" t="s">
        <v>2421</v>
      </c>
      <c r="Q2743" s="69" t="s">
        <v>2021</v>
      </c>
    </row>
    <row r="2744" spans="1:17" x14ac:dyDescent="0.3">
      <c r="A2744" s="67" t="s">
        <v>2669</v>
      </c>
      <c r="B2744" s="28" t="s">
        <v>2670</v>
      </c>
      <c r="C2744" s="28" t="s">
        <v>2671</v>
      </c>
      <c r="D2744" s="29">
        <v>45880</v>
      </c>
      <c r="E2744" s="29">
        <v>46295</v>
      </c>
      <c r="F2744" s="28" t="s">
        <v>1941</v>
      </c>
      <c r="G2744" s="28" t="s">
        <v>317</v>
      </c>
      <c r="H2744" s="28" t="s">
        <v>377</v>
      </c>
      <c r="I2744" s="68">
        <v>160000</v>
      </c>
      <c r="J2744" s="28" t="s">
        <v>569</v>
      </c>
      <c r="K2744" s="28" t="s">
        <v>377</v>
      </c>
      <c r="L2744" s="65"/>
      <c r="M2744" s="28" t="s">
        <v>825</v>
      </c>
      <c r="N2744" s="28" t="s">
        <v>378</v>
      </c>
      <c r="O2744" s="28" t="s">
        <v>371</v>
      </c>
      <c r="P2744" s="28" t="s">
        <v>2421</v>
      </c>
      <c r="Q2744" s="69" t="s">
        <v>1972</v>
      </c>
    </row>
    <row r="2745" spans="1:17" x14ac:dyDescent="0.3">
      <c r="A2745" s="67" t="s">
        <v>2669</v>
      </c>
      <c r="B2745" s="28" t="s">
        <v>2670</v>
      </c>
      <c r="C2745" s="28" t="s">
        <v>2671</v>
      </c>
      <c r="D2745" s="29">
        <v>45880</v>
      </c>
      <c r="E2745" s="29">
        <v>46295</v>
      </c>
      <c r="F2745" s="28" t="s">
        <v>1941</v>
      </c>
      <c r="G2745" s="28" t="s">
        <v>323</v>
      </c>
      <c r="H2745" s="28" t="s">
        <v>377</v>
      </c>
      <c r="I2745" s="68">
        <v>160000</v>
      </c>
      <c r="J2745" s="28" t="s">
        <v>569</v>
      </c>
      <c r="K2745" s="28" t="s">
        <v>377</v>
      </c>
      <c r="L2745" s="65"/>
      <c r="M2745" s="28" t="s">
        <v>825</v>
      </c>
      <c r="N2745" s="28" t="s">
        <v>378</v>
      </c>
      <c r="O2745" s="28" t="s">
        <v>371</v>
      </c>
      <c r="P2745" s="28" t="s">
        <v>2421</v>
      </c>
      <c r="Q2745" s="69" t="s">
        <v>1972</v>
      </c>
    </row>
    <row r="2746" spans="1:17" x14ac:dyDescent="0.3">
      <c r="A2746" s="67" t="s">
        <v>2669</v>
      </c>
      <c r="B2746" s="28" t="s">
        <v>2670</v>
      </c>
      <c r="C2746" s="28" t="s">
        <v>2671</v>
      </c>
      <c r="D2746" s="29">
        <v>45880</v>
      </c>
      <c r="E2746" s="29">
        <v>46295</v>
      </c>
      <c r="F2746" s="28" t="s">
        <v>1941</v>
      </c>
      <c r="G2746" s="28" t="s">
        <v>397</v>
      </c>
      <c r="H2746" s="28" t="s">
        <v>377</v>
      </c>
      <c r="I2746" s="68">
        <v>160000</v>
      </c>
      <c r="J2746" s="28" t="s">
        <v>569</v>
      </c>
      <c r="K2746" s="28" t="s">
        <v>377</v>
      </c>
      <c r="L2746" s="65"/>
      <c r="M2746" s="28" t="s">
        <v>825</v>
      </c>
      <c r="N2746" s="28" t="s">
        <v>378</v>
      </c>
      <c r="O2746" s="28" t="s">
        <v>371</v>
      </c>
      <c r="P2746" s="28" t="s">
        <v>2421</v>
      </c>
      <c r="Q2746" s="69" t="s">
        <v>1972</v>
      </c>
    </row>
    <row r="2747" spans="1:17" x14ac:dyDescent="0.3">
      <c r="A2747" s="67" t="s">
        <v>2669</v>
      </c>
      <c r="B2747" s="28" t="s">
        <v>2670</v>
      </c>
      <c r="C2747" s="28" t="s">
        <v>2671</v>
      </c>
      <c r="D2747" s="29">
        <v>45880</v>
      </c>
      <c r="E2747" s="29">
        <v>46295</v>
      </c>
      <c r="F2747" s="28" t="s">
        <v>1941</v>
      </c>
      <c r="G2747" s="28" t="s">
        <v>1329</v>
      </c>
      <c r="H2747" s="28" t="s">
        <v>377</v>
      </c>
      <c r="I2747" s="68">
        <v>160000</v>
      </c>
      <c r="J2747" s="28" t="s">
        <v>569</v>
      </c>
      <c r="K2747" s="28" t="s">
        <v>377</v>
      </c>
      <c r="L2747" s="65"/>
      <c r="M2747" s="28" t="s">
        <v>825</v>
      </c>
      <c r="N2747" s="28" t="s">
        <v>378</v>
      </c>
      <c r="O2747" s="28" t="s">
        <v>371</v>
      </c>
      <c r="P2747" s="28" t="s">
        <v>2421</v>
      </c>
      <c r="Q2747" s="69" t="s">
        <v>1972</v>
      </c>
    </row>
    <row r="2748" spans="1:17" x14ac:dyDescent="0.3">
      <c r="A2748" s="67" t="s">
        <v>2669</v>
      </c>
      <c r="B2748" s="28" t="s">
        <v>2670</v>
      </c>
      <c r="C2748" s="28" t="s">
        <v>2671</v>
      </c>
      <c r="D2748" s="29">
        <v>45880</v>
      </c>
      <c r="E2748" s="29">
        <v>46295</v>
      </c>
      <c r="F2748" s="28" t="s">
        <v>1941</v>
      </c>
      <c r="G2748" s="28" t="s">
        <v>399</v>
      </c>
      <c r="H2748" s="28" t="s">
        <v>377</v>
      </c>
      <c r="I2748" s="68">
        <v>160000</v>
      </c>
      <c r="J2748" s="28" t="s">
        <v>569</v>
      </c>
      <c r="K2748" s="28" t="s">
        <v>377</v>
      </c>
      <c r="L2748" s="65"/>
      <c r="M2748" s="28" t="s">
        <v>825</v>
      </c>
      <c r="N2748" s="28" t="s">
        <v>378</v>
      </c>
      <c r="O2748" s="28" t="s">
        <v>371</v>
      </c>
      <c r="P2748" s="28" t="s">
        <v>2421</v>
      </c>
      <c r="Q2748" s="69" t="s">
        <v>1972</v>
      </c>
    </row>
    <row r="2749" spans="1:17" x14ac:dyDescent="0.3">
      <c r="A2749" s="67" t="s">
        <v>2669</v>
      </c>
      <c r="B2749" s="28" t="s">
        <v>2670</v>
      </c>
      <c r="C2749" s="28" t="s">
        <v>2671</v>
      </c>
      <c r="D2749" s="29">
        <v>45880</v>
      </c>
      <c r="E2749" s="29">
        <v>46295</v>
      </c>
      <c r="F2749" s="28" t="s">
        <v>1930</v>
      </c>
      <c r="G2749" s="28" t="s">
        <v>810</v>
      </c>
      <c r="H2749" s="28" t="s">
        <v>377</v>
      </c>
      <c r="I2749" s="68">
        <v>200000</v>
      </c>
      <c r="J2749" s="28" t="s">
        <v>569</v>
      </c>
      <c r="K2749" s="28" t="s">
        <v>377</v>
      </c>
      <c r="L2749" s="65"/>
      <c r="M2749" s="28" t="s">
        <v>825</v>
      </c>
      <c r="N2749" s="28" t="s">
        <v>378</v>
      </c>
      <c r="O2749" s="28" t="s">
        <v>371</v>
      </c>
      <c r="P2749" s="28" t="s">
        <v>2421</v>
      </c>
      <c r="Q2749" s="69" t="s">
        <v>1972</v>
      </c>
    </row>
    <row r="2750" spans="1:17" x14ac:dyDescent="0.3">
      <c r="A2750" s="67" t="s">
        <v>2669</v>
      </c>
      <c r="B2750" s="28" t="s">
        <v>2670</v>
      </c>
      <c r="C2750" s="28" t="s">
        <v>2671</v>
      </c>
      <c r="D2750" s="29">
        <v>45880</v>
      </c>
      <c r="E2750" s="29">
        <v>46295</v>
      </c>
      <c r="F2750" s="28" t="s">
        <v>1930</v>
      </c>
      <c r="G2750" s="28" t="s">
        <v>1421</v>
      </c>
      <c r="H2750" s="28" t="s">
        <v>377</v>
      </c>
      <c r="I2750" s="68">
        <v>200000</v>
      </c>
      <c r="J2750" s="28" t="s">
        <v>569</v>
      </c>
      <c r="K2750" s="28" t="s">
        <v>377</v>
      </c>
      <c r="L2750" s="65"/>
      <c r="M2750" s="28" t="s">
        <v>825</v>
      </c>
      <c r="N2750" s="28" t="s">
        <v>378</v>
      </c>
      <c r="O2750" s="28" t="s">
        <v>371</v>
      </c>
      <c r="P2750" s="28" t="s">
        <v>2421</v>
      </c>
      <c r="Q2750" s="69" t="s">
        <v>1972</v>
      </c>
    </row>
    <row r="2751" spans="1:17" x14ac:dyDescent="0.3">
      <c r="A2751" s="67" t="s">
        <v>2669</v>
      </c>
      <c r="B2751" s="28" t="s">
        <v>2670</v>
      </c>
      <c r="C2751" s="28" t="s">
        <v>2671</v>
      </c>
      <c r="D2751" s="29">
        <v>45880</v>
      </c>
      <c r="E2751" s="29">
        <v>46295</v>
      </c>
      <c r="F2751" s="28" t="s">
        <v>1930</v>
      </c>
      <c r="G2751" s="28" t="s">
        <v>572</v>
      </c>
      <c r="H2751" s="28" t="s">
        <v>377</v>
      </c>
      <c r="I2751" s="68">
        <v>200000</v>
      </c>
      <c r="J2751" s="28" t="s">
        <v>569</v>
      </c>
      <c r="K2751" s="28" t="s">
        <v>377</v>
      </c>
      <c r="L2751" s="65"/>
      <c r="M2751" s="28" t="s">
        <v>825</v>
      </c>
      <c r="N2751" s="28" t="s">
        <v>378</v>
      </c>
      <c r="O2751" s="28" t="s">
        <v>371</v>
      </c>
      <c r="P2751" s="28" t="s">
        <v>2421</v>
      </c>
      <c r="Q2751" s="69" t="s">
        <v>1972</v>
      </c>
    </row>
    <row r="2752" spans="1:17" x14ac:dyDescent="0.3">
      <c r="A2752" s="67" t="s">
        <v>2669</v>
      </c>
      <c r="B2752" s="28" t="s">
        <v>2670</v>
      </c>
      <c r="C2752" s="28" t="s">
        <v>2671</v>
      </c>
      <c r="D2752" s="29">
        <v>45880</v>
      </c>
      <c r="E2752" s="29">
        <v>46295</v>
      </c>
      <c r="F2752" s="28" t="s">
        <v>1930</v>
      </c>
      <c r="G2752" s="28" t="s">
        <v>511</v>
      </c>
      <c r="H2752" s="28" t="s">
        <v>377</v>
      </c>
      <c r="I2752" s="68">
        <v>200000</v>
      </c>
      <c r="J2752" s="28" t="s">
        <v>569</v>
      </c>
      <c r="K2752" s="28" t="s">
        <v>377</v>
      </c>
      <c r="L2752" s="65"/>
      <c r="M2752" s="28" t="s">
        <v>825</v>
      </c>
      <c r="N2752" s="28" t="s">
        <v>378</v>
      </c>
      <c r="O2752" s="28" t="s">
        <v>371</v>
      </c>
      <c r="P2752" s="28" t="s">
        <v>2421</v>
      </c>
      <c r="Q2752" s="69" t="s">
        <v>1972</v>
      </c>
    </row>
    <row r="2753" spans="1:17" x14ac:dyDescent="0.3">
      <c r="A2753" s="67" t="s">
        <v>2669</v>
      </c>
      <c r="B2753" s="28" t="s">
        <v>2670</v>
      </c>
      <c r="C2753" s="28" t="s">
        <v>2671</v>
      </c>
      <c r="D2753" s="29">
        <v>45880</v>
      </c>
      <c r="E2753" s="29">
        <v>46295</v>
      </c>
      <c r="F2753" s="28" t="s">
        <v>1922</v>
      </c>
      <c r="G2753" s="28" t="s">
        <v>380</v>
      </c>
      <c r="H2753" s="28" t="s">
        <v>377</v>
      </c>
      <c r="I2753" s="68">
        <v>800000</v>
      </c>
      <c r="J2753" s="28" t="s">
        <v>569</v>
      </c>
      <c r="K2753" s="28" t="s">
        <v>377</v>
      </c>
      <c r="L2753" s="65"/>
      <c r="M2753" s="28" t="s">
        <v>825</v>
      </c>
      <c r="N2753" s="28" t="s">
        <v>378</v>
      </c>
      <c r="O2753" s="28" t="s">
        <v>371</v>
      </c>
      <c r="P2753" s="28" t="s">
        <v>2421</v>
      </c>
      <c r="Q2753" s="69" t="s">
        <v>1972</v>
      </c>
    </row>
    <row r="2754" spans="1:17" x14ac:dyDescent="0.3">
      <c r="A2754" s="67" t="s">
        <v>2669</v>
      </c>
      <c r="B2754" s="28" t="s">
        <v>2670</v>
      </c>
      <c r="C2754" s="28" t="s">
        <v>2671</v>
      </c>
      <c r="D2754" s="29">
        <v>45880</v>
      </c>
      <c r="E2754" s="29">
        <v>46295</v>
      </c>
      <c r="F2754" s="28" t="s">
        <v>1959</v>
      </c>
      <c r="G2754" s="28" t="s">
        <v>587</v>
      </c>
      <c r="H2754" s="28" t="s">
        <v>377</v>
      </c>
      <c r="I2754" s="68">
        <v>800000</v>
      </c>
      <c r="J2754" s="28" t="s">
        <v>569</v>
      </c>
      <c r="K2754" s="28" t="s">
        <v>377</v>
      </c>
      <c r="L2754" s="65"/>
      <c r="M2754" s="28" t="s">
        <v>825</v>
      </c>
      <c r="N2754" s="28" t="s">
        <v>378</v>
      </c>
      <c r="O2754" s="28" t="s">
        <v>371</v>
      </c>
      <c r="P2754" s="28" t="s">
        <v>2421</v>
      </c>
      <c r="Q2754" s="69" t="s">
        <v>1972</v>
      </c>
    </row>
    <row r="2755" spans="1:17" x14ac:dyDescent="0.3">
      <c r="A2755" s="67" t="s">
        <v>2669</v>
      </c>
      <c r="B2755" s="28" t="s">
        <v>2670</v>
      </c>
      <c r="C2755" s="28" t="s">
        <v>2671</v>
      </c>
      <c r="D2755" s="29">
        <v>45880</v>
      </c>
      <c r="E2755" s="29">
        <v>46295</v>
      </c>
      <c r="F2755" s="28" t="s">
        <v>1945</v>
      </c>
      <c r="G2755" s="28" t="s">
        <v>402</v>
      </c>
      <c r="H2755" s="28" t="s">
        <v>377</v>
      </c>
      <c r="I2755" s="68">
        <v>800000</v>
      </c>
      <c r="J2755" s="28" t="s">
        <v>569</v>
      </c>
      <c r="K2755" s="28" t="s">
        <v>377</v>
      </c>
      <c r="L2755" s="65"/>
      <c r="M2755" s="28" t="s">
        <v>825</v>
      </c>
      <c r="N2755" s="28" t="s">
        <v>378</v>
      </c>
      <c r="O2755" s="28" t="s">
        <v>371</v>
      </c>
      <c r="P2755" s="28" t="s">
        <v>2421</v>
      </c>
      <c r="Q2755" s="69" t="s">
        <v>1972</v>
      </c>
    </row>
    <row r="2756" spans="1:17" x14ac:dyDescent="0.3">
      <c r="A2756" s="67" t="s">
        <v>2672</v>
      </c>
      <c r="B2756" s="28" t="s">
        <v>2673</v>
      </c>
      <c r="C2756" s="28" t="s">
        <v>2674</v>
      </c>
      <c r="D2756" s="29">
        <v>45673</v>
      </c>
      <c r="E2756" s="29">
        <v>46037</v>
      </c>
      <c r="F2756" s="28" t="s">
        <v>1938</v>
      </c>
      <c r="G2756" s="28" t="s">
        <v>505</v>
      </c>
      <c r="H2756" s="28" t="s">
        <v>443</v>
      </c>
      <c r="I2756" s="68">
        <v>71751.240000000005</v>
      </c>
      <c r="J2756" s="28" t="s">
        <v>1525</v>
      </c>
      <c r="K2756" s="28" t="s">
        <v>377</v>
      </c>
      <c r="L2756" s="65"/>
      <c r="M2756" s="28" t="s">
        <v>825</v>
      </c>
      <c r="N2756" s="28" t="s">
        <v>579</v>
      </c>
      <c r="O2756" s="28" t="s">
        <v>428</v>
      </c>
      <c r="P2756" s="28" t="s">
        <v>2421</v>
      </c>
      <c r="Q2756" s="69" t="s">
        <v>2021</v>
      </c>
    </row>
    <row r="2757" spans="1:17" x14ac:dyDescent="0.3">
      <c r="A2757" s="67" t="s">
        <v>2672</v>
      </c>
      <c r="B2757" s="28" t="s">
        <v>2673</v>
      </c>
      <c r="C2757" s="28" t="s">
        <v>2674</v>
      </c>
      <c r="D2757" s="29">
        <v>45673</v>
      </c>
      <c r="E2757" s="29">
        <v>46037</v>
      </c>
      <c r="F2757" s="28" t="s">
        <v>1938</v>
      </c>
      <c r="G2757" s="28" t="s">
        <v>506</v>
      </c>
      <c r="H2757" s="28" t="s">
        <v>443</v>
      </c>
      <c r="I2757" s="68">
        <v>71751.240000000005</v>
      </c>
      <c r="J2757" s="28" t="s">
        <v>1525</v>
      </c>
      <c r="K2757" s="28" t="s">
        <v>377</v>
      </c>
      <c r="L2757" s="65"/>
      <c r="M2757" s="28" t="s">
        <v>825</v>
      </c>
      <c r="N2757" s="28" t="s">
        <v>579</v>
      </c>
      <c r="O2757" s="28" t="s">
        <v>428</v>
      </c>
      <c r="P2757" s="28" t="s">
        <v>2421</v>
      </c>
      <c r="Q2757" s="69" t="s">
        <v>2021</v>
      </c>
    </row>
    <row r="2758" spans="1:17" x14ac:dyDescent="0.3">
      <c r="A2758" s="67" t="s">
        <v>2672</v>
      </c>
      <c r="B2758" s="28" t="s">
        <v>2673</v>
      </c>
      <c r="C2758" s="28" t="s">
        <v>2674</v>
      </c>
      <c r="D2758" s="29">
        <v>45673</v>
      </c>
      <c r="E2758" s="29">
        <v>46037</v>
      </c>
      <c r="F2758" s="28" t="s">
        <v>1941</v>
      </c>
      <c r="G2758" s="28" t="s">
        <v>495</v>
      </c>
      <c r="H2758" s="28" t="s">
        <v>443</v>
      </c>
      <c r="I2758" s="68">
        <v>143502.48000000001</v>
      </c>
      <c r="J2758" s="28" t="s">
        <v>1525</v>
      </c>
      <c r="K2758" s="28" t="s">
        <v>377</v>
      </c>
      <c r="L2758" s="65"/>
      <c r="M2758" s="28" t="s">
        <v>825</v>
      </c>
      <c r="N2758" s="28" t="s">
        <v>579</v>
      </c>
      <c r="O2758" s="28" t="s">
        <v>428</v>
      </c>
      <c r="P2758" s="28" t="s">
        <v>2421</v>
      </c>
      <c r="Q2758" s="69" t="s">
        <v>2021</v>
      </c>
    </row>
    <row r="2759" spans="1:17" x14ac:dyDescent="0.3">
      <c r="A2759" s="67" t="s">
        <v>2675</v>
      </c>
      <c r="B2759" s="28" t="s">
        <v>2676</v>
      </c>
      <c r="C2759" s="28" t="s">
        <v>2677</v>
      </c>
      <c r="D2759" s="29">
        <v>45936</v>
      </c>
      <c r="E2759" s="29">
        <v>46660</v>
      </c>
      <c r="F2759" s="28" t="s">
        <v>1936</v>
      </c>
      <c r="G2759" s="28" t="s">
        <v>746</v>
      </c>
      <c r="H2759" s="28" t="s">
        <v>360</v>
      </c>
      <c r="I2759" s="68">
        <v>1579689.12</v>
      </c>
      <c r="J2759" s="28" t="s">
        <v>662</v>
      </c>
      <c r="K2759" s="28" t="s">
        <v>360</v>
      </c>
      <c r="L2759" s="65"/>
      <c r="M2759" s="28" t="s">
        <v>825</v>
      </c>
      <c r="N2759" s="28" t="s">
        <v>558</v>
      </c>
      <c r="O2759" s="28" t="s">
        <v>426</v>
      </c>
      <c r="P2759" s="28" t="s">
        <v>2421</v>
      </c>
      <c r="Q2759" s="69" t="s">
        <v>1970</v>
      </c>
    </row>
    <row r="2760" spans="1:17" x14ac:dyDescent="0.3">
      <c r="A2760" s="67" t="s">
        <v>2675</v>
      </c>
      <c r="B2760" s="28" t="s">
        <v>2676</v>
      </c>
      <c r="C2760" s="28" t="s">
        <v>2677</v>
      </c>
      <c r="D2760" s="29">
        <v>45936</v>
      </c>
      <c r="E2760" s="29">
        <v>46660</v>
      </c>
      <c r="F2760" s="28" t="s">
        <v>1936</v>
      </c>
      <c r="G2760" s="28" t="s">
        <v>798</v>
      </c>
      <c r="H2760" s="28" t="s">
        <v>360</v>
      </c>
      <c r="I2760" s="68">
        <v>1579689.12</v>
      </c>
      <c r="J2760" s="28" t="s">
        <v>662</v>
      </c>
      <c r="K2760" s="28" t="s">
        <v>360</v>
      </c>
      <c r="L2760" s="65"/>
      <c r="M2760" s="28" t="s">
        <v>825</v>
      </c>
      <c r="N2760" s="28" t="s">
        <v>558</v>
      </c>
      <c r="O2760" s="28" t="s">
        <v>426</v>
      </c>
      <c r="P2760" s="28" t="s">
        <v>2421</v>
      </c>
      <c r="Q2760" s="69" t="s">
        <v>1970</v>
      </c>
    </row>
    <row r="2761" spans="1:17" x14ac:dyDescent="0.3">
      <c r="A2761" s="67" t="s">
        <v>2675</v>
      </c>
      <c r="B2761" s="28" t="s">
        <v>2676</v>
      </c>
      <c r="C2761" s="28" t="s">
        <v>2677</v>
      </c>
      <c r="D2761" s="29">
        <v>45936</v>
      </c>
      <c r="E2761" s="29">
        <v>46660</v>
      </c>
      <c r="F2761" s="28" t="s">
        <v>1936</v>
      </c>
      <c r="G2761" s="28" t="s">
        <v>414</v>
      </c>
      <c r="H2761" s="28" t="s">
        <v>360</v>
      </c>
      <c r="I2761" s="68">
        <v>1579689.12</v>
      </c>
      <c r="J2761" s="28" t="s">
        <v>662</v>
      </c>
      <c r="K2761" s="28" t="s">
        <v>360</v>
      </c>
      <c r="L2761" s="65"/>
      <c r="M2761" s="28" t="s">
        <v>825</v>
      </c>
      <c r="N2761" s="28" t="s">
        <v>558</v>
      </c>
      <c r="O2761" s="28" t="s">
        <v>426</v>
      </c>
      <c r="P2761" s="28" t="s">
        <v>2421</v>
      </c>
      <c r="Q2761" s="69" t="s">
        <v>1970</v>
      </c>
    </row>
    <row r="2762" spans="1:17" x14ac:dyDescent="0.3">
      <c r="A2762" s="67" t="s">
        <v>2678</v>
      </c>
      <c r="B2762" s="28" t="s">
        <v>2679</v>
      </c>
      <c r="C2762" s="28" t="s">
        <v>2680</v>
      </c>
      <c r="D2762" s="29">
        <v>45793</v>
      </c>
      <c r="E2762" s="29">
        <v>46583</v>
      </c>
      <c r="F2762" s="28" t="s">
        <v>1922</v>
      </c>
      <c r="G2762" s="28" t="s">
        <v>349</v>
      </c>
      <c r="H2762" s="28" t="s">
        <v>521</v>
      </c>
      <c r="I2762" s="68">
        <v>743699.33333333302</v>
      </c>
      <c r="J2762" s="28" t="s">
        <v>2681</v>
      </c>
      <c r="K2762" s="28" t="s">
        <v>521</v>
      </c>
      <c r="L2762" s="65"/>
      <c r="M2762" s="28" t="s">
        <v>2443</v>
      </c>
      <c r="N2762" s="28" t="s">
        <v>640</v>
      </c>
      <c r="O2762" s="28" t="s">
        <v>417</v>
      </c>
      <c r="P2762" s="28" t="s">
        <v>2421</v>
      </c>
      <c r="Q2762" s="69" t="s">
        <v>2021</v>
      </c>
    </row>
    <row r="2763" spans="1:17" x14ac:dyDescent="0.3">
      <c r="A2763" s="67" t="s">
        <v>2678</v>
      </c>
      <c r="B2763" s="28" t="s">
        <v>2679</v>
      </c>
      <c r="C2763" s="28" t="s">
        <v>2680</v>
      </c>
      <c r="D2763" s="29">
        <v>45793</v>
      </c>
      <c r="E2763" s="29">
        <v>46583</v>
      </c>
      <c r="F2763" s="28" t="s">
        <v>1922</v>
      </c>
      <c r="G2763" s="28" t="s">
        <v>380</v>
      </c>
      <c r="H2763" s="28" t="s">
        <v>521</v>
      </c>
      <c r="I2763" s="68">
        <v>743699.33333333302</v>
      </c>
      <c r="J2763" s="28" t="s">
        <v>2681</v>
      </c>
      <c r="K2763" s="28" t="s">
        <v>521</v>
      </c>
      <c r="L2763" s="65"/>
      <c r="M2763" s="28" t="s">
        <v>2443</v>
      </c>
      <c r="N2763" s="28" t="s">
        <v>640</v>
      </c>
      <c r="O2763" s="28" t="s">
        <v>417</v>
      </c>
      <c r="P2763" s="28" t="s">
        <v>2421</v>
      </c>
      <c r="Q2763" s="69" t="s">
        <v>2021</v>
      </c>
    </row>
    <row r="2764" spans="1:17" x14ac:dyDescent="0.3">
      <c r="A2764" s="67" t="s">
        <v>2678</v>
      </c>
      <c r="B2764" s="28" t="s">
        <v>2679</v>
      </c>
      <c r="C2764" s="28" t="s">
        <v>2680</v>
      </c>
      <c r="D2764" s="29">
        <v>45793</v>
      </c>
      <c r="E2764" s="29">
        <v>46583</v>
      </c>
      <c r="F2764" s="28" t="s">
        <v>1922</v>
      </c>
      <c r="G2764" s="28" t="s">
        <v>643</v>
      </c>
      <c r="H2764" s="28" t="s">
        <v>521</v>
      </c>
      <c r="I2764" s="68">
        <v>743699.33333333302</v>
      </c>
      <c r="J2764" s="28" t="s">
        <v>2681</v>
      </c>
      <c r="K2764" s="28" t="s">
        <v>521</v>
      </c>
      <c r="L2764" s="65"/>
      <c r="M2764" s="28" t="s">
        <v>2443</v>
      </c>
      <c r="N2764" s="28" t="s">
        <v>640</v>
      </c>
      <c r="O2764" s="28" t="s">
        <v>417</v>
      </c>
      <c r="P2764" s="28" t="s">
        <v>2421</v>
      </c>
      <c r="Q2764" s="69" t="s">
        <v>2021</v>
      </c>
    </row>
    <row r="2765" spans="1:17" x14ac:dyDescent="0.3">
      <c r="A2765" s="67" t="s">
        <v>2678</v>
      </c>
      <c r="B2765" s="28" t="s">
        <v>2679</v>
      </c>
      <c r="C2765" s="28" t="s">
        <v>2680</v>
      </c>
      <c r="D2765" s="29">
        <v>45793</v>
      </c>
      <c r="E2765" s="29">
        <v>46583</v>
      </c>
      <c r="F2765" s="28" t="s">
        <v>1922</v>
      </c>
      <c r="G2765" s="28" t="s">
        <v>889</v>
      </c>
      <c r="H2765" s="28" t="s">
        <v>521</v>
      </c>
      <c r="I2765" s="68">
        <v>743699.33333333302</v>
      </c>
      <c r="J2765" s="28" t="s">
        <v>2681</v>
      </c>
      <c r="K2765" s="28" t="s">
        <v>521</v>
      </c>
      <c r="L2765" s="65"/>
      <c r="M2765" s="28" t="s">
        <v>2443</v>
      </c>
      <c r="N2765" s="28" t="s">
        <v>640</v>
      </c>
      <c r="O2765" s="28" t="s">
        <v>417</v>
      </c>
      <c r="P2765" s="28" t="s">
        <v>2421</v>
      </c>
      <c r="Q2765" s="69" t="s">
        <v>2021</v>
      </c>
    </row>
    <row r="2766" spans="1:17" x14ac:dyDescent="0.3">
      <c r="A2766" s="67" t="s">
        <v>2678</v>
      </c>
      <c r="B2766" s="28" t="s">
        <v>2679</v>
      </c>
      <c r="C2766" s="28" t="s">
        <v>2680</v>
      </c>
      <c r="D2766" s="29">
        <v>45793</v>
      </c>
      <c r="E2766" s="29">
        <v>46583</v>
      </c>
      <c r="F2766" s="28" t="s">
        <v>1922</v>
      </c>
      <c r="G2766" s="28" t="s">
        <v>1578</v>
      </c>
      <c r="H2766" s="28" t="s">
        <v>521</v>
      </c>
      <c r="I2766" s="68">
        <v>743699.33333333302</v>
      </c>
      <c r="J2766" s="28" t="s">
        <v>2681</v>
      </c>
      <c r="K2766" s="28" t="s">
        <v>521</v>
      </c>
      <c r="L2766" s="65"/>
      <c r="M2766" s="28" t="s">
        <v>2443</v>
      </c>
      <c r="N2766" s="28" t="s">
        <v>640</v>
      </c>
      <c r="O2766" s="28" t="s">
        <v>417</v>
      </c>
      <c r="P2766" s="28" t="s">
        <v>2421</v>
      </c>
      <c r="Q2766" s="69" t="s">
        <v>2021</v>
      </c>
    </row>
    <row r="2767" spans="1:17" x14ac:dyDescent="0.3">
      <c r="A2767" s="67" t="s">
        <v>2678</v>
      </c>
      <c r="B2767" s="28" t="s">
        <v>2679</v>
      </c>
      <c r="C2767" s="28" t="s">
        <v>2680</v>
      </c>
      <c r="D2767" s="29">
        <v>45793</v>
      </c>
      <c r="E2767" s="29">
        <v>46583</v>
      </c>
      <c r="F2767" s="28" t="s">
        <v>1922</v>
      </c>
      <c r="G2767" s="28" t="s">
        <v>553</v>
      </c>
      <c r="H2767" s="28" t="s">
        <v>521</v>
      </c>
      <c r="I2767" s="68">
        <v>743699.33333333302</v>
      </c>
      <c r="J2767" s="28" t="s">
        <v>2681</v>
      </c>
      <c r="K2767" s="28" t="s">
        <v>521</v>
      </c>
      <c r="L2767" s="65"/>
      <c r="M2767" s="28" t="s">
        <v>2443</v>
      </c>
      <c r="N2767" s="28" t="s">
        <v>640</v>
      </c>
      <c r="O2767" s="28" t="s">
        <v>417</v>
      </c>
      <c r="P2767" s="28" t="s">
        <v>2421</v>
      </c>
      <c r="Q2767" s="69" t="s">
        <v>2021</v>
      </c>
    </row>
    <row r="2768" spans="1:17" x14ac:dyDescent="0.3">
      <c r="A2768" s="67" t="s">
        <v>2682</v>
      </c>
      <c r="B2768" s="28" t="s">
        <v>2683</v>
      </c>
      <c r="C2768" s="28" t="s">
        <v>2684</v>
      </c>
      <c r="D2768" s="29">
        <v>45964</v>
      </c>
      <c r="E2768" s="29">
        <v>46633</v>
      </c>
      <c r="F2768" s="28" t="s">
        <v>350</v>
      </c>
      <c r="G2768" s="28" t="s">
        <v>350</v>
      </c>
      <c r="H2768" s="28" t="s">
        <v>467</v>
      </c>
      <c r="I2768" s="68">
        <v>583374</v>
      </c>
      <c r="J2768" s="28" t="s">
        <v>468</v>
      </c>
      <c r="K2768" s="28" t="s">
        <v>467</v>
      </c>
      <c r="L2768" s="65"/>
      <c r="M2768" s="28" t="s">
        <v>2465</v>
      </c>
      <c r="N2768" s="28" t="s">
        <v>639</v>
      </c>
      <c r="O2768" s="28" t="s">
        <v>371</v>
      </c>
      <c r="P2768" s="28" t="s">
        <v>2421</v>
      </c>
      <c r="Q2768" s="69" t="s">
        <v>1979</v>
      </c>
    </row>
    <row r="2769" spans="1:17" x14ac:dyDescent="0.3">
      <c r="A2769" s="67" t="s">
        <v>2685</v>
      </c>
      <c r="B2769" s="28" t="s">
        <v>2686</v>
      </c>
      <c r="C2769" s="28" t="s">
        <v>1222</v>
      </c>
      <c r="D2769" s="29">
        <v>45784</v>
      </c>
      <c r="E2769" s="29">
        <v>46142</v>
      </c>
      <c r="F2769" s="28" t="s">
        <v>287</v>
      </c>
      <c r="G2769" s="28" t="s">
        <v>590</v>
      </c>
      <c r="H2769" s="28" t="s">
        <v>373</v>
      </c>
      <c r="I2769" s="68">
        <v>102307.45</v>
      </c>
      <c r="J2769" s="28" t="s">
        <v>373</v>
      </c>
      <c r="K2769" s="28" t="s">
        <v>1693</v>
      </c>
      <c r="L2769" s="65"/>
      <c r="M2769" s="28" t="s">
        <v>2443</v>
      </c>
      <c r="N2769" s="28" t="s">
        <v>2424</v>
      </c>
      <c r="O2769" s="28" t="s">
        <v>426</v>
      </c>
      <c r="P2769" s="28" t="s">
        <v>2421</v>
      </c>
      <c r="Q2769" s="69" t="s">
        <v>2021</v>
      </c>
    </row>
    <row r="2770" spans="1:17" x14ac:dyDescent="0.3">
      <c r="A2770" s="67" t="s">
        <v>2685</v>
      </c>
      <c r="B2770" s="28" t="s">
        <v>2686</v>
      </c>
      <c r="C2770" s="28" t="s">
        <v>1222</v>
      </c>
      <c r="D2770" s="29">
        <v>45784</v>
      </c>
      <c r="E2770" s="29">
        <v>46142</v>
      </c>
      <c r="F2770" s="28" t="s">
        <v>287</v>
      </c>
      <c r="G2770" s="28" t="s">
        <v>591</v>
      </c>
      <c r="H2770" s="28" t="s">
        <v>373</v>
      </c>
      <c r="I2770" s="68">
        <v>102307.45</v>
      </c>
      <c r="J2770" s="28" t="s">
        <v>373</v>
      </c>
      <c r="K2770" s="28" t="s">
        <v>1693</v>
      </c>
      <c r="L2770" s="65"/>
      <c r="M2770" s="28" t="s">
        <v>2443</v>
      </c>
      <c r="N2770" s="28" t="s">
        <v>2424</v>
      </c>
      <c r="O2770" s="28" t="s">
        <v>426</v>
      </c>
      <c r="P2770" s="28" t="s">
        <v>2421</v>
      </c>
      <c r="Q2770" s="69" t="s">
        <v>2021</v>
      </c>
    </row>
    <row r="2771" spans="1:17" x14ac:dyDescent="0.3">
      <c r="A2771" s="67" t="s">
        <v>2685</v>
      </c>
      <c r="B2771" s="28" t="s">
        <v>2686</v>
      </c>
      <c r="C2771" s="28" t="s">
        <v>1222</v>
      </c>
      <c r="D2771" s="29">
        <v>45784</v>
      </c>
      <c r="E2771" s="29">
        <v>46142</v>
      </c>
      <c r="F2771" s="28" t="s">
        <v>287</v>
      </c>
      <c r="G2771" s="28" t="s">
        <v>395</v>
      </c>
      <c r="H2771" s="28" t="s">
        <v>373</v>
      </c>
      <c r="I2771" s="68">
        <v>102307.45</v>
      </c>
      <c r="J2771" s="28" t="s">
        <v>373</v>
      </c>
      <c r="K2771" s="28" t="s">
        <v>1693</v>
      </c>
      <c r="L2771" s="65"/>
      <c r="M2771" s="28" t="s">
        <v>2443</v>
      </c>
      <c r="N2771" s="28" t="s">
        <v>2424</v>
      </c>
      <c r="O2771" s="28" t="s">
        <v>426</v>
      </c>
      <c r="P2771" s="28" t="s">
        <v>2421</v>
      </c>
      <c r="Q2771" s="69" t="s">
        <v>2021</v>
      </c>
    </row>
    <row r="2772" spans="1:17" x14ac:dyDescent="0.3">
      <c r="A2772" s="67" t="s">
        <v>2685</v>
      </c>
      <c r="B2772" s="28" t="s">
        <v>2686</v>
      </c>
      <c r="C2772" s="28" t="s">
        <v>1222</v>
      </c>
      <c r="D2772" s="29">
        <v>45784</v>
      </c>
      <c r="E2772" s="29">
        <v>46142</v>
      </c>
      <c r="F2772" s="28" t="s">
        <v>287</v>
      </c>
      <c r="G2772" s="28" t="s">
        <v>396</v>
      </c>
      <c r="H2772" s="28" t="s">
        <v>373</v>
      </c>
      <c r="I2772" s="68">
        <v>102307.45</v>
      </c>
      <c r="J2772" s="28" t="s">
        <v>373</v>
      </c>
      <c r="K2772" s="28" t="s">
        <v>1693</v>
      </c>
      <c r="L2772" s="65"/>
      <c r="M2772" s="28" t="s">
        <v>2443</v>
      </c>
      <c r="N2772" s="28" t="s">
        <v>2424</v>
      </c>
      <c r="O2772" s="28" t="s">
        <v>426</v>
      </c>
      <c r="P2772" s="28" t="s">
        <v>2421</v>
      </c>
      <c r="Q2772" s="69" t="s">
        <v>2021</v>
      </c>
    </row>
    <row r="2773" spans="1:17" x14ac:dyDescent="0.3">
      <c r="A2773" s="67" t="s">
        <v>2685</v>
      </c>
      <c r="B2773" s="28" t="s">
        <v>2686</v>
      </c>
      <c r="C2773" s="28" t="s">
        <v>1222</v>
      </c>
      <c r="D2773" s="29">
        <v>45784</v>
      </c>
      <c r="E2773" s="29">
        <v>46142</v>
      </c>
      <c r="F2773" s="28" t="s">
        <v>287</v>
      </c>
      <c r="G2773" s="28" t="s">
        <v>697</v>
      </c>
      <c r="H2773" s="28" t="s">
        <v>373</v>
      </c>
      <c r="I2773" s="68">
        <v>102307.45</v>
      </c>
      <c r="J2773" s="28" t="s">
        <v>373</v>
      </c>
      <c r="K2773" s="28" t="s">
        <v>1693</v>
      </c>
      <c r="L2773" s="65"/>
      <c r="M2773" s="28" t="s">
        <v>2443</v>
      </c>
      <c r="N2773" s="28" t="s">
        <v>2424</v>
      </c>
      <c r="O2773" s="28" t="s">
        <v>426</v>
      </c>
      <c r="P2773" s="28" t="s">
        <v>2421</v>
      </c>
      <c r="Q2773" s="69" t="s">
        <v>2021</v>
      </c>
    </row>
    <row r="2774" spans="1:17" x14ac:dyDescent="0.3">
      <c r="A2774" s="67" t="s">
        <v>2685</v>
      </c>
      <c r="B2774" s="28" t="s">
        <v>2686</v>
      </c>
      <c r="C2774" s="28" t="s">
        <v>1222</v>
      </c>
      <c r="D2774" s="29">
        <v>45784</v>
      </c>
      <c r="E2774" s="29">
        <v>46142</v>
      </c>
      <c r="F2774" s="28" t="s">
        <v>1936</v>
      </c>
      <c r="G2774" s="28" t="s">
        <v>602</v>
      </c>
      <c r="H2774" s="28" t="s">
        <v>373</v>
      </c>
      <c r="I2774" s="68">
        <v>170512.41666666701</v>
      </c>
      <c r="J2774" s="28" t="s">
        <v>373</v>
      </c>
      <c r="K2774" s="28" t="s">
        <v>1693</v>
      </c>
      <c r="L2774" s="65"/>
      <c r="M2774" s="28" t="s">
        <v>2443</v>
      </c>
      <c r="N2774" s="28" t="s">
        <v>2424</v>
      </c>
      <c r="O2774" s="28" t="s">
        <v>426</v>
      </c>
      <c r="P2774" s="28" t="s">
        <v>2421</v>
      </c>
      <c r="Q2774" s="69" t="s">
        <v>2021</v>
      </c>
    </row>
    <row r="2775" spans="1:17" x14ac:dyDescent="0.3">
      <c r="A2775" s="67" t="s">
        <v>2685</v>
      </c>
      <c r="B2775" s="28" t="s">
        <v>2686</v>
      </c>
      <c r="C2775" s="28" t="s">
        <v>1222</v>
      </c>
      <c r="D2775" s="29">
        <v>45784</v>
      </c>
      <c r="E2775" s="29">
        <v>46142</v>
      </c>
      <c r="F2775" s="28" t="s">
        <v>1936</v>
      </c>
      <c r="G2775" s="28" t="s">
        <v>746</v>
      </c>
      <c r="H2775" s="28" t="s">
        <v>373</v>
      </c>
      <c r="I2775" s="68">
        <v>170512.41666666701</v>
      </c>
      <c r="J2775" s="28" t="s">
        <v>373</v>
      </c>
      <c r="K2775" s="28" t="s">
        <v>1693</v>
      </c>
      <c r="L2775" s="65"/>
      <c r="M2775" s="28" t="s">
        <v>2443</v>
      </c>
      <c r="N2775" s="28" t="s">
        <v>2424</v>
      </c>
      <c r="O2775" s="28" t="s">
        <v>426</v>
      </c>
      <c r="P2775" s="28" t="s">
        <v>2421</v>
      </c>
      <c r="Q2775" s="69" t="s">
        <v>2021</v>
      </c>
    </row>
    <row r="2776" spans="1:17" x14ac:dyDescent="0.3">
      <c r="A2776" s="67" t="s">
        <v>2685</v>
      </c>
      <c r="B2776" s="28" t="s">
        <v>2686</v>
      </c>
      <c r="C2776" s="28" t="s">
        <v>1222</v>
      </c>
      <c r="D2776" s="29">
        <v>45784</v>
      </c>
      <c r="E2776" s="29">
        <v>46142</v>
      </c>
      <c r="F2776" s="28" t="s">
        <v>1936</v>
      </c>
      <c r="G2776" s="28" t="s">
        <v>1223</v>
      </c>
      <c r="H2776" s="28" t="s">
        <v>373</v>
      </c>
      <c r="I2776" s="68">
        <v>170512.41666666701</v>
      </c>
      <c r="J2776" s="28" t="s">
        <v>373</v>
      </c>
      <c r="K2776" s="28" t="s">
        <v>1693</v>
      </c>
      <c r="L2776" s="65"/>
      <c r="M2776" s="28" t="s">
        <v>2443</v>
      </c>
      <c r="N2776" s="28" t="s">
        <v>2424</v>
      </c>
      <c r="O2776" s="28" t="s">
        <v>426</v>
      </c>
      <c r="P2776" s="28" t="s">
        <v>2421</v>
      </c>
      <c r="Q2776" s="69" t="s">
        <v>2021</v>
      </c>
    </row>
    <row r="2777" spans="1:17" x14ac:dyDescent="0.3">
      <c r="A2777" s="67" t="s">
        <v>2685</v>
      </c>
      <c r="B2777" s="28" t="s">
        <v>2686</v>
      </c>
      <c r="C2777" s="28" t="s">
        <v>1222</v>
      </c>
      <c r="D2777" s="29">
        <v>45784</v>
      </c>
      <c r="E2777" s="29">
        <v>46142</v>
      </c>
      <c r="F2777" s="28" t="s">
        <v>1959</v>
      </c>
      <c r="G2777" s="28" t="s">
        <v>466</v>
      </c>
      <c r="H2777" s="28" t="s">
        <v>373</v>
      </c>
      <c r="I2777" s="68">
        <v>255768.625</v>
      </c>
      <c r="J2777" s="28" t="s">
        <v>373</v>
      </c>
      <c r="K2777" s="28" t="s">
        <v>1693</v>
      </c>
      <c r="L2777" s="65"/>
      <c r="M2777" s="28" t="s">
        <v>2443</v>
      </c>
      <c r="N2777" s="28" t="s">
        <v>2424</v>
      </c>
      <c r="O2777" s="28" t="s">
        <v>426</v>
      </c>
      <c r="P2777" s="28" t="s">
        <v>2421</v>
      </c>
      <c r="Q2777" s="69" t="s">
        <v>2021</v>
      </c>
    </row>
    <row r="2778" spans="1:17" x14ac:dyDescent="0.3">
      <c r="A2778" s="67" t="s">
        <v>2685</v>
      </c>
      <c r="B2778" s="28" t="s">
        <v>2686</v>
      </c>
      <c r="C2778" s="28" t="s">
        <v>1222</v>
      </c>
      <c r="D2778" s="29">
        <v>45784</v>
      </c>
      <c r="E2778" s="29">
        <v>46142</v>
      </c>
      <c r="F2778" s="28" t="s">
        <v>1959</v>
      </c>
      <c r="G2778" s="28" t="s">
        <v>808</v>
      </c>
      <c r="H2778" s="28" t="s">
        <v>373</v>
      </c>
      <c r="I2778" s="68">
        <v>255768.625</v>
      </c>
      <c r="J2778" s="28" t="s">
        <v>373</v>
      </c>
      <c r="K2778" s="28" t="s">
        <v>1693</v>
      </c>
      <c r="L2778" s="65"/>
      <c r="M2778" s="28" t="s">
        <v>2443</v>
      </c>
      <c r="N2778" s="28" t="s">
        <v>2424</v>
      </c>
      <c r="O2778" s="28" t="s">
        <v>426</v>
      </c>
      <c r="P2778" s="28" t="s">
        <v>2421</v>
      </c>
      <c r="Q2778" s="69" t="s">
        <v>2021</v>
      </c>
    </row>
    <row r="2779" spans="1:17" x14ac:dyDescent="0.3">
      <c r="A2779" s="67" t="s">
        <v>2685</v>
      </c>
      <c r="B2779" s="28" t="s">
        <v>2686</v>
      </c>
      <c r="C2779" s="28" t="s">
        <v>1222</v>
      </c>
      <c r="D2779" s="29">
        <v>45784</v>
      </c>
      <c r="E2779" s="29">
        <v>46142</v>
      </c>
      <c r="F2779" s="28" t="s">
        <v>1945</v>
      </c>
      <c r="G2779" s="28" t="s">
        <v>400</v>
      </c>
      <c r="H2779" s="28" t="s">
        <v>373</v>
      </c>
      <c r="I2779" s="68">
        <v>511537.25</v>
      </c>
      <c r="J2779" s="28" t="s">
        <v>373</v>
      </c>
      <c r="K2779" s="28" t="s">
        <v>1693</v>
      </c>
      <c r="L2779" s="65"/>
      <c r="M2779" s="28" t="s">
        <v>2443</v>
      </c>
      <c r="N2779" s="28" t="s">
        <v>2424</v>
      </c>
      <c r="O2779" s="28" t="s">
        <v>426</v>
      </c>
      <c r="P2779" s="28" t="s">
        <v>2421</v>
      </c>
      <c r="Q2779" s="69" t="s">
        <v>2021</v>
      </c>
    </row>
    <row r="2780" spans="1:17" x14ac:dyDescent="0.3">
      <c r="A2780" s="67" t="s">
        <v>2687</v>
      </c>
      <c r="B2780" s="28" t="s">
        <v>2688</v>
      </c>
      <c r="C2780" s="28" t="s">
        <v>2689</v>
      </c>
      <c r="D2780" s="29">
        <v>45952</v>
      </c>
      <c r="E2780" s="29">
        <v>46774</v>
      </c>
      <c r="F2780" s="28" t="s">
        <v>287</v>
      </c>
      <c r="G2780" s="28" t="s">
        <v>767</v>
      </c>
      <c r="H2780" s="28" t="s">
        <v>467</v>
      </c>
      <c r="I2780" s="68">
        <v>66351.142857142899</v>
      </c>
      <c r="J2780" s="28" t="s">
        <v>468</v>
      </c>
      <c r="K2780" s="28" t="s">
        <v>467</v>
      </c>
      <c r="L2780" s="65"/>
      <c r="M2780" s="28" t="s">
        <v>424</v>
      </c>
      <c r="N2780" s="28" t="s">
        <v>684</v>
      </c>
      <c r="O2780" s="28" t="s">
        <v>459</v>
      </c>
      <c r="P2780" s="28" t="s">
        <v>2421</v>
      </c>
      <c r="Q2780" s="69" t="s">
        <v>1971</v>
      </c>
    </row>
    <row r="2781" spans="1:17" x14ac:dyDescent="0.3">
      <c r="A2781" s="67" t="s">
        <v>2687</v>
      </c>
      <c r="B2781" s="28" t="s">
        <v>2688</v>
      </c>
      <c r="C2781" s="28" t="s">
        <v>2689</v>
      </c>
      <c r="D2781" s="29">
        <v>45952</v>
      </c>
      <c r="E2781" s="29">
        <v>46774</v>
      </c>
      <c r="F2781" s="28" t="s">
        <v>287</v>
      </c>
      <c r="G2781" s="28" t="s">
        <v>1539</v>
      </c>
      <c r="H2781" s="28" t="s">
        <v>467</v>
      </c>
      <c r="I2781" s="68">
        <v>66351.142857142899</v>
      </c>
      <c r="J2781" s="28" t="s">
        <v>468</v>
      </c>
      <c r="K2781" s="28" t="s">
        <v>467</v>
      </c>
      <c r="L2781" s="65"/>
      <c r="M2781" s="28" t="s">
        <v>424</v>
      </c>
      <c r="N2781" s="28" t="s">
        <v>684</v>
      </c>
      <c r="O2781" s="28" t="s">
        <v>459</v>
      </c>
      <c r="P2781" s="28" t="s">
        <v>2421</v>
      </c>
      <c r="Q2781" s="69" t="s">
        <v>1971</v>
      </c>
    </row>
    <row r="2782" spans="1:17" x14ac:dyDescent="0.3">
      <c r="A2782" s="67" t="s">
        <v>2687</v>
      </c>
      <c r="B2782" s="28" t="s">
        <v>2688</v>
      </c>
      <c r="C2782" s="28" t="s">
        <v>2689</v>
      </c>
      <c r="D2782" s="29">
        <v>45952</v>
      </c>
      <c r="E2782" s="29">
        <v>46774</v>
      </c>
      <c r="F2782" s="28" t="s">
        <v>287</v>
      </c>
      <c r="G2782" s="28" t="s">
        <v>287</v>
      </c>
      <c r="H2782" s="28" t="s">
        <v>467</v>
      </c>
      <c r="I2782" s="68">
        <v>66351.142857142899</v>
      </c>
      <c r="J2782" s="28" t="s">
        <v>468</v>
      </c>
      <c r="K2782" s="28" t="s">
        <v>467</v>
      </c>
      <c r="L2782" s="65"/>
      <c r="M2782" s="28" t="s">
        <v>424</v>
      </c>
      <c r="N2782" s="28" t="s">
        <v>684</v>
      </c>
      <c r="O2782" s="28" t="s">
        <v>459</v>
      </c>
      <c r="P2782" s="28" t="s">
        <v>2421</v>
      </c>
      <c r="Q2782" s="69" t="s">
        <v>1971</v>
      </c>
    </row>
    <row r="2783" spans="1:17" x14ac:dyDescent="0.3">
      <c r="A2783" s="67" t="s">
        <v>2687</v>
      </c>
      <c r="B2783" s="28" t="s">
        <v>2688</v>
      </c>
      <c r="C2783" s="28" t="s">
        <v>2689</v>
      </c>
      <c r="D2783" s="29">
        <v>45952</v>
      </c>
      <c r="E2783" s="29">
        <v>46774</v>
      </c>
      <c r="F2783" s="28" t="s">
        <v>287</v>
      </c>
      <c r="G2783" s="28" t="s">
        <v>554</v>
      </c>
      <c r="H2783" s="28" t="s">
        <v>467</v>
      </c>
      <c r="I2783" s="68">
        <v>66351.142857142899</v>
      </c>
      <c r="J2783" s="28" t="s">
        <v>468</v>
      </c>
      <c r="K2783" s="28" t="s">
        <v>467</v>
      </c>
      <c r="L2783" s="65"/>
      <c r="M2783" s="28" t="s">
        <v>424</v>
      </c>
      <c r="N2783" s="28" t="s">
        <v>684</v>
      </c>
      <c r="O2783" s="28" t="s">
        <v>459</v>
      </c>
      <c r="P2783" s="28" t="s">
        <v>2421</v>
      </c>
      <c r="Q2783" s="69" t="s">
        <v>1971</v>
      </c>
    </row>
    <row r="2784" spans="1:17" x14ac:dyDescent="0.3">
      <c r="A2784" s="67" t="s">
        <v>2687</v>
      </c>
      <c r="B2784" s="28" t="s">
        <v>2688</v>
      </c>
      <c r="C2784" s="28" t="s">
        <v>2689</v>
      </c>
      <c r="D2784" s="29">
        <v>45952</v>
      </c>
      <c r="E2784" s="29">
        <v>46774</v>
      </c>
      <c r="F2784" s="28" t="s">
        <v>287</v>
      </c>
      <c r="G2784" s="28" t="s">
        <v>772</v>
      </c>
      <c r="H2784" s="28" t="s">
        <v>467</v>
      </c>
      <c r="I2784" s="68">
        <v>66351.142857142899</v>
      </c>
      <c r="J2784" s="28" t="s">
        <v>468</v>
      </c>
      <c r="K2784" s="28" t="s">
        <v>467</v>
      </c>
      <c r="L2784" s="65"/>
      <c r="M2784" s="28" t="s">
        <v>424</v>
      </c>
      <c r="N2784" s="28" t="s">
        <v>684</v>
      </c>
      <c r="O2784" s="28" t="s">
        <v>459</v>
      </c>
      <c r="P2784" s="28" t="s">
        <v>2421</v>
      </c>
      <c r="Q2784" s="69" t="s">
        <v>1971</v>
      </c>
    </row>
    <row r="2785" spans="1:17" x14ac:dyDescent="0.3">
      <c r="A2785" s="67" t="s">
        <v>2687</v>
      </c>
      <c r="B2785" s="28" t="s">
        <v>2688</v>
      </c>
      <c r="C2785" s="28" t="s">
        <v>2689</v>
      </c>
      <c r="D2785" s="29">
        <v>45952</v>
      </c>
      <c r="E2785" s="29">
        <v>46774</v>
      </c>
      <c r="F2785" s="28" t="s">
        <v>287</v>
      </c>
      <c r="G2785" s="28" t="s">
        <v>1545</v>
      </c>
      <c r="H2785" s="28" t="s">
        <v>467</v>
      </c>
      <c r="I2785" s="68">
        <v>66351.142857142899</v>
      </c>
      <c r="J2785" s="28" t="s">
        <v>468</v>
      </c>
      <c r="K2785" s="28" t="s">
        <v>467</v>
      </c>
      <c r="L2785" s="65"/>
      <c r="M2785" s="28" t="s">
        <v>424</v>
      </c>
      <c r="N2785" s="28" t="s">
        <v>684</v>
      </c>
      <c r="O2785" s="28" t="s">
        <v>459</v>
      </c>
      <c r="P2785" s="28" t="s">
        <v>2421</v>
      </c>
      <c r="Q2785" s="69" t="s">
        <v>1971</v>
      </c>
    </row>
    <row r="2786" spans="1:17" x14ac:dyDescent="0.3">
      <c r="A2786" s="67" t="s">
        <v>2687</v>
      </c>
      <c r="B2786" s="28" t="s">
        <v>2688</v>
      </c>
      <c r="C2786" s="28" t="s">
        <v>2689</v>
      </c>
      <c r="D2786" s="29">
        <v>45952</v>
      </c>
      <c r="E2786" s="29">
        <v>46774</v>
      </c>
      <c r="F2786" s="28" t="s">
        <v>287</v>
      </c>
      <c r="G2786" s="28" t="s">
        <v>1345</v>
      </c>
      <c r="H2786" s="28" t="s">
        <v>467</v>
      </c>
      <c r="I2786" s="68">
        <v>66351.142857142899</v>
      </c>
      <c r="J2786" s="28" t="s">
        <v>468</v>
      </c>
      <c r="K2786" s="28" t="s">
        <v>467</v>
      </c>
      <c r="L2786" s="65"/>
      <c r="M2786" s="28" t="s">
        <v>424</v>
      </c>
      <c r="N2786" s="28" t="s">
        <v>684</v>
      </c>
      <c r="O2786" s="28" t="s">
        <v>459</v>
      </c>
      <c r="P2786" s="28" t="s">
        <v>2421</v>
      </c>
      <c r="Q2786" s="69" t="s">
        <v>1971</v>
      </c>
    </row>
    <row r="2787" spans="1:17" x14ac:dyDescent="0.3">
      <c r="A2787" s="67" t="s">
        <v>2690</v>
      </c>
      <c r="B2787" s="28" t="s">
        <v>2691</v>
      </c>
      <c r="C2787" s="28" t="s">
        <v>1332</v>
      </c>
      <c r="D2787" s="29">
        <v>45839</v>
      </c>
      <c r="E2787" s="29">
        <v>46203</v>
      </c>
      <c r="F2787" s="28" t="s">
        <v>1936</v>
      </c>
      <c r="G2787" s="28" t="s">
        <v>730</v>
      </c>
      <c r="H2787" s="28" t="s">
        <v>2427</v>
      </c>
      <c r="I2787" s="68">
        <v>7884.3090909090897</v>
      </c>
      <c r="J2787" s="28" t="s">
        <v>1333</v>
      </c>
      <c r="K2787" s="28" t="s">
        <v>489</v>
      </c>
      <c r="L2787" s="65"/>
      <c r="M2787" s="28" t="s">
        <v>424</v>
      </c>
      <c r="N2787" s="28" t="s">
        <v>558</v>
      </c>
      <c r="O2787" s="28" t="s">
        <v>426</v>
      </c>
      <c r="P2787" s="28" t="s">
        <v>2421</v>
      </c>
      <c r="Q2787" s="69" t="s">
        <v>1972</v>
      </c>
    </row>
    <row r="2788" spans="1:17" x14ac:dyDescent="0.3">
      <c r="A2788" s="67" t="s">
        <v>2690</v>
      </c>
      <c r="B2788" s="28" t="s">
        <v>2691</v>
      </c>
      <c r="C2788" s="28" t="s">
        <v>1332</v>
      </c>
      <c r="D2788" s="29">
        <v>45839</v>
      </c>
      <c r="E2788" s="29">
        <v>46203</v>
      </c>
      <c r="F2788" s="28" t="s">
        <v>1936</v>
      </c>
      <c r="G2788" s="28" t="s">
        <v>749</v>
      </c>
      <c r="H2788" s="28" t="s">
        <v>2427</v>
      </c>
      <c r="I2788" s="68">
        <v>7884.3090909090897</v>
      </c>
      <c r="J2788" s="28" t="s">
        <v>1333</v>
      </c>
      <c r="K2788" s="28" t="s">
        <v>489</v>
      </c>
      <c r="L2788" s="65"/>
      <c r="M2788" s="28" t="s">
        <v>424</v>
      </c>
      <c r="N2788" s="28" t="s">
        <v>558</v>
      </c>
      <c r="O2788" s="28" t="s">
        <v>426</v>
      </c>
      <c r="P2788" s="28" t="s">
        <v>2421</v>
      </c>
      <c r="Q2788" s="69" t="s">
        <v>1972</v>
      </c>
    </row>
    <row r="2789" spans="1:17" x14ac:dyDescent="0.3">
      <c r="A2789" s="67" t="s">
        <v>2690</v>
      </c>
      <c r="B2789" s="28" t="s">
        <v>2691</v>
      </c>
      <c r="C2789" s="28" t="s">
        <v>1332</v>
      </c>
      <c r="D2789" s="29">
        <v>45839</v>
      </c>
      <c r="E2789" s="29">
        <v>46203</v>
      </c>
      <c r="F2789" s="28" t="s">
        <v>1936</v>
      </c>
      <c r="G2789" s="28" t="s">
        <v>604</v>
      </c>
      <c r="H2789" s="28" t="s">
        <v>2427</v>
      </c>
      <c r="I2789" s="68">
        <v>7884.3090909090897</v>
      </c>
      <c r="J2789" s="28" t="s">
        <v>1333</v>
      </c>
      <c r="K2789" s="28" t="s">
        <v>489</v>
      </c>
      <c r="L2789" s="65"/>
      <c r="M2789" s="28" t="s">
        <v>424</v>
      </c>
      <c r="N2789" s="28" t="s">
        <v>558</v>
      </c>
      <c r="O2789" s="28" t="s">
        <v>426</v>
      </c>
      <c r="P2789" s="28" t="s">
        <v>2421</v>
      </c>
      <c r="Q2789" s="69" t="s">
        <v>1972</v>
      </c>
    </row>
    <row r="2790" spans="1:17" x14ac:dyDescent="0.3">
      <c r="A2790" s="67" t="s">
        <v>2690</v>
      </c>
      <c r="B2790" s="28" t="s">
        <v>2691</v>
      </c>
      <c r="C2790" s="28" t="s">
        <v>1332</v>
      </c>
      <c r="D2790" s="29">
        <v>45839</v>
      </c>
      <c r="E2790" s="29">
        <v>46203</v>
      </c>
      <c r="F2790" s="28" t="s">
        <v>1936</v>
      </c>
      <c r="G2790" s="28" t="s">
        <v>750</v>
      </c>
      <c r="H2790" s="28" t="s">
        <v>2427</v>
      </c>
      <c r="I2790" s="68">
        <v>7884.3090909090897</v>
      </c>
      <c r="J2790" s="28" t="s">
        <v>1333</v>
      </c>
      <c r="K2790" s="28" t="s">
        <v>489</v>
      </c>
      <c r="L2790" s="65"/>
      <c r="M2790" s="28" t="s">
        <v>424</v>
      </c>
      <c r="N2790" s="28" t="s">
        <v>558</v>
      </c>
      <c r="O2790" s="28" t="s">
        <v>426</v>
      </c>
      <c r="P2790" s="28" t="s">
        <v>2421</v>
      </c>
      <c r="Q2790" s="69" t="s">
        <v>1972</v>
      </c>
    </row>
    <row r="2791" spans="1:17" x14ac:dyDescent="0.3">
      <c r="A2791" s="67" t="s">
        <v>2690</v>
      </c>
      <c r="B2791" s="28" t="s">
        <v>2691</v>
      </c>
      <c r="C2791" s="28" t="s">
        <v>1332</v>
      </c>
      <c r="D2791" s="29">
        <v>45839</v>
      </c>
      <c r="E2791" s="29">
        <v>46203</v>
      </c>
      <c r="F2791" s="28" t="s">
        <v>1936</v>
      </c>
      <c r="G2791" s="28" t="s">
        <v>411</v>
      </c>
      <c r="H2791" s="28" t="s">
        <v>2427</v>
      </c>
      <c r="I2791" s="68">
        <v>7884.3090909090897</v>
      </c>
      <c r="J2791" s="28" t="s">
        <v>1333</v>
      </c>
      <c r="K2791" s="28" t="s">
        <v>489</v>
      </c>
      <c r="L2791" s="65"/>
      <c r="M2791" s="28" t="s">
        <v>424</v>
      </c>
      <c r="N2791" s="28" t="s">
        <v>558</v>
      </c>
      <c r="O2791" s="28" t="s">
        <v>426</v>
      </c>
      <c r="P2791" s="28" t="s">
        <v>2421</v>
      </c>
      <c r="Q2791" s="69" t="s">
        <v>1972</v>
      </c>
    </row>
    <row r="2792" spans="1:17" x14ac:dyDescent="0.3">
      <c r="A2792" s="67" t="s">
        <v>2690</v>
      </c>
      <c r="B2792" s="28" t="s">
        <v>2691</v>
      </c>
      <c r="C2792" s="28" t="s">
        <v>1332</v>
      </c>
      <c r="D2792" s="29">
        <v>45839</v>
      </c>
      <c r="E2792" s="29">
        <v>46203</v>
      </c>
      <c r="F2792" s="28" t="s">
        <v>1930</v>
      </c>
      <c r="G2792" s="28" t="s">
        <v>723</v>
      </c>
      <c r="H2792" s="28" t="s">
        <v>2427</v>
      </c>
      <c r="I2792" s="68">
        <v>19710.772727272699</v>
      </c>
      <c r="J2792" s="28" t="s">
        <v>1333</v>
      </c>
      <c r="K2792" s="28" t="s">
        <v>489</v>
      </c>
      <c r="L2792" s="65"/>
      <c r="M2792" s="28" t="s">
        <v>424</v>
      </c>
      <c r="N2792" s="28" t="s">
        <v>558</v>
      </c>
      <c r="O2792" s="28" t="s">
        <v>426</v>
      </c>
      <c r="P2792" s="28" t="s">
        <v>2421</v>
      </c>
      <c r="Q2792" s="69" t="s">
        <v>1972</v>
      </c>
    </row>
    <row r="2793" spans="1:17" x14ac:dyDescent="0.3">
      <c r="A2793" s="67" t="s">
        <v>2690</v>
      </c>
      <c r="B2793" s="28" t="s">
        <v>2691</v>
      </c>
      <c r="C2793" s="28" t="s">
        <v>1332</v>
      </c>
      <c r="D2793" s="29">
        <v>45839</v>
      </c>
      <c r="E2793" s="29">
        <v>46203</v>
      </c>
      <c r="F2793" s="28" t="s">
        <v>1930</v>
      </c>
      <c r="G2793" s="28" t="s">
        <v>546</v>
      </c>
      <c r="H2793" s="28" t="s">
        <v>2427</v>
      </c>
      <c r="I2793" s="68">
        <v>19710.772727272699</v>
      </c>
      <c r="J2793" s="28" t="s">
        <v>1333</v>
      </c>
      <c r="K2793" s="28" t="s">
        <v>489</v>
      </c>
      <c r="L2793" s="65"/>
      <c r="M2793" s="28" t="s">
        <v>424</v>
      </c>
      <c r="N2793" s="28" t="s">
        <v>558</v>
      </c>
      <c r="O2793" s="28" t="s">
        <v>426</v>
      </c>
      <c r="P2793" s="28" t="s">
        <v>2421</v>
      </c>
      <c r="Q2793" s="69" t="s">
        <v>1972</v>
      </c>
    </row>
    <row r="2794" spans="1:17" x14ac:dyDescent="0.3">
      <c r="A2794" s="67" t="s">
        <v>2690</v>
      </c>
      <c r="B2794" s="28" t="s">
        <v>2691</v>
      </c>
      <c r="C2794" s="28" t="s">
        <v>1332</v>
      </c>
      <c r="D2794" s="29">
        <v>45839</v>
      </c>
      <c r="E2794" s="29">
        <v>46203</v>
      </c>
      <c r="F2794" s="28" t="s">
        <v>280</v>
      </c>
      <c r="G2794" s="28" t="s">
        <v>280</v>
      </c>
      <c r="H2794" s="28" t="s">
        <v>2427</v>
      </c>
      <c r="I2794" s="68">
        <v>19710.772727272699</v>
      </c>
      <c r="J2794" s="28" t="s">
        <v>1333</v>
      </c>
      <c r="K2794" s="28" t="s">
        <v>489</v>
      </c>
      <c r="L2794" s="65"/>
      <c r="M2794" s="28" t="s">
        <v>424</v>
      </c>
      <c r="N2794" s="28" t="s">
        <v>558</v>
      </c>
      <c r="O2794" s="28" t="s">
        <v>426</v>
      </c>
      <c r="P2794" s="28" t="s">
        <v>2421</v>
      </c>
      <c r="Q2794" s="69" t="s">
        <v>1972</v>
      </c>
    </row>
    <row r="2795" spans="1:17" x14ac:dyDescent="0.3">
      <c r="A2795" s="67" t="s">
        <v>2690</v>
      </c>
      <c r="B2795" s="28" t="s">
        <v>2691</v>
      </c>
      <c r="C2795" s="28" t="s">
        <v>1332</v>
      </c>
      <c r="D2795" s="29">
        <v>45839</v>
      </c>
      <c r="E2795" s="29">
        <v>46203</v>
      </c>
      <c r="F2795" s="28" t="s">
        <v>280</v>
      </c>
      <c r="G2795" s="28" t="s">
        <v>406</v>
      </c>
      <c r="H2795" s="28" t="s">
        <v>2427</v>
      </c>
      <c r="I2795" s="68">
        <v>19710.772727272699</v>
      </c>
      <c r="J2795" s="28" t="s">
        <v>1333</v>
      </c>
      <c r="K2795" s="28" t="s">
        <v>489</v>
      </c>
      <c r="L2795" s="65"/>
      <c r="M2795" s="28" t="s">
        <v>424</v>
      </c>
      <c r="N2795" s="28" t="s">
        <v>558</v>
      </c>
      <c r="O2795" s="28" t="s">
        <v>426</v>
      </c>
      <c r="P2795" s="28" t="s">
        <v>2421</v>
      </c>
      <c r="Q2795" s="69" t="s">
        <v>1972</v>
      </c>
    </row>
    <row r="2796" spans="1:17" x14ac:dyDescent="0.3">
      <c r="A2796" s="67" t="s">
        <v>2690</v>
      </c>
      <c r="B2796" s="28" t="s">
        <v>2691</v>
      </c>
      <c r="C2796" s="28" t="s">
        <v>1332</v>
      </c>
      <c r="D2796" s="29">
        <v>45839</v>
      </c>
      <c r="E2796" s="29">
        <v>46203</v>
      </c>
      <c r="F2796" s="28" t="s">
        <v>1948</v>
      </c>
      <c r="G2796" s="28" t="s">
        <v>368</v>
      </c>
      <c r="H2796" s="28" t="s">
        <v>2427</v>
      </c>
      <c r="I2796" s="68">
        <v>19710.772727272699</v>
      </c>
      <c r="J2796" s="28" t="s">
        <v>1333</v>
      </c>
      <c r="K2796" s="28" t="s">
        <v>489</v>
      </c>
      <c r="L2796" s="65"/>
      <c r="M2796" s="28" t="s">
        <v>424</v>
      </c>
      <c r="N2796" s="28" t="s">
        <v>558</v>
      </c>
      <c r="O2796" s="28" t="s">
        <v>426</v>
      </c>
      <c r="P2796" s="28" t="s">
        <v>2421</v>
      </c>
      <c r="Q2796" s="69" t="s">
        <v>1972</v>
      </c>
    </row>
    <row r="2797" spans="1:17" x14ac:dyDescent="0.3">
      <c r="A2797" s="67" t="s">
        <v>2690</v>
      </c>
      <c r="B2797" s="28" t="s">
        <v>2691</v>
      </c>
      <c r="C2797" s="28" t="s">
        <v>1332</v>
      </c>
      <c r="D2797" s="29">
        <v>45839</v>
      </c>
      <c r="E2797" s="29">
        <v>46203</v>
      </c>
      <c r="F2797" s="28" t="s">
        <v>1948</v>
      </c>
      <c r="G2797" s="28" t="s">
        <v>369</v>
      </c>
      <c r="H2797" s="28" t="s">
        <v>2427</v>
      </c>
      <c r="I2797" s="68">
        <v>19710.772727272699</v>
      </c>
      <c r="J2797" s="28" t="s">
        <v>1333</v>
      </c>
      <c r="K2797" s="28" t="s">
        <v>489</v>
      </c>
      <c r="L2797" s="65"/>
      <c r="M2797" s="28" t="s">
        <v>424</v>
      </c>
      <c r="N2797" s="28" t="s">
        <v>558</v>
      </c>
      <c r="O2797" s="28" t="s">
        <v>426</v>
      </c>
      <c r="P2797" s="28" t="s">
        <v>2421</v>
      </c>
      <c r="Q2797" s="69" t="s">
        <v>1972</v>
      </c>
    </row>
    <row r="2798" spans="1:17" x14ac:dyDescent="0.3">
      <c r="A2798" s="67" t="s">
        <v>2690</v>
      </c>
      <c r="B2798" s="28" t="s">
        <v>2691</v>
      </c>
      <c r="C2798" s="28" t="s">
        <v>1332</v>
      </c>
      <c r="D2798" s="29">
        <v>45839</v>
      </c>
      <c r="E2798" s="29">
        <v>46203</v>
      </c>
      <c r="F2798" s="28" t="s">
        <v>1959</v>
      </c>
      <c r="G2798" s="28" t="s">
        <v>511</v>
      </c>
      <c r="H2798" s="28" t="s">
        <v>2427</v>
      </c>
      <c r="I2798" s="68">
        <v>19710.772727272699</v>
      </c>
      <c r="J2798" s="28" t="s">
        <v>1333</v>
      </c>
      <c r="K2798" s="28" t="s">
        <v>489</v>
      </c>
      <c r="L2798" s="65"/>
      <c r="M2798" s="28" t="s">
        <v>424</v>
      </c>
      <c r="N2798" s="28" t="s">
        <v>558</v>
      </c>
      <c r="O2798" s="28" t="s">
        <v>426</v>
      </c>
      <c r="P2798" s="28" t="s">
        <v>2421</v>
      </c>
      <c r="Q2798" s="69" t="s">
        <v>1972</v>
      </c>
    </row>
    <row r="2799" spans="1:17" x14ac:dyDescent="0.3">
      <c r="A2799" s="67" t="s">
        <v>2690</v>
      </c>
      <c r="B2799" s="28" t="s">
        <v>2691</v>
      </c>
      <c r="C2799" s="28" t="s">
        <v>1332</v>
      </c>
      <c r="D2799" s="29">
        <v>45839</v>
      </c>
      <c r="E2799" s="29">
        <v>46203</v>
      </c>
      <c r="F2799" s="28" t="s">
        <v>1959</v>
      </c>
      <c r="G2799" s="28" t="s">
        <v>665</v>
      </c>
      <c r="H2799" s="28" t="s">
        <v>2427</v>
      </c>
      <c r="I2799" s="68">
        <v>19710.772727272699</v>
      </c>
      <c r="J2799" s="28" t="s">
        <v>1333</v>
      </c>
      <c r="K2799" s="28" t="s">
        <v>489</v>
      </c>
      <c r="L2799" s="65"/>
      <c r="M2799" s="28" t="s">
        <v>424</v>
      </c>
      <c r="N2799" s="28" t="s">
        <v>558</v>
      </c>
      <c r="O2799" s="28" t="s">
        <v>426</v>
      </c>
      <c r="P2799" s="28" t="s">
        <v>2421</v>
      </c>
      <c r="Q2799" s="69" t="s">
        <v>1972</v>
      </c>
    </row>
    <row r="2800" spans="1:17" x14ac:dyDescent="0.3">
      <c r="A2800" s="67" t="s">
        <v>2690</v>
      </c>
      <c r="B2800" s="28" t="s">
        <v>2691</v>
      </c>
      <c r="C2800" s="28" t="s">
        <v>1332</v>
      </c>
      <c r="D2800" s="29">
        <v>45839</v>
      </c>
      <c r="E2800" s="29">
        <v>46203</v>
      </c>
      <c r="F2800" s="28" t="s">
        <v>287</v>
      </c>
      <c r="G2800" s="28" t="s">
        <v>390</v>
      </c>
      <c r="H2800" s="28" t="s">
        <v>2427</v>
      </c>
      <c r="I2800" s="68">
        <v>19710.772727272699</v>
      </c>
      <c r="J2800" s="28" t="s">
        <v>1333</v>
      </c>
      <c r="K2800" s="28" t="s">
        <v>489</v>
      </c>
      <c r="L2800" s="65"/>
      <c r="M2800" s="28" t="s">
        <v>424</v>
      </c>
      <c r="N2800" s="28" t="s">
        <v>558</v>
      </c>
      <c r="O2800" s="28" t="s">
        <v>426</v>
      </c>
      <c r="P2800" s="28" t="s">
        <v>2421</v>
      </c>
      <c r="Q2800" s="69" t="s">
        <v>1972</v>
      </c>
    </row>
    <row r="2801" spans="1:17" x14ac:dyDescent="0.3">
      <c r="A2801" s="67" t="s">
        <v>2690</v>
      </c>
      <c r="B2801" s="28" t="s">
        <v>2691</v>
      </c>
      <c r="C2801" s="28" t="s">
        <v>1332</v>
      </c>
      <c r="D2801" s="29">
        <v>45839</v>
      </c>
      <c r="E2801" s="29">
        <v>46203</v>
      </c>
      <c r="F2801" s="28" t="s">
        <v>287</v>
      </c>
      <c r="G2801" s="28" t="s">
        <v>554</v>
      </c>
      <c r="H2801" s="28" t="s">
        <v>2427</v>
      </c>
      <c r="I2801" s="68">
        <v>19710.772727272699</v>
      </c>
      <c r="J2801" s="28" t="s">
        <v>1333</v>
      </c>
      <c r="K2801" s="28" t="s">
        <v>489</v>
      </c>
      <c r="L2801" s="65"/>
      <c r="M2801" s="28" t="s">
        <v>424</v>
      </c>
      <c r="N2801" s="28" t="s">
        <v>558</v>
      </c>
      <c r="O2801" s="28" t="s">
        <v>426</v>
      </c>
      <c r="P2801" s="28" t="s">
        <v>2421</v>
      </c>
      <c r="Q2801" s="69" t="s">
        <v>1972</v>
      </c>
    </row>
    <row r="2802" spans="1:17" x14ac:dyDescent="0.3">
      <c r="A2802" s="67" t="s">
        <v>2690</v>
      </c>
      <c r="B2802" s="28" t="s">
        <v>2691</v>
      </c>
      <c r="C2802" s="28" t="s">
        <v>1332</v>
      </c>
      <c r="D2802" s="29">
        <v>45839</v>
      </c>
      <c r="E2802" s="29">
        <v>46203</v>
      </c>
      <c r="F2802" s="28" t="s">
        <v>1987</v>
      </c>
      <c r="G2802" s="28" t="s">
        <v>962</v>
      </c>
      <c r="H2802" s="28" t="s">
        <v>2427</v>
      </c>
      <c r="I2802" s="68">
        <v>39421.5454545455</v>
      </c>
      <c r="J2802" s="28" t="s">
        <v>1333</v>
      </c>
      <c r="K2802" s="28" t="s">
        <v>489</v>
      </c>
      <c r="L2802" s="65"/>
      <c r="M2802" s="28" t="s">
        <v>424</v>
      </c>
      <c r="N2802" s="28" t="s">
        <v>558</v>
      </c>
      <c r="O2802" s="28" t="s">
        <v>426</v>
      </c>
      <c r="P2802" s="28" t="s">
        <v>2421</v>
      </c>
      <c r="Q2802" s="69" t="s">
        <v>1972</v>
      </c>
    </row>
    <row r="2803" spans="1:17" x14ac:dyDescent="0.3">
      <c r="A2803" s="67" t="s">
        <v>2690</v>
      </c>
      <c r="B2803" s="28" t="s">
        <v>2691</v>
      </c>
      <c r="C2803" s="28" t="s">
        <v>1332</v>
      </c>
      <c r="D2803" s="29">
        <v>45839</v>
      </c>
      <c r="E2803" s="29">
        <v>46203</v>
      </c>
      <c r="F2803" s="28" t="s">
        <v>282</v>
      </c>
      <c r="G2803" s="28" t="s">
        <v>304</v>
      </c>
      <c r="H2803" s="28" t="s">
        <v>2427</v>
      </c>
      <c r="I2803" s="68">
        <v>39421.5454545455</v>
      </c>
      <c r="J2803" s="28" t="s">
        <v>1333</v>
      </c>
      <c r="K2803" s="28" t="s">
        <v>489</v>
      </c>
      <c r="L2803" s="65"/>
      <c r="M2803" s="28" t="s">
        <v>424</v>
      </c>
      <c r="N2803" s="28" t="s">
        <v>558</v>
      </c>
      <c r="O2803" s="28" t="s">
        <v>426</v>
      </c>
      <c r="P2803" s="28" t="s">
        <v>2421</v>
      </c>
      <c r="Q2803" s="69" t="s">
        <v>1972</v>
      </c>
    </row>
    <row r="2804" spans="1:17" x14ac:dyDescent="0.3">
      <c r="A2804" s="67" t="s">
        <v>2690</v>
      </c>
      <c r="B2804" s="28" t="s">
        <v>2691</v>
      </c>
      <c r="C2804" s="28" t="s">
        <v>1332</v>
      </c>
      <c r="D2804" s="29">
        <v>45839</v>
      </c>
      <c r="E2804" s="29">
        <v>46203</v>
      </c>
      <c r="F2804" s="28" t="s">
        <v>1922</v>
      </c>
      <c r="G2804" s="28" t="s">
        <v>304</v>
      </c>
      <c r="H2804" s="28" t="s">
        <v>2427</v>
      </c>
      <c r="I2804" s="68">
        <v>39421.5454545455</v>
      </c>
      <c r="J2804" s="28" t="s">
        <v>1333</v>
      </c>
      <c r="K2804" s="28" t="s">
        <v>489</v>
      </c>
      <c r="L2804" s="65"/>
      <c r="M2804" s="28" t="s">
        <v>424</v>
      </c>
      <c r="N2804" s="28" t="s">
        <v>558</v>
      </c>
      <c r="O2804" s="28" t="s">
        <v>426</v>
      </c>
      <c r="P2804" s="28" t="s">
        <v>2421</v>
      </c>
      <c r="Q2804" s="69" t="s">
        <v>1972</v>
      </c>
    </row>
    <row r="2805" spans="1:17" x14ac:dyDescent="0.3">
      <c r="A2805" s="67" t="s">
        <v>2690</v>
      </c>
      <c r="B2805" s="28" t="s">
        <v>2691</v>
      </c>
      <c r="C2805" s="28" t="s">
        <v>1332</v>
      </c>
      <c r="D2805" s="29">
        <v>45839</v>
      </c>
      <c r="E2805" s="29">
        <v>46203</v>
      </c>
      <c r="F2805" s="28" t="s">
        <v>1943</v>
      </c>
      <c r="G2805" s="28" t="s">
        <v>304</v>
      </c>
      <c r="H2805" s="28" t="s">
        <v>2427</v>
      </c>
      <c r="I2805" s="68">
        <v>39421.5454545455</v>
      </c>
      <c r="J2805" s="28" t="s">
        <v>1333</v>
      </c>
      <c r="K2805" s="28" t="s">
        <v>489</v>
      </c>
      <c r="L2805" s="65"/>
      <c r="M2805" s="28" t="s">
        <v>424</v>
      </c>
      <c r="N2805" s="28" t="s">
        <v>558</v>
      </c>
      <c r="O2805" s="28" t="s">
        <v>426</v>
      </c>
      <c r="P2805" s="28" t="s">
        <v>2421</v>
      </c>
      <c r="Q2805" s="69" t="s">
        <v>1972</v>
      </c>
    </row>
    <row r="2806" spans="1:17" x14ac:dyDescent="0.3">
      <c r="A2806" s="67" t="s">
        <v>2690</v>
      </c>
      <c r="B2806" s="28" t="s">
        <v>2691</v>
      </c>
      <c r="C2806" s="28" t="s">
        <v>1332</v>
      </c>
      <c r="D2806" s="29">
        <v>45839</v>
      </c>
      <c r="E2806" s="29">
        <v>46203</v>
      </c>
      <c r="F2806" s="28" t="s">
        <v>1961</v>
      </c>
      <c r="G2806" s="28" t="s">
        <v>634</v>
      </c>
      <c r="H2806" s="28" t="s">
        <v>2427</v>
      </c>
      <c r="I2806" s="68">
        <v>39421.5454545455</v>
      </c>
      <c r="J2806" s="28" t="s">
        <v>1333</v>
      </c>
      <c r="K2806" s="28" t="s">
        <v>489</v>
      </c>
      <c r="L2806" s="65"/>
      <c r="M2806" s="28" t="s">
        <v>424</v>
      </c>
      <c r="N2806" s="28" t="s">
        <v>558</v>
      </c>
      <c r="O2806" s="28" t="s">
        <v>426</v>
      </c>
      <c r="P2806" s="28" t="s">
        <v>2421</v>
      </c>
      <c r="Q2806" s="69" t="s">
        <v>1972</v>
      </c>
    </row>
    <row r="2807" spans="1:17" x14ac:dyDescent="0.3">
      <c r="A2807" s="67" t="s">
        <v>2690</v>
      </c>
      <c r="B2807" s="28" t="s">
        <v>2691</v>
      </c>
      <c r="C2807" s="28" t="s">
        <v>1332</v>
      </c>
      <c r="D2807" s="29">
        <v>45839</v>
      </c>
      <c r="E2807" s="29">
        <v>46203</v>
      </c>
      <c r="F2807" s="28" t="s">
        <v>1936</v>
      </c>
      <c r="G2807" s="28" t="s">
        <v>730</v>
      </c>
      <c r="H2807" s="28" t="s">
        <v>373</v>
      </c>
      <c r="I2807" s="68">
        <v>92086.4363636364</v>
      </c>
      <c r="J2807" s="28" t="s">
        <v>373</v>
      </c>
      <c r="K2807" s="28" t="s">
        <v>489</v>
      </c>
      <c r="L2807" s="65"/>
      <c r="M2807" s="28" t="s">
        <v>424</v>
      </c>
      <c r="N2807" s="28" t="s">
        <v>558</v>
      </c>
      <c r="O2807" s="28" t="s">
        <v>426</v>
      </c>
      <c r="P2807" s="28" t="s">
        <v>2421</v>
      </c>
      <c r="Q2807" s="69" t="s">
        <v>1972</v>
      </c>
    </row>
    <row r="2808" spans="1:17" x14ac:dyDescent="0.3">
      <c r="A2808" s="67" t="s">
        <v>2690</v>
      </c>
      <c r="B2808" s="28" t="s">
        <v>2691</v>
      </c>
      <c r="C2808" s="28" t="s">
        <v>1332</v>
      </c>
      <c r="D2808" s="29">
        <v>45839</v>
      </c>
      <c r="E2808" s="29">
        <v>46203</v>
      </c>
      <c r="F2808" s="28" t="s">
        <v>1936</v>
      </c>
      <c r="G2808" s="28" t="s">
        <v>749</v>
      </c>
      <c r="H2808" s="28" t="s">
        <v>373</v>
      </c>
      <c r="I2808" s="68">
        <v>92086.4363636364</v>
      </c>
      <c r="J2808" s="28" t="s">
        <v>373</v>
      </c>
      <c r="K2808" s="28" t="s">
        <v>489</v>
      </c>
      <c r="L2808" s="65"/>
      <c r="M2808" s="28" t="s">
        <v>424</v>
      </c>
      <c r="N2808" s="28" t="s">
        <v>558</v>
      </c>
      <c r="O2808" s="28" t="s">
        <v>426</v>
      </c>
      <c r="P2808" s="28" t="s">
        <v>2421</v>
      </c>
      <c r="Q2808" s="69" t="s">
        <v>1972</v>
      </c>
    </row>
    <row r="2809" spans="1:17" x14ac:dyDescent="0.3">
      <c r="A2809" s="67" t="s">
        <v>2690</v>
      </c>
      <c r="B2809" s="28" t="s">
        <v>2691</v>
      </c>
      <c r="C2809" s="28" t="s">
        <v>1332</v>
      </c>
      <c r="D2809" s="29">
        <v>45839</v>
      </c>
      <c r="E2809" s="29">
        <v>46203</v>
      </c>
      <c r="F2809" s="28" t="s">
        <v>1936</v>
      </c>
      <c r="G2809" s="28" t="s">
        <v>604</v>
      </c>
      <c r="H2809" s="28" t="s">
        <v>373</v>
      </c>
      <c r="I2809" s="68">
        <v>92086.4363636364</v>
      </c>
      <c r="J2809" s="28" t="s">
        <v>373</v>
      </c>
      <c r="K2809" s="28" t="s">
        <v>489</v>
      </c>
      <c r="L2809" s="65"/>
      <c r="M2809" s="28" t="s">
        <v>424</v>
      </c>
      <c r="N2809" s="28" t="s">
        <v>558</v>
      </c>
      <c r="O2809" s="28" t="s">
        <v>426</v>
      </c>
      <c r="P2809" s="28" t="s">
        <v>2421</v>
      </c>
      <c r="Q2809" s="69" t="s">
        <v>1972</v>
      </c>
    </row>
    <row r="2810" spans="1:17" x14ac:dyDescent="0.3">
      <c r="A2810" s="67" t="s">
        <v>2690</v>
      </c>
      <c r="B2810" s="28" t="s">
        <v>2691</v>
      </c>
      <c r="C2810" s="28" t="s">
        <v>1332</v>
      </c>
      <c r="D2810" s="29">
        <v>45839</v>
      </c>
      <c r="E2810" s="29">
        <v>46203</v>
      </c>
      <c r="F2810" s="28" t="s">
        <v>1936</v>
      </c>
      <c r="G2810" s="28" t="s">
        <v>750</v>
      </c>
      <c r="H2810" s="28" t="s">
        <v>373</v>
      </c>
      <c r="I2810" s="68">
        <v>92086.4363636364</v>
      </c>
      <c r="J2810" s="28" t="s">
        <v>373</v>
      </c>
      <c r="K2810" s="28" t="s">
        <v>489</v>
      </c>
      <c r="L2810" s="65"/>
      <c r="M2810" s="28" t="s">
        <v>424</v>
      </c>
      <c r="N2810" s="28" t="s">
        <v>558</v>
      </c>
      <c r="O2810" s="28" t="s">
        <v>426</v>
      </c>
      <c r="P2810" s="28" t="s">
        <v>2421</v>
      </c>
      <c r="Q2810" s="69" t="s">
        <v>1972</v>
      </c>
    </row>
    <row r="2811" spans="1:17" x14ac:dyDescent="0.3">
      <c r="A2811" s="67" t="s">
        <v>2690</v>
      </c>
      <c r="B2811" s="28" t="s">
        <v>2691</v>
      </c>
      <c r="C2811" s="28" t="s">
        <v>1332</v>
      </c>
      <c r="D2811" s="29">
        <v>45839</v>
      </c>
      <c r="E2811" s="29">
        <v>46203</v>
      </c>
      <c r="F2811" s="28" t="s">
        <v>1936</v>
      </c>
      <c r="G2811" s="28" t="s">
        <v>411</v>
      </c>
      <c r="H2811" s="28" t="s">
        <v>373</v>
      </c>
      <c r="I2811" s="68">
        <v>92086.4363636364</v>
      </c>
      <c r="J2811" s="28" t="s">
        <v>373</v>
      </c>
      <c r="K2811" s="28" t="s">
        <v>489</v>
      </c>
      <c r="L2811" s="65"/>
      <c r="M2811" s="28" t="s">
        <v>424</v>
      </c>
      <c r="N2811" s="28" t="s">
        <v>558</v>
      </c>
      <c r="O2811" s="28" t="s">
        <v>426</v>
      </c>
      <c r="P2811" s="28" t="s">
        <v>2421</v>
      </c>
      <c r="Q2811" s="69" t="s">
        <v>1972</v>
      </c>
    </row>
    <row r="2812" spans="1:17" x14ac:dyDescent="0.3">
      <c r="A2812" s="67" t="s">
        <v>2690</v>
      </c>
      <c r="B2812" s="28" t="s">
        <v>2691</v>
      </c>
      <c r="C2812" s="28" t="s">
        <v>1332</v>
      </c>
      <c r="D2812" s="29">
        <v>45839</v>
      </c>
      <c r="E2812" s="29">
        <v>46203</v>
      </c>
      <c r="F2812" s="28" t="s">
        <v>1930</v>
      </c>
      <c r="G2812" s="28" t="s">
        <v>723</v>
      </c>
      <c r="H2812" s="28" t="s">
        <v>373</v>
      </c>
      <c r="I2812" s="68">
        <v>230216.090909091</v>
      </c>
      <c r="J2812" s="28" t="s">
        <v>373</v>
      </c>
      <c r="K2812" s="28" t="s">
        <v>489</v>
      </c>
      <c r="L2812" s="65"/>
      <c r="M2812" s="28" t="s">
        <v>424</v>
      </c>
      <c r="N2812" s="28" t="s">
        <v>558</v>
      </c>
      <c r="O2812" s="28" t="s">
        <v>426</v>
      </c>
      <c r="P2812" s="28" t="s">
        <v>2421</v>
      </c>
      <c r="Q2812" s="69" t="s">
        <v>1972</v>
      </c>
    </row>
    <row r="2813" spans="1:17" x14ac:dyDescent="0.3">
      <c r="A2813" s="67" t="s">
        <v>2690</v>
      </c>
      <c r="B2813" s="28" t="s">
        <v>2691</v>
      </c>
      <c r="C2813" s="28" t="s">
        <v>1332</v>
      </c>
      <c r="D2813" s="29">
        <v>45839</v>
      </c>
      <c r="E2813" s="29">
        <v>46203</v>
      </c>
      <c r="F2813" s="28" t="s">
        <v>1930</v>
      </c>
      <c r="G2813" s="28" t="s">
        <v>546</v>
      </c>
      <c r="H2813" s="28" t="s">
        <v>373</v>
      </c>
      <c r="I2813" s="68">
        <v>230216.090909091</v>
      </c>
      <c r="J2813" s="28" t="s">
        <v>373</v>
      </c>
      <c r="K2813" s="28" t="s">
        <v>489</v>
      </c>
      <c r="L2813" s="65"/>
      <c r="M2813" s="28" t="s">
        <v>424</v>
      </c>
      <c r="N2813" s="28" t="s">
        <v>558</v>
      </c>
      <c r="O2813" s="28" t="s">
        <v>426</v>
      </c>
      <c r="P2813" s="28" t="s">
        <v>2421</v>
      </c>
      <c r="Q2813" s="69" t="s">
        <v>1972</v>
      </c>
    </row>
    <row r="2814" spans="1:17" x14ac:dyDescent="0.3">
      <c r="A2814" s="67" t="s">
        <v>2690</v>
      </c>
      <c r="B2814" s="28" t="s">
        <v>2691</v>
      </c>
      <c r="C2814" s="28" t="s">
        <v>1332</v>
      </c>
      <c r="D2814" s="29">
        <v>45839</v>
      </c>
      <c r="E2814" s="29">
        <v>46203</v>
      </c>
      <c r="F2814" s="28" t="s">
        <v>280</v>
      </c>
      <c r="G2814" s="28" t="s">
        <v>280</v>
      </c>
      <c r="H2814" s="28" t="s">
        <v>373</v>
      </c>
      <c r="I2814" s="68">
        <v>230216.090909091</v>
      </c>
      <c r="J2814" s="28" t="s">
        <v>373</v>
      </c>
      <c r="K2814" s="28" t="s">
        <v>489</v>
      </c>
      <c r="L2814" s="65"/>
      <c r="M2814" s="28" t="s">
        <v>424</v>
      </c>
      <c r="N2814" s="28" t="s">
        <v>558</v>
      </c>
      <c r="O2814" s="28" t="s">
        <v>426</v>
      </c>
      <c r="P2814" s="28" t="s">
        <v>2421</v>
      </c>
      <c r="Q2814" s="69" t="s">
        <v>1972</v>
      </c>
    </row>
    <row r="2815" spans="1:17" x14ac:dyDescent="0.3">
      <c r="A2815" s="67" t="s">
        <v>2690</v>
      </c>
      <c r="B2815" s="28" t="s">
        <v>2691</v>
      </c>
      <c r="C2815" s="28" t="s">
        <v>1332</v>
      </c>
      <c r="D2815" s="29">
        <v>45839</v>
      </c>
      <c r="E2815" s="29">
        <v>46203</v>
      </c>
      <c r="F2815" s="28" t="s">
        <v>280</v>
      </c>
      <c r="G2815" s="28" t="s">
        <v>406</v>
      </c>
      <c r="H2815" s="28" t="s">
        <v>373</v>
      </c>
      <c r="I2815" s="68">
        <v>230216.090909091</v>
      </c>
      <c r="J2815" s="28" t="s">
        <v>373</v>
      </c>
      <c r="K2815" s="28" t="s">
        <v>489</v>
      </c>
      <c r="L2815" s="65"/>
      <c r="M2815" s="28" t="s">
        <v>424</v>
      </c>
      <c r="N2815" s="28" t="s">
        <v>558</v>
      </c>
      <c r="O2815" s="28" t="s">
        <v>426</v>
      </c>
      <c r="P2815" s="28" t="s">
        <v>2421</v>
      </c>
      <c r="Q2815" s="69" t="s">
        <v>1972</v>
      </c>
    </row>
    <row r="2816" spans="1:17" x14ac:dyDescent="0.3">
      <c r="A2816" s="67" t="s">
        <v>2690</v>
      </c>
      <c r="B2816" s="28" t="s">
        <v>2691</v>
      </c>
      <c r="C2816" s="28" t="s">
        <v>1332</v>
      </c>
      <c r="D2816" s="29">
        <v>45839</v>
      </c>
      <c r="E2816" s="29">
        <v>46203</v>
      </c>
      <c r="F2816" s="28" t="s">
        <v>1948</v>
      </c>
      <c r="G2816" s="28" t="s">
        <v>368</v>
      </c>
      <c r="H2816" s="28" t="s">
        <v>373</v>
      </c>
      <c r="I2816" s="68">
        <v>230216.090909091</v>
      </c>
      <c r="J2816" s="28" t="s">
        <v>373</v>
      </c>
      <c r="K2816" s="28" t="s">
        <v>489</v>
      </c>
      <c r="L2816" s="65"/>
      <c r="M2816" s="28" t="s">
        <v>424</v>
      </c>
      <c r="N2816" s="28" t="s">
        <v>558</v>
      </c>
      <c r="O2816" s="28" t="s">
        <v>426</v>
      </c>
      <c r="P2816" s="28" t="s">
        <v>2421</v>
      </c>
      <c r="Q2816" s="69" t="s">
        <v>1972</v>
      </c>
    </row>
    <row r="2817" spans="1:17" x14ac:dyDescent="0.3">
      <c r="A2817" s="67" t="s">
        <v>2690</v>
      </c>
      <c r="B2817" s="28" t="s">
        <v>2691</v>
      </c>
      <c r="C2817" s="28" t="s">
        <v>1332</v>
      </c>
      <c r="D2817" s="29">
        <v>45839</v>
      </c>
      <c r="E2817" s="29">
        <v>46203</v>
      </c>
      <c r="F2817" s="28" t="s">
        <v>1948</v>
      </c>
      <c r="G2817" s="28" t="s">
        <v>369</v>
      </c>
      <c r="H2817" s="28" t="s">
        <v>373</v>
      </c>
      <c r="I2817" s="68">
        <v>230216.090909091</v>
      </c>
      <c r="J2817" s="28" t="s">
        <v>373</v>
      </c>
      <c r="K2817" s="28" t="s">
        <v>489</v>
      </c>
      <c r="L2817" s="65"/>
      <c r="M2817" s="28" t="s">
        <v>424</v>
      </c>
      <c r="N2817" s="28" t="s">
        <v>558</v>
      </c>
      <c r="O2817" s="28" t="s">
        <v>426</v>
      </c>
      <c r="P2817" s="28" t="s">
        <v>2421</v>
      </c>
      <c r="Q2817" s="69" t="s">
        <v>1972</v>
      </c>
    </row>
    <row r="2818" spans="1:17" x14ac:dyDescent="0.3">
      <c r="A2818" s="67" t="s">
        <v>2690</v>
      </c>
      <c r="B2818" s="28" t="s">
        <v>2691</v>
      </c>
      <c r="C2818" s="28" t="s">
        <v>1332</v>
      </c>
      <c r="D2818" s="29">
        <v>45839</v>
      </c>
      <c r="E2818" s="29">
        <v>46203</v>
      </c>
      <c r="F2818" s="28" t="s">
        <v>1959</v>
      </c>
      <c r="G2818" s="28" t="s">
        <v>511</v>
      </c>
      <c r="H2818" s="28" t="s">
        <v>373</v>
      </c>
      <c r="I2818" s="68">
        <v>230216.090909091</v>
      </c>
      <c r="J2818" s="28" t="s">
        <v>373</v>
      </c>
      <c r="K2818" s="28" t="s">
        <v>489</v>
      </c>
      <c r="L2818" s="65"/>
      <c r="M2818" s="28" t="s">
        <v>424</v>
      </c>
      <c r="N2818" s="28" t="s">
        <v>558</v>
      </c>
      <c r="O2818" s="28" t="s">
        <v>426</v>
      </c>
      <c r="P2818" s="28" t="s">
        <v>2421</v>
      </c>
      <c r="Q2818" s="69" t="s">
        <v>1972</v>
      </c>
    </row>
    <row r="2819" spans="1:17" x14ac:dyDescent="0.3">
      <c r="A2819" s="67" t="s">
        <v>2690</v>
      </c>
      <c r="B2819" s="28" t="s">
        <v>2691</v>
      </c>
      <c r="C2819" s="28" t="s">
        <v>1332</v>
      </c>
      <c r="D2819" s="29">
        <v>45839</v>
      </c>
      <c r="E2819" s="29">
        <v>46203</v>
      </c>
      <c r="F2819" s="28" t="s">
        <v>1959</v>
      </c>
      <c r="G2819" s="28" t="s">
        <v>665</v>
      </c>
      <c r="H2819" s="28" t="s">
        <v>373</v>
      </c>
      <c r="I2819" s="68">
        <v>230216.090909091</v>
      </c>
      <c r="J2819" s="28" t="s">
        <v>373</v>
      </c>
      <c r="K2819" s="28" t="s">
        <v>489</v>
      </c>
      <c r="L2819" s="65"/>
      <c r="M2819" s="28" t="s">
        <v>424</v>
      </c>
      <c r="N2819" s="28" t="s">
        <v>558</v>
      </c>
      <c r="O2819" s="28" t="s">
        <v>426</v>
      </c>
      <c r="P2819" s="28" t="s">
        <v>2421</v>
      </c>
      <c r="Q2819" s="69" t="s">
        <v>1972</v>
      </c>
    </row>
    <row r="2820" spans="1:17" x14ac:dyDescent="0.3">
      <c r="A2820" s="67" t="s">
        <v>2690</v>
      </c>
      <c r="B2820" s="28" t="s">
        <v>2691</v>
      </c>
      <c r="C2820" s="28" t="s">
        <v>1332</v>
      </c>
      <c r="D2820" s="29">
        <v>45839</v>
      </c>
      <c r="E2820" s="29">
        <v>46203</v>
      </c>
      <c r="F2820" s="28" t="s">
        <v>287</v>
      </c>
      <c r="G2820" s="28" t="s">
        <v>390</v>
      </c>
      <c r="H2820" s="28" t="s">
        <v>373</v>
      </c>
      <c r="I2820" s="68">
        <v>230216.090909091</v>
      </c>
      <c r="J2820" s="28" t="s">
        <v>373</v>
      </c>
      <c r="K2820" s="28" t="s">
        <v>489</v>
      </c>
      <c r="L2820" s="65"/>
      <c r="M2820" s="28" t="s">
        <v>424</v>
      </c>
      <c r="N2820" s="28" t="s">
        <v>558</v>
      </c>
      <c r="O2820" s="28" t="s">
        <v>426</v>
      </c>
      <c r="P2820" s="28" t="s">
        <v>2421</v>
      </c>
      <c r="Q2820" s="69" t="s">
        <v>1972</v>
      </c>
    </row>
    <row r="2821" spans="1:17" x14ac:dyDescent="0.3">
      <c r="A2821" s="67" t="s">
        <v>2690</v>
      </c>
      <c r="B2821" s="28" t="s">
        <v>2691</v>
      </c>
      <c r="C2821" s="28" t="s">
        <v>1332</v>
      </c>
      <c r="D2821" s="29">
        <v>45839</v>
      </c>
      <c r="E2821" s="29">
        <v>46203</v>
      </c>
      <c r="F2821" s="28" t="s">
        <v>287</v>
      </c>
      <c r="G2821" s="28" t="s">
        <v>554</v>
      </c>
      <c r="H2821" s="28" t="s">
        <v>373</v>
      </c>
      <c r="I2821" s="68">
        <v>230216.090909091</v>
      </c>
      <c r="J2821" s="28" t="s">
        <v>373</v>
      </c>
      <c r="K2821" s="28" t="s">
        <v>489</v>
      </c>
      <c r="L2821" s="65"/>
      <c r="M2821" s="28" t="s">
        <v>424</v>
      </c>
      <c r="N2821" s="28" t="s">
        <v>558</v>
      </c>
      <c r="O2821" s="28" t="s">
        <v>426</v>
      </c>
      <c r="P2821" s="28" t="s">
        <v>2421</v>
      </c>
      <c r="Q2821" s="69" t="s">
        <v>1972</v>
      </c>
    </row>
    <row r="2822" spans="1:17" x14ac:dyDescent="0.3">
      <c r="A2822" s="67" t="s">
        <v>2690</v>
      </c>
      <c r="B2822" s="28" t="s">
        <v>2691</v>
      </c>
      <c r="C2822" s="28" t="s">
        <v>1332</v>
      </c>
      <c r="D2822" s="29">
        <v>45839</v>
      </c>
      <c r="E2822" s="29">
        <v>46203</v>
      </c>
      <c r="F2822" s="28" t="s">
        <v>1987</v>
      </c>
      <c r="G2822" s="28" t="s">
        <v>962</v>
      </c>
      <c r="H2822" s="28" t="s">
        <v>373</v>
      </c>
      <c r="I2822" s="68">
        <v>460432.181818182</v>
      </c>
      <c r="J2822" s="28" t="s">
        <v>373</v>
      </c>
      <c r="K2822" s="28" t="s">
        <v>489</v>
      </c>
      <c r="L2822" s="65"/>
      <c r="M2822" s="28" t="s">
        <v>424</v>
      </c>
      <c r="N2822" s="28" t="s">
        <v>558</v>
      </c>
      <c r="O2822" s="28" t="s">
        <v>426</v>
      </c>
      <c r="P2822" s="28" t="s">
        <v>2421</v>
      </c>
      <c r="Q2822" s="69" t="s">
        <v>1972</v>
      </c>
    </row>
    <row r="2823" spans="1:17" x14ac:dyDescent="0.3">
      <c r="A2823" s="67" t="s">
        <v>2690</v>
      </c>
      <c r="B2823" s="28" t="s">
        <v>2691</v>
      </c>
      <c r="C2823" s="28" t="s">
        <v>1332</v>
      </c>
      <c r="D2823" s="29">
        <v>45839</v>
      </c>
      <c r="E2823" s="29">
        <v>46203</v>
      </c>
      <c r="F2823" s="28" t="s">
        <v>282</v>
      </c>
      <c r="G2823" s="28" t="s">
        <v>304</v>
      </c>
      <c r="H2823" s="28" t="s">
        <v>373</v>
      </c>
      <c r="I2823" s="68">
        <v>460432.181818182</v>
      </c>
      <c r="J2823" s="28" t="s">
        <v>373</v>
      </c>
      <c r="K2823" s="28" t="s">
        <v>489</v>
      </c>
      <c r="L2823" s="65"/>
      <c r="M2823" s="28" t="s">
        <v>424</v>
      </c>
      <c r="N2823" s="28" t="s">
        <v>558</v>
      </c>
      <c r="O2823" s="28" t="s">
        <v>426</v>
      </c>
      <c r="P2823" s="28" t="s">
        <v>2421</v>
      </c>
      <c r="Q2823" s="69" t="s">
        <v>1972</v>
      </c>
    </row>
    <row r="2824" spans="1:17" x14ac:dyDescent="0.3">
      <c r="A2824" s="67" t="s">
        <v>2690</v>
      </c>
      <c r="B2824" s="28" t="s">
        <v>2691</v>
      </c>
      <c r="C2824" s="28" t="s">
        <v>1332</v>
      </c>
      <c r="D2824" s="29">
        <v>45839</v>
      </c>
      <c r="E2824" s="29">
        <v>46203</v>
      </c>
      <c r="F2824" s="28" t="s">
        <v>1922</v>
      </c>
      <c r="G2824" s="28" t="s">
        <v>304</v>
      </c>
      <c r="H2824" s="28" t="s">
        <v>373</v>
      </c>
      <c r="I2824" s="68">
        <v>460432.181818182</v>
      </c>
      <c r="J2824" s="28" t="s">
        <v>373</v>
      </c>
      <c r="K2824" s="28" t="s">
        <v>489</v>
      </c>
      <c r="L2824" s="65"/>
      <c r="M2824" s="28" t="s">
        <v>424</v>
      </c>
      <c r="N2824" s="28" t="s">
        <v>558</v>
      </c>
      <c r="O2824" s="28" t="s">
        <v>426</v>
      </c>
      <c r="P2824" s="28" t="s">
        <v>2421</v>
      </c>
      <c r="Q2824" s="69" t="s">
        <v>1972</v>
      </c>
    </row>
    <row r="2825" spans="1:17" x14ac:dyDescent="0.3">
      <c r="A2825" s="67" t="s">
        <v>2690</v>
      </c>
      <c r="B2825" s="28" t="s">
        <v>2691</v>
      </c>
      <c r="C2825" s="28" t="s">
        <v>1332</v>
      </c>
      <c r="D2825" s="29">
        <v>45839</v>
      </c>
      <c r="E2825" s="29">
        <v>46203</v>
      </c>
      <c r="F2825" s="28" t="s">
        <v>1943</v>
      </c>
      <c r="G2825" s="28" t="s">
        <v>304</v>
      </c>
      <c r="H2825" s="28" t="s">
        <v>373</v>
      </c>
      <c r="I2825" s="68">
        <v>460432.181818182</v>
      </c>
      <c r="J2825" s="28" t="s">
        <v>373</v>
      </c>
      <c r="K2825" s="28" t="s">
        <v>489</v>
      </c>
      <c r="L2825" s="65"/>
      <c r="M2825" s="28" t="s">
        <v>424</v>
      </c>
      <c r="N2825" s="28" t="s">
        <v>558</v>
      </c>
      <c r="O2825" s="28" t="s">
        <v>426</v>
      </c>
      <c r="P2825" s="28" t="s">
        <v>2421</v>
      </c>
      <c r="Q2825" s="69" t="s">
        <v>1972</v>
      </c>
    </row>
    <row r="2826" spans="1:17" x14ac:dyDescent="0.3">
      <c r="A2826" s="67" t="s">
        <v>2690</v>
      </c>
      <c r="B2826" s="28" t="s">
        <v>2691</v>
      </c>
      <c r="C2826" s="28" t="s">
        <v>1332</v>
      </c>
      <c r="D2826" s="29">
        <v>45839</v>
      </c>
      <c r="E2826" s="29">
        <v>46203</v>
      </c>
      <c r="F2826" s="28" t="s">
        <v>1961</v>
      </c>
      <c r="G2826" s="28" t="s">
        <v>634</v>
      </c>
      <c r="H2826" s="28" t="s">
        <v>373</v>
      </c>
      <c r="I2826" s="68">
        <v>460432.181818182</v>
      </c>
      <c r="J2826" s="28" t="s">
        <v>373</v>
      </c>
      <c r="K2826" s="28" t="s">
        <v>489</v>
      </c>
      <c r="L2826" s="65"/>
      <c r="M2826" s="28" t="s">
        <v>424</v>
      </c>
      <c r="N2826" s="28" t="s">
        <v>558</v>
      </c>
      <c r="O2826" s="28" t="s">
        <v>426</v>
      </c>
      <c r="P2826" s="28" t="s">
        <v>2421</v>
      </c>
      <c r="Q2826" s="69" t="s">
        <v>1972</v>
      </c>
    </row>
    <row r="2827" spans="1:17" x14ac:dyDescent="0.3">
      <c r="A2827" s="67" t="s">
        <v>2692</v>
      </c>
      <c r="B2827" s="28" t="s">
        <v>2693</v>
      </c>
      <c r="C2827" s="28" t="s">
        <v>2694</v>
      </c>
      <c r="D2827" s="29">
        <v>45979</v>
      </c>
      <c r="E2827" s="29">
        <v>46313</v>
      </c>
      <c r="F2827" s="28" t="s">
        <v>1959</v>
      </c>
      <c r="G2827" s="28" t="s">
        <v>679</v>
      </c>
      <c r="H2827" s="28" t="s">
        <v>931</v>
      </c>
      <c r="I2827" s="68">
        <v>29218.25</v>
      </c>
      <c r="J2827" s="28" t="s">
        <v>1852</v>
      </c>
      <c r="K2827" s="28" t="s">
        <v>1957</v>
      </c>
      <c r="L2827" s="65"/>
      <c r="M2827" s="28" t="s">
        <v>2443</v>
      </c>
      <c r="N2827" s="28" t="s">
        <v>916</v>
      </c>
      <c r="O2827" s="28" t="s">
        <v>315</v>
      </c>
      <c r="P2827" s="28" t="s">
        <v>2421</v>
      </c>
      <c r="Q2827" s="69" t="s">
        <v>1984</v>
      </c>
    </row>
    <row r="2828" spans="1:17" x14ac:dyDescent="0.3">
      <c r="A2828" s="67" t="s">
        <v>2692</v>
      </c>
      <c r="B2828" s="28" t="s">
        <v>2693</v>
      </c>
      <c r="C2828" s="28" t="s">
        <v>2694</v>
      </c>
      <c r="D2828" s="29">
        <v>45979</v>
      </c>
      <c r="E2828" s="29">
        <v>46313</v>
      </c>
      <c r="F2828" s="28" t="s">
        <v>1959</v>
      </c>
      <c r="G2828" s="28" t="s">
        <v>794</v>
      </c>
      <c r="H2828" s="28" t="s">
        <v>931</v>
      </c>
      <c r="I2828" s="68">
        <v>29218.25</v>
      </c>
      <c r="J2828" s="28" t="s">
        <v>1852</v>
      </c>
      <c r="K2828" s="28" t="s">
        <v>1957</v>
      </c>
      <c r="L2828" s="65"/>
      <c r="M2828" s="28" t="s">
        <v>2443</v>
      </c>
      <c r="N2828" s="28" t="s">
        <v>916</v>
      </c>
      <c r="O2828" s="28" t="s">
        <v>315</v>
      </c>
      <c r="P2828" s="28" t="s">
        <v>2421</v>
      </c>
      <c r="Q2828" s="69" t="s">
        <v>1984</v>
      </c>
    </row>
    <row r="2829" spans="1:17" x14ac:dyDescent="0.3">
      <c r="A2829" s="67" t="s">
        <v>2695</v>
      </c>
      <c r="B2829" s="28" t="s">
        <v>2696</v>
      </c>
      <c r="C2829" s="28" t="s">
        <v>2697</v>
      </c>
      <c r="D2829" s="29">
        <v>45945</v>
      </c>
      <c r="E2829" s="29">
        <v>46934</v>
      </c>
      <c r="F2829" s="28" t="s">
        <v>286</v>
      </c>
      <c r="G2829" s="28" t="s">
        <v>304</v>
      </c>
      <c r="H2829" s="28" t="s">
        <v>489</v>
      </c>
      <c r="I2829" s="68">
        <v>1799907.66666667</v>
      </c>
      <c r="J2829" s="28" t="s">
        <v>1105</v>
      </c>
      <c r="K2829" s="28" t="s">
        <v>489</v>
      </c>
      <c r="L2829" s="65"/>
      <c r="M2829" s="28" t="s">
        <v>1518</v>
      </c>
      <c r="N2829" s="28" t="s">
        <v>357</v>
      </c>
      <c r="O2829" s="28" t="s">
        <v>358</v>
      </c>
      <c r="P2829" s="28" t="s">
        <v>2421</v>
      </c>
      <c r="Q2829" s="69" t="s">
        <v>1971</v>
      </c>
    </row>
    <row r="2830" spans="1:17" x14ac:dyDescent="0.3">
      <c r="A2830" s="67" t="s">
        <v>2695</v>
      </c>
      <c r="B2830" s="28" t="s">
        <v>2696</v>
      </c>
      <c r="C2830" s="28" t="s">
        <v>2697</v>
      </c>
      <c r="D2830" s="29">
        <v>45945</v>
      </c>
      <c r="E2830" s="29">
        <v>46934</v>
      </c>
      <c r="F2830" s="28" t="s">
        <v>1943</v>
      </c>
      <c r="G2830" s="28" t="s">
        <v>304</v>
      </c>
      <c r="H2830" s="28" t="s">
        <v>489</v>
      </c>
      <c r="I2830" s="68">
        <v>1799907.66666667</v>
      </c>
      <c r="J2830" s="28" t="s">
        <v>1105</v>
      </c>
      <c r="K2830" s="28" t="s">
        <v>489</v>
      </c>
      <c r="L2830" s="65"/>
      <c r="M2830" s="28" t="s">
        <v>1518</v>
      </c>
      <c r="N2830" s="28" t="s">
        <v>357</v>
      </c>
      <c r="O2830" s="28" t="s">
        <v>358</v>
      </c>
      <c r="P2830" s="28" t="s">
        <v>2421</v>
      </c>
      <c r="Q2830" s="69" t="s">
        <v>1971</v>
      </c>
    </row>
    <row r="2831" spans="1:17" x14ac:dyDescent="0.3">
      <c r="A2831" s="67" t="s">
        <v>2695</v>
      </c>
      <c r="B2831" s="28" t="s">
        <v>2696</v>
      </c>
      <c r="C2831" s="28" t="s">
        <v>2697</v>
      </c>
      <c r="D2831" s="29">
        <v>45945</v>
      </c>
      <c r="E2831" s="29">
        <v>46934</v>
      </c>
      <c r="F2831" s="28" t="s">
        <v>1939</v>
      </c>
      <c r="G2831" s="28" t="s">
        <v>304</v>
      </c>
      <c r="H2831" s="28" t="s">
        <v>489</v>
      </c>
      <c r="I2831" s="68">
        <v>1799907.66666667</v>
      </c>
      <c r="J2831" s="28" t="s">
        <v>1105</v>
      </c>
      <c r="K2831" s="28" t="s">
        <v>489</v>
      </c>
      <c r="L2831" s="65"/>
      <c r="M2831" s="28" t="s">
        <v>1518</v>
      </c>
      <c r="N2831" s="28" t="s">
        <v>357</v>
      </c>
      <c r="O2831" s="28" t="s">
        <v>358</v>
      </c>
      <c r="P2831" s="28" t="s">
        <v>2421</v>
      </c>
      <c r="Q2831" s="69" t="s">
        <v>1971</v>
      </c>
    </row>
    <row r="2832" spans="1:17" x14ac:dyDescent="0.3">
      <c r="A2832" s="67" t="s">
        <v>2698</v>
      </c>
      <c r="B2832" s="28" t="s">
        <v>2699</v>
      </c>
      <c r="C2832" s="28" t="s">
        <v>2700</v>
      </c>
      <c r="D2832" s="29">
        <v>45672</v>
      </c>
      <c r="E2832" s="29">
        <v>46401</v>
      </c>
      <c r="F2832" s="28" t="s">
        <v>1916</v>
      </c>
      <c r="G2832" s="28" t="s">
        <v>304</v>
      </c>
      <c r="H2832" s="28" t="s">
        <v>373</v>
      </c>
      <c r="I2832" s="68">
        <v>1030549</v>
      </c>
      <c r="J2832" s="28" t="s">
        <v>373</v>
      </c>
      <c r="K2832" s="28" t="s">
        <v>1693</v>
      </c>
      <c r="L2832" s="65"/>
      <c r="M2832" s="28" t="s">
        <v>1518</v>
      </c>
      <c r="N2832" s="28" t="s">
        <v>1260</v>
      </c>
      <c r="O2832" s="28" t="s">
        <v>459</v>
      </c>
      <c r="P2832" s="28" t="s">
        <v>2421</v>
      </c>
      <c r="Q2832" s="69" t="s">
        <v>1971</v>
      </c>
    </row>
    <row r="2833" spans="1:17" x14ac:dyDescent="0.3">
      <c r="A2833" s="67" t="s">
        <v>2701</v>
      </c>
      <c r="B2833" s="28" t="s">
        <v>2702</v>
      </c>
      <c r="C2833" s="28" t="s">
        <v>2703</v>
      </c>
      <c r="D2833" s="29">
        <v>45967</v>
      </c>
      <c r="E2833" s="29">
        <v>46879</v>
      </c>
      <c r="F2833" s="28" t="s">
        <v>1921</v>
      </c>
      <c r="G2833" s="28" t="s">
        <v>713</v>
      </c>
      <c r="H2833" s="28" t="s">
        <v>467</v>
      </c>
      <c r="I2833" s="68">
        <v>230789.5</v>
      </c>
      <c r="J2833" s="28" t="s">
        <v>468</v>
      </c>
      <c r="K2833" s="28" t="s">
        <v>467</v>
      </c>
      <c r="L2833" s="65"/>
      <c r="M2833" s="28" t="s">
        <v>825</v>
      </c>
      <c r="N2833" s="28" t="s">
        <v>971</v>
      </c>
      <c r="O2833" s="28" t="s">
        <v>358</v>
      </c>
      <c r="P2833" s="28" t="s">
        <v>2421</v>
      </c>
      <c r="Q2833" s="69" t="s">
        <v>1975</v>
      </c>
    </row>
    <row r="2834" spans="1:17" x14ac:dyDescent="0.3">
      <c r="A2834" s="67" t="s">
        <v>2701</v>
      </c>
      <c r="B2834" s="28" t="s">
        <v>2702</v>
      </c>
      <c r="C2834" s="28" t="s">
        <v>2703</v>
      </c>
      <c r="D2834" s="29">
        <v>45967</v>
      </c>
      <c r="E2834" s="29">
        <v>46879</v>
      </c>
      <c r="F2834" s="28" t="s">
        <v>1921</v>
      </c>
      <c r="G2834" s="28" t="s">
        <v>714</v>
      </c>
      <c r="H2834" s="28" t="s">
        <v>467</v>
      </c>
      <c r="I2834" s="68">
        <v>230789.5</v>
      </c>
      <c r="J2834" s="28" t="s">
        <v>468</v>
      </c>
      <c r="K2834" s="28" t="s">
        <v>467</v>
      </c>
      <c r="L2834" s="65"/>
      <c r="M2834" s="28" t="s">
        <v>825</v>
      </c>
      <c r="N2834" s="28" t="s">
        <v>971</v>
      </c>
      <c r="O2834" s="28" t="s">
        <v>358</v>
      </c>
      <c r="P2834" s="28" t="s">
        <v>2421</v>
      </c>
      <c r="Q2834" s="69" t="s">
        <v>1975</v>
      </c>
    </row>
    <row r="2835" spans="1:17" x14ac:dyDescent="0.3">
      <c r="A2835" s="67" t="s">
        <v>2704</v>
      </c>
      <c r="B2835" s="28" t="s">
        <v>2705</v>
      </c>
      <c r="C2835" s="28" t="s">
        <v>2706</v>
      </c>
      <c r="D2835" s="29">
        <v>45868</v>
      </c>
      <c r="E2835" s="29">
        <v>46387</v>
      </c>
      <c r="F2835" s="28" t="s">
        <v>1922</v>
      </c>
      <c r="G2835" s="28" t="s">
        <v>383</v>
      </c>
      <c r="H2835" s="28" t="s">
        <v>2427</v>
      </c>
      <c r="I2835" s="68">
        <v>406487.5</v>
      </c>
      <c r="J2835" s="28" t="s">
        <v>1649</v>
      </c>
      <c r="K2835" s="28" t="s">
        <v>467</v>
      </c>
      <c r="L2835" s="65"/>
      <c r="M2835" s="28" t="s">
        <v>825</v>
      </c>
      <c r="N2835" s="28" t="s">
        <v>804</v>
      </c>
      <c r="O2835" s="28" t="s">
        <v>347</v>
      </c>
      <c r="P2835" s="28" t="s">
        <v>2421</v>
      </c>
      <c r="Q2835" s="69" t="s">
        <v>1965</v>
      </c>
    </row>
    <row r="2836" spans="1:17" x14ac:dyDescent="0.3">
      <c r="A2836" s="67" t="s">
        <v>2704</v>
      </c>
      <c r="B2836" s="28" t="s">
        <v>2705</v>
      </c>
      <c r="C2836" s="28" t="s">
        <v>2706</v>
      </c>
      <c r="D2836" s="29">
        <v>45868</v>
      </c>
      <c r="E2836" s="29">
        <v>46387</v>
      </c>
      <c r="F2836" s="28" t="s">
        <v>1922</v>
      </c>
      <c r="G2836" s="28" t="s">
        <v>387</v>
      </c>
      <c r="H2836" s="28" t="s">
        <v>2427</v>
      </c>
      <c r="I2836" s="68">
        <v>406487.5</v>
      </c>
      <c r="J2836" s="28" t="s">
        <v>1649</v>
      </c>
      <c r="K2836" s="28" t="s">
        <v>467</v>
      </c>
      <c r="L2836" s="65"/>
      <c r="M2836" s="28" t="s">
        <v>825</v>
      </c>
      <c r="N2836" s="28" t="s">
        <v>804</v>
      </c>
      <c r="O2836" s="28" t="s">
        <v>347</v>
      </c>
      <c r="P2836" s="28" t="s">
        <v>2421</v>
      </c>
      <c r="Q2836" s="69" t="s">
        <v>1965</v>
      </c>
    </row>
    <row r="2837" spans="1:17" x14ac:dyDescent="0.3">
      <c r="A2837" s="67" t="s">
        <v>2707</v>
      </c>
      <c r="B2837" s="28" t="s">
        <v>2708</v>
      </c>
      <c r="C2837" s="28" t="s">
        <v>2709</v>
      </c>
      <c r="D2837" s="29">
        <v>45168</v>
      </c>
      <c r="E2837" s="29">
        <v>46476</v>
      </c>
      <c r="F2837" s="28" t="s">
        <v>1940</v>
      </c>
      <c r="G2837" s="28" t="s">
        <v>561</v>
      </c>
      <c r="H2837" s="28" t="s">
        <v>377</v>
      </c>
      <c r="I2837" s="68">
        <v>330366.125</v>
      </c>
      <c r="J2837" s="28" t="s">
        <v>548</v>
      </c>
      <c r="K2837" s="28" t="s">
        <v>377</v>
      </c>
      <c r="L2837" s="65"/>
      <c r="M2837" s="28" t="s">
        <v>1518</v>
      </c>
      <c r="N2837" s="28" t="s">
        <v>469</v>
      </c>
      <c r="O2837" s="28" t="s">
        <v>315</v>
      </c>
      <c r="P2837" s="28" t="s">
        <v>2421</v>
      </c>
      <c r="Q2837" s="69" t="s">
        <v>1969</v>
      </c>
    </row>
    <row r="2838" spans="1:17" x14ac:dyDescent="0.3">
      <c r="A2838" s="67" t="s">
        <v>2707</v>
      </c>
      <c r="B2838" s="28" t="s">
        <v>2708</v>
      </c>
      <c r="C2838" s="28" t="s">
        <v>2709</v>
      </c>
      <c r="D2838" s="29">
        <v>45168</v>
      </c>
      <c r="E2838" s="29">
        <v>46476</v>
      </c>
      <c r="F2838" s="28" t="s">
        <v>1940</v>
      </c>
      <c r="G2838" s="28" t="s">
        <v>624</v>
      </c>
      <c r="H2838" s="28" t="s">
        <v>377</v>
      </c>
      <c r="I2838" s="68">
        <v>330366.125</v>
      </c>
      <c r="J2838" s="28" t="s">
        <v>548</v>
      </c>
      <c r="K2838" s="28" t="s">
        <v>377</v>
      </c>
      <c r="L2838" s="65"/>
      <c r="M2838" s="28" t="s">
        <v>1518</v>
      </c>
      <c r="N2838" s="28" t="s">
        <v>469</v>
      </c>
      <c r="O2838" s="28" t="s">
        <v>315</v>
      </c>
      <c r="P2838" s="28" t="s">
        <v>2421</v>
      </c>
      <c r="Q2838" s="69" t="s">
        <v>1969</v>
      </c>
    </row>
    <row r="2839" spans="1:17" x14ac:dyDescent="0.3">
      <c r="A2839" s="67" t="s">
        <v>2707</v>
      </c>
      <c r="B2839" s="28" t="s">
        <v>2708</v>
      </c>
      <c r="C2839" s="28" t="s">
        <v>2709</v>
      </c>
      <c r="D2839" s="29">
        <v>45168</v>
      </c>
      <c r="E2839" s="29">
        <v>46476</v>
      </c>
      <c r="F2839" s="28" t="s">
        <v>1944</v>
      </c>
      <c r="G2839" s="28" t="s">
        <v>1351</v>
      </c>
      <c r="H2839" s="28" t="s">
        <v>377</v>
      </c>
      <c r="I2839" s="68">
        <v>330366.125</v>
      </c>
      <c r="J2839" s="28" t="s">
        <v>548</v>
      </c>
      <c r="K2839" s="28" t="s">
        <v>377</v>
      </c>
      <c r="L2839" s="65"/>
      <c r="M2839" s="28" t="s">
        <v>1518</v>
      </c>
      <c r="N2839" s="28" t="s">
        <v>469</v>
      </c>
      <c r="O2839" s="28" t="s">
        <v>315</v>
      </c>
      <c r="P2839" s="28" t="s">
        <v>2421</v>
      </c>
      <c r="Q2839" s="69" t="s">
        <v>1969</v>
      </c>
    </row>
    <row r="2840" spans="1:17" x14ac:dyDescent="0.3">
      <c r="A2840" s="67" t="s">
        <v>2707</v>
      </c>
      <c r="B2840" s="28" t="s">
        <v>2708</v>
      </c>
      <c r="C2840" s="28" t="s">
        <v>2709</v>
      </c>
      <c r="D2840" s="29">
        <v>45168</v>
      </c>
      <c r="E2840" s="29">
        <v>46476</v>
      </c>
      <c r="F2840" s="28" t="s">
        <v>1944</v>
      </c>
      <c r="G2840" s="28" t="s">
        <v>2710</v>
      </c>
      <c r="H2840" s="28" t="s">
        <v>377</v>
      </c>
      <c r="I2840" s="68">
        <v>330366.125</v>
      </c>
      <c r="J2840" s="28" t="s">
        <v>548</v>
      </c>
      <c r="K2840" s="28" t="s">
        <v>377</v>
      </c>
      <c r="L2840" s="65"/>
      <c r="M2840" s="28" t="s">
        <v>1518</v>
      </c>
      <c r="N2840" s="28" t="s">
        <v>469</v>
      </c>
      <c r="O2840" s="28" t="s">
        <v>315</v>
      </c>
      <c r="P2840" s="28" t="s">
        <v>2421</v>
      </c>
      <c r="Q2840" s="69" t="s">
        <v>1969</v>
      </c>
    </row>
    <row r="2841" spans="1:17" x14ac:dyDescent="0.3">
      <c r="A2841" s="67" t="s">
        <v>2707</v>
      </c>
      <c r="B2841" s="28" t="s">
        <v>2708</v>
      </c>
      <c r="C2841" s="28" t="s">
        <v>2709</v>
      </c>
      <c r="D2841" s="29">
        <v>45168</v>
      </c>
      <c r="E2841" s="29">
        <v>46476</v>
      </c>
      <c r="F2841" s="28" t="s">
        <v>1930</v>
      </c>
      <c r="G2841" s="28" t="s">
        <v>721</v>
      </c>
      <c r="H2841" s="28" t="s">
        <v>377</v>
      </c>
      <c r="I2841" s="68">
        <v>330366.125</v>
      </c>
      <c r="J2841" s="28" t="s">
        <v>548</v>
      </c>
      <c r="K2841" s="28" t="s">
        <v>377</v>
      </c>
      <c r="L2841" s="65"/>
      <c r="M2841" s="28" t="s">
        <v>1518</v>
      </c>
      <c r="N2841" s="28" t="s">
        <v>469</v>
      </c>
      <c r="O2841" s="28" t="s">
        <v>315</v>
      </c>
      <c r="P2841" s="28" t="s">
        <v>2421</v>
      </c>
      <c r="Q2841" s="69" t="s">
        <v>1969</v>
      </c>
    </row>
    <row r="2842" spans="1:17" x14ac:dyDescent="0.3">
      <c r="A2842" s="67" t="s">
        <v>2707</v>
      </c>
      <c r="B2842" s="28" t="s">
        <v>2708</v>
      </c>
      <c r="C2842" s="28" t="s">
        <v>2709</v>
      </c>
      <c r="D2842" s="29">
        <v>45168</v>
      </c>
      <c r="E2842" s="29">
        <v>46476</v>
      </c>
      <c r="F2842" s="28" t="s">
        <v>1930</v>
      </c>
      <c r="G2842" s="28" t="s">
        <v>722</v>
      </c>
      <c r="H2842" s="28" t="s">
        <v>377</v>
      </c>
      <c r="I2842" s="68">
        <v>330366.125</v>
      </c>
      <c r="J2842" s="28" t="s">
        <v>548</v>
      </c>
      <c r="K2842" s="28" t="s">
        <v>377</v>
      </c>
      <c r="L2842" s="65"/>
      <c r="M2842" s="28" t="s">
        <v>1518</v>
      </c>
      <c r="N2842" s="28" t="s">
        <v>469</v>
      </c>
      <c r="O2842" s="28" t="s">
        <v>315</v>
      </c>
      <c r="P2842" s="28" t="s">
        <v>2421</v>
      </c>
      <c r="Q2842" s="69" t="s">
        <v>1969</v>
      </c>
    </row>
    <row r="2843" spans="1:17" x14ac:dyDescent="0.3">
      <c r="A2843" s="67" t="s">
        <v>2707</v>
      </c>
      <c r="B2843" s="28" t="s">
        <v>2708</v>
      </c>
      <c r="C2843" s="28" t="s">
        <v>2709</v>
      </c>
      <c r="D2843" s="29">
        <v>45168</v>
      </c>
      <c r="E2843" s="29">
        <v>46476</v>
      </c>
      <c r="F2843" s="28" t="s">
        <v>1945</v>
      </c>
      <c r="G2843" s="28" t="s">
        <v>450</v>
      </c>
      <c r="H2843" s="28" t="s">
        <v>377</v>
      </c>
      <c r="I2843" s="68">
        <v>660732.25</v>
      </c>
      <c r="J2843" s="28" t="s">
        <v>548</v>
      </c>
      <c r="K2843" s="28" t="s">
        <v>377</v>
      </c>
      <c r="L2843" s="65"/>
      <c r="M2843" s="28" t="s">
        <v>1518</v>
      </c>
      <c r="N2843" s="28" t="s">
        <v>469</v>
      </c>
      <c r="O2843" s="28" t="s">
        <v>315</v>
      </c>
      <c r="P2843" s="28" t="s">
        <v>2421</v>
      </c>
      <c r="Q2843" s="69" t="s">
        <v>1969</v>
      </c>
    </row>
    <row r="2844" spans="1:17" x14ac:dyDescent="0.3">
      <c r="A2844" s="67" t="s">
        <v>2711</v>
      </c>
      <c r="B2844" s="28" t="s">
        <v>2712</v>
      </c>
      <c r="C2844" s="28" t="s">
        <v>2713</v>
      </c>
      <c r="D2844" s="29">
        <v>45961</v>
      </c>
      <c r="E2844" s="29">
        <v>47848</v>
      </c>
      <c r="F2844" s="28" t="s">
        <v>1934</v>
      </c>
      <c r="G2844" s="28" t="s">
        <v>618</v>
      </c>
      <c r="H2844" s="28" t="s">
        <v>489</v>
      </c>
      <c r="I2844" s="68">
        <v>7213735.75</v>
      </c>
      <c r="J2844" s="28" t="s">
        <v>821</v>
      </c>
      <c r="K2844" s="28" t="s">
        <v>489</v>
      </c>
      <c r="L2844" s="65"/>
      <c r="M2844" s="28" t="s">
        <v>825</v>
      </c>
      <c r="N2844" s="28" t="s">
        <v>2714</v>
      </c>
      <c r="O2844" s="28" t="s">
        <v>637</v>
      </c>
      <c r="P2844" s="28" t="s">
        <v>2421</v>
      </c>
      <c r="Q2844" s="69" t="s">
        <v>1969</v>
      </c>
    </row>
    <row r="2845" spans="1:17" x14ac:dyDescent="0.3">
      <c r="A2845" s="67" t="s">
        <v>2711</v>
      </c>
      <c r="B2845" s="28" t="s">
        <v>2712</v>
      </c>
      <c r="C2845" s="28" t="s">
        <v>2713</v>
      </c>
      <c r="D2845" s="29">
        <v>45961</v>
      </c>
      <c r="E2845" s="29">
        <v>47848</v>
      </c>
      <c r="F2845" s="28" t="s">
        <v>1934</v>
      </c>
      <c r="G2845" s="28" t="s">
        <v>727</v>
      </c>
      <c r="H2845" s="28" t="s">
        <v>489</v>
      </c>
      <c r="I2845" s="68">
        <v>7213735.75</v>
      </c>
      <c r="J2845" s="28" t="s">
        <v>821</v>
      </c>
      <c r="K2845" s="28" t="s">
        <v>489</v>
      </c>
      <c r="L2845" s="65"/>
      <c r="M2845" s="28" t="s">
        <v>825</v>
      </c>
      <c r="N2845" s="28" t="s">
        <v>2714</v>
      </c>
      <c r="O2845" s="28" t="s">
        <v>637</v>
      </c>
      <c r="P2845" s="28" t="s">
        <v>2421</v>
      </c>
      <c r="Q2845" s="69" t="s">
        <v>1969</v>
      </c>
    </row>
    <row r="2846" spans="1:17" x14ac:dyDescent="0.3">
      <c r="A2846" s="67" t="s">
        <v>2711</v>
      </c>
      <c r="B2846" s="28" t="s">
        <v>2712</v>
      </c>
      <c r="C2846" s="28" t="s">
        <v>2713</v>
      </c>
      <c r="D2846" s="29">
        <v>45961</v>
      </c>
      <c r="E2846" s="29">
        <v>47848</v>
      </c>
      <c r="F2846" s="28" t="s">
        <v>1934</v>
      </c>
      <c r="G2846" s="28" t="s">
        <v>523</v>
      </c>
      <c r="H2846" s="28" t="s">
        <v>489</v>
      </c>
      <c r="I2846" s="68">
        <v>7213735.75</v>
      </c>
      <c r="J2846" s="28" t="s">
        <v>821</v>
      </c>
      <c r="K2846" s="28" t="s">
        <v>489</v>
      </c>
      <c r="L2846" s="65"/>
      <c r="M2846" s="28" t="s">
        <v>825</v>
      </c>
      <c r="N2846" s="28" t="s">
        <v>2714</v>
      </c>
      <c r="O2846" s="28" t="s">
        <v>637</v>
      </c>
      <c r="P2846" s="28" t="s">
        <v>2421</v>
      </c>
      <c r="Q2846" s="69" t="s">
        <v>1969</v>
      </c>
    </row>
    <row r="2847" spans="1:17" x14ac:dyDescent="0.3">
      <c r="A2847" s="67" t="s">
        <v>2711</v>
      </c>
      <c r="B2847" s="28" t="s">
        <v>2712</v>
      </c>
      <c r="C2847" s="28" t="s">
        <v>2713</v>
      </c>
      <c r="D2847" s="29">
        <v>45961</v>
      </c>
      <c r="E2847" s="29">
        <v>47848</v>
      </c>
      <c r="F2847" s="28" t="s">
        <v>1934</v>
      </c>
      <c r="G2847" s="28" t="s">
        <v>529</v>
      </c>
      <c r="H2847" s="28" t="s">
        <v>489</v>
      </c>
      <c r="I2847" s="68">
        <v>7213735.75</v>
      </c>
      <c r="J2847" s="28" t="s">
        <v>821</v>
      </c>
      <c r="K2847" s="28" t="s">
        <v>489</v>
      </c>
      <c r="L2847" s="65"/>
      <c r="M2847" s="28" t="s">
        <v>825</v>
      </c>
      <c r="N2847" s="28" t="s">
        <v>2714</v>
      </c>
      <c r="O2847" s="28" t="s">
        <v>637</v>
      </c>
      <c r="P2847" s="28" t="s">
        <v>2421</v>
      </c>
      <c r="Q2847" s="69" t="s">
        <v>1969</v>
      </c>
    </row>
    <row r="2848" spans="1:17" x14ac:dyDescent="0.3">
      <c r="A2848" s="67" t="s">
        <v>2715</v>
      </c>
      <c r="B2848" s="28" t="s">
        <v>2716</v>
      </c>
      <c r="C2848" s="28" t="s">
        <v>2717</v>
      </c>
      <c r="D2848" s="29">
        <v>45962</v>
      </c>
      <c r="E2848" s="29">
        <v>47118</v>
      </c>
      <c r="F2848" s="28" t="s">
        <v>1922</v>
      </c>
      <c r="G2848" s="28" t="s">
        <v>1196</v>
      </c>
      <c r="H2848" s="28" t="s">
        <v>2427</v>
      </c>
      <c r="I2848" s="68">
        <v>3179243.8571428601</v>
      </c>
      <c r="J2848" s="28" t="s">
        <v>664</v>
      </c>
      <c r="K2848" s="28" t="s">
        <v>377</v>
      </c>
      <c r="L2848" s="65"/>
      <c r="M2848" s="28" t="s">
        <v>825</v>
      </c>
      <c r="N2848" s="28" t="s">
        <v>378</v>
      </c>
      <c r="O2848" s="28" t="s">
        <v>371</v>
      </c>
      <c r="P2848" s="28" t="s">
        <v>2421</v>
      </c>
      <c r="Q2848" s="69" t="s">
        <v>1972</v>
      </c>
    </row>
    <row r="2849" spans="1:17" x14ac:dyDescent="0.3">
      <c r="A2849" s="67" t="s">
        <v>2715</v>
      </c>
      <c r="B2849" s="28" t="s">
        <v>2716</v>
      </c>
      <c r="C2849" s="28" t="s">
        <v>2717</v>
      </c>
      <c r="D2849" s="29">
        <v>45962</v>
      </c>
      <c r="E2849" s="29">
        <v>47118</v>
      </c>
      <c r="F2849" s="28" t="s">
        <v>1922</v>
      </c>
      <c r="G2849" s="28" t="s">
        <v>1798</v>
      </c>
      <c r="H2849" s="28" t="s">
        <v>2427</v>
      </c>
      <c r="I2849" s="68">
        <v>3179243.8571428601</v>
      </c>
      <c r="J2849" s="28" t="s">
        <v>664</v>
      </c>
      <c r="K2849" s="28" t="s">
        <v>377</v>
      </c>
      <c r="L2849" s="65"/>
      <c r="M2849" s="28" t="s">
        <v>825</v>
      </c>
      <c r="N2849" s="28" t="s">
        <v>378</v>
      </c>
      <c r="O2849" s="28" t="s">
        <v>371</v>
      </c>
      <c r="P2849" s="28" t="s">
        <v>2421</v>
      </c>
      <c r="Q2849" s="69" t="s">
        <v>1972</v>
      </c>
    </row>
    <row r="2850" spans="1:17" x14ac:dyDescent="0.3">
      <c r="A2850" s="67" t="s">
        <v>2715</v>
      </c>
      <c r="B2850" s="28" t="s">
        <v>2716</v>
      </c>
      <c r="C2850" s="28" t="s">
        <v>2717</v>
      </c>
      <c r="D2850" s="29">
        <v>45962</v>
      </c>
      <c r="E2850" s="29">
        <v>47118</v>
      </c>
      <c r="F2850" s="28" t="s">
        <v>1922</v>
      </c>
      <c r="G2850" s="28" t="s">
        <v>836</v>
      </c>
      <c r="H2850" s="28" t="s">
        <v>2427</v>
      </c>
      <c r="I2850" s="68">
        <v>3179243.8571428601</v>
      </c>
      <c r="J2850" s="28" t="s">
        <v>664</v>
      </c>
      <c r="K2850" s="28" t="s">
        <v>377</v>
      </c>
      <c r="L2850" s="65"/>
      <c r="M2850" s="28" t="s">
        <v>825</v>
      </c>
      <c r="N2850" s="28" t="s">
        <v>378</v>
      </c>
      <c r="O2850" s="28" t="s">
        <v>371</v>
      </c>
      <c r="P2850" s="28" t="s">
        <v>2421</v>
      </c>
      <c r="Q2850" s="69" t="s">
        <v>1972</v>
      </c>
    </row>
    <row r="2851" spans="1:17" x14ac:dyDescent="0.3">
      <c r="A2851" s="67" t="s">
        <v>2715</v>
      </c>
      <c r="B2851" s="28" t="s">
        <v>2716</v>
      </c>
      <c r="C2851" s="28" t="s">
        <v>2717</v>
      </c>
      <c r="D2851" s="29">
        <v>45962</v>
      </c>
      <c r="E2851" s="29">
        <v>47118</v>
      </c>
      <c r="F2851" s="28" t="s">
        <v>1922</v>
      </c>
      <c r="G2851" s="28" t="s">
        <v>381</v>
      </c>
      <c r="H2851" s="28" t="s">
        <v>2427</v>
      </c>
      <c r="I2851" s="68">
        <v>3179243.8571428601</v>
      </c>
      <c r="J2851" s="28" t="s">
        <v>664</v>
      </c>
      <c r="K2851" s="28" t="s">
        <v>377</v>
      </c>
      <c r="L2851" s="65"/>
      <c r="M2851" s="28" t="s">
        <v>825</v>
      </c>
      <c r="N2851" s="28" t="s">
        <v>378</v>
      </c>
      <c r="O2851" s="28" t="s">
        <v>371</v>
      </c>
      <c r="P2851" s="28" t="s">
        <v>2421</v>
      </c>
      <c r="Q2851" s="69" t="s">
        <v>1972</v>
      </c>
    </row>
    <row r="2852" spans="1:17" x14ac:dyDescent="0.3">
      <c r="A2852" s="67" t="s">
        <v>2715</v>
      </c>
      <c r="B2852" s="28" t="s">
        <v>2716</v>
      </c>
      <c r="C2852" s="28" t="s">
        <v>2717</v>
      </c>
      <c r="D2852" s="29">
        <v>45962</v>
      </c>
      <c r="E2852" s="29">
        <v>47118</v>
      </c>
      <c r="F2852" s="28" t="s">
        <v>1922</v>
      </c>
      <c r="G2852" s="28" t="s">
        <v>382</v>
      </c>
      <c r="H2852" s="28" t="s">
        <v>2427</v>
      </c>
      <c r="I2852" s="68">
        <v>3179243.8571428601</v>
      </c>
      <c r="J2852" s="28" t="s">
        <v>664</v>
      </c>
      <c r="K2852" s="28" t="s">
        <v>377</v>
      </c>
      <c r="L2852" s="65"/>
      <c r="M2852" s="28" t="s">
        <v>825</v>
      </c>
      <c r="N2852" s="28" t="s">
        <v>378</v>
      </c>
      <c r="O2852" s="28" t="s">
        <v>371</v>
      </c>
      <c r="P2852" s="28" t="s">
        <v>2421</v>
      </c>
      <c r="Q2852" s="69" t="s">
        <v>1972</v>
      </c>
    </row>
    <row r="2853" spans="1:17" x14ac:dyDescent="0.3">
      <c r="A2853" s="67" t="s">
        <v>2715</v>
      </c>
      <c r="B2853" s="28" t="s">
        <v>2716</v>
      </c>
      <c r="C2853" s="28" t="s">
        <v>2717</v>
      </c>
      <c r="D2853" s="29">
        <v>45962</v>
      </c>
      <c r="E2853" s="29">
        <v>47118</v>
      </c>
      <c r="F2853" s="28" t="s">
        <v>1922</v>
      </c>
      <c r="G2853" s="28" t="s">
        <v>385</v>
      </c>
      <c r="H2853" s="28" t="s">
        <v>2427</v>
      </c>
      <c r="I2853" s="68">
        <v>3179243.8571428601</v>
      </c>
      <c r="J2853" s="28" t="s">
        <v>664</v>
      </c>
      <c r="K2853" s="28" t="s">
        <v>377</v>
      </c>
      <c r="L2853" s="65"/>
      <c r="M2853" s="28" t="s">
        <v>825</v>
      </c>
      <c r="N2853" s="28" t="s">
        <v>378</v>
      </c>
      <c r="O2853" s="28" t="s">
        <v>371</v>
      </c>
      <c r="P2853" s="28" t="s">
        <v>2421</v>
      </c>
      <c r="Q2853" s="69" t="s">
        <v>1972</v>
      </c>
    </row>
    <row r="2854" spans="1:17" x14ac:dyDescent="0.3">
      <c r="A2854" s="67" t="s">
        <v>2715</v>
      </c>
      <c r="B2854" s="28" t="s">
        <v>2716</v>
      </c>
      <c r="C2854" s="28" t="s">
        <v>2717</v>
      </c>
      <c r="D2854" s="29">
        <v>45962</v>
      </c>
      <c r="E2854" s="29">
        <v>47118</v>
      </c>
      <c r="F2854" s="28" t="s">
        <v>1922</v>
      </c>
      <c r="G2854" s="28" t="s">
        <v>387</v>
      </c>
      <c r="H2854" s="28" t="s">
        <v>2427</v>
      </c>
      <c r="I2854" s="68">
        <v>3179243.8571428601</v>
      </c>
      <c r="J2854" s="28" t="s">
        <v>664</v>
      </c>
      <c r="K2854" s="28" t="s">
        <v>377</v>
      </c>
      <c r="L2854" s="65"/>
      <c r="M2854" s="28" t="s">
        <v>825</v>
      </c>
      <c r="N2854" s="28" t="s">
        <v>378</v>
      </c>
      <c r="O2854" s="28" t="s">
        <v>371</v>
      </c>
      <c r="P2854" s="28" t="s">
        <v>2421</v>
      </c>
      <c r="Q2854" s="69" t="s">
        <v>1972</v>
      </c>
    </row>
    <row r="2855" spans="1:17" x14ac:dyDescent="0.3">
      <c r="A2855" s="67" t="s">
        <v>2718</v>
      </c>
      <c r="B2855" s="28" t="s">
        <v>2719</v>
      </c>
      <c r="C2855" s="28" t="s">
        <v>2720</v>
      </c>
      <c r="D2855" s="29">
        <v>45855</v>
      </c>
      <c r="E2855" s="29">
        <v>46234</v>
      </c>
      <c r="F2855" s="28" t="s">
        <v>1945</v>
      </c>
      <c r="G2855" s="28" t="s">
        <v>402</v>
      </c>
      <c r="H2855" s="28" t="s">
        <v>467</v>
      </c>
      <c r="I2855" s="68">
        <v>27037.333333333299</v>
      </c>
      <c r="J2855" s="28" t="s">
        <v>2721</v>
      </c>
      <c r="K2855" s="28" t="s">
        <v>467</v>
      </c>
      <c r="L2855" s="65"/>
      <c r="M2855" s="28" t="s">
        <v>825</v>
      </c>
      <c r="N2855" s="28" t="s">
        <v>551</v>
      </c>
      <c r="O2855" s="28" t="s">
        <v>428</v>
      </c>
      <c r="P2855" s="28" t="s">
        <v>2421</v>
      </c>
      <c r="Q2855" s="69" t="s">
        <v>1969</v>
      </c>
    </row>
    <row r="2856" spans="1:17" x14ac:dyDescent="0.3">
      <c r="A2856" s="67" t="s">
        <v>2718</v>
      </c>
      <c r="B2856" s="28" t="s">
        <v>2719</v>
      </c>
      <c r="C2856" s="28" t="s">
        <v>2720</v>
      </c>
      <c r="D2856" s="29">
        <v>45855</v>
      </c>
      <c r="E2856" s="29">
        <v>46234</v>
      </c>
      <c r="F2856" s="28" t="s">
        <v>1945</v>
      </c>
      <c r="G2856" s="28" t="s">
        <v>404</v>
      </c>
      <c r="H2856" s="28" t="s">
        <v>467</v>
      </c>
      <c r="I2856" s="68">
        <v>27037.333333333299</v>
      </c>
      <c r="J2856" s="28" t="s">
        <v>2721</v>
      </c>
      <c r="K2856" s="28" t="s">
        <v>467</v>
      </c>
      <c r="L2856" s="65"/>
      <c r="M2856" s="28" t="s">
        <v>825</v>
      </c>
      <c r="N2856" s="28" t="s">
        <v>551</v>
      </c>
      <c r="O2856" s="28" t="s">
        <v>428</v>
      </c>
      <c r="P2856" s="28" t="s">
        <v>2421</v>
      </c>
      <c r="Q2856" s="69" t="s">
        <v>1969</v>
      </c>
    </row>
    <row r="2857" spans="1:17" x14ac:dyDescent="0.3">
      <c r="A2857" s="67" t="s">
        <v>2718</v>
      </c>
      <c r="B2857" s="28" t="s">
        <v>2719</v>
      </c>
      <c r="C2857" s="28" t="s">
        <v>2720</v>
      </c>
      <c r="D2857" s="29">
        <v>45855</v>
      </c>
      <c r="E2857" s="29">
        <v>46234</v>
      </c>
      <c r="F2857" s="28" t="s">
        <v>1945</v>
      </c>
      <c r="G2857" s="28" t="s">
        <v>405</v>
      </c>
      <c r="H2857" s="28" t="s">
        <v>467</v>
      </c>
      <c r="I2857" s="68">
        <v>27037.333333333299</v>
      </c>
      <c r="J2857" s="28" t="s">
        <v>2721</v>
      </c>
      <c r="K2857" s="28" t="s">
        <v>467</v>
      </c>
      <c r="L2857" s="65"/>
      <c r="M2857" s="28" t="s">
        <v>825</v>
      </c>
      <c r="N2857" s="28" t="s">
        <v>551</v>
      </c>
      <c r="O2857" s="28" t="s">
        <v>428</v>
      </c>
      <c r="P2857" s="28" t="s">
        <v>2421</v>
      </c>
      <c r="Q2857" s="69" t="s">
        <v>1969</v>
      </c>
    </row>
    <row r="2858" spans="1:17" x14ac:dyDescent="0.3">
      <c r="A2858" s="67" t="s">
        <v>2722</v>
      </c>
      <c r="B2858" s="28" t="s">
        <v>2723</v>
      </c>
      <c r="C2858" s="28" t="s">
        <v>2724</v>
      </c>
      <c r="D2858" s="29">
        <v>45703</v>
      </c>
      <c r="E2858" s="29">
        <v>46980</v>
      </c>
      <c r="F2858" s="28" t="s">
        <v>350</v>
      </c>
      <c r="G2858" s="28" t="s">
        <v>304</v>
      </c>
      <c r="H2858" s="28" t="s">
        <v>2420</v>
      </c>
      <c r="I2858" s="68">
        <v>700000</v>
      </c>
      <c r="J2858" s="28" t="s">
        <v>2425</v>
      </c>
      <c r="K2858" s="28" t="s">
        <v>377</v>
      </c>
      <c r="L2858" s="65"/>
      <c r="M2858" s="28" t="s">
        <v>424</v>
      </c>
      <c r="N2858" s="28" t="s">
        <v>950</v>
      </c>
      <c r="O2858" s="28" t="s">
        <v>637</v>
      </c>
      <c r="P2858" s="28" t="s">
        <v>2421</v>
      </c>
      <c r="Q2858" s="69" t="s">
        <v>1968</v>
      </c>
    </row>
    <row r="2859" spans="1:17" x14ac:dyDescent="0.3">
      <c r="A2859" s="67" t="s">
        <v>2722</v>
      </c>
      <c r="B2859" s="28" t="s">
        <v>2723</v>
      </c>
      <c r="C2859" s="28" t="s">
        <v>2724</v>
      </c>
      <c r="D2859" s="29">
        <v>45703</v>
      </c>
      <c r="E2859" s="29">
        <v>46980</v>
      </c>
      <c r="F2859" s="28" t="s">
        <v>350</v>
      </c>
      <c r="G2859" s="28" t="s">
        <v>304</v>
      </c>
      <c r="H2859" s="28" t="s">
        <v>2420</v>
      </c>
      <c r="I2859" s="68">
        <v>800000</v>
      </c>
      <c r="J2859" s="28" t="s">
        <v>1114</v>
      </c>
      <c r="K2859" s="28" t="s">
        <v>377</v>
      </c>
      <c r="L2859" s="65"/>
      <c r="M2859" s="28" t="s">
        <v>424</v>
      </c>
      <c r="N2859" s="28" t="s">
        <v>950</v>
      </c>
      <c r="O2859" s="28" t="s">
        <v>637</v>
      </c>
      <c r="P2859" s="28" t="s">
        <v>2421</v>
      </c>
      <c r="Q2859" s="69" t="s">
        <v>1968</v>
      </c>
    </row>
    <row r="2860" spans="1:17" x14ac:dyDescent="0.3">
      <c r="A2860" s="67" t="s">
        <v>2725</v>
      </c>
      <c r="B2860" s="28" t="s">
        <v>2726</v>
      </c>
      <c r="C2860" s="28" t="s">
        <v>2727</v>
      </c>
      <c r="D2860" s="29">
        <v>45905</v>
      </c>
      <c r="E2860" s="29">
        <v>46904</v>
      </c>
      <c r="F2860" s="28" t="s">
        <v>1930</v>
      </c>
      <c r="G2860" s="28" t="s">
        <v>543</v>
      </c>
      <c r="H2860" s="28" t="s">
        <v>360</v>
      </c>
      <c r="I2860" s="68">
        <v>183690.44750000001</v>
      </c>
      <c r="J2860" s="28" t="s">
        <v>662</v>
      </c>
      <c r="K2860" s="28" t="s">
        <v>360</v>
      </c>
      <c r="L2860" s="65"/>
      <c r="M2860" s="28" t="s">
        <v>825</v>
      </c>
      <c r="N2860" s="28" t="s">
        <v>378</v>
      </c>
      <c r="O2860" s="28" t="s">
        <v>371</v>
      </c>
      <c r="P2860" s="28" t="s">
        <v>2421</v>
      </c>
      <c r="Q2860" s="69" t="s">
        <v>1972</v>
      </c>
    </row>
    <row r="2861" spans="1:17" x14ac:dyDescent="0.3">
      <c r="A2861" s="67" t="s">
        <v>2725</v>
      </c>
      <c r="B2861" s="28" t="s">
        <v>2726</v>
      </c>
      <c r="C2861" s="28" t="s">
        <v>2727</v>
      </c>
      <c r="D2861" s="29">
        <v>45905</v>
      </c>
      <c r="E2861" s="29">
        <v>46904</v>
      </c>
      <c r="F2861" s="28" t="s">
        <v>1930</v>
      </c>
      <c r="G2861" s="28" t="s">
        <v>1207</v>
      </c>
      <c r="H2861" s="28" t="s">
        <v>360</v>
      </c>
      <c r="I2861" s="68">
        <v>183690.44750000001</v>
      </c>
      <c r="J2861" s="28" t="s">
        <v>662</v>
      </c>
      <c r="K2861" s="28" t="s">
        <v>360</v>
      </c>
      <c r="L2861" s="65"/>
      <c r="M2861" s="28" t="s">
        <v>825</v>
      </c>
      <c r="N2861" s="28" t="s">
        <v>378</v>
      </c>
      <c r="O2861" s="28" t="s">
        <v>371</v>
      </c>
      <c r="P2861" s="28" t="s">
        <v>2421</v>
      </c>
      <c r="Q2861" s="69" t="s">
        <v>1972</v>
      </c>
    </row>
    <row r="2862" spans="1:17" x14ac:dyDescent="0.3">
      <c r="A2862" s="67" t="s">
        <v>2725</v>
      </c>
      <c r="B2862" s="28" t="s">
        <v>2726</v>
      </c>
      <c r="C2862" s="28" t="s">
        <v>2727</v>
      </c>
      <c r="D2862" s="29">
        <v>45905</v>
      </c>
      <c r="E2862" s="29">
        <v>46904</v>
      </c>
      <c r="F2862" s="28" t="s">
        <v>1930</v>
      </c>
      <c r="G2862" s="28" t="s">
        <v>544</v>
      </c>
      <c r="H2862" s="28" t="s">
        <v>360</v>
      </c>
      <c r="I2862" s="68">
        <v>183690.44750000001</v>
      </c>
      <c r="J2862" s="28" t="s">
        <v>662</v>
      </c>
      <c r="K2862" s="28" t="s">
        <v>360</v>
      </c>
      <c r="L2862" s="65"/>
      <c r="M2862" s="28" t="s">
        <v>825</v>
      </c>
      <c r="N2862" s="28" t="s">
        <v>378</v>
      </c>
      <c r="O2862" s="28" t="s">
        <v>371</v>
      </c>
      <c r="P2862" s="28" t="s">
        <v>2421</v>
      </c>
      <c r="Q2862" s="69" t="s">
        <v>1972</v>
      </c>
    </row>
    <row r="2863" spans="1:17" x14ac:dyDescent="0.3">
      <c r="A2863" s="67" t="s">
        <v>2725</v>
      </c>
      <c r="B2863" s="28" t="s">
        <v>2726</v>
      </c>
      <c r="C2863" s="28" t="s">
        <v>2727</v>
      </c>
      <c r="D2863" s="29">
        <v>45905</v>
      </c>
      <c r="E2863" s="29">
        <v>46904</v>
      </c>
      <c r="F2863" s="28" t="s">
        <v>1930</v>
      </c>
      <c r="G2863" s="28" t="s">
        <v>545</v>
      </c>
      <c r="H2863" s="28" t="s">
        <v>360</v>
      </c>
      <c r="I2863" s="68">
        <v>183690.44750000001</v>
      </c>
      <c r="J2863" s="28" t="s">
        <v>662</v>
      </c>
      <c r="K2863" s="28" t="s">
        <v>360</v>
      </c>
      <c r="L2863" s="65"/>
      <c r="M2863" s="28" t="s">
        <v>825</v>
      </c>
      <c r="N2863" s="28" t="s">
        <v>378</v>
      </c>
      <c r="O2863" s="28" t="s">
        <v>371</v>
      </c>
      <c r="P2863" s="28" t="s">
        <v>2421</v>
      </c>
      <c r="Q2863" s="69" t="s">
        <v>1972</v>
      </c>
    </row>
    <row r="2864" spans="1:17" x14ac:dyDescent="0.3">
      <c r="A2864" s="67" t="s">
        <v>2725</v>
      </c>
      <c r="B2864" s="28" t="s">
        <v>2726</v>
      </c>
      <c r="C2864" s="28" t="s">
        <v>2727</v>
      </c>
      <c r="D2864" s="29">
        <v>45905</v>
      </c>
      <c r="E2864" s="29">
        <v>46904</v>
      </c>
      <c r="F2864" s="28" t="s">
        <v>1958</v>
      </c>
      <c r="G2864" s="28" t="s">
        <v>330</v>
      </c>
      <c r="H2864" s="28" t="s">
        <v>360</v>
      </c>
      <c r="I2864" s="68">
        <v>244920.596666667</v>
      </c>
      <c r="J2864" s="28" t="s">
        <v>662</v>
      </c>
      <c r="K2864" s="28" t="s">
        <v>360</v>
      </c>
      <c r="L2864" s="65"/>
      <c r="M2864" s="28" t="s">
        <v>825</v>
      </c>
      <c r="N2864" s="28" t="s">
        <v>378</v>
      </c>
      <c r="O2864" s="28" t="s">
        <v>371</v>
      </c>
      <c r="P2864" s="28" t="s">
        <v>2421</v>
      </c>
      <c r="Q2864" s="69" t="s">
        <v>1972</v>
      </c>
    </row>
    <row r="2865" spans="1:17" x14ac:dyDescent="0.3">
      <c r="A2865" s="67" t="s">
        <v>2725</v>
      </c>
      <c r="B2865" s="28" t="s">
        <v>2726</v>
      </c>
      <c r="C2865" s="28" t="s">
        <v>2727</v>
      </c>
      <c r="D2865" s="29">
        <v>45905</v>
      </c>
      <c r="E2865" s="29">
        <v>46904</v>
      </c>
      <c r="F2865" s="28" t="s">
        <v>1958</v>
      </c>
      <c r="G2865" s="28" t="s">
        <v>332</v>
      </c>
      <c r="H2865" s="28" t="s">
        <v>360</v>
      </c>
      <c r="I2865" s="68">
        <v>244920.596666667</v>
      </c>
      <c r="J2865" s="28" t="s">
        <v>662</v>
      </c>
      <c r="K2865" s="28" t="s">
        <v>360</v>
      </c>
      <c r="L2865" s="65"/>
      <c r="M2865" s="28" t="s">
        <v>825</v>
      </c>
      <c r="N2865" s="28" t="s">
        <v>378</v>
      </c>
      <c r="O2865" s="28" t="s">
        <v>371</v>
      </c>
      <c r="P2865" s="28" t="s">
        <v>2421</v>
      </c>
      <c r="Q2865" s="69" t="s">
        <v>1972</v>
      </c>
    </row>
    <row r="2866" spans="1:17" x14ac:dyDescent="0.3">
      <c r="A2866" s="67" t="s">
        <v>2725</v>
      </c>
      <c r="B2866" s="28" t="s">
        <v>2726</v>
      </c>
      <c r="C2866" s="28" t="s">
        <v>2727</v>
      </c>
      <c r="D2866" s="29">
        <v>45905</v>
      </c>
      <c r="E2866" s="29">
        <v>46904</v>
      </c>
      <c r="F2866" s="28" t="s">
        <v>1958</v>
      </c>
      <c r="G2866" s="28" t="s">
        <v>628</v>
      </c>
      <c r="H2866" s="28" t="s">
        <v>360</v>
      </c>
      <c r="I2866" s="68">
        <v>244920.596666667</v>
      </c>
      <c r="J2866" s="28" t="s">
        <v>662</v>
      </c>
      <c r="K2866" s="28" t="s">
        <v>360</v>
      </c>
      <c r="L2866" s="65"/>
      <c r="M2866" s="28" t="s">
        <v>825</v>
      </c>
      <c r="N2866" s="28" t="s">
        <v>378</v>
      </c>
      <c r="O2866" s="28" t="s">
        <v>371</v>
      </c>
      <c r="P2866" s="28" t="s">
        <v>2421</v>
      </c>
      <c r="Q2866" s="69" t="s">
        <v>1972</v>
      </c>
    </row>
    <row r="2867" spans="1:17" x14ac:dyDescent="0.3">
      <c r="A2867" s="67" t="s">
        <v>2725</v>
      </c>
      <c r="B2867" s="28" t="s">
        <v>2726</v>
      </c>
      <c r="C2867" s="28" t="s">
        <v>2727</v>
      </c>
      <c r="D2867" s="29">
        <v>45905</v>
      </c>
      <c r="E2867" s="29">
        <v>46904</v>
      </c>
      <c r="F2867" s="28" t="s">
        <v>1930</v>
      </c>
      <c r="G2867" s="28" t="s">
        <v>543</v>
      </c>
      <c r="H2867" s="28" t="s">
        <v>377</v>
      </c>
      <c r="I2867" s="68">
        <v>164771.54874999999</v>
      </c>
      <c r="J2867" s="28" t="s">
        <v>542</v>
      </c>
      <c r="K2867" s="28" t="s">
        <v>360</v>
      </c>
      <c r="L2867" s="65"/>
      <c r="M2867" s="28" t="s">
        <v>825</v>
      </c>
      <c r="N2867" s="28" t="s">
        <v>378</v>
      </c>
      <c r="O2867" s="28" t="s">
        <v>371</v>
      </c>
      <c r="P2867" s="28" t="s">
        <v>2421</v>
      </c>
      <c r="Q2867" s="69" t="s">
        <v>1972</v>
      </c>
    </row>
    <row r="2868" spans="1:17" x14ac:dyDescent="0.3">
      <c r="A2868" s="67" t="s">
        <v>2725</v>
      </c>
      <c r="B2868" s="28" t="s">
        <v>2726</v>
      </c>
      <c r="C2868" s="28" t="s">
        <v>2727</v>
      </c>
      <c r="D2868" s="29">
        <v>45905</v>
      </c>
      <c r="E2868" s="29">
        <v>46904</v>
      </c>
      <c r="F2868" s="28" t="s">
        <v>1930</v>
      </c>
      <c r="G2868" s="28" t="s">
        <v>1207</v>
      </c>
      <c r="H2868" s="28" t="s">
        <v>377</v>
      </c>
      <c r="I2868" s="68">
        <v>164771.54874999999</v>
      </c>
      <c r="J2868" s="28" t="s">
        <v>542</v>
      </c>
      <c r="K2868" s="28" t="s">
        <v>360</v>
      </c>
      <c r="L2868" s="65"/>
      <c r="M2868" s="28" t="s">
        <v>825</v>
      </c>
      <c r="N2868" s="28" t="s">
        <v>378</v>
      </c>
      <c r="O2868" s="28" t="s">
        <v>371</v>
      </c>
      <c r="P2868" s="28" t="s">
        <v>2421</v>
      </c>
      <c r="Q2868" s="69" t="s">
        <v>1972</v>
      </c>
    </row>
    <row r="2869" spans="1:17" x14ac:dyDescent="0.3">
      <c r="A2869" s="67" t="s">
        <v>2725</v>
      </c>
      <c r="B2869" s="28" t="s">
        <v>2726</v>
      </c>
      <c r="C2869" s="28" t="s">
        <v>2727</v>
      </c>
      <c r="D2869" s="29">
        <v>45905</v>
      </c>
      <c r="E2869" s="29">
        <v>46904</v>
      </c>
      <c r="F2869" s="28" t="s">
        <v>1930</v>
      </c>
      <c r="G2869" s="28" t="s">
        <v>544</v>
      </c>
      <c r="H2869" s="28" t="s">
        <v>377</v>
      </c>
      <c r="I2869" s="68">
        <v>164771.54874999999</v>
      </c>
      <c r="J2869" s="28" t="s">
        <v>542</v>
      </c>
      <c r="K2869" s="28" t="s">
        <v>360</v>
      </c>
      <c r="L2869" s="65"/>
      <c r="M2869" s="28" t="s">
        <v>825</v>
      </c>
      <c r="N2869" s="28" t="s">
        <v>378</v>
      </c>
      <c r="O2869" s="28" t="s">
        <v>371</v>
      </c>
      <c r="P2869" s="28" t="s">
        <v>2421</v>
      </c>
      <c r="Q2869" s="69" t="s">
        <v>1972</v>
      </c>
    </row>
    <row r="2870" spans="1:17" x14ac:dyDescent="0.3">
      <c r="A2870" s="67" t="s">
        <v>2725</v>
      </c>
      <c r="B2870" s="28" t="s">
        <v>2726</v>
      </c>
      <c r="C2870" s="28" t="s">
        <v>2727</v>
      </c>
      <c r="D2870" s="29">
        <v>45905</v>
      </c>
      <c r="E2870" s="29">
        <v>46904</v>
      </c>
      <c r="F2870" s="28" t="s">
        <v>1930</v>
      </c>
      <c r="G2870" s="28" t="s">
        <v>545</v>
      </c>
      <c r="H2870" s="28" t="s">
        <v>377</v>
      </c>
      <c r="I2870" s="68">
        <v>164771.54874999999</v>
      </c>
      <c r="J2870" s="28" t="s">
        <v>542</v>
      </c>
      <c r="K2870" s="28" t="s">
        <v>360</v>
      </c>
      <c r="L2870" s="65"/>
      <c r="M2870" s="28" t="s">
        <v>825</v>
      </c>
      <c r="N2870" s="28" t="s">
        <v>378</v>
      </c>
      <c r="O2870" s="28" t="s">
        <v>371</v>
      </c>
      <c r="P2870" s="28" t="s">
        <v>2421</v>
      </c>
      <c r="Q2870" s="69" t="s">
        <v>1972</v>
      </c>
    </row>
    <row r="2871" spans="1:17" x14ac:dyDescent="0.3">
      <c r="A2871" s="67" t="s">
        <v>2725</v>
      </c>
      <c r="B2871" s="28" t="s">
        <v>2726</v>
      </c>
      <c r="C2871" s="28" t="s">
        <v>2727</v>
      </c>
      <c r="D2871" s="29">
        <v>45905</v>
      </c>
      <c r="E2871" s="29">
        <v>46904</v>
      </c>
      <c r="F2871" s="28" t="s">
        <v>1958</v>
      </c>
      <c r="G2871" s="28" t="s">
        <v>330</v>
      </c>
      <c r="H2871" s="28" t="s">
        <v>377</v>
      </c>
      <c r="I2871" s="68">
        <v>219695.398333333</v>
      </c>
      <c r="J2871" s="28" t="s">
        <v>542</v>
      </c>
      <c r="K2871" s="28" t="s">
        <v>360</v>
      </c>
      <c r="L2871" s="65"/>
      <c r="M2871" s="28" t="s">
        <v>825</v>
      </c>
      <c r="N2871" s="28" t="s">
        <v>378</v>
      </c>
      <c r="O2871" s="28" t="s">
        <v>371</v>
      </c>
      <c r="P2871" s="28" t="s">
        <v>2421</v>
      </c>
      <c r="Q2871" s="69" t="s">
        <v>1972</v>
      </c>
    </row>
    <row r="2872" spans="1:17" x14ac:dyDescent="0.3">
      <c r="A2872" s="67" t="s">
        <v>2725</v>
      </c>
      <c r="B2872" s="28" t="s">
        <v>2726</v>
      </c>
      <c r="C2872" s="28" t="s">
        <v>2727</v>
      </c>
      <c r="D2872" s="29">
        <v>45905</v>
      </c>
      <c r="E2872" s="29">
        <v>46904</v>
      </c>
      <c r="F2872" s="28" t="s">
        <v>1958</v>
      </c>
      <c r="G2872" s="28" t="s">
        <v>332</v>
      </c>
      <c r="H2872" s="28" t="s">
        <v>377</v>
      </c>
      <c r="I2872" s="68">
        <v>219695.398333333</v>
      </c>
      <c r="J2872" s="28" t="s">
        <v>542</v>
      </c>
      <c r="K2872" s="28" t="s">
        <v>360</v>
      </c>
      <c r="L2872" s="65"/>
      <c r="M2872" s="28" t="s">
        <v>825</v>
      </c>
      <c r="N2872" s="28" t="s">
        <v>378</v>
      </c>
      <c r="O2872" s="28" t="s">
        <v>371</v>
      </c>
      <c r="P2872" s="28" t="s">
        <v>2421</v>
      </c>
      <c r="Q2872" s="69" t="s">
        <v>1972</v>
      </c>
    </row>
    <row r="2873" spans="1:17" x14ac:dyDescent="0.3">
      <c r="A2873" s="67" t="s">
        <v>2725</v>
      </c>
      <c r="B2873" s="28" t="s">
        <v>2726</v>
      </c>
      <c r="C2873" s="28" t="s">
        <v>2727</v>
      </c>
      <c r="D2873" s="29">
        <v>45905</v>
      </c>
      <c r="E2873" s="29">
        <v>46904</v>
      </c>
      <c r="F2873" s="28" t="s">
        <v>1958</v>
      </c>
      <c r="G2873" s="28" t="s">
        <v>628</v>
      </c>
      <c r="H2873" s="28" t="s">
        <v>377</v>
      </c>
      <c r="I2873" s="68">
        <v>219695.398333333</v>
      </c>
      <c r="J2873" s="28" t="s">
        <v>542</v>
      </c>
      <c r="K2873" s="28" t="s">
        <v>360</v>
      </c>
      <c r="L2873" s="65"/>
      <c r="M2873" s="28" t="s">
        <v>825</v>
      </c>
      <c r="N2873" s="28" t="s">
        <v>378</v>
      </c>
      <c r="O2873" s="28" t="s">
        <v>371</v>
      </c>
      <c r="P2873" s="28" t="s">
        <v>2421</v>
      </c>
      <c r="Q2873" s="69" t="s">
        <v>1972</v>
      </c>
    </row>
    <row r="2874" spans="1:17" x14ac:dyDescent="0.3">
      <c r="A2874" s="67" t="s">
        <v>2725</v>
      </c>
      <c r="B2874" s="28" t="s">
        <v>2726</v>
      </c>
      <c r="C2874" s="28" t="s">
        <v>2727</v>
      </c>
      <c r="D2874" s="29">
        <v>45905</v>
      </c>
      <c r="E2874" s="29">
        <v>46904</v>
      </c>
      <c r="F2874" s="28" t="s">
        <v>1930</v>
      </c>
      <c r="G2874" s="28" t="s">
        <v>543</v>
      </c>
      <c r="H2874" s="28" t="s">
        <v>489</v>
      </c>
      <c r="I2874" s="68">
        <v>16910.307499999999</v>
      </c>
      <c r="J2874" s="28" t="s">
        <v>1071</v>
      </c>
      <c r="K2874" s="28" t="s">
        <v>360</v>
      </c>
      <c r="L2874" s="65"/>
      <c r="M2874" s="28" t="s">
        <v>825</v>
      </c>
      <c r="N2874" s="28" t="s">
        <v>378</v>
      </c>
      <c r="O2874" s="28" t="s">
        <v>371</v>
      </c>
      <c r="P2874" s="28" t="s">
        <v>2421</v>
      </c>
      <c r="Q2874" s="69" t="s">
        <v>1972</v>
      </c>
    </row>
    <row r="2875" spans="1:17" x14ac:dyDescent="0.3">
      <c r="A2875" s="67" t="s">
        <v>2725</v>
      </c>
      <c r="B2875" s="28" t="s">
        <v>2726</v>
      </c>
      <c r="C2875" s="28" t="s">
        <v>2727</v>
      </c>
      <c r="D2875" s="29">
        <v>45905</v>
      </c>
      <c r="E2875" s="29">
        <v>46904</v>
      </c>
      <c r="F2875" s="28" t="s">
        <v>1930</v>
      </c>
      <c r="G2875" s="28" t="s">
        <v>1207</v>
      </c>
      <c r="H2875" s="28" t="s">
        <v>489</v>
      </c>
      <c r="I2875" s="68">
        <v>16910.307499999999</v>
      </c>
      <c r="J2875" s="28" t="s">
        <v>1071</v>
      </c>
      <c r="K2875" s="28" t="s">
        <v>360</v>
      </c>
      <c r="L2875" s="65"/>
      <c r="M2875" s="28" t="s">
        <v>825</v>
      </c>
      <c r="N2875" s="28" t="s">
        <v>378</v>
      </c>
      <c r="O2875" s="28" t="s">
        <v>371</v>
      </c>
      <c r="P2875" s="28" t="s">
        <v>2421</v>
      </c>
      <c r="Q2875" s="69" t="s">
        <v>1972</v>
      </c>
    </row>
    <row r="2876" spans="1:17" x14ac:dyDescent="0.3">
      <c r="A2876" s="67" t="s">
        <v>2725</v>
      </c>
      <c r="B2876" s="28" t="s">
        <v>2726</v>
      </c>
      <c r="C2876" s="28" t="s">
        <v>2727</v>
      </c>
      <c r="D2876" s="29">
        <v>45905</v>
      </c>
      <c r="E2876" s="29">
        <v>46904</v>
      </c>
      <c r="F2876" s="28" t="s">
        <v>1930</v>
      </c>
      <c r="G2876" s="28" t="s">
        <v>544</v>
      </c>
      <c r="H2876" s="28" t="s">
        <v>489</v>
      </c>
      <c r="I2876" s="68">
        <v>16910.307499999999</v>
      </c>
      <c r="J2876" s="28" t="s">
        <v>1071</v>
      </c>
      <c r="K2876" s="28" t="s">
        <v>360</v>
      </c>
      <c r="L2876" s="65"/>
      <c r="M2876" s="28" t="s">
        <v>825</v>
      </c>
      <c r="N2876" s="28" t="s">
        <v>378</v>
      </c>
      <c r="O2876" s="28" t="s">
        <v>371</v>
      </c>
      <c r="P2876" s="28" t="s">
        <v>2421</v>
      </c>
      <c r="Q2876" s="69" t="s">
        <v>1972</v>
      </c>
    </row>
    <row r="2877" spans="1:17" x14ac:dyDescent="0.3">
      <c r="A2877" s="67" t="s">
        <v>2725</v>
      </c>
      <c r="B2877" s="28" t="s">
        <v>2726</v>
      </c>
      <c r="C2877" s="28" t="s">
        <v>2727</v>
      </c>
      <c r="D2877" s="29">
        <v>45905</v>
      </c>
      <c r="E2877" s="29">
        <v>46904</v>
      </c>
      <c r="F2877" s="28" t="s">
        <v>1930</v>
      </c>
      <c r="G2877" s="28" t="s">
        <v>545</v>
      </c>
      <c r="H2877" s="28" t="s">
        <v>489</v>
      </c>
      <c r="I2877" s="68">
        <v>16910.307499999999</v>
      </c>
      <c r="J2877" s="28" t="s">
        <v>1071</v>
      </c>
      <c r="K2877" s="28" t="s">
        <v>360</v>
      </c>
      <c r="L2877" s="65"/>
      <c r="M2877" s="28" t="s">
        <v>825</v>
      </c>
      <c r="N2877" s="28" t="s">
        <v>378</v>
      </c>
      <c r="O2877" s="28" t="s">
        <v>371</v>
      </c>
      <c r="P2877" s="28" t="s">
        <v>2421</v>
      </c>
      <c r="Q2877" s="69" t="s">
        <v>1972</v>
      </c>
    </row>
    <row r="2878" spans="1:17" x14ac:dyDescent="0.3">
      <c r="A2878" s="67" t="s">
        <v>2725</v>
      </c>
      <c r="B2878" s="28" t="s">
        <v>2726</v>
      </c>
      <c r="C2878" s="28" t="s">
        <v>2727</v>
      </c>
      <c r="D2878" s="29">
        <v>45905</v>
      </c>
      <c r="E2878" s="29">
        <v>46904</v>
      </c>
      <c r="F2878" s="28" t="s">
        <v>1958</v>
      </c>
      <c r="G2878" s="28" t="s">
        <v>330</v>
      </c>
      <c r="H2878" s="28" t="s">
        <v>489</v>
      </c>
      <c r="I2878" s="68">
        <v>22547.0766666667</v>
      </c>
      <c r="J2878" s="28" t="s">
        <v>1071</v>
      </c>
      <c r="K2878" s="28" t="s">
        <v>360</v>
      </c>
      <c r="L2878" s="65"/>
      <c r="M2878" s="28" t="s">
        <v>825</v>
      </c>
      <c r="N2878" s="28" t="s">
        <v>378</v>
      </c>
      <c r="O2878" s="28" t="s">
        <v>371</v>
      </c>
      <c r="P2878" s="28" t="s">
        <v>2421</v>
      </c>
      <c r="Q2878" s="69" t="s">
        <v>1972</v>
      </c>
    </row>
    <row r="2879" spans="1:17" x14ac:dyDescent="0.3">
      <c r="A2879" s="67" t="s">
        <v>2725</v>
      </c>
      <c r="B2879" s="28" t="s">
        <v>2726</v>
      </c>
      <c r="C2879" s="28" t="s">
        <v>2727</v>
      </c>
      <c r="D2879" s="29">
        <v>45905</v>
      </c>
      <c r="E2879" s="29">
        <v>46904</v>
      </c>
      <c r="F2879" s="28" t="s">
        <v>1958</v>
      </c>
      <c r="G2879" s="28" t="s">
        <v>332</v>
      </c>
      <c r="H2879" s="28" t="s">
        <v>489</v>
      </c>
      <c r="I2879" s="68">
        <v>22547.0766666667</v>
      </c>
      <c r="J2879" s="28" t="s">
        <v>1071</v>
      </c>
      <c r="K2879" s="28" t="s">
        <v>360</v>
      </c>
      <c r="L2879" s="65"/>
      <c r="M2879" s="28" t="s">
        <v>825</v>
      </c>
      <c r="N2879" s="28" t="s">
        <v>378</v>
      </c>
      <c r="O2879" s="28" t="s">
        <v>371</v>
      </c>
      <c r="P2879" s="28" t="s">
        <v>2421</v>
      </c>
      <c r="Q2879" s="69" t="s">
        <v>1972</v>
      </c>
    </row>
    <row r="2880" spans="1:17" x14ac:dyDescent="0.3">
      <c r="A2880" s="70" t="s">
        <v>2725</v>
      </c>
      <c r="B2880" s="20" t="s">
        <v>2726</v>
      </c>
      <c r="C2880" s="20" t="s">
        <v>2727</v>
      </c>
      <c r="D2880" s="21">
        <v>45905</v>
      </c>
      <c r="E2880" s="21">
        <v>46904</v>
      </c>
      <c r="F2880" s="20" t="s">
        <v>1958</v>
      </c>
      <c r="G2880" s="20" t="s">
        <v>628</v>
      </c>
      <c r="H2880" s="20" t="s">
        <v>489</v>
      </c>
      <c r="I2880" s="71">
        <v>22547.0766666667</v>
      </c>
      <c r="J2880" s="20" t="s">
        <v>1071</v>
      </c>
      <c r="K2880" s="20" t="s">
        <v>360</v>
      </c>
      <c r="L2880" s="65"/>
      <c r="M2880" s="20" t="s">
        <v>825</v>
      </c>
      <c r="N2880" s="20" t="s">
        <v>378</v>
      </c>
      <c r="O2880" s="20" t="s">
        <v>371</v>
      </c>
      <c r="P2880" s="20" t="s">
        <v>2421</v>
      </c>
      <c r="Q2880" s="72" t="s">
        <v>1972</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EF6287-3566-4B69-93A0-AA2491912243}">
  <sheetPr codeName="Hoja5"/>
  <dimension ref="A1:M2880"/>
  <sheetViews>
    <sheetView topLeftCell="A2814" workbookViewId="0">
      <selection activeCell="D2881" sqref="D2881"/>
    </sheetView>
  </sheetViews>
  <sheetFormatPr baseColWidth="10" defaultRowHeight="14.4" x14ac:dyDescent="0.3"/>
  <cols>
    <col min="1" max="1" width="20.109375" customWidth="1"/>
    <col min="2" max="2" width="20.33203125" customWidth="1"/>
    <col min="3" max="3" width="16.5546875" customWidth="1"/>
    <col min="4" max="4" width="13.21875" customWidth="1"/>
    <col min="5" max="5" width="12" customWidth="1"/>
    <col min="6" max="6" width="14.44140625" customWidth="1"/>
    <col min="8" max="8" width="14.33203125" customWidth="1"/>
    <col min="9" max="9" width="16.6640625" customWidth="1"/>
    <col min="12" max="12" width="14.77734375" customWidth="1"/>
    <col min="13" max="13" width="45.6640625" bestFit="1" customWidth="1"/>
  </cols>
  <sheetData>
    <row r="1" spans="1:13" x14ac:dyDescent="0.3">
      <c r="A1" s="27" t="s">
        <v>1952</v>
      </c>
      <c r="B1" s="22" t="s">
        <v>290</v>
      </c>
      <c r="C1" s="27" t="s">
        <v>291</v>
      </c>
      <c r="D1" s="30" t="s">
        <v>1953</v>
      </c>
      <c r="E1" s="30" t="s">
        <v>292</v>
      </c>
      <c r="F1" s="27" t="s">
        <v>293</v>
      </c>
      <c r="G1" s="27" t="s">
        <v>294</v>
      </c>
      <c r="H1" s="27" t="s">
        <v>296</v>
      </c>
      <c r="I1" s="27" t="s">
        <v>298</v>
      </c>
      <c r="J1" s="27" t="s">
        <v>299</v>
      </c>
      <c r="K1" s="27" t="s">
        <v>300</v>
      </c>
      <c r="L1" s="27" t="s">
        <v>301</v>
      </c>
      <c r="M1" s="27" t="s">
        <v>1956</v>
      </c>
    </row>
    <row r="2" spans="1:13" x14ac:dyDescent="0.3">
      <c r="A2" s="61" t="s">
        <v>1988</v>
      </c>
      <c r="B2" s="62" t="s">
        <v>302</v>
      </c>
      <c r="C2" s="62" t="s">
        <v>303</v>
      </c>
      <c r="D2" s="63">
        <v>42479</v>
      </c>
      <c r="E2" s="63">
        <v>47726</v>
      </c>
      <c r="F2" s="62" t="s">
        <v>280</v>
      </c>
      <c r="G2" s="62" t="s">
        <v>304</v>
      </c>
      <c r="H2" s="62" t="s">
        <v>305</v>
      </c>
      <c r="I2" s="62" t="s">
        <v>307</v>
      </c>
      <c r="J2" s="62" t="s">
        <v>308</v>
      </c>
      <c r="K2" s="62" t="s">
        <v>309</v>
      </c>
      <c r="L2" s="62" t="s">
        <v>2421</v>
      </c>
      <c r="M2" s="66" t="s">
        <v>1971</v>
      </c>
    </row>
    <row r="3" spans="1:13" x14ac:dyDescent="0.3">
      <c r="A3" s="61" t="s">
        <v>1988</v>
      </c>
      <c r="B3" s="62" t="s">
        <v>302</v>
      </c>
      <c r="C3" s="62" t="s">
        <v>303</v>
      </c>
      <c r="D3" s="63">
        <v>42479</v>
      </c>
      <c r="E3" s="63">
        <v>47726</v>
      </c>
      <c r="F3" s="62" t="s">
        <v>1960</v>
      </c>
      <c r="G3" s="62" t="s">
        <v>304</v>
      </c>
      <c r="H3" s="62" t="s">
        <v>305</v>
      </c>
      <c r="I3" s="62" t="s">
        <v>307</v>
      </c>
      <c r="J3" s="62" t="s">
        <v>308</v>
      </c>
      <c r="K3" s="62" t="s">
        <v>309</v>
      </c>
      <c r="L3" s="62" t="s">
        <v>2421</v>
      </c>
      <c r="M3" s="66" t="s">
        <v>1971</v>
      </c>
    </row>
    <row r="4" spans="1:13" x14ac:dyDescent="0.3">
      <c r="A4" s="61" t="s">
        <v>1988</v>
      </c>
      <c r="B4" s="62" t="s">
        <v>302</v>
      </c>
      <c r="C4" s="62" t="s">
        <v>303</v>
      </c>
      <c r="D4" s="63">
        <v>42479</v>
      </c>
      <c r="E4" s="63">
        <v>47726</v>
      </c>
      <c r="F4" s="62" t="s">
        <v>1941</v>
      </c>
      <c r="G4" s="62" t="s">
        <v>304</v>
      </c>
      <c r="H4" s="62" t="s">
        <v>305</v>
      </c>
      <c r="I4" s="62" t="s">
        <v>307</v>
      </c>
      <c r="J4" s="62" t="s">
        <v>308</v>
      </c>
      <c r="K4" s="62" t="s">
        <v>309</v>
      </c>
      <c r="L4" s="62" t="s">
        <v>2421</v>
      </c>
      <c r="M4" s="66" t="s">
        <v>1971</v>
      </c>
    </row>
    <row r="5" spans="1:13" x14ac:dyDescent="0.3">
      <c r="A5" s="61" t="s">
        <v>1988</v>
      </c>
      <c r="B5" s="62" t="s">
        <v>302</v>
      </c>
      <c r="C5" s="62" t="s">
        <v>303</v>
      </c>
      <c r="D5" s="63">
        <v>42479</v>
      </c>
      <c r="E5" s="63">
        <v>47726</v>
      </c>
      <c r="F5" s="62" t="s">
        <v>1948</v>
      </c>
      <c r="G5" s="62" t="s">
        <v>304</v>
      </c>
      <c r="H5" s="62" t="s">
        <v>305</v>
      </c>
      <c r="I5" s="62" t="s">
        <v>307</v>
      </c>
      <c r="J5" s="62" t="s">
        <v>308</v>
      </c>
      <c r="K5" s="62" t="s">
        <v>309</v>
      </c>
      <c r="L5" s="62" t="s">
        <v>2421</v>
      </c>
      <c r="M5" s="66" t="s">
        <v>1971</v>
      </c>
    </row>
    <row r="6" spans="1:13" x14ac:dyDescent="0.3">
      <c r="A6" s="61" t="s">
        <v>1991</v>
      </c>
      <c r="B6" s="62" t="s">
        <v>429</v>
      </c>
      <c r="C6" s="62" t="s">
        <v>430</v>
      </c>
      <c r="D6" s="63">
        <v>43187</v>
      </c>
      <c r="E6" s="63">
        <v>46203</v>
      </c>
      <c r="F6" s="62" t="s">
        <v>289</v>
      </c>
      <c r="G6" s="62" t="s">
        <v>431</v>
      </c>
      <c r="H6" s="62" t="s">
        <v>432</v>
      </c>
      <c r="I6" s="62" t="s">
        <v>307</v>
      </c>
      <c r="J6" s="62" t="s">
        <v>355</v>
      </c>
      <c r="K6" s="62" t="s">
        <v>309</v>
      </c>
      <c r="L6" s="62" t="s">
        <v>2421</v>
      </c>
      <c r="M6" s="66" t="s">
        <v>1971</v>
      </c>
    </row>
    <row r="7" spans="1:13" x14ac:dyDescent="0.3">
      <c r="A7" s="61" t="s">
        <v>1991</v>
      </c>
      <c r="B7" s="62" t="s">
        <v>429</v>
      </c>
      <c r="C7" s="62" t="s">
        <v>430</v>
      </c>
      <c r="D7" s="63">
        <v>43187</v>
      </c>
      <c r="E7" s="63">
        <v>46203</v>
      </c>
      <c r="F7" s="62" t="s">
        <v>289</v>
      </c>
      <c r="G7" s="62" t="s">
        <v>433</v>
      </c>
      <c r="H7" s="62" t="s">
        <v>432</v>
      </c>
      <c r="I7" s="62" t="s">
        <v>307</v>
      </c>
      <c r="J7" s="62" t="s">
        <v>355</v>
      </c>
      <c r="K7" s="62" t="s">
        <v>309</v>
      </c>
      <c r="L7" s="62" t="s">
        <v>2421</v>
      </c>
      <c r="M7" s="66" t="s">
        <v>1971</v>
      </c>
    </row>
    <row r="8" spans="1:13" x14ac:dyDescent="0.3">
      <c r="A8" s="61" t="s">
        <v>1991</v>
      </c>
      <c r="B8" s="62" t="s">
        <v>429</v>
      </c>
      <c r="C8" s="62" t="s">
        <v>430</v>
      </c>
      <c r="D8" s="63">
        <v>43187</v>
      </c>
      <c r="E8" s="63">
        <v>46203</v>
      </c>
      <c r="F8" s="62" t="s">
        <v>289</v>
      </c>
      <c r="G8" s="62" t="s">
        <v>434</v>
      </c>
      <c r="H8" s="62" t="s">
        <v>432</v>
      </c>
      <c r="I8" s="62" t="s">
        <v>307</v>
      </c>
      <c r="J8" s="62" t="s">
        <v>355</v>
      </c>
      <c r="K8" s="62" t="s">
        <v>309</v>
      </c>
      <c r="L8" s="62" t="s">
        <v>2421</v>
      </c>
      <c r="M8" s="66" t="s">
        <v>1971</v>
      </c>
    </row>
    <row r="9" spans="1:13" x14ac:dyDescent="0.3">
      <c r="A9" s="61" t="s">
        <v>1991</v>
      </c>
      <c r="B9" s="62" t="s">
        <v>429</v>
      </c>
      <c r="C9" s="62" t="s">
        <v>430</v>
      </c>
      <c r="D9" s="63">
        <v>43187</v>
      </c>
      <c r="E9" s="63">
        <v>46203</v>
      </c>
      <c r="F9" s="62" t="s">
        <v>289</v>
      </c>
      <c r="G9" s="62" t="s">
        <v>435</v>
      </c>
      <c r="H9" s="62" t="s">
        <v>432</v>
      </c>
      <c r="I9" s="62" t="s">
        <v>307</v>
      </c>
      <c r="J9" s="62" t="s">
        <v>355</v>
      </c>
      <c r="K9" s="62" t="s">
        <v>309</v>
      </c>
      <c r="L9" s="62" t="s">
        <v>2421</v>
      </c>
      <c r="M9" s="66" t="s">
        <v>1971</v>
      </c>
    </row>
    <row r="10" spans="1:13" x14ac:dyDescent="0.3">
      <c r="A10" s="61" t="s">
        <v>1991</v>
      </c>
      <c r="B10" s="62" t="s">
        <v>429</v>
      </c>
      <c r="C10" s="62" t="s">
        <v>430</v>
      </c>
      <c r="D10" s="63">
        <v>43187</v>
      </c>
      <c r="E10" s="63">
        <v>46203</v>
      </c>
      <c r="F10" s="62" t="s">
        <v>289</v>
      </c>
      <c r="G10" s="62" t="s">
        <v>436</v>
      </c>
      <c r="H10" s="62" t="s">
        <v>432</v>
      </c>
      <c r="I10" s="62" t="s">
        <v>307</v>
      </c>
      <c r="J10" s="62" t="s">
        <v>355</v>
      </c>
      <c r="K10" s="62" t="s">
        <v>309</v>
      </c>
      <c r="L10" s="62" t="s">
        <v>2421</v>
      </c>
      <c r="M10" s="66" t="s">
        <v>1971</v>
      </c>
    </row>
    <row r="11" spans="1:13" x14ac:dyDescent="0.3">
      <c r="A11" s="61" t="s">
        <v>1991</v>
      </c>
      <c r="B11" s="62" t="s">
        <v>429</v>
      </c>
      <c r="C11" s="62" t="s">
        <v>430</v>
      </c>
      <c r="D11" s="63">
        <v>43187</v>
      </c>
      <c r="E11" s="63">
        <v>46203</v>
      </c>
      <c r="F11" s="62" t="s">
        <v>289</v>
      </c>
      <c r="G11" s="62" t="s">
        <v>289</v>
      </c>
      <c r="H11" s="62" t="s">
        <v>432</v>
      </c>
      <c r="I11" s="62" t="s">
        <v>307</v>
      </c>
      <c r="J11" s="62" t="s">
        <v>355</v>
      </c>
      <c r="K11" s="62" t="s">
        <v>309</v>
      </c>
      <c r="L11" s="62" t="s">
        <v>2421</v>
      </c>
      <c r="M11" s="66" t="s">
        <v>1971</v>
      </c>
    </row>
    <row r="12" spans="1:13" x14ac:dyDescent="0.3">
      <c r="A12" s="61" t="s">
        <v>1991</v>
      </c>
      <c r="B12" s="62" t="s">
        <v>429</v>
      </c>
      <c r="C12" s="62" t="s">
        <v>430</v>
      </c>
      <c r="D12" s="63">
        <v>43187</v>
      </c>
      <c r="E12" s="63">
        <v>46203</v>
      </c>
      <c r="F12" s="62" t="s">
        <v>282</v>
      </c>
      <c r="G12" s="62" t="s">
        <v>437</v>
      </c>
      <c r="H12" s="62" t="s">
        <v>432</v>
      </c>
      <c r="I12" s="62" t="s">
        <v>307</v>
      </c>
      <c r="J12" s="62" t="s">
        <v>355</v>
      </c>
      <c r="K12" s="62" t="s">
        <v>309</v>
      </c>
      <c r="L12" s="62" t="s">
        <v>2421</v>
      </c>
      <c r="M12" s="66" t="s">
        <v>1971</v>
      </c>
    </row>
    <row r="13" spans="1:13" x14ac:dyDescent="0.3">
      <c r="A13" s="61" t="s">
        <v>1991</v>
      </c>
      <c r="B13" s="62" t="s">
        <v>429</v>
      </c>
      <c r="C13" s="62" t="s">
        <v>430</v>
      </c>
      <c r="D13" s="63">
        <v>43187</v>
      </c>
      <c r="E13" s="63">
        <v>46203</v>
      </c>
      <c r="F13" s="62" t="s">
        <v>282</v>
      </c>
      <c r="G13" s="62" t="s">
        <v>438</v>
      </c>
      <c r="H13" s="62" t="s">
        <v>432</v>
      </c>
      <c r="I13" s="62" t="s">
        <v>307</v>
      </c>
      <c r="J13" s="62" t="s">
        <v>355</v>
      </c>
      <c r="K13" s="62" t="s">
        <v>309</v>
      </c>
      <c r="L13" s="62" t="s">
        <v>2421</v>
      </c>
      <c r="M13" s="66" t="s">
        <v>1971</v>
      </c>
    </row>
    <row r="14" spans="1:13" x14ac:dyDescent="0.3">
      <c r="A14" s="61" t="s">
        <v>1991</v>
      </c>
      <c r="B14" s="62" t="s">
        <v>429</v>
      </c>
      <c r="C14" s="62" t="s">
        <v>430</v>
      </c>
      <c r="D14" s="63">
        <v>43187</v>
      </c>
      <c r="E14" s="63">
        <v>46203</v>
      </c>
      <c r="F14" s="62" t="s">
        <v>282</v>
      </c>
      <c r="G14" s="62" t="s">
        <v>439</v>
      </c>
      <c r="H14" s="62" t="s">
        <v>432</v>
      </c>
      <c r="I14" s="62" t="s">
        <v>307</v>
      </c>
      <c r="J14" s="62" t="s">
        <v>355</v>
      </c>
      <c r="K14" s="62" t="s">
        <v>309</v>
      </c>
      <c r="L14" s="62" t="s">
        <v>2421</v>
      </c>
      <c r="M14" s="66" t="s">
        <v>1971</v>
      </c>
    </row>
    <row r="15" spans="1:13" x14ac:dyDescent="0.3">
      <c r="A15" s="61" t="s">
        <v>1991</v>
      </c>
      <c r="B15" s="62" t="s">
        <v>429</v>
      </c>
      <c r="C15" s="62" t="s">
        <v>430</v>
      </c>
      <c r="D15" s="63">
        <v>43187</v>
      </c>
      <c r="E15" s="63">
        <v>46203</v>
      </c>
      <c r="F15" s="62" t="s">
        <v>286</v>
      </c>
      <c r="G15" s="62" t="s">
        <v>440</v>
      </c>
      <c r="H15" s="62" t="s">
        <v>432</v>
      </c>
      <c r="I15" s="62" t="s">
        <v>307</v>
      </c>
      <c r="J15" s="62" t="s">
        <v>355</v>
      </c>
      <c r="K15" s="62" t="s">
        <v>309</v>
      </c>
      <c r="L15" s="62" t="s">
        <v>2421</v>
      </c>
      <c r="M15" s="66" t="s">
        <v>1971</v>
      </c>
    </row>
    <row r="16" spans="1:13" x14ac:dyDescent="0.3">
      <c r="A16" s="61" t="s">
        <v>1991</v>
      </c>
      <c r="B16" s="62" t="s">
        <v>429</v>
      </c>
      <c r="C16" s="62" t="s">
        <v>430</v>
      </c>
      <c r="D16" s="63">
        <v>43187</v>
      </c>
      <c r="E16" s="63">
        <v>46203</v>
      </c>
      <c r="F16" s="62" t="s">
        <v>1930</v>
      </c>
      <c r="G16" s="62" t="s">
        <v>420</v>
      </c>
      <c r="H16" s="62" t="s">
        <v>432</v>
      </c>
      <c r="I16" s="62" t="s">
        <v>307</v>
      </c>
      <c r="J16" s="62" t="s">
        <v>355</v>
      </c>
      <c r="K16" s="62" t="s">
        <v>309</v>
      </c>
      <c r="L16" s="62" t="s">
        <v>2421</v>
      </c>
      <c r="M16" s="66" t="s">
        <v>1971</v>
      </c>
    </row>
    <row r="17" spans="1:13" x14ac:dyDescent="0.3">
      <c r="A17" s="61" t="s">
        <v>1992</v>
      </c>
      <c r="B17" s="62" t="s">
        <v>445</v>
      </c>
      <c r="C17" s="62" t="s">
        <v>446</v>
      </c>
      <c r="D17" s="63">
        <v>43921</v>
      </c>
      <c r="E17" s="63">
        <v>46387</v>
      </c>
      <c r="F17" s="62" t="s">
        <v>350</v>
      </c>
      <c r="G17" s="62" t="s">
        <v>304</v>
      </c>
      <c r="H17" s="62" t="s">
        <v>312</v>
      </c>
      <c r="I17" s="62" t="s">
        <v>313</v>
      </c>
      <c r="J17" s="62" t="s">
        <v>447</v>
      </c>
      <c r="K17" s="62" t="s">
        <v>426</v>
      </c>
      <c r="L17" s="62" t="s">
        <v>2421</v>
      </c>
      <c r="M17" s="66" t="s">
        <v>1965</v>
      </c>
    </row>
    <row r="18" spans="1:13" x14ac:dyDescent="0.3">
      <c r="A18" s="61" t="s">
        <v>1993</v>
      </c>
      <c r="B18" s="62" t="s">
        <v>448</v>
      </c>
      <c r="C18" s="62" t="s">
        <v>449</v>
      </c>
      <c r="D18" s="63">
        <v>43936</v>
      </c>
      <c r="E18" s="63">
        <v>46752</v>
      </c>
      <c r="F18" s="62" t="s">
        <v>1945</v>
      </c>
      <c r="G18" s="62" t="s">
        <v>450</v>
      </c>
      <c r="H18" s="62" t="s">
        <v>312</v>
      </c>
      <c r="I18" s="62" t="s">
        <v>424</v>
      </c>
      <c r="J18" s="62" t="s">
        <v>427</v>
      </c>
      <c r="K18" s="62" t="s">
        <v>428</v>
      </c>
      <c r="L18" s="62" t="s">
        <v>2421</v>
      </c>
      <c r="M18" s="66" t="s">
        <v>1984</v>
      </c>
    </row>
    <row r="19" spans="1:13" x14ac:dyDescent="0.3">
      <c r="A19" s="61" t="s">
        <v>1993</v>
      </c>
      <c r="B19" s="62" t="s">
        <v>448</v>
      </c>
      <c r="C19" s="62" t="s">
        <v>449</v>
      </c>
      <c r="D19" s="63">
        <v>43936</v>
      </c>
      <c r="E19" s="63">
        <v>46752</v>
      </c>
      <c r="F19" s="62" t="s">
        <v>1945</v>
      </c>
      <c r="G19" s="62" t="s">
        <v>405</v>
      </c>
      <c r="H19" s="62" t="s">
        <v>312</v>
      </c>
      <c r="I19" s="62" t="s">
        <v>424</v>
      </c>
      <c r="J19" s="62" t="s">
        <v>427</v>
      </c>
      <c r="K19" s="62" t="s">
        <v>428</v>
      </c>
      <c r="L19" s="62" t="s">
        <v>2421</v>
      </c>
      <c r="M19" s="66" t="s">
        <v>1984</v>
      </c>
    </row>
    <row r="20" spans="1:13" x14ac:dyDescent="0.3">
      <c r="A20" s="61" t="s">
        <v>1993</v>
      </c>
      <c r="B20" s="62" t="s">
        <v>448</v>
      </c>
      <c r="C20" s="62" t="s">
        <v>449</v>
      </c>
      <c r="D20" s="63">
        <v>43936</v>
      </c>
      <c r="E20" s="63">
        <v>46752</v>
      </c>
      <c r="F20" s="62" t="s">
        <v>282</v>
      </c>
      <c r="G20" s="62" t="s">
        <v>283</v>
      </c>
      <c r="H20" s="62" t="s">
        <v>312</v>
      </c>
      <c r="I20" s="62" t="s">
        <v>424</v>
      </c>
      <c r="J20" s="62" t="s">
        <v>427</v>
      </c>
      <c r="K20" s="62" t="s">
        <v>428</v>
      </c>
      <c r="L20" s="62" t="s">
        <v>2421</v>
      </c>
      <c r="M20" s="66" t="s">
        <v>1984</v>
      </c>
    </row>
    <row r="21" spans="1:13" x14ac:dyDescent="0.3">
      <c r="A21" s="61" t="s">
        <v>1993</v>
      </c>
      <c r="B21" s="62" t="s">
        <v>448</v>
      </c>
      <c r="C21" s="62" t="s">
        <v>449</v>
      </c>
      <c r="D21" s="63">
        <v>43936</v>
      </c>
      <c r="E21" s="63">
        <v>46752</v>
      </c>
      <c r="F21" s="62" t="s">
        <v>1940</v>
      </c>
      <c r="G21" s="62" t="s">
        <v>451</v>
      </c>
      <c r="H21" s="62" t="s">
        <v>312</v>
      </c>
      <c r="I21" s="62" t="s">
        <v>424</v>
      </c>
      <c r="J21" s="62" t="s">
        <v>427</v>
      </c>
      <c r="K21" s="62" t="s">
        <v>428</v>
      </c>
      <c r="L21" s="62" t="s">
        <v>2421</v>
      </c>
      <c r="M21" s="66" t="s">
        <v>1984</v>
      </c>
    </row>
    <row r="22" spans="1:13" x14ac:dyDescent="0.3">
      <c r="A22" s="61" t="s">
        <v>1993</v>
      </c>
      <c r="B22" s="62" t="s">
        <v>448</v>
      </c>
      <c r="C22" s="62" t="s">
        <v>449</v>
      </c>
      <c r="D22" s="63">
        <v>43936</v>
      </c>
      <c r="E22" s="63">
        <v>46752</v>
      </c>
      <c r="F22" s="62" t="s">
        <v>348</v>
      </c>
      <c r="G22" s="62" t="s">
        <v>304</v>
      </c>
      <c r="H22" s="62" t="s">
        <v>312</v>
      </c>
      <c r="I22" s="62" t="s">
        <v>424</v>
      </c>
      <c r="J22" s="62" t="s">
        <v>427</v>
      </c>
      <c r="K22" s="62" t="s">
        <v>428</v>
      </c>
      <c r="L22" s="62" t="s">
        <v>2421</v>
      </c>
      <c r="M22" s="66" t="s">
        <v>1984</v>
      </c>
    </row>
    <row r="23" spans="1:13" x14ac:dyDescent="0.3">
      <c r="A23" s="61" t="s">
        <v>1993</v>
      </c>
      <c r="B23" s="62" t="s">
        <v>448</v>
      </c>
      <c r="C23" s="62" t="s">
        <v>449</v>
      </c>
      <c r="D23" s="63">
        <v>43936</v>
      </c>
      <c r="E23" s="63">
        <v>46752</v>
      </c>
      <c r="F23" s="62" t="s">
        <v>1943</v>
      </c>
      <c r="G23" s="62" t="s">
        <v>452</v>
      </c>
      <c r="H23" s="62" t="s">
        <v>312</v>
      </c>
      <c r="I23" s="62" t="s">
        <v>424</v>
      </c>
      <c r="J23" s="62" t="s">
        <v>427</v>
      </c>
      <c r="K23" s="62" t="s">
        <v>428</v>
      </c>
      <c r="L23" s="62" t="s">
        <v>2421</v>
      </c>
      <c r="M23" s="66" t="s">
        <v>1984</v>
      </c>
    </row>
    <row r="24" spans="1:13" x14ac:dyDescent="0.3">
      <c r="A24" s="61" t="s">
        <v>1993</v>
      </c>
      <c r="B24" s="62" t="s">
        <v>448</v>
      </c>
      <c r="C24" s="62" t="s">
        <v>449</v>
      </c>
      <c r="D24" s="63">
        <v>43936</v>
      </c>
      <c r="E24" s="63">
        <v>46752</v>
      </c>
      <c r="F24" s="62" t="s">
        <v>1930</v>
      </c>
      <c r="G24" s="62" t="s">
        <v>453</v>
      </c>
      <c r="H24" s="62" t="s">
        <v>312</v>
      </c>
      <c r="I24" s="62" t="s">
        <v>424</v>
      </c>
      <c r="J24" s="62" t="s">
        <v>427</v>
      </c>
      <c r="K24" s="62" t="s">
        <v>428</v>
      </c>
      <c r="L24" s="62" t="s">
        <v>2421</v>
      </c>
      <c r="M24" s="66" t="s">
        <v>1984</v>
      </c>
    </row>
    <row r="25" spans="1:13" x14ac:dyDescent="0.3">
      <c r="A25" s="61" t="s">
        <v>1993</v>
      </c>
      <c r="B25" s="62" t="s">
        <v>448</v>
      </c>
      <c r="C25" s="62" t="s">
        <v>449</v>
      </c>
      <c r="D25" s="63">
        <v>43936</v>
      </c>
      <c r="E25" s="63">
        <v>46752</v>
      </c>
      <c r="F25" s="62" t="s">
        <v>288</v>
      </c>
      <c r="G25" s="62" t="s">
        <v>454</v>
      </c>
      <c r="H25" s="62" t="s">
        <v>312</v>
      </c>
      <c r="I25" s="62" t="s">
        <v>424</v>
      </c>
      <c r="J25" s="62" t="s">
        <v>427</v>
      </c>
      <c r="K25" s="62" t="s">
        <v>428</v>
      </c>
      <c r="L25" s="62" t="s">
        <v>2421</v>
      </c>
      <c r="M25" s="66" t="s">
        <v>1984</v>
      </c>
    </row>
    <row r="26" spans="1:13" x14ac:dyDescent="0.3">
      <c r="A26" s="61" t="s">
        <v>1994</v>
      </c>
      <c r="B26" s="62" t="s">
        <v>455</v>
      </c>
      <c r="C26" s="62" t="s">
        <v>456</v>
      </c>
      <c r="D26" s="63">
        <v>43925</v>
      </c>
      <c r="E26" s="63">
        <v>46387</v>
      </c>
      <c r="F26" s="62" t="s">
        <v>350</v>
      </c>
      <c r="G26" s="62" t="s">
        <v>350</v>
      </c>
      <c r="H26" s="62" t="s">
        <v>312</v>
      </c>
      <c r="I26" s="62" t="s">
        <v>356</v>
      </c>
      <c r="J26" s="62" t="s">
        <v>2424</v>
      </c>
      <c r="K26" s="62" t="s">
        <v>426</v>
      </c>
      <c r="L26" s="62" t="s">
        <v>2421</v>
      </c>
      <c r="M26" s="66" t="s">
        <v>1984</v>
      </c>
    </row>
    <row r="27" spans="1:13" x14ac:dyDescent="0.3">
      <c r="A27" s="61" t="s">
        <v>1995</v>
      </c>
      <c r="B27" s="62" t="s">
        <v>460</v>
      </c>
      <c r="C27" s="62" t="s">
        <v>461</v>
      </c>
      <c r="D27" s="63">
        <v>43527</v>
      </c>
      <c r="E27" s="63">
        <v>47571</v>
      </c>
      <c r="F27" s="62" t="s">
        <v>1940</v>
      </c>
      <c r="G27" s="62" t="s">
        <v>304</v>
      </c>
      <c r="H27" s="62" t="s">
        <v>463</v>
      </c>
      <c r="I27" s="62" t="s">
        <v>354</v>
      </c>
      <c r="J27" s="62" t="s">
        <v>464</v>
      </c>
      <c r="K27" s="62" t="s">
        <v>465</v>
      </c>
      <c r="L27" s="62" t="s">
        <v>2421</v>
      </c>
      <c r="M27" s="66" t="s">
        <v>1964</v>
      </c>
    </row>
    <row r="28" spans="1:13" x14ac:dyDescent="0.3">
      <c r="A28" s="61" t="s">
        <v>1995</v>
      </c>
      <c r="B28" s="62" t="s">
        <v>460</v>
      </c>
      <c r="C28" s="62" t="s">
        <v>461</v>
      </c>
      <c r="D28" s="63">
        <v>43527</v>
      </c>
      <c r="E28" s="63">
        <v>47571</v>
      </c>
      <c r="F28" s="62" t="s">
        <v>1943</v>
      </c>
      <c r="G28" s="62" t="s">
        <v>304</v>
      </c>
      <c r="H28" s="62" t="s">
        <v>463</v>
      </c>
      <c r="I28" s="62" t="s">
        <v>354</v>
      </c>
      <c r="J28" s="62" t="s">
        <v>464</v>
      </c>
      <c r="K28" s="62" t="s">
        <v>465</v>
      </c>
      <c r="L28" s="62" t="s">
        <v>2421</v>
      </c>
      <c r="M28" s="66" t="s">
        <v>1964</v>
      </c>
    </row>
    <row r="29" spans="1:13" x14ac:dyDescent="0.3">
      <c r="A29" s="61" t="s">
        <v>1995</v>
      </c>
      <c r="B29" s="62" t="s">
        <v>460</v>
      </c>
      <c r="C29" s="62" t="s">
        <v>461</v>
      </c>
      <c r="D29" s="63">
        <v>43527</v>
      </c>
      <c r="E29" s="63">
        <v>47571</v>
      </c>
      <c r="F29" s="62" t="s">
        <v>1939</v>
      </c>
      <c r="G29" s="62" t="s">
        <v>304</v>
      </c>
      <c r="H29" s="62" t="s">
        <v>463</v>
      </c>
      <c r="I29" s="62" t="s">
        <v>354</v>
      </c>
      <c r="J29" s="62" t="s">
        <v>464</v>
      </c>
      <c r="K29" s="62" t="s">
        <v>465</v>
      </c>
      <c r="L29" s="62" t="s">
        <v>2421</v>
      </c>
      <c r="M29" s="66" t="s">
        <v>1964</v>
      </c>
    </row>
    <row r="30" spans="1:13" x14ac:dyDescent="0.3">
      <c r="A30" s="61" t="s">
        <v>1995</v>
      </c>
      <c r="B30" s="62" t="s">
        <v>460</v>
      </c>
      <c r="C30" s="62" t="s">
        <v>461</v>
      </c>
      <c r="D30" s="63">
        <v>43527</v>
      </c>
      <c r="E30" s="63">
        <v>47571</v>
      </c>
      <c r="F30" s="62" t="s">
        <v>284</v>
      </c>
      <c r="G30" s="62" t="s">
        <v>304</v>
      </c>
      <c r="H30" s="62" t="s">
        <v>463</v>
      </c>
      <c r="I30" s="62" t="s">
        <v>354</v>
      </c>
      <c r="J30" s="62" t="s">
        <v>464</v>
      </c>
      <c r="K30" s="62" t="s">
        <v>465</v>
      </c>
      <c r="L30" s="62" t="s">
        <v>2421</v>
      </c>
      <c r="M30" s="66" t="s">
        <v>1964</v>
      </c>
    </row>
    <row r="31" spans="1:13" x14ac:dyDescent="0.3">
      <c r="A31" s="61" t="s">
        <v>1995</v>
      </c>
      <c r="B31" s="62" t="s">
        <v>460</v>
      </c>
      <c r="C31" s="62" t="s">
        <v>461</v>
      </c>
      <c r="D31" s="63">
        <v>43527</v>
      </c>
      <c r="E31" s="63">
        <v>47571</v>
      </c>
      <c r="F31" s="62" t="s">
        <v>1945</v>
      </c>
      <c r="G31" s="62" t="s">
        <v>304</v>
      </c>
      <c r="H31" s="62" t="s">
        <v>463</v>
      </c>
      <c r="I31" s="62" t="s">
        <v>354</v>
      </c>
      <c r="J31" s="62" t="s">
        <v>464</v>
      </c>
      <c r="K31" s="62" t="s">
        <v>465</v>
      </c>
      <c r="L31" s="62" t="s">
        <v>2421</v>
      </c>
      <c r="M31" s="66" t="s">
        <v>1964</v>
      </c>
    </row>
    <row r="32" spans="1:13" x14ac:dyDescent="0.3">
      <c r="A32" s="61" t="s">
        <v>1996</v>
      </c>
      <c r="B32" s="62" t="s">
        <v>478</v>
      </c>
      <c r="C32" s="62" t="s">
        <v>479</v>
      </c>
      <c r="D32" s="63">
        <v>43468</v>
      </c>
      <c r="E32" s="63">
        <v>47573</v>
      </c>
      <c r="F32" s="62" t="s">
        <v>1940</v>
      </c>
      <c r="G32" s="62" t="s">
        <v>304</v>
      </c>
      <c r="H32" s="62" t="s">
        <v>463</v>
      </c>
      <c r="I32" s="62" t="s">
        <v>424</v>
      </c>
      <c r="J32" s="62" t="s">
        <v>464</v>
      </c>
      <c r="K32" s="62" t="s">
        <v>465</v>
      </c>
      <c r="L32" s="62" t="s">
        <v>2421</v>
      </c>
      <c r="M32" s="66" t="s">
        <v>1964</v>
      </c>
    </row>
    <row r="33" spans="1:13" x14ac:dyDescent="0.3">
      <c r="A33" s="61" t="s">
        <v>1996</v>
      </c>
      <c r="B33" s="62" t="s">
        <v>478</v>
      </c>
      <c r="C33" s="62" t="s">
        <v>479</v>
      </c>
      <c r="D33" s="63">
        <v>43468</v>
      </c>
      <c r="E33" s="63">
        <v>47573</v>
      </c>
      <c r="F33" s="62" t="s">
        <v>1943</v>
      </c>
      <c r="G33" s="62" t="s">
        <v>304</v>
      </c>
      <c r="H33" s="62" t="s">
        <v>463</v>
      </c>
      <c r="I33" s="62" t="s">
        <v>424</v>
      </c>
      <c r="J33" s="62" t="s">
        <v>464</v>
      </c>
      <c r="K33" s="62" t="s">
        <v>465</v>
      </c>
      <c r="L33" s="62" t="s">
        <v>2421</v>
      </c>
      <c r="M33" s="66" t="s">
        <v>1964</v>
      </c>
    </row>
    <row r="34" spans="1:13" x14ac:dyDescent="0.3">
      <c r="A34" s="61" t="s">
        <v>1996</v>
      </c>
      <c r="B34" s="62" t="s">
        <v>478</v>
      </c>
      <c r="C34" s="62" t="s">
        <v>479</v>
      </c>
      <c r="D34" s="63">
        <v>43468</v>
      </c>
      <c r="E34" s="63">
        <v>47573</v>
      </c>
      <c r="F34" s="62" t="s">
        <v>1939</v>
      </c>
      <c r="G34" s="62" t="s">
        <v>304</v>
      </c>
      <c r="H34" s="62" t="s">
        <v>463</v>
      </c>
      <c r="I34" s="62" t="s">
        <v>424</v>
      </c>
      <c r="J34" s="62" t="s">
        <v>464</v>
      </c>
      <c r="K34" s="62" t="s">
        <v>465</v>
      </c>
      <c r="L34" s="62" t="s">
        <v>2421</v>
      </c>
      <c r="M34" s="66" t="s">
        <v>1964</v>
      </c>
    </row>
    <row r="35" spans="1:13" x14ac:dyDescent="0.3">
      <c r="A35" s="61" t="s">
        <v>1996</v>
      </c>
      <c r="B35" s="62" t="s">
        <v>478</v>
      </c>
      <c r="C35" s="62" t="s">
        <v>479</v>
      </c>
      <c r="D35" s="63">
        <v>43468</v>
      </c>
      <c r="E35" s="63">
        <v>47573</v>
      </c>
      <c r="F35" s="62" t="s">
        <v>284</v>
      </c>
      <c r="G35" s="62" t="s">
        <v>304</v>
      </c>
      <c r="H35" s="62" t="s">
        <v>463</v>
      </c>
      <c r="I35" s="62" t="s">
        <v>424</v>
      </c>
      <c r="J35" s="62" t="s">
        <v>464</v>
      </c>
      <c r="K35" s="62" t="s">
        <v>465</v>
      </c>
      <c r="L35" s="62" t="s">
        <v>2421</v>
      </c>
      <c r="M35" s="66" t="s">
        <v>1964</v>
      </c>
    </row>
    <row r="36" spans="1:13" x14ac:dyDescent="0.3">
      <c r="A36" s="61" t="s">
        <v>1996</v>
      </c>
      <c r="B36" s="62" t="s">
        <v>478</v>
      </c>
      <c r="C36" s="62" t="s">
        <v>479</v>
      </c>
      <c r="D36" s="63">
        <v>43468</v>
      </c>
      <c r="E36" s="63">
        <v>47573</v>
      </c>
      <c r="F36" s="62" t="s">
        <v>1945</v>
      </c>
      <c r="G36" s="62" t="s">
        <v>304</v>
      </c>
      <c r="H36" s="62" t="s">
        <v>463</v>
      </c>
      <c r="I36" s="62" t="s">
        <v>424</v>
      </c>
      <c r="J36" s="62" t="s">
        <v>464</v>
      </c>
      <c r="K36" s="62" t="s">
        <v>465</v>
      </c>
      <c r="L36" s="62" t="s">
        <v>2421</v>
      </c>
      <c r="M36" s="66" t="s">
        <v>1964</v>
      </c>
    </row>
    <row r="37" spans="1:13" x14ac:dyDescent="0.3">
      <c r="A37" s="61" t="s">
        <v>1997</v>
      </c>
      <c r="B37" s="62" t="s">
        <v>482</v>
      </c>
      <c r="C37" s="62" t="s">
        <v>483</v>
      </c>
      <c r="D37" s="63">
        <v>44174</v>
      </c>
      <c r="E37" s="63">
        <v>46374</v>
      </c>
      <c r="F37" s="62" t="s">
        <v>1921</v>
      </c>
      <c r="G37" s="62" t="s">
        <v>484</v>
      </c>
      <c r="H37" s="62" t="s">
        <v>485</v>
      </c>
      <c r="I37" s="62" t="s">
        <v>313</v>
      </c>
      <c r="J37" s="62" t="s">
        <v>486</v>
      </c>
      <c r="K37" s="62" t="s">
        <v>465</v>
      </c>
      <c r="L37" s="62" t="s">
        <v>2421</v>
      </c>
      <c r="M37" s="66" t="s">
        <v>1964</v>
      </c>
    </row>
    <row r="38" spans="1:13" x14ac:dyDescent="0.3">
      <c r="A38" s="61" t="s">
        <v>1997</v>
      </c>
      <c r="B38" s="62" t="s">
        <v>482</v>
      </c>
      <c r="C38" s="62" t="s">
        <v>483</v>
      </c>
      <c r="D38" s="63">
        <v>44174</v>
      </c>
      <c r="E38" s="63">
        <v>46374</v>
      </c>
      <c r="F38" s="62" t="s">
        <v>1921</v>
      </c>
      <c r="G38" s="62" t="s">
        <v>487</v>
      </c>
      <c r="H38" s="62" t="s">
        <v>485</v>
      </c>
      <c r="I38" s="62" t="s">
        <v>313</v>
      </c>
      <c r="J38" s="62" t="s">
        <v>486</v>
      </c>
      <c r="K38" s="62" t="s">
        <v>465</v>
      </c>
      <c r="L38" s="62" t="s">
        <v>2421</v>
      </c>
      <c r="M38" s="66" t="s">
        <v>1964</v>
      </c>
    </row>
    <row r="39" spans="1:13" x14ac:dyDescent="0.3">
      <c r="A39" s="61" t="s">
        <v>1997</v>
      </c>
      <c r="B39" s="62" t="s">
        <v>482</v>
      </c>
      <c r="C39" s="62" t="s">
        <v>483</v>
      </c>
      <c r="D39" s="63">
        <v>44174</v>
      </c>
      <c r="E39" s="63">
        <v>46374</v>
      </c>
      <c r="F39" s="62" t="s">
        <v>1921</v>
      </c>
      <c r="G39" s="62" t="s">
        <v>488</v>
      </c>
      <c r="H39" s="62" t="s">
        <v>485</v>
      </c>
      <c r="I39" s="62" t="s">
        <v>313</v>
      </c>
      <c r="J39" s="62" t="s">
        <v>486</v>
      </c>
      <c r="K39" s="62" t="s">
        <v>465</v>
      </c>
      <c r="L39" s="62" t="s">
        <v>2421</v>
      </c>
      <c r="M39" s="66" t="s">
        <v>1964</v>
      </c>
    </row>
    <row r="40" spans="1:13" x14ac:dyDescent="0.3">
      <c r="A40" s="61" t="s">
        <v>1997</v>
      </c>
      <c r="B40" s="62" t="s">
        <v>482</v>
      </c>
      <c r="C40" s="62" t="s">
        <v>483</v>
      </c>
      <c r="D40" s="63">
        <v>44174</v>
      </c>
      <c r="E40" s="63">
        <v>46374</v>
      </c>
      <c r="F40" s="62" t="s">
        <v>1921</v>
      </c>
      <c r="G40" s="62" t="s">
        <v>484</v>
      </c>
      <c r="H40" s="62" t="s">
        <v>2425</v>
      </c>
      <c r="I40" s="62" t="s">
        <v>313</v>
      </c>
      <c r="J40" s="62" t="s">
        <v>486</v>
      </c>
      <c r="K40" s="62" t="s">
        <v>465</v>
      </c>
      <c r="L40" s="62" t="s">
        <v>2421</v>
      </c>
      <c r="M40" s="66" t="s">
        <v>1964</v>
      </c>
    </row>
    <row r="41" spans="1:13" x14ac:dyDescent="0.3">
      <c r="A41" s="61" t="s">
        <v>1997</v>
      </c>
      <c r="B41" s="62" t="s">
        <v>482</v>
      </c>
      <c r="C41" s="62" t="s">
        <v>483</v>
      </c>
      <c r="D41" s="63">
        <v>44174</v>
      </c>
      <c r="E41" s="63">
        <v>46374</v>
      </c>
      <c r="F41" s="62" t="s">
        <v>1921</v>
      </c>
      <c r="G41" s="62" t="s">
        <v>487</v>
      </c>
      <c r="H41" s="62" t="s">
        <v>2425</v>
      </c>
      <c r="I41" s="62" t="s">
        <v>313</v>
      </c>
      <c r="J41" s="62" t="s">
        <v>486</v>
      </c>
      <c r="K41" s="62" t="s">
        <v>465</v>
      </c>
      <c r="L41" s="62" t="s">
        <v>2421</v>
      </c>
      <c r="M41" s="66" t="s">
        <v>1964</v>
      </c>
    </row>
    <row r="42" spans="1:13" x14ac:dyDescent="0.3">
      <c r="A42" s="61" t="s">
        <v>1997</v>
      </c>
      <c r="B42" s="62" t="s">
        <v>482</v>
      </c>
      <c r="C42" s="62" t="s">
        <v>483</v>
      </c>
      <c r="D42" s="63">
        <v>44174</v>
      </c>
      <c r="E42" s="63">
        <v>46374</v>
      </c>
      <c r="F42" s="62" t="s">
        <v>1921</v>
      </c>
      <c r="G42" s="62" t="s">
        <v>488</v>
      </c>
      <c r="H42" s="62" t="s">
        <v>2425</v>
      </c>
      <c r="I42" s="62" t="s">
        <v>313</v>
      </c>
      <c r="J42" s="62" t="s">
        <v>486</v>
      </c>
      <c r="K42" s="62" t="s">
        <v>465</v>
      </c>
      <c r="L42" s="62" t="s">
        <v>2421</v>
      </c>
      <c r="M42" s="66" t="s">
        <v>1964</v>
      </c>
    </row>
    <row r="43" spans="1:13" x14ac:dyDescent="0.3">
      <c r="A43" s="61" t="s">
        <v>1998</v>
      </c>
      <c r="B43" s="62" t="s">
        <v>492</v>
      </c>
      <c r="C43" s="62" t="s">
        <v>493</v>
      </c>
      <c r="D43" s="63">
        <v>44263</v>
      </c>
      <c r="E43" s="63">
        <v>46234</v>
      </c>
      <c r="F43" s="62" t="s">
        <v>1941</v>
      </c>
      <c r="G43" s="62" t="s">
        <v>494</v>
      </c>
      <c r="H43" s="62" t="s">
        <v>352</v>
      </c>
      <c r="I43" s="62" t="s">
        <v>356</v>
      </c>
      <c r="J43" s="62" t="s">
        <v>357</v>
      </c>
      <c r="K43" s="62" t="s">
        <v>358</v>
      </c>
      <c r="L43" s="62" t="s">
        <v>2421</v>
      </c>
      <c r="M43" s="66" t="s">
        <v>1969</v>
      </c>
    </row>
    <row r="44" spans="1:13" x14ac:dyDescent="0.3">
      <c r="A44" s="61" t="s">
        <v>1998</v>
      </c>
      <c r="B44" s="62" t="s">
        <v>492</v>
      </c>
      <c r="C44" s="62" t="s">
        <v>493</v>
      </c>
      <c r="D44" s="63">
        <v>44263</v>
      </c>
      <c r="E44" s="63">
        <v>46234</v>
      </c>
      <c r="F44" s="62" t="s">
        <v>1941</v>
      </c>
      <c r="G44" s="62" t="s">
        <v>321</v>
      </c>
      <c r="H44" s="62" t="s">
        <v>352</v>
      </c>
      <c r="I44" s="62" t="s">
        <v>356</v>
      </c>
      <c r="J44" s="62" t="s">
        <v>357</v>
      </c>
      <c r="K44" s="62" t="s">
        <v>358</v>
      </c>
      <c r="L44" s="62" t="s">
        <v>2421</v>
      </c>
      <c r="M44" s="66" t="s">
        <v>1969</v>
      </c>
    </row>
    <row r="45" spans="1:13" x14ac:dyDescent="0.3">
      <c r="A45" s="61" t="s">
        <v>1998</v>
      </c>
      <c r="B45" s="62" t="s">
        <v>492</v>
      </c>
      <c r="C45" s="62" t="s">
        <v>493</v>
      </c>
      <c r="D45" s="63">
        <v>44263</v>
      </c>
      <c r="E45" s="63">
        <v>46234</v>
      </c>
      <c r="F45" s="62" t="s">
        <v>1941</v>
      </c>
      <c r="G45" s="62" t="s">
        <v>495</v>
      </c>
      <c r="H45" s="62" t="s">
        <v>352</v>
      </c>
      <c r="I45" s="62" t="s">
        <v>356</v>
      </c>
      <c r="J45" s="62" t="s">
        <v>357</v>
      </c>
      <c r="K45" s="62" t="s">
        <v>358</v>
      </c>
      <c r="L45" s="62" t="s">
        <v>2421</v>
      </c>
      <c r="M45" s="66" t="s">
        <v>1969</v>
      </c>
    </row>
    <row r="46" spans="1:13" x14ac:dyDescent="0.3">
      <c r="A46" s="61" t="s">
        <v>1998</v>
      </c>
      <c r="B46" s="62" t="s">
        <v>492</v>
      </c>
      <c r="C46" s="62" t="s">
        <v>493</v>
      </c>
      <c r="D46" s="63">
        <v>44263</v>
      </c>
      <c r="E46" s="63">
        <v>46234</v>
      </c>
      <c r="F46" s="62" t="s">
        <v>1941</v>
      </c>
      <c r="G46" s="62" t="s">
        <v>322</v>
      </c>
      <c r="H46" s="62" t="s">
        <v>352</v>
      </c>
      <c r="I46" s="62" t="s">
        <v>356</v>
      </c>
      <c r="J46" s="62" t="s">
        <v>357</v>
      </c>
      <c r="K46" s="62" t="s">
        <v>358</v>
      </c>
      <c r="L46" s="62" t="s">
        <v>2421</v>
      </c>
      <c r="M46" s="66" t="s">
        <v>1969</v>
      </c>
    </row>
    <row r="47" spans="1:13" x14ac:dyDescent="0.3">
      <c r="A47" s="61" t="s">
        <v>1998</v>
      </c>
      <c r="B47" s="62" t="s">
        <v>492</v>
      </c>
      <c r="C47" s="62" t="s">
        <v>493</v>
      </c>
      <c r="D47" s="63">
        <v>44263</v>
      </c>
      <c r="E47" s="63">
        <v>46234</v>
      </c>
      <c r="F47" s="62" t="s">
        <v>1941</v>
      </c>
      <c r="G47" s="62" t="s">
        <v>496</v>
      </c>
      <c r="H47" s="62" t="s">
        <v>352</v>
      </c>
      <c r="I47" s="62" t="s">
        <v>356</v>
      </c>
      <c r="J47" s="62" t="s">
        <v>357</v>
      </c>
      <c r="K47" s="62" t="s">
        <v>358</v>
      </c>
      <c r="L47" s="62" t="s">
        <v>2421</v>
      </c>
      <c r="M47" s="66" t="s">
        <v>1969</v>
      </c>
    </row>
    <row r="48" spans="1:13" x14ac:dyDescent="0.3">
      <c r="A48" s="61" t="s">
        <v>1998</v>
      </c>
      <c r="B48" s="62" t="s">
        <v>492</v>
      </c>
      <c r="C48" s="62" t="s">
        <v>493</v>
      </c>
      <c r="D48" s="63">
        <v>44263</v>
      </c>
      <c r="E48" s="63">
        <v>46234</v>
      </c>
      <c r="F48" s="62" t="s">
        <v>1941</v>
      </c>
      <c r="G48" s="62" t="s">
        <v>397</v>
      </c>
      <c r="H48" s="62" t="s">
        <v>352</v>
      </c>
      <c r="I48" s="62" t="s">
        <v>356</v>
      </c>
      <c r="J48" s="62" t="s">
        <v>357</v>
      </c>
      <c r="K48" s="62" t="s">
        <v>358</v>
      </c>
      <c r="L48" s="62" t="s">
        <v>2421</v>
      </c>
      <c r="M48" s="66" t="s">
        <v>1969</v>
      </c>
    </row>
    <row r="49" spans="1:13" x14ac:dyDescent="0.3">
      <c r="A49" s="61" t="s">
        <v>1998</v>
      </c>
      <c r="B49" s="62" t="s">
        <v>492</v>
      </c>
      <c r="C49" s="62" t="s">
        <v>493</v>
      </c>
      <c r="D49" s="63">
        <v>44263</v>
      </c>
      <c r="E49" s="63">
        <v>46234</v>
      </c>
      <c r="F49" s="62" t="s">
        <v>1941</v>
      </c>
      <c r="G49" s="62" t="s">
        <v>398</v>
      </c>
      <c r="H49" s="62" t="s">
        <v>352</v>
      </c>
      <c r="I49" s="62" t="s">
        <v>356</v>
      </c>
      <c r="J49" s="62" t="s">
        <v>357</v>
      </c>
      <c r="K49" s="62" t="s">
        <v>358</v>
      </c>
      <c r="L49" s="62" t="s">
        <v>2421</v>
      </c>
      <c r="M49" s="66" t="s">
        <v>1969</v>
      </c>
    </row>
    <row r="50" spans="1:13" x14ac:dyDescent="0.3">
      <c r="A50" s="61" t="s">
        <v>1998</v>
      </c>
      <c r="B50" s="62" t="s">
        <v>492</v>
      </c>
      <c r="C50" s="62" t="s">
        <v>493</v>
      </c>
      <c r="D50" s="63">
        <v>44263</v>
      </c>
      <c r="E50" s="63">
        <v>46234</v>
      </c>
      <c r="F50" s="62" t="s">
        <v>1941</v>
      </c>
      <c r="G50" s="62" t="s">
        <v>399</v>
      </c>
      <c r="H50" s="62" t="s">
        <v>352</v>
      </c>
      <c r="I50" s="62" t="s">
        <v>356</v>
      </c>
      <c r="J50" s="62" t="s">
        <v>357</v>
      </c>
      <c r="K50" s="62" t="s">
        <v>358</v>
      </c>
      <c r="L50" s="62" t="s">
        <v>2421</v>
      </c>
      <c r="M50" s="66" t="s">
        <v>1969</v>
      </c>
    </row>
    <row r="51" spans="1:13" x14ac:dyDescent="0.3">
      <c r="A51" s="61" t="s">
        <v>1998</v>
      </c>
      <c r="B51" s="62" t="s">
        <v>492</v>
      </c>
      <c r="C51" s="62" t="s">
        <v>493</v>
      </c>
      <c r="D51" s="63">
        <v>44263</v>
      </c>
      <c r="E51" s="63">
        <v>46234</v>
      </c>
      <c r="F51" s="62" t="s">
        <v>1934</v>
      </c>
      <c r="G51" s="62" t="s">
        <v>497</v>
      </c>
      <c r="H51" s="62" t="s">
        <v>352</v>
      </c>
      <c r="I51" s="62" t="s">
        <v>356</v>
      </c>
      <c r="J51" s="62" t="s">
        <v>357</v>
      </c>
      <c r="K51" s="62" t="s">
        <v>358</v>
      </c>
      <c r="L51" s="62" t="s">
        <v>2421</v>
      </c>
      <c r="M51" s="66" t="s">
        <v>1969</v>
      </c>
    </row>
    <row r="52" spans="1:13" x14ac:dyDescent="0.3">
      <c r="A52" s="61" t="s">
        <v>1998</v>
      </c>
      <c r="B52" s="62" t="s">
        <v>492</v>
      </c>
      <c r="C52" s="62" t="s">
        <v>493</v>
      </c>
      <c r="D52" s="63">
        <v>44263</v>
      </c>
      <c r="E52" s="63">
        <v>46234</v>
      </c>
      <c r="F52" s="62" t="s">
        <v>1934</v>
      </c>
      <c r="G52" s="62" t="s">
        <v>498</v>
      </c>
      <c r="H52" s="62" t="s">
        <v>352</v>
      </c>
      <c r="I52" s="62" t="s">
        <v>356</v>
      </c>
      <c r="J52" s="62" t="s">
        <v>357</v>
      </c>
      <c r="K52" s="62" t="s">
        <v>358</v>
      </c>
      <c r="L52" s="62" t="s">
        <v>2421</v>
      </c>
      <c r="M52" s="66" t="s">
        <v>1969</v>
      </c>
    </row>
    <row r="53" spans="1:13" x14ac:dyDescent="0.3">
      <c r="A53" s="61" t="s">
        <v>1998</v>
      </c>
      <c r="B53" s="62" t="s">
        <v>492</v>
      </c>
      <c r="C53" s="62" t="s">
        <v>493</v>
      </c>
      <c r="D53" s="63">
        <v>44263</v>
      </c>
      <c r="E53" s="63">
        <v>46234</v>
      </c>
      <c r="F53" s="62" t="s">
        <v>1934</v>
      </c>
      <c r="G53" s="62" t="s">
        <v>499</v>
      </c>
      <c r="H53" s="62" t="s">
        <v>352</v>
      </c>
      <c r="I53" s="62" t="s">
        <v>356</v>
      </c>
      <c r="J53" s="62" t="s">
        <v>357</v>
      </c>
      <c r="K53" s="62" t="s">
        <v>358</v>
      </c>
      <c r="L53" s="62" t="s">
        <v>2421</v>
      </c>
      <c r="M53" s="66" t="s">
        <v>1969</v>
      </c>
    </row>
    <row r="54" spans="1:13" x14ac:dyDescent="0.3">
      <c r="A54" s="61" t="s">
        <v>1998</v>
      </c>
      <c r="B54" s="62" t="s">
        <v>492</v>
      </c>
      <c r="C54" s="62" t="s">
        <v>493</v>
      </c>
      <c r="D54" s="63">
        <v>44263</v>
      </c>
      <c r="E54" s="63">
        <v>46234</v>
      </c>
      <c r="F54" s="62" t="s">
        <v>1934</v>
      </c>
      <c r="G54" s="62" t="s">
        <v>500</v>
      </c>
      <c r="H54" s="62" t="s">
        <v>352</v>
      </c>
      <c r="I54" s="62" t="s">
        <v>356</v>
      </c>
      <c r="J54" s="62" t="s">
        <v>357</v>
      </c>
      <c r="K54" s="62" t="s">
        <v>358</v>
      </c>
      <c r="L54" s="62" t="s">
        <v>2421</v>
      </c>
      <c r="M54" s="66" t="s">
        <v>1969</v>
      </c>
    </row>
    <row r="55" spans="1:13" x14ac:dyDescent="0.3">
      <c r="A55" s="61" t="s">
        <v>1998</v>
      </c>
      <c r="B55" s="62" t="s">
        <v>492</v>
      </c>
      <c r="C55" s="62" t="s">
        <v>493</v>
      </c>
      <c r="D55" s="63">
        <v>44263</v>
      </c>
      <c r="E55" s="63">
        <v>46234</v>
      </c>
      <c r="F55" s="62" t="s">
        <v>1930</v>
      </c>
      <c r="G55" s="62" t="s">
        <v>419</v>
      </c>
      <c r="H55" s="62" t="s">
        <v>352</v>
      </c>
      <c r="I55" s="62" t="s">
        <v>356</v>
      </c>
      <c r="J55" s="62" t="s">
        <v>357</v>
      </c>
      <c r="K55" s="62" t="s">
        <v>358</v>
      </c>
      <c r="L55" s="62" t="s">
        <v>2421</v>
      </c>
      <c r="M55" s="66" t="s">
        <v>1969</v>
      </c>
    </row>
    <row r="56" spans="1:13" x14ac:dyDescent="0.3">
      <c r="A56" s="61" t="s">
        <v>1998</v>
      </c>
      <c r="B56" s="62" t="s">
        <v>492</v>
      </c>
      <c r="C56" s="62" t="s">
        <v>493</v>
      </c>
      <c r="D56" s="63">
        <v>44263</v>
      </c>
      <c r="E56" s="63">
        <v>46234</v>
      </c>
      <c r="F56" s="62" t="s">
        <v>1930</v>
      </c>
      <c r="G56" s="62" t="s">
        <v>501</v>
      </c>
      <c r="H56" s="62" t="s">
        <v>352</v>
      </c>
      <c r="I56" s="62" t="s">
        <v>356</v>
      </c>
      <c r="J56" s="62" t="s">
        <v>357</v>
      </c>
      <c r="K56" s="62" t="s">
        <v>358</v>
      </c>
      <c r="L56" s="62" t="s">
        <v>2421</v>
      </c>
      <c r="M56" s="66" t="s">
        <v>1969</v>
      </c>
    </row>
    <row r="57" spans="1:13" x14ac:dyDescent="0.3">
      <c r="A57" s="61" t="s">
        <v>1998</v>
      </c>
      <c r="B57" s="62" t="s">
        <v>492</v>
      </c>
      <c r="C57" s="62" t="s">
        <v>493</v>
      </c>
      <c r="D57" s="63">
        <v>44263</v>
      </c>
      <c r="E57" s="63">
        <v>46234</v>
      </c>
      <c r="F57" s="62" t="s">
        <v>1930</v>
      </c>
      <c r="G57" s="62" t="s">
        <v>502</v>
      </c>
      <c r="H57" s="62" t="s">
        <v>352</v>
      </c>
      <c r="I57" s="62" t="s">
        <v>356</v>
      </c>
      <c r="J57" s="62" t="s">
        <v>357</v>
      </c>
      <c r="K57" s="62" t="s">
        <v>358</v>
      </c>
      <c r="L57" s="62" t="s">
        <v>2421</v>
      </c>
      <c r="M57" s="66" t="s">
        <v>1969</v>
      </c>
    </row>
    <row r="58" spans="1:13" x14ac:dyDescent="0.3">
      <c r="A58" s="61" t="s">
        <v>1998</v>
      </c>
      <c r="B58" s="62" t="s">
        <v>492</v>
      </c>
      <c r="C58" s="62" t="s">
        <v>493</v>
      </c>
      <c r="D58" s="63">
        <v>44263</v>
      </c>
      <c r="E58" s="63">
        <v>46234</v>
      </c>
      <c r="F58" s="62" t="s">
        <v>1930</v>
      </c>
      <c r="G58" s="62" t="s">
        <v>422</v>
      </c>
      <c r="H58" s="62" t="s">
        <v>352</v>
      </c>
      <c r="I58" s="62" t="s">
        <v>356</v>
      </c>
      <c r="J58" s="62" t="s">
        <v>357</v>
      </c>
      <c r="K58" s="62" t="s">
        <v>358</v>
      </c>
      <c r="L58" s="62" t="s">
        <v>2421</v>
      </c>
      <c r="M58" s="66" t="s">
        <v>1969</v>
      </c>
    </row>
    <row r="59" spans="1:13" x14ac:dyDescent="0.3">
      <c r="A59" s="61" t="s">
        <v>1998</v>
      </c>
      <c r="B59" s="62" t="s">
        <v>492</v>
      </c>
      <c r="C59" s="62" t="s">
        <v>493</v>
      </c>
      <c r="D59" s="63">
        <v>44263</v>
      </c>
      <c r="E59" s="63">
        <v>46234</v>
      </c>
      <c r="F59" s="62" t="s">
        <v>1938</v>
      </c>
      <c r="G59" s="62" t="s">
        <v>503</v>
      </c>
      <c r="H59" s="62" t="s">
        <v>352</v>
      </c>
      <c r="I59" s="62" t="s">
        <v>356</v>
      </c>
      <c r="J59" s="62" t="s">
        <v>357</v>
      </c>
      <c r="K59" s="62" t="s">
        <v>358</v>
      </c>
      <c r="L59" s="62" t="s">
        <v>2421</v>
      </c>
      <c r="M59" s="66" t="s">
        <v>1969</v>
      </c>
    </row>
    <row r="60" spans="1:13" x14ac:dyDescent="0.3">
      <c r="A60" s="61" t="s">
        <v>1998</v>
      </c>
      <c r="B60" s="62" t="s">
        <v>492</v>
      </c>
      <c r="C60" s="62" t="s">
        <v>493</v>
      </c>
      <c r="D60" s="63">
        <v>44263</v>
      </c>
      <c r="E60" s="63">
        <v>46234</v>
      </c>
      <c r="F60" s="62" t="s">
        <v>1938</v>
      </c>
      <c r="G60" s="62" t="s">
        <v>504</v>
      </c>
      <c r="H60" s="62" t="s">
        <v>352</v>
      </c>
      <c r="I60" s="62" t="s">
        <v>356</v>
      </c>
      <c r="J60" s="62" t="s">
        <v>357</v>
      </c>
      <c r="K60" s="62" t="s">
        <v>358</v>
      </c>
      <c r="L60" s="62" t="s">
        <v>2421</v>
      </c>
      <c r="M60" s="66" t="s">
        <v>1969</v>
      </c>
    </row>
    <row r="61" spans="1:13" x14ac:dyDescent="0.3">
      <c r="A61" s="61" t="s">
        <v>1998</v>
      </c>
      <c r="B61" s="62" t="s">
        <v>492</v>
      </c>
      <c r="C61" s="62" t="s">
        <v>493</v>
      </c>
      <c r="D61" s="63">
        <v>44263</v>
      </c>
      <c r="E61" s="63">
        <v>46234</v>
      </c>
      <c r="F61" s="62" t="s">
        <v>1938</v>
      </c>
      <c r="G61" s="62" t="s">
        <v>505</v>
      </c>
      <c r="H61" s="62" t="s">
        <v>352</v>
      </c>
      <c r="I61" s="62" t="s">
        <v>356</v>
      </c>
      <c r="J61" s="62" t="s">
        <v>357</v>
      </c>
      <c r="K61" s="62" t="s">
        <v>358</v>
      </c>
      <c r="L61" s="62" t="s">
        <v>2421</v>
      </c>
      <c r="M61" s="66" t="s">
        <v>1969</v>
      </c>
    </row>
    <row r="62" spans="1:13" x14ac:dyDescent="0.3">
      <c r="A62" s="61" t="s">
        <v>1998</v>
      </c>
      <c r="B62" s="62" t="s">
        <v>492</v>
      </c>
      <c r="C62" s="62" t="s">
        <v>493</v>
      </c>
      <c r="D62" s="63">
        <v>44263</v>
      </c>
      <c r="E62" s="63">
        <v>46234</v>
      </c>
      <c r="F62" s="62" t="s">
        <v>1938</v>
      </c>
      <c r="G62" s="62" t="s">
        <v>506</v>
      </c>
      <c r="H62" s="62" t="s">
        <v>352</v>
      </c>
      <c r="I62" s="62" t="s">
        <v>356</v>
      </c>
      <c r="J62" s="62" t="s">
        <v>357</v>
      </c>
      <c r="K62" s="62" t="s">
        <v>358</v>
      </c>
      <c r="L62" s="62" t="s">
        <v>2421</v>
      </c>
      <c r="M62" s="66" t="s">
        <v>1969</v>
      </c>
    </row>
    <row r="63" spans="1:13" x14ac:dyDescent="0.3">
      <c r="A63" s="61" t="s">
        <v>1998</v>
      </c>
      <c r="B63" s="62" t="s">
        <v>492</v>
      </c>
      <c r="C63" s="62" t="s">
        <v>493</v>
      </c>
      <c r="D63" s="63">
        <v>44263</v>
      </c>
      <c r="E63" s="63">
        <v>46234</v>
      </c>
      <c r="F63" s="62" t="s">
        <v>282</v>
      </c>
      <c r="G63" s="62" t="s">
        <v>507</v>
      </c>
      <c r="H63" s="62" t="s">
        <v>352</v>
      </c>
      <c r="I63" s="62" t="s">
        <v>356</v>
      </c>
      <c r="J63" s="62" t="s">
        <v>357</v>
      </c>
      <c r="K63" s="62" t="s">
        <v>358</v>
      </c>
      <c r="L63" s="62" t="s">
        <v>2421</v>
      </c>
      <c r="M63" s="66" t="s">
        <v>1969</v>
      </c>
    </row>
    <row r="64" spans="1:13" x14ac:dyDescent="0.3">
      <c r="A64" s="61" t="s">
        <v>1998</v>
      </c>
      <c r="B64" s="62" t="s">
        <v>492</v>
      </c>
      <c r="C64" s="62" t="s">
        <v>493</v>
      </c>
      <c r="D64" s="63">
        <v>44263</v>
      </c>
      <c r="E64" s="63">
        <v>46234</v>
      </c>
      <c r="F64" s="62" t="s">
        <v>1958</v>
      </c>
      <c r="G64" s="62" t="s">
        <v>332</v>
      </c>
      <c r="H64" s="62" t="s">
        <v>352</v>
      </c>
      <c r="I64" s="62" t="s">
        <v>356</v>
      </c>
      <c r="J64" s="62" t="s">
        <v>357</v>
      </c>
      <c r="K64" s="62" t="s">
        <v>358</v>
      </c>
      <c r="L64" s="62" t="s">
        <v>2421</v>
      </c>
      <c r="M64" s="66" t="s">
        <v>1969</v>
      </c>
    </row>
    <row r="65" spans="1:13" x14ac:dyDescent="0.3">
      <c r="A65" s="61" t="s">
        <v>1998</v>
      </c>
      <c r="B65" s="62" t="s">
        <v>492</v>
      </c>
      <c r="C65" s="62" t="s">
        <v>493</v>
      </c>
      <c r="D65" s="63">
        <v>44263</v>
      </c>
      <c r="E65" s="63">
        <v>46234</v>
      </c>
      <c r="F65" s="62" t="s">
        <v>280</v>
      </c>
      <c r="G65" s="62" t="s">
        <v>410</v>
      </c>
      <c r="H65" s="62" t="s">
        <v>352</v>
      </c>
      <c r="I65" s="62" t="s">
        <v>356</v>
      </c>
      <c r="J65" s="62" t="s">
        <v>357</v>
      </c>
      <c r="K65" s="62" t="s">
        <v>358</v>
      </c>
      <c r="L65" s="62" t="s">
        <v>2421</v>
      </c>
      <c r="M65" s="66" t="s">
        <v>1969</v>
      </c>
    </row>
    <row r="66" spans="1:13" x14ac:dyDescent="0.3">
      <c r="A66" s="61" t="s">
        <v>1999</v>
      </c>
      <c r="B66" s="62" t="s">
        <v>556</v>
      </c>
      <c r="C66" s="62" t="s">
        <v>557</v>
      </c>
      <c r="D66" s="63">
        <v>44445</v>
      </c>
      <c r="E66" s="63">
        <v>46227</v>
      </c>
      <c r="F66" s="62" t="s">
        <v>1921</v>
      </c>
      <c r="G66" s="62" t="s">
        <v>484</v>
      </c>
      <c r="H66" s="62" t="s">
        <v>305</v>
      </c>
      <c r="I66" s="62" t="s">
        <v>346</v>
      </c>
      <c r="J66" s="62" t="s">
        <v>558</v>
      </c>
      <c r="K66" s="62" t="s">
        <v>426</v>
      </c>
      <c r="L66" s="62" t="s">
        <v>2421</v>
      </c>
      <c r="M66" s="66" t="s">
        <v>1964</v>
      </c>
    </row>
    <row r="67" spans="1:13" x14ac:dyDescent="0.3">
      <c r="A67" s="61" t="s">
        <v>1999</v>
      </c>
      <c r="B67" s="62" t="s">
        <v>556</v>
      </c>
      <c r="C67" s="62" t="s">
        <v>557</v>
      </c>
      <c r="D67" s="63">
        <v>44445</v>
      </c>
      <c r="E67" s="63">
        <v>46227</v>
      </c>
      <c r="F67" s="62" t="s">
        <v>1921</v>
      </c>
      <c r="G67" s="62" t="s">
        <v>559</v>
      </c>
      <c r="H67" s="62" t="s">
        <v>305</v>
      </c>
      <c r="I67" s="62" t="s">
        <v>346</v>
      </c>
      <c r="J67" s="62" t="s">
        <v>558</v>
      </c>
      <c r="K67" s="62" t="s">
        <v>426</v>
      </c>
      <c r="L67" s="62" t="s">
        <v>2421</v>
      </c>
      <c r="M67" s="66" t="s">
        <v>1964</v>
      </c>
    </row>
    <row r="68" spans="1:13" x14ac:dyDescent="0.3">
      <c r="A68" s="61" t="s">
        <v>1999</v>
      </c>
      <c r="B68" s="62" t="s">
        <v>556</v>
      </c>
      <c r="C68" s="62" t="s">
        <v>557</v>
      </c>
      <c r="D68" s="63">
        <v>44445</v>
      </c>
      <c r="E68" s="63">
        <v>46227</v>
      </c>
      <c r="F68" s="62" t="s">
        <v>1921</v>
      </c>
      <c r="G68" s="62" t="s">
        <v>487</v>
      </c>
      <c r="H68" s="62" t="s">
        <v>305</v>
      </c>
      <c r="I68" s="62" t="s">
        <v>346</v>
      </c>
      <c r="J68" s="62" t="s">
        <v>558</v>
      </c>
      <c r="K68" s="62" t="s">
        <v>426</v>
      </c>
      <c r="L68" s="62" t="s">
        <v>2421</v>
      </c>
      <c r="M68" s="66" t="s">
        <v>1964</v>
      </c>
    </row>
    <row r="69" spans="1:13" x14ac:dyDescent="0.3">
      <c r="A69" s="61" t="s">
        <v>1999</v>
      </c>
      <c r="B69" s="62" t="s">
        <v>556</v>
      </c>
      <c r="C69" s="62" t="s">
        <v>557</v>
      </c>
      <c r="D69" s="63">
        <v>44445</v>
      </c>
      <c r="E69" s="63">
        <v>46227</v>
      </c>
      <c r="F69" s="62" t="s">
        <v>1921</v>
      </c>
      <c r="G69" s="62" t="s">
        <v>560</v>
      </c>
      <c r="H69" s="62" t="s">
        <v>305</v>
      </c>
      <c r="I69" s="62" t="s">
        <v>346</v>
      </c>
      <c r="J69" s="62" t="s">
        <v>558</v>
      </c>
      <c r="K69" s="62" t="s">
        <v>426</v>
      </c>
      <c r="L69" s="62" t="s">
        <v>2421</v>
      </c>
      <c r="M69" s="66" t="s">
        <v>1964</v>
      </c>
    </row>
    <row r="70" spans="1:13" x14ac:dyDescent="0.3">
      <c r="A70" s="61" t="s">
        <v>1999</v>
      </c>
      <c r="B70" s="62" t="s">
        <v>556</v>
      </c>
      <c r="C70" s="62" t="s">
        <v>557</v>
      </c>
      <c r="D70" s="63">
        <v>44445</v>
      </c>
      <c r="E70" s="63">
        <v>46227</v>
      </c>
      <c r="F70" s="62" t="s">
        <v>1922</v>
      </c>
      <c r="G70" s="62" t="s">
        <v>349</v>
      </c>
      <c r="H70" s="62" t="s">
        <v>305</v>
      </c>
      <c r="I70" s="62" t="s">
        <v>346</v>
      </c>
      <c r="J70" s="62" t="s">
        <v>558</v>
      </c>
      <c r="K70" s="62" t="s">
        <v>426</v>
      </c>
      <c r="L70" s="62" t="s">
        <v>2421</v>
      </c>
      <c r="M70" s="66" t="s">
        <v>1964</v>
      </c>
    </row>
    <row r="71" spans="1:13" x14ac:dyDescent="0.3">
      <c r="A71" s="61" t="s">
        <v>1999</v>
      </c>
      <c r="B71" s="62" t="s">
        <v>556</v>
      </c>
      <c r="C71" s="62" t="s">
        <v>557</v>
      </c>
      <c r="D71" s="63">
        <v>44445</v>
      </c>
      <c r="E71" s="63">
        <v>46227</v>
      </c>
      <c r="F71" s="62" t="s">
        <v>1922</v>
      </c>
      <c r="G71" s="62" t="s">
        <v>387</v>
      </c>
      <c r="H71" s="62" t="s">
        <v>305</v>
      </c>
      <c r="I71" s="62" t="s">
        <v>346</v>
      </c>
      <c r="J71" s="62" t="s">
        <v>558</v>
      </c>
      <c r="K71" s="62" t="s">
        <v>426</v>
      </c>
      <c r="L71" s="62" t="s">
        <v>2421</v>
      </c>
      <c r="M71" s="66" t="s">
        <v>1964</v>
      </c>
    </row>
    <row r="72" spans="1:13" x14ac:dyDescent="0.3">
      <c r="A72" s="61" t="s">
        <v>1999</v>
      </c>
      <c r="B72" s="62" t="s">
        <v>556</v>
      </c>
      <c r="C72" s="62" t="s">
        <v>557</v>
      </c>
      <c r="D72" s="63">
        <v>44445</v>
      </c>
      <c r="E72" s="63">
        <v>46227</v>
      </c>
      <c r="F72" s="62" t="s">
        <v>1922</v>
      </c>
      <c r="G72" s="62" t="s">
        <v>553</v>
      </c>
      <c r="H72" s="62" t="s">
        <v>305</v>
      </c>
      <c r="I72" s="62" t="s">
        <v>346</v>
      </c>
      <c r="J72" s="62" t="s">
        <v>558</v>
      </c>
      <c r="K72" s="62" t="s">
        <v>426</v>
      </c>
      <c r="L72" s="62" t="s">
        <v>2421</v>
      </c>
      <c r="M72" s="66" t="s">
        <v>1964</v>
      </c>
    </row>
    <row r="73" spans="1:13" x14ac:dyDescent="0.3">
      <c r="A73" s="61" t="s">
        <v>1999</v>
      </c>
      <c r="B73" s="62" t="s">
        <v>556</v>
      </c>
      <c r="C73" s="62" t="s">
        <v>557</v>
      </c>
      <c r="D73" s="63">
        <v>44445</v>
      </c>
      <c r="E73" s="63">
        <v>46227</v>
      </c>
      <c r="F73" s="62" t="s">
        <v>1931</v>
      </c>
      <c r="G73" s="62" t="s">
        <v>281</v>
      </c>
      <c r="H73" s="62" t="s">
        <v>305</v>
      </c>
      <c r="I73" s="62" t="s">
        <v>346</v>
      </c>
      <c r="J73" s="62" t="s">
        <v>558</v>
      </c>
      <c r="K73" s="62" t="s">
        <v>426</v>
      </c>
      <c r="L73" s="62" t="s">
        <v>2421</v>
      </c>
      <c r="M73" s="66" t="s">
        <v>1964</v>
      </c>
    </row>
    <row r="74" spans="1:13" x14ac:dyDescent="0.3">
      <c r="A74" s="61" t="s">
        <v>1999</v>
      </c>
      <c r="B74" s="62" t="s">
        <v>556</v>
      </c>
      <c r="C74" s="62" t="s">
        <v>557</v>
      </c>
      <c r="D74" s="63">
        <v>44445</v>
      </c>
      <c r="E74" s="63">
        <v>46227</v>
      </c>
      <c r="F74" s="62" t="s">
        <v>1931</v>
      </c>
      <c r="G74" s="62" t="s">
        <v>344</v>
      </c>
      <c r="H74" s="62" t="s">
        <v>305</v>
      </c>
      <c r="I74" s="62" t="s">
        <v>346</v>
      </c>
      <c r="J74" s="62" t="s">
        <v>558</v>
      </c>
      <c r="K74" s="62" t="s">
        <v>426</v>
      </c>
      <c r="L74" s="62" t="s">
        <v>2421</v>
      </c>
      <c r="M74" s="66" t="s">
        <v>1964</v>
      </c>
    </row>
    <row r="75" spans="1:13" x14ac:dyDescent="0.3">
      <c r="A75" s="61" t="s">
        <v>1999</v>
      </c>
      <c r="B75" s="62" t="s">
        <v>556</v>
      </c>
      <c r="C75" s="62" t="s">
        <v>557</v>
      </c>
      <c r="D75" s="63">
        <v>44445</v>
      </c>
      <c r="E75" s="63">
        <v>46227</v>
      </c>
      <c r="F75" s="62" t="s">
        <v>1940</v>
      </c>
      <c r="G75" s="62" t="s">
        <v>561</v>
      </c>
      <c r="H75" s="62" t="s">
        <v>305</v>
      </c>
      <c r="I75" s="62" t="s">
        <v>346</v>
      </c>
      <c r="J75" s="62" t="s">
        <v>558</v>
      </c>
      <c r="K75" s="62" t="s">
        <v>426</v>
      </c>
      <c r="L75" s="62" t="s">
        <v>2421</v>
      </c>
      <c r="M75" s="66" t="s">
        <v>1964</v>
      </c>
    </row>
    <row r="76" spans="1:13" x14ac:dyDescent="0.3">
      <c r="A76" s="61" t="s">
        <v>1999</v>
      </c>
      <c r="B76" s="62" t="s">
        <v>556</v>
      </c>
      <c r="C76" s="62" t="s">
        <v>557</v>
      </c>
      <c r="D76" s="63">
        <v>44445</v>
      </c>
      <c r="E76" s="63">
        <v>46227</v>
      </c>
      <c r="F76" s="62" t="s">
        <v>1940</v>
      </c>
      <c r="G76" s="62" t="s">
        <v>451</v>
      </c>
      <c r="H76" s="62" t="s">
        <v>305</v>
      </c>
      <c r="I76" s="62" t="s">
        <v>346</v>
      </c>
      <c r="J76" s="62" t="s">
        <v>558</v>
      </c>
      <c r="K76" s="62" t="s">
        <v>426</v>
      </c>
      <c r="L76" s="62" t="s">
        <v>2421</v>
      </c>
      <c r="M76" s="66" t="s">
        <v>1964</v>
      </c>
    </row>
    <row r="77" spans="1:13" x14ac:dyDescent="0.3">
      <c r="A77" s="61" t="s">
        <v>1999</v>
      </c>
      <c r="B77" s="62" t="s">
        <v>556</v>
      </c>
      <c r="C77" s="62" t="s">
        <v>557</v>
      </c>
      <c r="D77" s="63">
        <v>44445</v>
      </c>
      <c r="E77" s="63">
        <v>46227</v>
      </c>
      <c r="F77" s="62" t="s">
        <v>1943</v>
      </c>
      <c r="G77" s="62" t="s">
        <v>452</v>
      </c>
      <c r="H77" s="62" t="s">
        <v>305</v>
      </c>
      <c r="I77" s="62" t="s">
        <v>346</v>
      </c>
      <c r="J77" s="62" t="s">
        <v>558</v>
      </c>
      <c r="K77" s="62" t="s">
        <v>426</v>
      </c>
      <c r="L77" s="62" t="s">
        <v>2421</v>
      </c>
      <c r="M77" s="66" t="s">
        <v>1964</v>
      </c>
    </row>
    <row r="78" spans="1:13" x14ac:dyDescent="0.3">
      <c r="A78" s="61" t="s">
        <v>1999</v>
      </c>
      <c r="B78" s="62" t="s">
        <v>556</v>
      </c>
      <c r="C78" s="62" t="s">
        <v>557</v>
      </c>
      <c r="D78" s="63">
        <v>44445</v>
      </c>
      <c r="E78" s="63">
        <v>46227</v>
      </c>
      <c r="F78" s="62" t="s">
        <v>1943</v>
      </c>
      <c r="G78" s="62" t="s">
        <v>562</v>
      </c>
      <c r="H78" s="62" t="s">
        <v>305</v>
      </c>
      <c r="I78" s="62" t="s">
        <v>346</v>
      </c>
      <c r="J78" s="62" t="s">
        <v>558</v>
      </c>
      <c r="K78" s="62" t="s">
        <v>426</v>
      </c>
      <c r="L78" s="62" t="s">
        <v>2421</v>
      </c>
      <c r="M78" s="66" t="s">
        <v>1964</v>
      </c>
    </row>
    <row r="79" spans="1:13" x14ac:dyDescent="0.3">
      <c r="A79" s="61" t="s">
        <v>1999</v>
      </c>
      <c r="B79" s="62" t="s">
        <v>556</v>
      </c>
      <c r="C79" s="62" t="s">
        <v>557</v>
      </c>
      <c r="D79" s="63">
        <v>44445</v>
      </c>
      <c r="E79" s="63">
        <v>46227</v>
      </c>
      <c r="F79" s="62" t="s">
        <v>1930</v>
      </c>
      <c r="G79" s="62" t="s">
        <v>563</v>
      </c>
      <c r="H79" s="62" t="s">
        <v>305</v>
      </c>
      <c r="I79" s="62" t="s">
        <v>346</v>
      </c>
      <c r="J79" s="62" t="s">
        <v>558</v>
      </c>
      <c r="K79" s="62" t="s">
        <v>426</v>
      </c>
      <c r="L79" s="62" t="s">
        <v>2421</v>
      </c>
      <c r="M79" s="66" t="s">
        <v>1964</v>
      </c>
    </row>
    <row r="80" spans="1:13" x14ac:dyDescent="0.3">
      <c r="A80" s="61" t="s">
        <v>1999</v>
      </c>
      <c r="B80" s="62" t="s">
        <v>556</v>
      </c>
      <c r="C80" s="62" t="s">
        <v>557</v>
      </c>
      <c r="D80" s="63">
        <v>44445</v>
      </c>
      <c r="E80" s="63">
        <v>46227</v>
      </c>
      <c r="F80" s="62" t="s">
        <v>1930</v>
      </c>
      <c r="G80" s="62" t="s">
        <v>453</v>
      </c>
      <c r="H80" s="62" t="s">
        <v>305</v>
      </c>
      <c r="I80" s="62" t="s">
        <v>346</v>
      </c>
      <c r="J80" s="62" t="s">
        <v>558</v>
      </c>
      <c r="K80" s="62" t="s">
        <v>426</v>
      </c>
      <c r="L80" s="62" t="s">
        <v>2421</v>
      </c>
      <c r="M80" s="66" t="s">
        <v>1964</v>
      </c>
    </row>
    <row r="81" spans="1:13" x14ac:dyDescent="0.3">
      <c r="A81" s="61" t="s">
        <v>1999</v>
      </c>
      <c r="B81" s="62" t="s">
        <v>556</v>
      </c>
      <c r="C81" s="62" t="s">
        <v>557</v>
      </c>
      <c r="D81" s="63">
        <v>44445</v>
      </c>
      <c r="E81" s="63">
        <v>46227</v>
      </c>
      <c r="F81" s="62" t="s">
        <v>280</v>
      </c>
      <c r="G81" s="62" t="s">
        <v>280</v>
      </c>
      <c r="H81" s="62" t="s">
        <v>305</v>
      </c>
      <c r="I81" s="62" t="s">
        <v>346</v>
      </c>
      <c r="J81" s="62" t="s">
        <v>558</v>
      </c>
      <c r="K81" s="62" t="s">
        <v>426</v>
      </c>
      <c r="L81" s="62" t="s">
        <v>2421</v>
      </c>
      <c r="M81" s="66" t="s">
        <v>1964</v>
      </c>
    </row>
    <row r="82" spans="1:13" x14ac:dyDescent="0.3">
      <c r="A82" s="61" t="s">
        <v>1999</v>
      </c>
      <c r="B82" s="62" t="s">
        <v>556</v>
      </c>
      <c r="C82" s="62" t="s">
        <v>557</v>
      </c>
      <c r="D82" s="63">
        <v>44445</v>
      </c>
      <c r="E82" s="63">
        <v>46227</v>
      </c>
      <c r="F82" s="62" t="s">
        <v>280</v>
      </c>
      <c r="G82" s="62" t="s">
        <v>409</v>
      </c>
      <c r="H82" s="62" t="s">
        <v>305</v>
      </c>
      <c r="I82" s="62" t="s">
        <v>346</v>
      </c>
      <c r="J82" s="62" t="s">
        <v>558</v>
      </c>
      <c r="K82" s="62" t="s">
        <v>426</v>
      </c>
      <c r="L82" s="62" t="s">
        <v>2421</v>
      </c>
      <c r="M82" s="66" t="s">
        <v>1964</v>
      </c>
    </row>
    <row r="83" spans="1:13" x14ac:dyDescent="0.3">
      <c r="A83" s="61" t="s">
        <v>1999</v>
      </c>
      <c r="B83" s="62" t="s">
        <v>556</v>
      </c>
      <c r="C83" s="62" t="s">
        <v>557</v>
      </c>
      <c r="D83" s="63">
        <v>44445</v>
      </c>
      <c r="E83" s="63">
        <v>46227</v>
      </c>
      <c r="F83" s="62" t="s">
        <v>282</v>
      </c>
      <c r="G83" s="62" t="s">
        <v>283</v>
      </c>
      <c r="H83" s="62" t="s">
        <v>305</v>
      </c>
      <c r="I83" s="62" t="s">
        <v>346</v>
      </c>
      <c r="J83" s="62" t="s">
        <v>558</v>
      </c>
      <c r="K83" s="62" t="s">
        <v>426</v>
      </c>
      <c r="L83" s="62" t="s">
        <v>2421</v>
      </c>
      <c r="M83" s="66" t="s">
        <v>1964</v>
      </c>
    </row>
    <row r="84" spans="1:13" x14ac:dyDescent="0.3">
      <c r="A84" s="61" t="s">
        <v>1999</v>
      </c>
      <c r="B84" s="62" t="s">
        <v>556</v>
      </c>
      <c r="C84" s="62" t="s">
        <v>557</v>
      </c>
      <c r="D84" s="63">
        <v>44445</v>
      </c>
      <c r="E84" s="63">
        <v>46227</v>
      </c>
      <c r="F84" s="62" t="s">
        <v>1935</v>
      </c>
      <c r="G84" s="62" t="s">
        <v>564</v>
      </c>
      <c r="H84" s="62" t="s">
        <v>305</v>
      </c>
      <c r="I84" s="62" t="s">
        <v>346</v>
      </c>
      <c r="J84" s="62" t="s">
        <v>558</v>
      </c>
      <c r="K84" s="62" t="s">
        <v>426</v>
      </c>
      <c r="L84" s="62" t="s">
        <v>2421</v>
      </c>
      <c r="M84" s="66" t="s">
        <v>1964</v>
      </c>
    </row>
    <row r="85" spans="1:13" x14ac:dyDescent="0.3">
      <c r="A85" s="61" t="s">
        <v>1999</v>
      </c>
      <c r="B85" s="62" t="s">
        <v>556</v>
      </c>
      <c r="C85" s="62" t="s">
        <v>557</v>
      </c>
      <c r="D85" s="63">
        <v>44445</v>
      </c>
      <c r="E85" s="63">
        <v>46227</v>
      </c>
      <c r="F85" s="62" t="s">
        <v>289</v>
      </c>
      <c r="G85" s="62" t="s">
        <v>565</v>
      </c>
      <c r="H85" s="62" t="s">
        <v>305</v>
      </c>
      <c r="I85" s="62" t="s">
        <v>346</v>
      </c>
      <c r="J85" s="62" t="s">
        <v>558</v>
      </c>
      <c r="K85" s="62" t="s">
        <v>426</v>
      </c>
      <c r="L85" s="62" t="s">
        <v>2421</v>
      </c>
      <c r="M85" s="66" t="s">
        <v>1964</v>
      </c>
    </row>
    <row r="86" spans="1:13" x14ac:dyDescent="0.3">
      <c r="A86" s="61" t="s">
        <v>1999</v>
      </c>
      <c r="B86" s="62" t="s">
        <v>556</v>
      </c>
      <c r="C86" s="62" t="s">
        <v>557</v>
      </c>
      <c r="D86" s="63">
        <v>44445</v>
      </c>
      <c r="E86" s="63">
        <v>46227</v>
      </c>
      <c r="F86" s="62" t="s">
        <v>348</v>
      </c>
      <c r="G86" s="62" t="s">
        <v>348</v>
      </c>
      <c r="H86" s="62" t="s">
        <v>305</v>
      </c>
      <c r="I86" s="62" t="s">
        <v>346</v>
      </c>
      <c r="J86" s="62" t="s">
        <v>558</v>
      </c>
      <c r="K86" s="62" t="s">
        <v>426</v>
      </c>
      <c r="L86" s="62" t="s">
        <v>2421</v>
      </c>
      <c r="M86" s="66" t="s">
        <v>1964</v>
      </c>
    </row>
    <row r="87" spans="1:13" x14ac:dyDescent="0.3">
      <c r="A87" s="61" t="s">
        <v>1999</v>
      </c>
      <c r="B87" s="62" t="s">
        <v>556</v>
      </c>
      <c r="C87" s="62" t="s">
        <v>557</v>
      </c>
      <c r="D87" s="63">
        <v>44445</v>
      </c>
      <c r="E87" s="63">
        <v>46227</v>
      </c>
      <c r="F87" s="62" t="s">
        <v>1937</v>
      </c>
      <c r="G87" s="62" t="s">
        <v>566</v>
      </c>
      <c r="H87" s="62" t="s">
        <v>305</v>
      </c>
      <c r="I87" s="62" t="s">
        <v>346</v>
      </c>
      <c r="J87" s="62" t="s">
        <v>558</v>
      </c>
      <c r="K87" s="62" t="s">
        <v>426</v>
      </c>
      <c r="L87" s="62" t="s">
        <v>2421</v>
      </c>
      <c r="M87" s="66" t="s">
        <v>1964</v>
      </c>
    </row>
    <row r="88" spans="1:13" x14ac:dyDescent="0.3">
      <c r="A88" s="61" t="s">
        <v>1999</v>
      </c>
      <c r="B88" s="62" t="s">
        <v>556</v>
      </c>
      <c r="C88" s="62" t="s">
        <v>557</v>
      </c>
      <c r="D88" s="63">
        <v>44445</v>
      </c>
      <c r="E88" s="63">
        <v>46227</v>
      </c>
      <c r="F88" s="62" t="s">
        <v>288</v>
      </c>
      <c r="G88" s="62" t="s">
        <v>454</v>
      </c>
      <c r="H88" s="62" t="s">
        <v>305</v>
      </c>
      <c r="I88" s="62" t="s">
        <v>346</v>
      </c>
      <c r="J88" s="62" t="s">
        <v>558</v>
      </c>
      <c r="K88" s="62" t="s">
        <v>426</v>
      </c>
      <c r="L88" s="62" t="s">
        <v>2421</v>
      </c>
      <c r="M88" s="66" t="s">
        <v>1964</v>
      </c>
    </row>
    <row r="89" spans="1:13" x14ac:dyDescent="0.3">
      <c r="A89" s="61" t="s">
        <v>1999</v>
      </c>
      <c r="B89" s="62" t="s">
        <v>556</v>
      </c>
      <c r="C89" s="62" t="s">
        <v>557</v>
      </c>
      <c r="D89" s="63">
        <v>44445</v>
      </c>
      <c r="E89" s="63">
        <v>46227</v>
      </c>
      <c r="F89" s="62" t="s">
        <v>1960</v>
      </c>
      <c r="G89" s="62" t="s">
        <v>567</v>
      </c>
      <c r="H89" s="62" t="s">
        <v>305</v>
      </c>
      <c r="I89" s="62" t="s">
        <v>346</v>
      </c>
      <c r="J89" s="62" t="s">
        <v>558</v>
      </c>
      <c r="K89" s="62" t="s">
        <v>426</v>
      </c>
      <c r="L89" s="62" t="s">
        <v>2421</v>
      </c>
      <c r="M89" s="66" t="s">
        <v>1964</v>
      </c>
    </row>
    <row r="90" spans="1:13" x14ac:dyDescent="0.3">
      <c r="A90" s="61" t="s">
        <v>1999</v>
      </c>
      <c r="B90" s="62" t="s">
        <v>556</v>
      </c>
      <c r="C90" s="62" t="s">
        <v>557</v>
      </c>
      <c r="D90" s="63">
        <v>44445</v>
      </c>
      <c r="E90" s="63">
        <v>46227</v>
      </c>
      <c r="F90" s="62" t="s">
        <v>1945</v>
      </c>
      <c r="G90" s="62" t="s">
        <v>555</v>
      </c>
      <c r="H90" s="62" t="s">
        <v>305</v>
      </c>
      <c r="I90" s="62" t="s">
        <v>346</v>
      </c>
      <c r="J90" s="62" t="s">
        <v>558</v>
      </c>
      <c r="K90" s="62" t="s">
        <v>426</v>
      </c>
      <c r="L90" s="62" t="s">
        <v>2421</v>
      </c>
      <c r="M90" s="66" t="s">
        <v>1964</v>
      </c>
    </row>
    <row r="91" spans="1:13" x14ac:dyDescent="0.3">
      <c r="A91" s="61" t="s">
        <v>1999</v>
      </c>
      <c r="B91" s="62" t="s">
        <v>556</v>
      </c>
      <c r="C91" s="62" t="s">
        <v>557</v>
      </c>
      <c r="D91" s="63">
        <v>44445</v>
      </c>
      <c r="E91" s="63">
        <v>46227</v>
      </c>
      <c r="F91" s="62" t="s">
        <v>1921</v>
      </c>
      <c r="G91" s="62" t="s">
        <v>484</v>
      </c>
      <c r="H91" s="62" t="s">
        <v>568</v>
      </c>
      <c r="I91" s="62" t="s">
        <v>346</v>
      </c>
      <c r="J91" s="62" t="s">
        <v>558</v>
      </c>
      <c r="K91" s="62" t="s">
        <v>426</v>
      </c>
      <c r="L91" s="62" t="s">
        <v>2421</v>
      </c>
      <c r="M91" s="66" t="s">
        <v>1964</v>
      </c>
    </row>
    <row r="92" spans="1:13" x14ac:dyDescent="0.3">
      <c r="A92" s="61" t="s">
        <v>1999</v>
      </c>
      <c r="B92" s="62" t="s">
        <v>556</v>
      </c>
      <c r="C92" s="62" t="s">
        <v>557</v>
      </c>
      <c r="D92" s="63">
        <v>44445</v>
      </c>
      <c r="E92" s="63">
        <v>46227</v>
      </c>
      <c r="F92" s="62" t="s">
        <v>1921</v>
      </c>
      <c r="G92" s="62" t="s">
        <v>559</v>
      </c>
      <c r="H92" s="62" t="s">
        <v>568</v>
      </c>
      <c r="I92" s="62" t="s">
        <v>346</v>
      </c>
      <c r="J92" s="62" t="s">
        <v>558</v>
      </c>
      <c r="K92" s="62" t="s">
        <v>426</v>
      </c>
      <c r="L92" s="62" t="s">
        <v>2421</v>
      </c>
      <c r="M92" s="66" t="s">
        <v>1964</v>
      </c>
    </row>
    <row r="93" spans="1:13" x14ac:dyDescent="0.3">
      <c r="A93" s="61" t="s">
        <v>1999</v>
      </c>
      <c r="B93" s="62" t="s">
        <v>556</v>
      </c>
      <c r="C93" s="62" t="s">
        <v>557</v>
      </c>
      <c r="D93" s="63">
        <v>44445</v>
      </c>
      <c r="E93" s="63">
        <v>46227</v>
      </c>
      <c r="F93" s="62" t="s">
        <v>1921</v>
      </c>
      <c r="G93" s="62" t="s">
        <v>487</v>
      </c>
      <c r="H93" s="62" t="s">
        <v>568</v>
      </c>
      <c r="I93" s="62" t="s">
        <v>346</v>
      </c>
      <c r="J93" s="62" t="s">
        <v>558</v>
      </c>
      <c r="K93" s="62" t="s">
        <v>426</v>
      </c>
      <c r="L93" s="62" t="s">
        <v>2421</v>
      </c>
      <c r="M93" s="66" t="s">
        <v>1964</v>
      </c>
    </row>
    <row r="94" spans="1:13" x14ac:dyDescent="0.3">
      <c r="A94" s="61" t="s">
        <v>1999</v>
      </c>
      <c r="B94" s="62" t="s">
        <v>556</v>
      </c>
      <c r="C94" s="62" t="s">
        <v>557</v>
      </c>
      <c r="D94" s="63">
        <v>44445</v>
      </c>
      <c r="E94" s="63">
        <v>46227</v>
      </c>
      <c r="F94" s="62" t="s">
        <v>1921</v>
      </c>
      <c r="G94" s="62" t="s">
        <v>560</v>
      </c>
      <c r="H94" s="62" t="s">
        <v>568</v>
      </c>
      <c r="I94" s="62" t="s">
        <v>346</v>
      </c>
      <c r="J94" s="62" t="s">
        <v>558</v>
      </c>
      <c r="K94" s="62" t="s">
        <v>426</v>
      </c>
      <c r="L94" s="62" t="s">
        <v>2421</v>
      </c>
      <c r="M94" s="66" t="s">
        <v>1964</v>
      </c>
    </row>
    <row r="95" spans="1:13" x14ac:dyDescent="0.3">
      <c r="A95" s="61" t="s">
        <v>1999</v>
      </c>
      <c r="B95" s="62" t="s">
        <v>556</v>
      </c>
      <c r="C95" s="62" t="s">
        <v>557</v>
      </c>
      <c r="D95" s="63">
        <v>44445</v>
      </c>
      <c r="E95" s="63">
        <v>46227</v>
      </c>
      <c r="F95" s="62" t="s">
        <v>1922</v>
      </c>
      <c r="G95" s="62" t="s">
        <v>349</v>
      </c>
      <c r="H95" s="62" t="s">
        <v>568</v>
      </c>
      <c r="I95" s="62" t="s">
        <v>346</v>
      </c>
      <c r="J95" s="62" t="s">
        <v>558</v>
      </c>
      <c r="K95" s="62" t="s">
        <v>426</v>
      </c>
      <c r="L95" s="62" t="s">
        <v>2421</v>
      </c>
      <c r="M95" s="66" t="s">
        <v>1964</v>
      </c>
    </row>
    <row r="96" spans="1:13" x14ac:dyDescent="0.3">
      <c r="A96" s="61" t="s">
        <v>1999</v>
      </c>
      <c r="B96" s="62" t="s">
        <v>556</v>
      </c>
      <c r="C96" s="62" t="s">
        <v>557</v>
      </c>
      <c r="D96" s="63">
        <v>44445</v>
      </c>
      <c r="E96" s="63">
        <v>46227</v>
      </c>
      <c r="F96" s="62" t="s">
        <v>1922</v>
      </c>
      <c r="G96" s="62" t="s">
        <v>387</v>
      </c>
      <c r="H96" s="62" t="s">
        <v>568</v>
      </c>
      <c r="I96" s="62" t="s">
        <v>346</v>
      </c>
      <c r="J96" s="62" t="s">
        <v>558</v>
      </c>
      <c r="K96" s="62" t="s">
        <v>426</v>
      </c>
      <c r="L96" s="62" t="s">
        <v>2421</v>
      </c>
      <c r="M96" s="66" t="s">
        <v>1964</v>
      </c>
    </row>
    <row r="97" spans="1:13" x14ac:dyDescent="0.3">
      <c r="A97" s="61" t="s">
        <v>1999</v>
      </c>
      <c r="B97" s="62" t="s">
        <v>556</v>
      </c>
      <c r="C97" s="62" t="s">
        <v>557</v>
      </c>
      <c r="D97" s="63">
        <v>44445</v>
      </c>
      <c r="E97" s="63">
        <v>46227</v>
      </c>
      <c r="F97" s="62" t="s">
        <v>1922</v>
      </c>
      <c r="G97" s="62" t="s">
        <v>553</v>
      </c>
      <c r="H97" s="62" t="s">
        <v>568</v>
      </c>
      <c r="I97" s="62" t="s">
        <v>346</v>
      </c>
      <c r="J97" s="62" t="s">
        <v>558</v>
      </c>
      <c r="K97" s="62" t="s">
        <v>426</v>
      </c>
      <c r="L97" s="62" t="s">
        <v>2421</v>
      </c>
      <c r="M97" s="66" t="s">
        <v>1964</v>
      </c>
    </row>
    <row r="98" spans="1:13" x14ac:dyDescent="0.3">
      <c r="A98" s="61" t="s">
        <v>1999</v>
      </c>
      <c r="B98" s="62" t="s">
        <v>556</v>
      </c>
      <c r="C98" s="62" t="s">
        <v>557</v>
      </c>
      <c r="D98" s="63">
        <v>44445</v>
      </c>
      <c r="E98" s="63">
        <v>46227</v>
      </c>
      <c r="F98" s="62" t="s">
        <v>1931</v>
      </c>
      <c r="G98" s="62" t="s">
        <v>281</v>
      </c>
      <c r="H98" s="62" t="s">
        <v>568</v>
      </c>
      <c r="I98" s="62" t="s">
        <v>346</v>
      </c>
      <c r="J98" s="62" t="s">
        <v>558</v>
      </c>
      <c r="K98" s="62" t="s">
        <v>426</v>
      </c>
      <c r="L98" s="62" t="s">
        <v>2421</v>
      </c>
      <c r="M98" s="66" t="s">
        <v>1964</v>
      </c>
    </row>
    <row r="99" spans="1:13" x14ac:dyDescent="0.3">
      <c r="A99" s="61" t="s">
        <v>1999</v>
      </c>
      <c r="B99" s="62" t="s">
        <v>556</v>
      </c>
      <c r="C99" s="62" t="s">
        <v>557</v>
      </c>
      <c r="D99" s="63">
        <v>44445</v>
      </c>
      <c r="E99" s="63">
        <v>46227</v>
      </c>
      <c r="F99" s="62" t="s">
        <v>1931</v>
      </c>
      <c r="G99" s="62" t="s">
        <v>344</v>
      </c>
      <c r="H99" s="62" t="s">
        <v>568</v>
      </c>
      <c r="I99" s="62" t="s">
        <v>346</v>
      </c>
      <c r="J99" s="62" t="s">
        <v>558</v>
      </c>
      <c r="K99" s="62" t="s">
        <v>426</v>
      </c>
      <c r="L99" s="62" t="s">
        <v>2421</v>
      </c>
      <c r="M99" s="66" t="s">
        <v>1964</v>
      </c>
    </row>
    <row r="100" spans="1:13" x14ac:dyDescent="0.3">
      <c r="A100" s="61" t="s">
        <v>1999</v>
      </c>
      <c r="B100" s="62" t="s">
        <v>556</v>
      </c>
      <c r="C100" s="62" t="s">
        <v>557</v>
      </c>
      <c r="D100" s="63">
        <v>44445</v>
      </c>
      <c r="E100" s="63">
        <v>46227</v>
      </c>
      <c r="F100" s="62" t="s">
        <v>1940</v>
      </c>
      <c r="G100" s="62" t="s">
        <v>561</v>
      </c>
      <c r="H100" s="62" t="s">
        <v>568</v>
      </c>
      <c r="I100" s="62" t="s">
        <v>346</v>
      </c>
      <c r="J100" s="62" t="s">
        <v>558</v>
      </c>
      <c r="K100" s="62" t="s">
        <v>426</v>
      </c>
      <c r="L100" s="62" t="s">
        <v>2421</v>
      </c>
      <c r="M100" s="66" t="s">
        <v>1964</v>
      </c>
    </row>
    <row r="101" spans="1:13" x14ac:dyDescent="0.3">
      <c r="A101" s="61" t="s">
        <v>1999</v>
      </c>
      <c r="B101" s="62" t="s">
        <v>556</v>
      </c>
      <c r="C101" s="62" t="s">
        <v>557</v>
      </c>
      <c r="D101" s="63">
        <v>44445</v>
      </c>
      <c r="E101" s="63">
        <v>46227</v>
      </c>
      <c r="F101" s="62" t="s">
        <v>1940</v>
      </c>
      <c r="G101" s="62" t="s">
        <v>451</v>
      </c>
      <c r="H101" s="62" t="s">
        <v>568</v>
      </c>
      <c r="I101" s="62" t="s">
        <v>346</v>
      </c>
      <c r="J101" s="62" t="s">
        <v>558</v>
      </c>
      <c r="K101" s="62" t="s">
        <v>426</v>
      </c>
      <c r="L101" s="62" t="s">
        <v>2421</v>
      </c>
      <c r="M101" s="66" t="s">
        <v>1964</v>
      </c>
    </row>
    <row r="102" spans="1:13" x14ac:dyDescent="0.3">
      <c r="A102" s="61" t="s">
        <v>1999</v>
      </c>
      <c r="B102" s="62" t="s">
        <v>556</v>
      </c>
      <c r="C102" s="62" t="s">
        <v>557</v>
      </c>
      <c r="D102" s="63">
        <v>44445</v>
      </c>
      <c r="E102" s="63">
        <v>46227</v>
      </c>
      <c r="F102" s="62" t="s">
        <v>1943</v>
      </c>
      <c r="G102" s="62" t="s">
        <v>452</v>
      </c>
      <c r="H102" s="62" t="s">
        <v>568</v>
      </c>
      <c r="I102" s="62" t="s">
        <v>346</v>
      </c>
      <c r="J102" s="62" t="s">
        <v>558</v>
      </c>
      <c r="K102" s="62" t="s">
        <v>426</v>
      </c>
      <c r="L102" s="62" t="s">
        <v>2421</v>
      </c>
      <c r="M102" s="66" t="s">
        <v>1964</v>
      </c>
    </row>
    <row r="103" spans="1:13" x14ac:dyDescent="0.3">
      <c r="A103" s="61" t="s">
        <v>1999</v>
      </c>
      <c r="B103" s="62" t="s">
        <v>556</v>
      </c>
      <c r="C103" s="62" t="s">
        <v>557</v>
      </c>
      <c r="D103" s="63">
        <v>44445</v>
      </c>
      <c r="E103" s="63">
        <v>46227</v>
      </c>
      <c r="F103" s="62" t="s">
        <v>1943</v>
      </c>
      <c r="G103" s="62" t="s">
        <v>562</v>
      </c>
      <c r="H103" s="62" t="s">
        <v>568</v>
      </c>
      <c r="I103" s="62" t="s">
        <v>346</v>
      </c>
      <c r="J103" s="62" t="s">
        <v>558</v>
      </c>
      <c r="K103" s="62" t="s">
        <v>426</v>
      </c>
      <c r="L103" s="62" t="s">
        <v>2421</v>
      </c>
      <c r="M103" s="66" t="s">
        <v>1964</v>
      </c>
    </row>
    <row r="104" spans="1:13" x14ac:dyDescent="0.3">
      <c r="A104" s="61" t="s">
        <v>1999</v>
      </c>
      <c r="B104" s="62" t="s">
        <v>556</v>
      </c>
      <c r="C104" s="62" t="s">
        <v>557</v>
      </c>
      <c r="D104" s="63">
        <v>44445</v>
      </c>
      <c r="E104" s="63">
        <v>46227</v>
      </c>
      <c r="F104" s="62" t="s">
        <v>1930</v>
      </c>
      <c r="G104" s="62" t="s">
        <v>563</v>
      </c>
      <c r="H104" s="62" t="s">
        <v>568</v>
      </c>
      <c r="I104" s="62" t="s">
        <v>346</v>
      </c>
      <c r="J104" s="62" t="s">
        <v>558</v>
      </c>
      <c r="K104" s="62" t="s">
        <v>426</v>
      </c>
      <c r="L104" s="62" t="s">
        <v>2421</v>
      </c>
      <c r="M104" s="66" t="s">
        <v>1964</v>
      </c>
    </row>
    <row r="105" spans="1:13" x14ac:dyDescent="0.3">
      <c r="A105" s="61" t="s">
        <v>1999</v>
      </c>
      <c r="B105" s="62" t="s">
        <v>556</v>
      </c>
      <c r="C105" s="62" t="s">
        <v>557</v>
      </c>
      <c r="D105" s="63">
        <v>44445</v>
      </c>
      <c r="E105" s="63">
        <v>46227</v>
      </c>
      <c r="F105" s="62" t="s">
        <v>1930</v>
      </c>
      <c r="G105" s="62" t="s">
        <v>453</v>
      </c>
      <c r="H105" s="62" t="s">
        <v>568</v>
      </c>
      <c r="I105" s="62" t="s">
        <v>346</v>
      </c>
      <c r="J105" s="62" t="s">
        <v>558</v>
      </c>
      <c r="K105" s="62" t="s">
        <v>426</v>
      </c>
      <c r="L105" s="62" t="s">
        <v>2421</v>
      </c>
      <c r="M105" s="66" t="s">
        <v>1964</v>
      </c>
    </row>
    <row r="106" spans="1:13" x14ac:dyDescent="0.3">
      <c r="A106" s="61" t="s">
        <v>1999</v>
      </c>
      <c r="B106" s="62" t="s">
        <v>556</v>
      </c>
      <c r="C106" s="62" t="s">
        <v>557</v>
      </c>
      <c r="D106" s="63">
        <v>44445</v>
      </c>
      <c r="E106" s="63">
        <v>46227</v>
      </c>
      <c r="F106" s="62" t="s">
        <v>280</v>
      </c>
      <c r="G106" s="62" t="s">
        <v>280</v>
      </c>
      <c r="H106" s="62" t="s">
        <v>568</v>
      </c>
      <c r="I106" s="62" t="s">
        <v>346</v>
      </c>
      <c r="J106" s="62" t="s">
        <v>558</v>
      </c>
      <c r="K106" s="62" t="s">
        <v>426</v>
      </c>
      <c r="L106" s="62" t="s">
        <v>2421</v>
      </c>
      <c r="M106" s="66" t="s">
        <v>1964</v>
      </c>
    </row>
    <row r="107" spans="1:13" x14ac:dyDescent="0.3">
      <c r="A107" s="61" t="s">
        <v>1999</v>
      </c>
      <c r="B107" s="62" t="s">
        <v>556</v>
      </c>
      <c r="C107" s="62" t="s">
        <v>557</v>
      </c>
      <c r="D107" s="63">
        <v>44445</v>
      </c>
      <c r="E107" s="63">
        <v>46227</v>
      </c>
      <c r="F107" s="62" t="s">
        <v>280</v>
      </c>
      <c r="G107" s="62" t="s">
        <v>409</v>
      </c>
      <c r="H107" s="62" t="s">
        <v>568</v>
      </c>
      <c r="I107" s="62" t="s">
        <v>346</v>
      </c>
      <c r="J107" s="62" t="s">
        <v>558</v>
      </c>
      <c r="K107" s="62" t="s">
        <v>426</v>
      </c>
      <c r="L107" s="62" t="s">
        <v>2421</v>
      </c>
      <c r="M107" s="66" t="s">
        <v>1964</v>
      </c>
    </row>
    <row r="108" spans="1:13" x14ac:dyDescent="0.3">
      <c r="A108" s="61" t="s">
        <v>1999</v>
      </c>
      <c r="B108" s="62" t="s">
        <v>556</v>
      </c>
      <c r="C108" s="62" t="s">
        <v>557</v>
      </c>
      <c r="D108" s="63">
        <v>44445</v>
      </c>
      <c r="E108" s="63">
        <v>46227</v>
      </c>
      <c r="F108" s="62" t="s">
        <v>282</v>
      </c>
      <c r="G108" s="62" t="s">
        <v>283</v>
      </c>
      <c r="H108" s="62" t="s">
        <v>568</v>
      </c>
      <c r="I108" s="62" t="s">
        <v>346</v>
      </c>
      <c r="J108" s="62" t="s">
        <v>558</v>
      </c>
      <c r="K108" s="62" t="s">
        <v>426</v>
      </c>
      <c r="L108" s="62" t="s">
        <v>2421</v>
      </c>
      <c r="M108" s="66" t="s">
        <v>1964</v>
      </c>
    </row>
    <row r="109" spans="1:13" x14ac:dyDescent="0.3">
      <c r="A109" s="61" t="s">
        <v>1999</v>
      </c>
      <c r="B109" s="62" t="s">
        <v>556</v>
      </c>
      <c r="C109" s="62" t="s">
        <v>557</v>
      </c>
      <c r="D109" s="63">
        <v>44445</v>
      </c>
      <c r="E109" s="63">
        <v>46227</v>
      </c>
      <c r="F109" s="62" t="s">
        <v>1935</v>
      </c>
      <c r="G109" s="62" t="s">
        <v>564</v>
      </c>
      <c r="H109" s="62" t="s">
        <v>568</v>
      </c>
      <c r="I109" s="62" t="s">
        <v>346</v>
      </c>
      <c r="J109" s="62" t="s">
        <v>558</v>
      </c>
      <c r="K109" s="62" t="s">
        <v>426</v>
      </c>
      <c r="L109" s="62" t="s">
        <v>2421</v>
      </c>
      <c r="M109" s="66" t="s">
        <v>1964</v>
      </c>
    </row>
    <row r="110" spans="1:13" x14ac:dyDescent="0.3">
      <c r="A110" s="61" t="s">
        <v>1999</v>
      </c>
      <c r="B110" s="62" t="s">
        <v>556</v>
      </c>
      <c r="C110" s="62" t="s">
        <v>557</v>
      </c>
      <c r="D110" s="63">
        <v>44445</v>
      </c>
      <c r="E110" s="63">
        <v>46227</v>
      </c>
      <c r="F110" s="62" t="s">
        <v>289</v>
      </c>
      <c r="G110" s="62" t="s">
        <v>565</v>
      </c>
      <c r="H110" s="62" t="s">
        <v>568</v>
      </c>
      <c r="I110" s="62" t="s">
        <v>346</v>
      </c>
      <c r="J110" s="62" t="s">
        <v>558</v>
      </c>
      <c r="K110" s="62" t="s">
        <v>426</v>
      </c>
      <c r="L110" s="62" t="s">
        <v>2421</v>
      </c>
      <c r="M110" s="66" t="s">
        <v>1964</v>
      </c>
    </row>
    <row r="111" spans="1:13" x14ac:dyDescent="0.3">
      <c r="A111" s="61" t="s">
        <v>1999</v>
      </c>
      <c r="B111" s="62" t="s">
        <v>556</v>
      </c>
      <c r="C111" s="62" t="s">
        <v>557</v>
      </c>
      <c r="D111" s="63">
        <v>44445</v>
      </c>
      <c r="E111" s="63">
        <v>46227</v>
      </c>
      <c r="F111" s="62" t="s">
        <v>348</v>
      </c>
      <c r="G111" s="62" t="s">
        <v>348</v>
      </c>
      <c r="H111" s="62" t="s">
        <v>568</v>
      </c>
      <c r="I111" s="62" t="s">
        <v>346</v>
      </c>
      <c r="J111" s="62" t="s">
        <v>558</v>
      </c>
      <c r="K111" s="62" t="s">
        <v>426</v>
      </c>
      <c r="L111" s="62" t="s">
        <v>2421</v>
      </c>
      <c r="M111" s="66" t="s">
        <v>1964</v>
      </c>
    </row>
    <row r="112" spans="1:13" x14ac:dyDescent="0.3">
      <c r="A112" s="61" t="s">
        <v>1999</v>
      </c>
      <c r="B112" s="62" t="s">
        <v>556</v>
      </c>
      <c r="C112" s="62" t="s">
        <v>557</v>
      </c>
      <c r="D112" s="63">
        <v>44445</v>
      </c>
      <c r="E112" s="63">
        <v>46227</v>
      </c>
      <c r="F112" s="62" t="s">
        <v>1937</v>
      </c>
      <c r="G112" s="62" t="s">
        <v>566</v>
      </c>
      <c r="H112" s="62" t="s">
        <v>568</v>
      </c>
      <c r="I112" s="62" t="s">
        <v>346</v>
      </c>
      <c r="J112" s="62" t="s">
        <v>558</v>
      </c>
      <c r="K112" s="62" t="s">
        <v>426</v>
      </c>
      <c r="L112" s="62" t="s">
        <v>2421</v>
      </c>
      <c r="M112" s="66" t="s">
        <v>1964</v>
      </c>
    </row>
    <row r="113" spans="1:13" x14ac:dyDescent="0.3">
      <c r="A113" s="61" t="s">
        <v>1999</v>
      </c>
      <c r="B113" s="62" t="s">
        <v>556</v>
      </c>
      <c r="C113" s="62" t="s">
        <v>557</v>
      </c>
      <c r="D113" s="63">
        <v>44445</v>
      </c>
      <c r="E113" s="63">
        <v>46227</v>
      </c>
      <c r="F113" s="62" t="s">
        <v>288</v>
      </c>
      <c r="G113" s="62" t="s">
        <v>454</v>
      </c>
      <c r="H113" s="62" t="s">
        <v>568</v>
      </c>
      <c r="I113" s="62" t="s">
        <v>346</v>
      </c>
      <c r="J113" s="62" t="s">
        <v>558</v>
      </c>
      <c r="K113" s="62" t="s">
        <v>426</v>
      </c>
      <c r="L113" s="62" t="s">
        <v>2421</v>
      </c>
      <c r="M113" s="66" t="s">
        <v>1964</v>
      </c>
    </row>
    <row r="114" spans="1:13" x14ac:dyDescent="0.3">
      <c r="A114" s="61" t="s">
        <v>1999</v>
      </c>
      <c r="B114" s="62" t="s">
        <v>556</v>
      </c>
      <c r="C114" s="62" t="s">
        <v>557</v>
      </c>
      <c r="D114" s="63">
        <v>44445</v>
      </c>
      <c r="E114" s="63">
        <v>46227</v>
      </c>
      <c r="F114" s="62" t="s">
        <v>1960</v>
      </c>
      <c r="G114" s="62" t="s">
        <v>567</v>
      </c>
      <c r="H114" s="62" t="s">
        <v>568</v>
      </c>
      <c r="I114" s="62" t="s">
        <v>346</v>
      </c>
      <c r="J114" s="62" t="s">
        <v>558</v>
      </c>
      <c r="K114" s="62" t="s">
        <v>426</v>
      </c>
      <c r="L114" s="62" t="s">
        <v>2421</v>
      </c>
      <c r="M114" s="66" t="s">
        <v>1964</v>
      </c>
    </row>
    <row r="115" spans="1:13" x14ac:dyDescent="0.3">
      <c r="A115" s="61" t="s">
        <v>1999</v>
      </c>
      <c r="B115" s="62" t="s">
        <v>556</v>
      </c>
      <c r="C115" s="62" t="s">
        <v>557</v>
      </c>
      <c r="D115" s="63">
        <v>44445</v>
      </c>
      <c r="E115" s="63">
        <v>46227</v>
      </c>
      <c r="F115" s="62" t="s">
        <v>1945</v>
      </c>
      <c r="G115" s="62" t="s">
        <v>555</v>
      </c>
      <c r="H115" s="62" t="s">
        <v>568</v>
      </c>
      <c r="I115" s="62" t="s">
        <v>346</v>
      </c>
      <c r="J115" s="62" t="s">
        <v>558</v>
      </c>
      <c r="K115" s="62" t="s">
        <v>426</v>
      </c>
      <c r="L115" s="62" t="s">
        <v>2421</v>
      </c>
      <c r="M115" s="66" t="s">
        <v>1964</v>
      </c>
    </row>
    <row r="116" spans="1:13" x14ac:dyDescent="0.3">
      <c r="A116" s="61" t="s">
        <v>2000</v>
      </c>
      <c r="B116" s="62" t="s">
        <v>597</v>
      </c>
      <c r="C116" s="62" t="s">
        <v>598</v>
      </c>
      <c r="D116" s="63">
        <v>44260</v>
      </c>
      <c r="E116" s="63">
        <v>47182</v>
      </c>
      <c r="F116" s="62" t="s">
        <v>350</v>
      </c>
      <c r="G116" s="62" t="s">
        <v>304</v>
      </c>
      <c r="H116" s="62" t="s">
        <v>312</v>
      </c>
      <c r="I116" s="62" t="s">
        <v>346</v>
      </c>
      <c r="J116" s="62" t="s">
        <v>570</v>
      </c>
      <c r="K116" s="62" t="s">
        <v>571</v>
      </c>
      <c r="L116" s="62" t="s">
        <v>2421</v>
      </c>
      <c r="M116" s="66" t="s">
        <v>1966</v>
      </c>
    </row>
    <row r="117" spans="1:13" x14ac:dyDescent="0.3">
      <c r="A117" s="61" t="s">
        <v>2001</v>
      </c>
      <c r="B117" s="62" t="s">
        <v>599</v>
      </c>
      <c r="C117" s="62" t="s">
        <v>600</v>
      </c>
      <c r="D117" s="63">
        <v>44474</v>
      </c>
      <c r="E117" s="63">
        <v>46295</v>
      </c>
      <c r="F117" s="62" t="s">
        <v>1916</v>
      </c>
      <c r="G117" s="62" t="s">
        <v>304</v>
      </c>
      <c r="H117" s="62" t="s">
        <v>601</v>
      </c>
      <c r="I117" s="62" t="s">
        <v>457</v>
      </c>
      <c r="J117" s="62" t="s">
        <v>458</v>
      </c>
      <c r="K117" s="62" t="s">
        <v>459</v>
      </c>
      <c r="L117" s="62" t="s">
        <v>2421</v>
      </c>
      <c r="M117" s="66" t="s">
        <v>1971</v>
      </c>
    </row>
    <row r="118" spans="1:13" x14ac:dyDescent="0.3">
      <c r="A118" s="61" t="s">
        <v>2001</v>
      </c>
      <c r="B118" s="62" t="s">
        <v>599</v>
      </c>
      <c r="C118" s="62" t="s">
        <v>600</v>
      </c>
      <c r="D118" s="63">
        <v>44474</v>
      </c>
      <c r="E118" s="63">
        <v>46295</v>
      </c>
      <c r="F118" s="62" t="s">
        <v>1934</v>
      </c>
      <c r="G118" s="62" t="s">
        <v>304</v>
      </c>
      <c r="H118" s="62" t="s">
        <v>601</v>
      </c>
      <c r="I118" s="62" t="s">
        <v>457</v>
      </c>
      <c r="J118" s="62" t="s">
        <v>458</v>
      </c>
      <c r="K118" s="62" t="s">
        <v>459</v>
      </c>
      <c r="L118" s="62" t="s">
        <v>2421</v>
      </c>
      <c r="M118" s="66" t="s">
        <v>1971</v>
      </c>
    </row>
    <row r="119" spans="1:13" x14ac:dyDescent="0.3">
      <c r="A119" s="61" t="s">
        <v>2001</v>
      </c>
      <c r="B119" s="62" t="s">
        <v>599</v>
      </c>
      <c r="C119" s="62" t="s">
        <v>600</v>
      </c>
      <c r="D119" s="63">
        <v>44474</v>
      </c>
      <c r="E119" s="63">
        <v>46295</v>
      </c>
      <c r="F119" s="62" t="s">
        <v>1958</v>
      </c>
      <c r="G119" s="62" t="s">
        <v>304</v>
      </c>
      <c r="H119" s="62" t="s">
        <v>601</v>
      </c>
      <c r="I119" s="62" t="s">
        <v>457</v>
      </c>
      <c r="J119" s="62" t="s">
        <v>458</v>
      </c>
      <c r="K119" s="62" t="s">
        <v>459</v>
      </c>
      <c r="L119" s="62" t="s">
        <v>2421</v>
      </c>
      <c r="M119" s="66" t="s">
        <v>1971</v>
      </c>
    </row>
    <row r="120" spans="1:13" x14ac:dyDescent="0.3">
      <c r="A120" s="61" t="s">
        <v>2001</v>
      </c>
      <c r="B120" s="62" t="s">
        <v>599</v>
      </c>
      <c r="C120" s="62" t="s">
        <v>600</v>
      </c>
      <c r="D120" s="63">
        <v>44474</v>
      </c>
      <c r="E120" s="63">
        <v>46295</v>
      </c>
      <c r="F120" s="62" t="s">
        <v>1961</v>
      </c>
      <c r="G120" s="62" t="s">
        <v>304</v>
      </c>
      <c r="H120" s="62" t="s">
        <v>601</v>
      </c>
      <c r="I120" s="62" t="s">
        <v>457</v>
      </c>
      <c r="J120" s="62" t="s">
        <v>458</v>
      </c>
      <c r="K120" s="62" t="s">
        <v>459</v>
      </c>
      <c r="L120" s="62" t="s">
        <v>2421</v>
      </c>
      <c r="M120" s="66" t="s">
        <v>1971</v>
      </c>
    </row>
    <row r="121" spans="1:13" x14ac:dyDescent="0.3">
      <c r="A121" s="61" t="s">
        <v>2001</v>
      </c>
      <c r="B121" s="62" t="s">
        <v>599</v>
      </c>
      <c r="C121" s="62" t="s">
        <v>600</v>
      </c>
      <c r="D121" s="63">
        <v>44474</v>
      </c>
      <c r="E121" s="63">
        <v>46295</v>
      </c>
      <c r="F121" s="62" t="s">
        <v>1938</v>
      </c>
      <c r="G121" s="62" t="s">
        <v>304</v>
      </c>
      <c r="H121" s="62" t="s">
        <v>601</v>
      </c>
      <c r="I121" s="62" t="s">
        <v>457</v>
      </c>
      <c r="J121" s="62" t="s">
        <v>458</v>
      </c>
      <c r="K121" s="62" t="s">
        <v>459</v>
      </c>
      <c r="L121" s="62" t="s">
        <v>2421</v>
      </c>
      <c r="M121" s="66" t="s">
        <v>1971</v>
      </c>
    </row>
    <row r="122" spans="1:13" x14ac:dyDescent="0.3">
      <c r="A122" s="61" t="s">
        <v>2001</v>
      </c>
      <c r="B122" s="62" t="s">
        <v>599</v>
      </c>
      <c r="C122" s="62" t="s">
        <v>600</v>
      </c>
      <c r="D122" s="63">
        <v>44474</v>
      </c>
      <c r="E122" s="63">
        <v>46295</v>
      </c>
      <c r="F122" s="62" t="s">
        <v>1941</v>
      </c>
      <c r="G122" s="62" t="s">
        <v>304</v>
      </c>
      <c r="H122" s="62" t="s">
        <v>601</v>
      </c>
      <c r="I122" s="62" t="s">
        <v>457</v>
      </c>
      <c r="J122" s="62" t="s">
        <v>458</v>
      </c>
      <c r="K122" s="62" t="s">
        <v>459</v>
      </c>
      <c r="L122" s="62" t="s">
        <v>2421</v>
      </c>
      <c r="M122" s="66" t="s">
        <v>1971</v>
      </c>
    </row>
    <row r="123" spans="1:13" x14ac:dyDescent="0.3">
      <c r="A123" s="61" t="s">
        <v>2002</v>
      </c>
      <c r="B123" s="62" t="s">
        <v>606</v>
      </c>
      <c r="C123" s="62" t="s">
        <v>607</v>
      </c>
      <c r="D123" s="63">
        <v>44501</v>
      </c>
      <c r="E123" s="63">
        <v>46348</v>
      </c>
      <c r="F123" s="62" t="s">
        <v>350</v>
      </c>
      <c r="G123" s="62" t="s">
        <v>350</v>
      </c>
      <c r="H123" s="62" t="s">
        <v>609</v>
      </c>
      <c r="I123" s="62" t="s">
        <v>313</v>
      </c>
      <c r="J123" s="62" t="s">
        <v>603</v>
      </c>
      <c r="K123" s="62" t="s">
        <v>371</v>
      </c>
      <c r="L123" s="62" t="s">
        <v>2421</v>
      </c>
      <c r="M123" s="66" t="s">
        <v>1969</v>
      </c>
    </row>
    <row r="124" spans="1:13" x14ac:dyDescent="0.3">
      <c r="A124" s="61" t="s">
        <v>2003</v>
      </c>
      <c r="B124" s="62" t="s">
        <v>613</v>
      </c>
      <c r="C124" s="62" t="s">
        <v>614</v>
      </c>
      <c r="D124" s="63">
        <v>43831</v>
      </c>
      <c r="E124" s="63">
        <v>47847</v>
      </c>
      <c r="F124" s="62" t="s">
        <v>1930</v>
      </c>
      <c r="G124" s="62" t="s">
        <v>453</v>
      </c>
      <c r="H124" s="62" t="s">
        <v>615</v>
      </c>
      <c r="I124" s="62" t="s">
        <v>424</v>
      </c>
      <c r="J124" s="62" t="s">
        <v>558</v>
      </c>
      <c r="K124" s="62" t="s">
        <v>426</v>
      </c>
      <c r="L124" s="62" t="s">
        <v>2421</v>
      </c>
      <c r="M124" s="66" t="s">
        <v>1984</v>
      </c>
    </row>
    <row r="125" spans="1:13" x14ac:dyDescent="0.3">
      <c r="A125" s="61" t="s">
        <v>2004</v>
      </c>
      <c r="B125" s="62" t="s">
        <v>626</v>
      </c>
      <c r="C125" s="62" t="s">
        <v>627</v>
      </c>
      <c r="D125" s="63">
        <v>44398</v>
      </c>
      <c r="E125" s="63">
        <v>46224</v>
      </c>
      <c r="F125" s="62" t="s">
        <v>1958</v>
      </c>
      <c r="G125" s="62" t="s">
        <v>328</v>
      </c>
      <c r="H125" s="62" t="s">
        <v>432</v>
      </c>
      <c r="I125" s="62" t="s">
        <v>457</v>
      </c>
      <c r="J125" s="62" t="s">
        <v>458</v>
      </c>
      <c r="K125" s="62" t="s">
        <v>459</v>
      </c>
      <c r="L125" s="62" t="s">
        <v>2421</v>
      </c>
      <c r="M125" s="66" t="s">
        <v>1971</v>
      </c>
    </row>
    <row r="126" spans="1:13" x14ac:dyDescent="0.3">
      <c r="A126" s="61" t="s">
        <v>2004</v>
      </c>
      <c r="B126" s="62" t="s">
        <v>626</v>
      </c>
      <c r="C126" s="62" t="s">
        <v>627</v>
      </c>
      <c r="D126" s="63">
        <v>44398</v>
      </c>
      <c r="E126" s="63">
        <v>46224</v>
      </c>
      <c r="F126" s="62" t="s">
        <v>1958</v>
      </c>
      <c r="G126" s="62" t="s">
        <v>330</v>
      </c>
      <c r="H126" s="62" t="s">
        <v>432</v>
      </c>
      <c r="I126" s="62" t="s">
        <v>457</v>
      </c>
      <c r="J126" s="62" t="s">
        <v>458</v>
      </c>
      <c r="K126" s="62" t="s">
        <v>459</v>
      </c>
      <c r="L126" s="62" t="s">
        <v>2421</v>
      </c>
      <c r="M126" s="66" t="s">
        <v>1971</v>
      </c>
    </row>
    <row r="127" spans="1:13" x14ac:dyDescent="0.3">
      <c r="A127" s="61" t="s">
        <v>2004</v>
      </c>
      <c r="B127" s="62" t="s">
        <v>626</v>
      </c>
      <c r="C127" s="62" t="s">
        <v>627</v>
      </c>
      <c r="D127" s="63">
        <v>44398</v>
      </c>
      <c r="E127" s="63">
        <v>46224</v>
      </c>
      <c r="F127" s="62" t="s">
        <v>1958</v>
      </c>
      <c r="G127" s="62" t="s">
        <v>628</v>
      </c>
      <c r="H127" s="62" t="s">
        <v>432</v>
      </c>
      <c r="I127" s="62" t="s">
        <v>457</v>
      </c>
      <c r="J127" s="62" t="s">
        <v>458</v>
      </c>
      <c r="K127" s="62" t="s">
        <v>459</v>
      </c>
      <c r="L127" s="62" t="s">
        <v>2421</v>
      </c>
      <c r="M127" s="66" t="s">
        <v>1971</v>
      </c>
    </row>
    <row r="128" spans="1:13" x14ac:dyDescent="0.3">
      <c r="A128" s="61" t="s">
        <v>2004</v>
      </c>
      <c r="B128" s="62" t="s">
        <v>626</v>
      </c>
      <c r="C128" s="62" t="s">
        <v>627</v>
      </c>
      <c r="D128" s="63">
        <v>44398</v>
      </c>
      <c r="E128" s="63">
        <v>46224</v>
      </c>
      <c r="F128" s="62" t="s">
        <v>1916</v>
      </c>
      <c r="G128" s="62" t="s">
        <v>629</v>
      </c>
      <c r="H128" s="62" t="s">
        <v>432</v>
      </c>
      <c r="I128" s="62" t="s">
        <v>457</v>
      </c>
      <c r="J128" s="62" t="s">
        <v>458</v>
      </c>
      <c r="K128" s="62" t="s">
        <v>459</v>
      </c>
      <c r="L128" s="62" t="s">
        <v>2421</v>
      </c>
      <c r="M128" s="66" t="s">
        <v>1971</v>
      </c>
    </row>
    <row r="129" spans="1:13" x14ac:dyDescent="0.3">
      <c r="A129" s="61" t="s">
        <v>2004</v>
      </c>
      <c r="B129" s="62" t="s">
        <v>626</v>
      </c>
      <c r="C129" s="62" t="s">
        <v>627</v>
      </c>
      <c r="D129" s="63">
        <v>44398</v>
      </c>
      <c r="E129" s="63">
        <v>46224</v>
      </c>
      <c r="F129" s="62" t="s">
        <v>1916</v>
      </c>
      <c r="G129" s="62" t="s">
        <v>630</v>
      </c>
      <c r="H129" s="62" t="s">
        <v>432</v>
      </c>
      <c r="I129" s="62" t="s">
        <v>457</v>
      </c>
      <c r="J129" s="62" t="s">
        <v>458</v>
      </c>
      <c r="K129" s="62" t="s">
        <v>459</v>
      </c>
      <c r="L129" s="62" t="s">
        <v>2421</v>
      </c>
      <c r="M129" s="66" t="s">
        <v>1971</v>
      </c>
    </row>
    <row r="130" spans="1:13" x14ac:dyDescent="0.3">
      <c r="A130" s="61" t="s">
        <v>2004</v>
      </c>
      <c r="B130" s="62" t="s">
        <v>626</v>
      </c>
      <c r="C130" s="62" t="s">
        <v>627</v>
      </c>
      <c r="D130" s="63">
        <v>44398</v>
      </c>
      <c r="E130" s="63">
        <v>46224</v>
      </c>
      <c r="F130" s="62" t="s">
        <v>1934</v>
      </c>
      <c r="G130" s="62" t="s">
        <v>477</v>
      </c>
      <c r="H130" s="62" t="s">
        <v>432</v>
      </c>
      <c r="I130" s="62" t="s">
        <v>457</v>
      </c>
      <c r="J130" s="62" t="s">
        <v>458</v>
      </c>
      <c r="K130" s="62" t="s">
        <v>459</v>
      </c>
      <c r="L130" s="62" t="s">
        <v>2421</v>
      </c>
      <c r="M130" s="66" t="s">
        <v>1971</v>
      </c>
    </row>
    <row r="131" spans="1:13" x14ac:dyDescent="0.3">
      <c r="A131" s="61" t="s">
        <v>2004</v>
      </c>
      <c r="B131" s="62" t="s">
        <v>626</v>
      </c>
      <c r="C131" s="62" t="s">
        <v>627</v>
      </c>
      <c r="D131" s="63">
        <v>44398</v>
      </c>
      <c r="E131" s="63">
        <v>46224</v>
      </c>
      <c r="F131" s="62" t="s">
        <v>1934</v>
      </c>
      <c r="G131" s="62" t="s">
        <v>631</v>
      </c>
      <c r="H131" s="62" t="s">
        <v>432</v>
      </c>
      <c r="I131" s="62" t="s">
        <v>457</v>
      </c>
      <c r="J131" s="62" t="s">
        <v>458</v>
      </c>
      <c r="K131" s="62" t="s">
        <v>459</v>
      </c>
      <c r="L131" s="62" t="s">
        <v>2421</v>
      </c>
      <c r="M131" s="66" t="s">
        <v>1971</v>
      </c>
    </row>
    <row r="132" spans="1:13" x14ac:dyDescent="0.3">
      <c r="A132" s="61" t="s">
        <v>2004</v>
      </c>
      <c r="B132" s="62" t="s">
        <v>626</v>
      </c>
      <c r="C132" s="62" t="s">
        <v>627</v>
      </c>
      <c r="D132" s="63">
        <v>44398</v>
      </c>
      <c r="E132" s="63">
        <v>46224</v>
      </c>
      <c r="F132" s="62" t="s">
        <v>1963</v>
      </c>
      <c r="G132" s="62" t="s">
        <v>632</v>
      </c>
      <c r="H132" s="62" t="s">
        <v>432</v>
      </c>
      <c r="I132" s="62" t="s">
        <v>457</v>
      </c>
      <c r="J132" s="62" t="s">
        <v>458</v>
      </c>
      <c r="K132" s="62" t="s">
        <v>459</v>
      </c>
      <c r="L132" s="62" t="s">
        <v>2421</v>
      </c>
      <c r="M132" s="66" t="s">
        <v>1971</v>
      </c>
    </row>
    <row r="133" spans="1:13" x14ac:dyDescent="0.3">
      <c r="A133" s="61" t="s">
        <v>2004</v>
      </c>
      <c r="B133" s="62" t="s">
        <v>626</v>
      </c>
      <c r="C133" s="62" t="s">
        <v>627</v>
      </c>
      <c r="D133" s="63">
        <v>44398</v>
      </c>
      <c r="E133" s="63">
        <v>46224</v>
      </c>
      <c r="F133" s="62" t="s">
        <v>1963</v>
      </c>
      <c r="G133" s="62" t="s">
        <v>633</v>
      </c>
      <c r="H133" s="62" t="s">
        <v>432</v>
      </c>
      <c r="I133" s="62" t="s">
        <v>457</v>
      </c>
      <c r="J133" s="62" t="s">
        <v>458</v>
      </c>
      <c r="K133" s="62" t="s">
        <v>459</v>
      </c>
      <c r="L133" s="62" t="s">
        <v>2421</v>
      </c>
      <c r="M133" s="66" t="s">
        <v>1971</v>
      </c>
    </row>
    <row r="134" spans="1:13" x14ac:dyDescent="0.3">
      <c r="A134" s="61" t="s">
        <v>2004</v>
      </c>
      <c r="B134" s="62" t="s">
        <v>626</v>
      </c>
      <c r="C134" s="62" t="s">
        <v>627</v>
      </c>
      <c r="D134" s="63">
        <v>44398</v>
      </c>
      <c r="E134" s="63">
        <v>46224</v>
      </c>
      <c r="F134" s="62" t="s">
        <v>1938</v>
      </c>
      <c r="G134" s="62" t="s">
        <v>505</v>
      </c>
      <c r="H134" s="62" t="s">
        <v>432</v>
      </c>
      <c r="I134" s="62" t="s">
        <v>457</v>
      </c>
      <c r="J134" s="62" t="s">
        <v>458</v>
      </c>
      <c r="K134" s="62" t="s">
        <v>459</v>
      </c>
      <c r="L134" s="62" t="s">
        <v>2421</v>
      </c>
      <c r="M134" s="66" t="s">
        <v>1971</v>
      </c>
    </row>
    <row r="135" spans="1:13" x14ac:dyDescent="0.3">
      <c r="A135" s="61" t="s">
        <v>2004</v>
      </c>
      <c r="B135" s="62" t="s">
        <v>626</v>
      </c>
      <c r="C135" s="62" t="s">
        <v>627</v>
      </c>
      <c r="D135" s="63">
        <v>44398</v>
      </c>
      <c r="E135" s="63">
        <v>46224</v>
      </c>
      <c r="F135" s="62" t="s">
        <v>1961</v>
      </c>
      <c r="G135" s="62" t="s">
        <v>634</v>
      </c>
      <c r="H135" s="62" t="s">
        <v>432</v>
      </c>
      <c r="I135" s="62" t="s">
        <v>457</v>
      </c>
      <c r="J135" s="62" t="s">
        <v>458</v>
      </c>
      <c r="K135" s="62" t="s">
        <v>459</v>
      </c>
      <c r="L135" s="62" t="s">
        <v>2421</v>
      </c>
      <c r="M135" s="66" t="s">
        <v>1971</v>
      </c>
    </row>
    <row r="136" spans="1:13" x14ac:dyDescent="0.3">
      <c r="A136" s="61" t="s">
        <v>2005</v>
      </c>
      <c r="B136" s="62" t="s">
        <v>647</v>
      </c>
      <c r="C136" s="62" t="s">
        <v>648</v>
      </c>
      <c r="D136" s="63">
        <v>43466</v>
      </c>
      <c r="E136" s="63">
        <v>46356</v>
      </c>
      <c r="F136" s="62" t="s">
        <v>350</v>
      </c>
      <c r="G136" s="62" t="s">
        <v>350</v>
      </c>
      <c r="H136" s="62" t="s">
        <v>542</v>
      </c>
      <c r="I136" s="62" t="s">
        <v>356</v>
      </c>
      <c r="J136" s="62" t="s">
        <v>644</v>
      </c>
      <c r="K136" s="62" t="s">
        <v>371</v>
      </c>
      <c r="L136" s="62" t="s">
        <v>2421</v>
      </c>
      <c r="M136" s="66" t="s">
        <v>1978</v>
      </c>
    </row>
    <row r="137" spans="1:13" x14ac:dyDescent="0.3">
      <c r="A137" s="61" t="s">
        <v>2006</v>
      </c>
      <c r="B137" s="62" t="s">
        <v>649</v>
      </c>
      <c r="C137" s="62" t="s">
        <v>650</v>
      </c>
      <c r="D137" s="63">
        <v>44505</v>
      </c>
      <c r="E137" s="63">
        <v>46331</v>
      </c>
      <c r="F137" s="62" t="s">
        <v>1931</v>
      </c>
      <c r="G137" s="62" t="s">
        <v>281</v>
      </c>
      <c r="H137" s="62" t="s">
        <v>651</v>
      </c>
      <c r="I137" s="62" t="s">
        <v>424</v>
      </c>
      <c r="J137" s="62" t="s">
        <v>652</v>
      </c>
      <c r="K137" s="62" t="s">
        <v>571</v>
      </c>
      <c r="L137" s="62" t="s">
        <v>2421</v>
      </c>
      <c r="M137" s="66" t="s">
        <v>1966</v>
      </c>
    </row>
    <row r="138" spans="1:13" x14ac:dyDescent="0.3">
      <c r="A138" s="61" t="s">
        <v>2006</v>
      </c>
      <c r="B138" s="62" t="s">
        <v>649</v>
      </c>
      <c r="C138" s="62" t="s">
        <v>650</v>
      </c>
      <c r="D138" s="63">
        <v>44505</v>
      </c>
      <c r="E138" s="63">
        <v>46331</v>
      </c>
      <c r="F138" s="62" t="s">
        <v>1930</v>
      </c>
      <c r="G138" s="62" t="s">
        <v>453</v>
      </c>
      <c r="H138" s="62" t="s">
        <v>651</v>
      </c>
      <c r="I138" s="62" t="s">
        <v>424</v>
      </c>
      <c r="J138" s="62" t="s">
        <v>652</v>
      </c>
      <c r="K138" s="62" t="s">
        <v>571</v>
      </c>
      <c r="L138" s="62" t="s">
        <v>2421</v>
      </c>
      <c r="M138" s="66" t="s">
        <v>1966</v>
      </c>
    </row>
    <row r="139" spans="1:13" x14ac:dyDescent="0.3">
      <c r="A139" s="61" t="s">
        <v>2006</v>
      </c>
      <c r="B139" s="62" t="s">
        <v>649</v>
      </c>
      <c r="C139" s="62" t="s">
        <v>650</v>
      </c>
      <c r="D139" s="63">
        <v>44505</v>
      </c>
      <c r="E139" s="63">
        <v>46331</v>
      </c>
      <c r="F139" s="62" t="s">
        <v>1945</v>
      </c>
      <c r="G139" s="62" t="s">
        <v>555</v>
      </c>
      <c r="H139" s="62" t="s">
        <v>651</v>
      </c>
      <c r="I139" s="62" t="s">
        <v>424</v>
      </c>
      <c r="J139" s="62" t="s">
        <v>652</v>
      </c>
      <c r="K139" s="62" t="s">
        <v>571</v>
      </c>
      <c r="L139" s="62" t="s">
        <v>2421</v>
      </c>
      <c r="M139" s="66" t="s">
        <v>1966</v>
      </c>
    </row>
    <row r="140" spans="1:13" x14ac:dyDescent="0.3">
      <c r="A140" s="61" t="s">
        <v>2007</v>
      </c>
      <c r="B140" s="62" t="s">
        <v>653</v>
      </c>
      <c r="C140" s="62" t="s">
        <v>654</v>
      </c>
      <c r="D140" s="63">
        <v>44545</v>
      </c>
      <c r="E140" s="63">
        <v>46112</v>
      </c>
      <c r="F140" s="62" t="s">
        <v>287</v>
      </c>
      <c r="G140" s="62" t="s">
        <v>589</v>
      </c>
      <c r="H140" s="62" t="s">
        <v>441</v>
      </c>
      <c r="I140" s="62" t="s">
        <v>307</v>
      </c>
      <c r="J140" s="62" t="s">
        <v>427</v>
      </c>
      <c r="K140" s="62" t="s">
        <v>428</v>
      </c>
      <c r="L140" s="62" t="s">
        <v>2421</v>
      </c>
      <c r="M140" s="66" t="s">
        <v>1972</v>
      </c>
    </row>
    <row r="141" spans="1:13" x14ac:dyDescent="0.3">
      <c r="A141" s="61" t="s">
        <v>2007</v>
      </c>
      <c r="B141" s="62" t="s">
        <v>653</v>
      </c>
      <c r="C141" s="62" t="s">
        <v>654</v>
      </c>
      <c r="D141" s="63">
        <v>44545</v>
      </c>
      <c r="E141" s="63">
        <v>46112</v>
      </c>
      <c r="F141" s="62" t="s">
        <v>287</v>
      </c>
      <c r="G141" s="62" t="s">
        <v>388</v>
      </c>
      <c r="H141" s="62" t="s">
        <v>441</v>
      </c>
      <c r="I141" s="62" t="s">
        <v>307</v>
      </c>
      <c r="J141" s="62" t="s">
        <v>427</v>
      </c>
      <c r="K141" s="62" t="s">
        <v>428</v>
      </c>
      <c r="L141" s="62" t="s">
        <v>2421</v>
      </c>
      <c r="M141" s="66" t="s">
        <v>1972</v>
      </c>
    </row>
    <row r="142" spans="1:13" x14ac:dyDescent="0.3">
      <c r="A142" s="61" t="s">
        <v>2007</v>
      </c>
      <c r="B142" s="62" t="s">
        <v>653</v>
      </c>
      <c r="C142" s="62" t="s">
        <v>654</v>
      </c>
      <c r="D142" s="63">
        <v>44545</v>
      </c>
      <c r="E142" s="63">
        <v>46112</v>
      </c>
      <c r="F142" s="62" t="s">
        <v>287</v>
      </c>
      <c r="G142" s="62" t="s">
        <v>391</v>
      </c>
      <c r="H142" s="62" t="s">
        <v>441</v>
      </c>
      <c r="I142" s="62" t="s">
        <v>307</v>
      </c>
      <c r="J142" s="62" t="s">
        <v>427</v>
      </c>
      <c r="K142" s="62" t="s">
        <v>428</v>
      </c>
      <c r="L142" s="62" t="s">
        <v>2421</v>
      </c>
      <c r="M142" s="66" t="s">
        <v>1972</v>
      </c>
    </row>
    <row r="143" spans="1:13" x14ac:dyDescent="0.3">
      <c r="A143" s="61" t="s">
        <v>2007</v>
      </c>
      <c r="B143" s="62" t="s">
        <v>653</v>
      </c>
      <c r="C143" s="62" t="s">
        <v>654</v>
      </c>
      <c r="D143" s="63">
        <v>44545</v>
      </c>
      <c r="E143" s="63">
        <v>46112</v>
      </c>
      <c r="F143" s="62" t="s">
        <v>287</v>
      </c>
      <c r="G143" s="62" t="s">
        <v>554</v>
      </c>
      <c r="H143" s="62" t="s">
        <v>441</v>
      </c>
      <c r="I143" s="62" t="s">
        <v>307</v>
      </c>
      <c r="J143" s="62" t="s">
        <v>427</v>
      </c>
      <c r="K143" s="62" t="s">
        <v>428</v>
      </c>
      <c r="L143" s="62" t="s">
        <v>2421</v>
      </c>
      <c r="M143" s="66" t="s">
        <v>1972</v>
      </c>
    </row>
    <row r="144" spans="1:13" x14ac:dyDescent="0.3">
      <c r="A144" s="61" t="s">
        <v>2007</v>
      </c>
      <c r="B144" s="62" t="s">
        <v>653</v>
      </c>
      <c r="C144" s="62" t="s">
        <v>654</v>
      </c>
      <c r="D144" s="63">
        <v>44545</v>
      </c>
      <c r="E144" s="63">
        <v>46112</v>
      </c>
      <c r="F144" s="62" t="s">
        <v>287</v>
      </c>
      <c r="G144" s="62" t="s">
        <v>393</v>
      </c>
      <c r="H144" s="62" t="s">
        <v>441</v>
      </c>
      <c r="I144" s="62" t="s">
        <v>307</v>
      </c>
      <c r="J144" s="62" t="s">
        <v>427</v>
      </c>
      <c r="K144" s="62" t="s">
        <v>428</v>
      </c>
      <c r="L144" s="62" t="s">
        <v>2421</v>
      </c>
      <c r="M144" s="66" t="s">
        <v>1972</v>
      </c>
    </row>
    <row r="145" spans="1:13" x14ac:dyDescent="0.3">
      <c r="A145" s="61" t="s">
        <v>2007</v>
      </c>
      <c r="B145" s="62" t="s">
        <v>653</v>
      </c>
      <c r="C145" s="62" t="s">
        <v>654</v>
      </c>
      <c r="D145" s="63">
        <v>44545</v>
      </c>
      <c r="E145" s="63">
        <v>46112</v>
      </c>
      <c r="F145" s="62" t="s">
        <v>287</v>
      </c>
      <c r="G145" s="62" t="s">
        <v>396</v>
      </c>
      <c r="H145" s="62" t="s">
        <v>441</v>
      </c>
      <c r="I145" s="62" t="s">
        <v>307</v>
      </c>
      <c r="J145" s="62" t="s">
        <v>427</v>
      </c>
      <c r="K145" s="62" t="s">
        <v>428</v>
      </c>
      <c r="L145" s="62" t="s">
        <v>2421</v>
      </c>
      <c r="M145" s="66" t="s">
        <v>1972</v>
      </c>
    </row>
    <row r="146" spans="1:13" x14ac:dyDescent="0.3">
      <c r="A146" s="61" t="s">
        <v>2007</v>
      </c>
      <c r="B146" s="62" t="s">
        <v>653</v>
      </c>
      <c r="C146" s="62" t="s">
        <v>654</v>
      </c>
      <c r="D146" s="63">
        <v>44545</v>
      </c>
      <c r="E146" s="63">
        <v>46112</v>
      </c>
      <c r="F146" s="62" t="s">
        <v>1959</v>
      </c>
      <c r="G146" s="62" t="s">
        <v>466</v>
      </c>
      <c r="H146" s="62" t="s">
        <v>441</v>
      </c>
      <c r="I146" s="62" t="s">
        <v>307</v>
      </c>
      <c r="J146" s="62" t="s">
        <v>427</v>
      </c>
      <c r="K146" s="62" t="s">
        <v>428</v>
      </c>
      <c r="L146" s="62" t="s">
        <v>2421</v>
      </c>
      <c r="M146" s="66" t="s">
        <v>1972</v>
      </c>
    </row>
    <row r="147" spans="1:13" x14ac:dyDescent="0.3">
      <c r="A147" s="61" t="s">
        <v>2007</v>
      </c>
      <c r="B147" s="62" t="s">
        <v>653</v>
      </c>
      <c r="C147" s="62" t="s">
        <v>654</v>
      </c>
      <c r="D147" s="63">
        <v>44545</v>
      </c>
      <c r="E147" s="63">
        <v>46112</v>
      </c>
      <c r="F147" s="62" t="s">
        <v>1959</v>
      </c>
      <c r="G147" s="62" t="s">
        <v>582</v>
      </c>
      <c r="H147" s="62" t="s">
        <v>441</v>
      </c>
      <c r="I147" s="62" t="s">
        <v>307</v>
      </c>
      <c r="J147" s="62" t="s">
        <v>427</v>
      </c>
      <c r="K147" s="62" t="s">
        <v>428</v>
      </c>
      <c r="L147" s="62" t="s">
        <v>2421</v>
      </c>
      <c r="M147" s="66" t="s">
        <v>1972</v>
      </c>
    </row>
    <row r="148" spans="1:13" x14ac:dyDescent="0.3">
      <c r="A148" s="61" t="s">
        <v>2007</v>
      </c>
      <c r="B148" s="62" t="s">
        <v>653</v>
      </c>
      <c r="C148" s="62" t="s">
        <v>654</v>
      </c>
      <c r="D148" s="63">
        <v>44545</v>
      </c>
      <c r="E148" s="63">
        <v>46112</v>
      </c>
      <c r="F148" s="62" t="s">
        <v>1959</v>
      </c>
      <c r="G148" s="62" t="s">
        <v>655</v>
      </c>
      <c r="H148" s="62" t="s">
        <v>441</v>
      </c>
      <c r="I148" s="62" t="s">
        <v>307</v>
      </c>
      <c r="J148" s="62" t="s">
        <v>427</v>
      </c>
      <c r="K148" s="62" t="s">
        <v>428</v>
      </c>
      <c r="L148" s="62" t="s">
        <v>2421</v>
      </c>
      <c r="M148" s="66" t="s">
        <v>1972</v>
      </c>
    </row>
    <row r="149" spans="1:13" x14ac:dyDescent="0.3">
      <c r="A149" s="61" t="s">
        <v>2007</v>
      </c>
      <c r="B149" s="62" t="s">
        <v>653</v>
      </c>
      <c r="C149" s="62" t="s">
        <v>654</v>
      </c>
      <c r="D149" s="63">
        <v>44545</v>
      </c>
      <c r="E149" s="63">
        <v>46112</v>
      </c>
      <c r="F149" s="62" t="s">
        <v>1945</v>
      </c>
      <c r="G149" s="62" t="s">
        <v>400</v>
      </c>
      <c r="H149" s="62" t="s">
        <v>441</v>
      </c>
      <c r="I149" s="62" t="s">
        <v>307</v>
      </c>
      <c r="J149" s="62" t="s">
        <v>427</v>
      </c>
      <c r="K149" s="62" t="s">
        <v>428</v>
      </c>
      <c r="L149" s="62" t="s">
        <v>2421</v>
      </c>
      <c r="M149" s="66" t="s">
        <v>1972</v>
      </c>
    </row>
    <row r="150" spans="1:13" x14ac:dyDescent="0.3">
      <c r="A150" s="61" t="s">
        <v>2007</v>
      </c>
      <c r="B150" s="62" t="s">
        <v>653</v>
      </c>
      <c r="C150" s="62" t="s">
        <v>654</v>
      </c>
      <c r="D150" s="63">
        <v>44545</v>
      </c>
      <c r="E150" s="63">
        <v>46112</v>
      </c>
      <c r="F150" s="62" t="s">
        <v>1945</v>
      </c>
      <c r="G150" s="62" t="s">
        <v>555</v>
      </c>
      <c r="H150" s="62" t="s">
        <v>441</v>
      </c>
      <c r="I150" s="62" t="s">
        <v>307</v>
      </c>
      <c r="J150" s="62" t="s">
        <v>427</v>
      </c>
      <c r="K150" s="62" t="s">
        <v>428</v>
      </c>
      <c r="L150" s="62" t="s">
        <v>2421</v>
      </c>
      <c r="M150" s="66" t="s">
        <v>1972</v>
      </c>
    </row>
    <row r="151" spans="1:13" x14ac:dyDescent="0.3">
      <c r="A151" s="61" t="s">
        <v>2008</v>
      </c>
      <c r="B151" s="62" t="s">
        <v>656</v>
      </c>
      <c r="C151" s="62" t="s">
        <v>657</v>
      </c>
      <c r="D151" s="63">
        <v>44630</v>
      </c>
      <c r="E151" s="63">
        <v>46091</v>
      </c>
      <c r="F151" s="62" t="s">
        <v>1930</v>
      </c>
      <c r="G151" s="62" t="s">
        <v>501</v>
      </c>
      <c r="H151" s="62" t="s">
        <v>481</v>
      </c>
      <c r="I151" s="62" t="s">
        <v>354</v>
      </c>
      <c r="J151" s="62" t="s">
        <v>458</v>
      </c>
      <c r="K151" s="62" t="s">
        <v>459</v>
      </c>
      <c r="L151" s="62" t="s">
        <v>2421</v>
      </c>
      <c r="M151" s="66" t="s">
        <v>1971</v>
      </c>
    </row>
    <row r="152" spans="1:13" x14ac:dyDescent="0.3">
      <c r="A152" s="61" t="s">
        <v>2008</v>
      </c>
      <c r="B152" s="62" t="s">
        <v>656</v>
      </c>
      <c r="C152" s="62" t="s">
        <v>657</v>
      </c>
      <c r="D152" s="63">
        <v>44630</v>
      </c>
      <c r="E152" s="63">
        <v>46091</v>
      </c>
      <c r="F152" s="62" t="s">
        <v>1930</v>
      </c>
      <c r="G152" s="62" t="s">
        <v>502</v>
      </c>
      <c r="H152" s="62" t="s">
        <v>481</v>
      </c>
      <c r="I152" s="62" t="s">
        <v>354</v>
      </c>
      <c r="J152" s="62" t="s">
        <v>458</v>
      </c>
      <c r="K152" s="62" t="s">
        <v>459</v>
      </c>
      <c r="L152" s="62" t="s">
        <v>2421</v>
      </c>
      <c r="M152" s="66" t="s">
        <v>1971</v>
      </c>
    </row>
    <row r="153" spans="1:13" x14ac:dyDescent="0.3">
      <c r="A153" s="61" t="s">
        <v>2008</v>
      </c>
      <c r="B153" s="62" t="s">
        <v>656</v>
      </c>
      <c r="C153" s="62" t="s">
        <v>657</v>
      </c>
      <c r="D153" s="63">
        <v>44630</v>
      </c>
      <c r="E153" s="63">
        <v>46091</v>
      </c>
      <c r="F153" s="62" t="s">
        <v>1930</v>
      </c>
      <c r="G153" s="62" t="s">
        <v>532</v>
      </c>
      <c r="H153" s="62" t="s">
        <v>481</v>
      </c>
      <c r="I153" s="62" t="s">
        <v>354</v>
      </c>
      <c r="J153" s="62" t="s">
        <v>458</v>
      </c>
      <c r="K153" s="62" t="s">
        <v>459</v>
      </c>
      <c r="L153" s="62" t="s">
        <v>2421</v>
      </c>
      <c r="M153" s="66" t="s">
        <v>1971</v>
      </c>
    </row>
    <row r="154" spans="1:13" x14ac:dyDescent="0.3">
      <c r="A154" s="61" t="s">
        <v>2008</v>
      </c>
      <c r="B154" s="62" t="s">
        <v>656</v>
      </c>
      <c r="C154" s="62" t="s">
        <v>657</v>
      </c>
      <c r="D154" s="63">
        <v>44630</v>
      </c>
      <c r="E154" s="63">
        <v>46091</v>
      </c>
      <c r="F154" s="62" t="s">
        <v>1943</v>
      </c>
      <c r="G154" s="62" t="s">
        <v>658</v>
      </c>
      <c r="H154" s="62" t="s">
        <v>481</v>
      </c>
      <c r="I154" s="62" t="s">
        <v>354</v>
      </c>
      <c r="J154" s="62" t="s">
        <v>458</v>
      </c>
      <c r="K154" s="62" t="s">
        <v>459</v>
      </c>
      <c r="L154" s="62" t="s">
        <v>2421</v>
      </c>
      <c r="M154" s="66" t="s">
        <v>1971</v>
      </c>
    </row>
    <row r="155" spans="1:13" x14ac:dyDescent="0.3">
      <c r="A155" s="61" t="s">
        <v>2008</v>
      </c>
      <c r="B155" s="62" t="s">
        <v>656</v>
      </c>
      <c r="C155" s="62" t="s">
        <v>657</v>
      </c>
      <c r="D155" s="63">
        <v>44630</v>
      </c>
      <c r="E155" s="63">
        <v>46091</v>
      </c>
      <c r="F155" s="62" t="s">
        <v>1943</v>
      </c>
      <c r="G155" s="62" t="s">
        <v>659</v>
      </c>
      <c r="H155" s="62" t="s">
        <v>481</v>
      </c>
      <c r="I155" s="62" t="s">
        <v>354</v>
      </c>
      <c r="J155" s="62" t="s">
        <v>458</v>
      </c>
      <c r="K155" s="62" t="s">
        <v>459</v>
      </c>
      <c r="L155" s="62" t="s">
        <v>2421</v>
      </c>
      <c r="M155" s="66" t="s">
        <v>1971</v>
      </c>
    </row>
    <row r="156" spans="1:13" x14ac:dyDescent="0.3">
      <c r="A156" s="61" t="s">
        <v>2008</v>
      </c>
      <c r="B156" s="62" t="s">
        <v>656</v>
      </c>
      <c r="C156" s="62" t="s">
        <v>657</v>
      </c>
      <c r="D156" s="63">
        <v>44630</v>
      </c>
      <c r="E156" s="63">
        <v>46091</v>
      </c>
      <c r="F156" s="62" t="s">
        <v>1959</v>
      </c>
      <c r="G156" s="62" t="s">
        <v>343</v>
      </c>
      <c r="H156" s="62" t="s">
        <v>481</v>
      </c>
      <c r="I156" s="62" t="s">
        <v>354</v>
      </c>
      <c r="J156" s="62" t="s">
        <v>458</v>
      </c>
      <c r="K156" s="62" t="s">
        <v>459</v>
      </c>
      <c r="L156" s="62" t="s">
        <v>2421</v>
      </c>
      <c r="M156" s="66" t="s">
        <v>1971</v>
      </c>
    </row>
    <row r="157" spans="1:13" x14ac:dyDescent="0.3">
      <c r="A157" s="61" t="s">
        <v>2008</v>
      </c>
      <c r="B157" s="62" t="s">
        <v>656</v>
      </c>
      <c r="C157" s="62" t="s">
        <v>657</v>
      </c>
      <c r="D157" s="63">
        <v>44630</v>
      </c>
      <c r="E157" s="63">
        <v>46091</v>
      </c>
      <c r="F157" s="62" t="s">
        <v>1959</v>
      </c>
      <c r="G157" s="62" t="s">
        <v>588</v>
      </c>
      <c r="H157" s="62" t="s">
        <v>481</v>
      </c>
      <c r="I157" s="62" t="s">
        <v>354</v>
      </c>
      <c r="J157" s="62" t="s">
        <v>458</v>
      </c>
      <c r="K157" s="62" t="s">
        <v>459</v>
      </c>
      <c r="L157" s="62" t="s">
        <v>2421</v>
      </c>
      <c r="M157" s="66" t="s">
        <v>1971</v>
      </c>
    </row>
    <row r="158" spans="1:13" x14ac:dyDescent="0.3">
      <c r="A158" s="61" t="s">
        <v>2008</v>
      </c>
      <c r="B158" s="62" t="s">
        <v>656</v>
      </c>
      <c r="C158" s="62" t="s">
        <v>657</v>
      </c>
      <c r="D158" s="63">
        <v>44630</v>
      </c>
      <c r="E158" s="63">
        <v>46091</v>
      </c>
      <c r="F158" s="62" t="s">
        <v>287</v>
      </c>
      <c r="G158" s="62" t="s">
        <v>396</v>
      </c>
      <c r="H158" s="62" t="s">
        <v>481</v>
      </c>
      <c r="I158" s="62" t="s">
        <v>354</v>
      </c>
      <c r="J158" s="62" t="s">
        <v>458</v>
      </c>
      <c r="K158" s="62" t="s">
        <v>459</v>
      </c>
      <c r="L158" s="62" t="s">
        <v>2421</v>
      </c>
      <c r="M158" s="66" t="s">
        <v>1971</v>
      </c>
    </row>
    <row r="159" spans="1:13" x14ac:dyDescent="0.3">
      <c r="A159" s="61" t="s">
        <v>2008</v>
      </c>
      <c r="B159" s="62" t="s">
        <v>656</v>
      </c>
      <c r="C159" s="62" t="s">
        <v>657</v>
      </c>
      <c r="D159" s="63">
        <v>44630</v>
      </c>
      <c r="E159" s="63">
        <v>46091</v>
      </c>
      <c r="F159" s="62" t="s">
        <v>1945</v>
      </c>
      <c r="G159" s="62" t="s">
        <v>400</v>
      </c>
      <c r="H159" s="62" t="s">
        <v>481</v>
      </c>
      <c r="I159" s="62" t="s">
        <v>354</v>
      </c>
      <c r="J159" s="62" t="s">
        <v>458</v>
      </c>
      <c r="K159" s="62" t="s">
        <v>459</v>
      </c>
      <c r="L159" s="62" t="s">
        <v>2421</v>
      </c>
      <c r="M159" s="66" t="s">
        <v>1971</v>
      </c>
    </row>
    <row r="160" spans="1:13" x14ac:dyDescent="0.3">
      <c r="A160" s="61" t="s">
        <v>2009</v>
      </c>
      <c r="B160" s="62" t="s">
        <v>686</v>
      </c>
      <c r="C160" s="62" t="s">
        <v>687</v>
      </c>
      <c r="D160" s="63">
        <v>44531</v>
      </c>
      <c r="E160" s="63">
        <v>47481</v>
      </c>
      <c r="F160" s="62" t="s">
        <v>1930</v>
      </c>
      <c r="G160" s="62" t="s">
        <v>508</v>
      </c>
      <c r="H160" s="62" t="s">
        <v>688</v>
      </c>
      <c r="I160" s="62" t="s">
        <v>457</v>
      </c>
      <c r="J160" s="62" t="s">
        <v>458</v>
      </c>
      <c r="K160" s="62" t="s">
        <v>459</v>
      </c>
      <c r="L160" s="62" t="s">
        <v>2421</v>
      </c>
      <c r="M160" s="66" t="s">
        <v>1971</v>
      </c>
    </row>
    <row r="161" spans="1:13" x14ac:dyDescent="0.3">
      <c r="A161" s="61" t="s">
        <v>2009</v>
      </c>
      <c r="B161" s="62" t="s">
        <v>686</v>
      </c>
      <c r="C161" s="62" t="s">
        <v>687</v>
      </c>
      <c r="D161" s="63">
        <v>44531</v>
      </c>
      <c r="E161" s="63">
        <v>47481</v>
      </c>
      <c r="F161" s="62" t="s">
        <v>1930</v>
      </c>
      <c r="G161" s="62" t="s">
        <v>689</v>
      </c>
      <c r="H161" s="62" t="s">
        <v>688</v>
      </c>
      <c r="I161" s="62" t="s">
        <v>457</v>
      </c>
      <c r="J161" s="62" t="s">
        <v>458</v>
      </c>
      <c r="K161" s="62" t="s">
        <v>459</v>
      </c>
      <c r="L161" s="62" t="s">
        <v>2421</v>
      </c>
      <c r="M161" s="66" t="s">
        <v>1971</v>
      </c>
    </row>
    <row r="162" spans="1:13" x14ac:dyDescent="0.3">
      <c r="A162" s="61" t="s">
        <v>2009</v>
      </c>
      <c r="B162" s="62" t="s">
        <v>686</v>
      </c>
      <c r="C162" s="62" t="s">
        <v>687</v>
      </c>
      <c r="D162" s="63">
        <v>44531</v>
      </c>
      <c r="E162" s="63">
        <v>47481</v>
      </c>
      <c r="F162" s="62" t="s">
        <v>1930</v>
      </c>
      <c r="G162" s="62" t="s">
        <v>690</v>
      </c>
      <c r="H162" s="62" t="s">
        <v>688</v>
      </c>
      <c r="I162" s="62" t="s">
        <v>457</v>
      </c>
      <c r="J162" s="62" t="s">
        <v>458</v>
      </c>
      <c r="K162" s="62" t="s">
        <v>459</v>
      </c>
      <c r="L162" s="62" t="s">
        <v>2421</v>
      </c>
      <c r="M162" s="66" t="s">
        <v>1971</v>
      </c>
    </row>
    <row r="163" spans="1:13" x14ac:dyDescent="0.3">
      <c r="A163" s="61" t="s">
        <v>2009</v>
      </c>
      <c r="B163" s="62" t="s">
        <v>686</v>
      </c>
      <c r="C163" s="62" t="s">
        <v>687</v>
      </c>
      <c r="D163" s="63">
        <v>44531</v>
      </c>
      <c r="E163" s="63">
        <v>47481</v>
      </c>
      <c r="F163" s="62" t="s">
        <v>1930</v>
      </c>
      <c r="G163" s="62" t="s">
        <v>691</v>
      </c>
      <c r="H163" s="62" t="s">
        <v>688</v>
      </c>
      <c r="I163" s="62" t="s">
        <v>457</v>
      </c>
      <c r="J163" s="62" t="s">
        <v>458</v>
      </c>
      <c r="K163" s="62" t="s">
        <v>459</v>
      </c>
      <c r="L163" s="62" t="s">
        <v>2421</v>
      </c>
      <c r="M163" s="66" t="s">
        <v>1971</v>
      </c>
    </row>
    <row r="164" spans="1:13" x14ac:dyDescent="0.3">
      <c r="A164" s="61" t="s">
        <v>2009</v>
      </c>
      <c r="B164" s="62" t="s">
        <v>686</v>
      </c>
      <c r="C164" s="62" t="s">
        <v>687</v>
      </c>
      <c r="D164" s="63">
        <v>44531</v>
      </c>
      <c r="E164" s="63">
        <v>47481</v>
      </c>
      <c r="F164" s="62" t="s">
        <v>1930</v>
      </c>
      <c r="G164" s="62" t="s">
        <v>692</v>
      </c>
      <c r="H164" s="62" t="s">
        <v>688</v>
      </c>
      <c r="I164" s="62" t="s">
        <v>457</v>
      </c>
      <c r="J164" s="62" t="s">
        <v>458</v>
      </c>
      <c r="K164" s="62" t="s">
        <v>459</v>
      </c>
      <c r="L164" s="62" t="s">
        <v>2421</v>
      </c>
      <c r="M164" s="66" t="s">
        <v>1971</v>
      </c>
    </row>
    <row r="165" spans="1:13" x14ac:dyDescent="0.3">
      <c r="A165" s="61" t="s">
        <v>2009</v>
      </c>
      <c r="B165" s="62" t="s">
        <v>686</v>
      </c>
      <c r="C165" s="62" t="s">
        <v>687</v>
      </c>
      <c r="D165" s="63">
        <v>44531</v>
      </c>
      <c r="E165" s="63">
        <v>47481</v>
      </c>
      <c r="F165" s="62" t="s">
        <v>1930</v>
      </c>
      <c r="G165" s="62" t="s">
        <v>693</v>
      </c>
      <c r="H165" s="62" t="s">
        <v>688</v>
      </c>
      <c r="I165" s="62" t="s">
        <v>457</v>
      </c>
      <c r="J165" s="62" t="s">
        <v>458</v>
      </c>
      <c r="K165" s="62" t="s">
        <v>459</v>
      </c>
      <c r="L165" s="62" t="s">
        <v>2421</v>
      </c>
      <c r="M165" s="66" t="s">
        <v>1971</v>
      </c>
    </row>
    <row r="166" spans="1:13" x14ac:dyDescent="0.3">
      <c r="A166" s="61" t="s">
        <v>2009</v>
      </c>
      <c r="B166" s="62" t="s">
        <v>686</v>
      </c>
      <c r="C166" s="62" t="s">
        <v>687</v>
      </c>
      <c r="D166" s="63">
        <v>44531</v>
      </c>
      <c r="E166" s="63">
        <v>47481</v>
      </c>
      <c r="F166" s="62" t="s">
        <v>1930</v>
      </c>
      <c r="G166" s="62" t="s">
        <v>319</v>
      </c>
      <c r="H166" s="62" t="s">
        <v>688</v>
      </c>
      <c r="I166" s="62" t="s">
        <v>457</v>
      </c>
      <c r="J166" s="62" t="s">
        <v>458</v>
      </c>
      <c r="K166" s="62" t="s">
        <v>459</v>
      </c>
      <c r="L166" s="62" t="s">
        <v>2421</v>
      </c>
      <c r="M166" s="66" t="s">
        <v>1971</v>
      </c>
    </row>
    <row r="167" spans="1:13" x14ac:dyDescent="0.3">
      <c r="A167" s="61" t="s">
        <v>2009</v>
      </c>
      <c r="B167" s="62" t="s">
        <v>686</v>
      </c>
      <c r="C167" s="62" t="s">
        <v>687</v>
      </c>
      <c r="D167" s="63">
        <v>44531</v>
      </c>
      <c r="E167" s="63">
        <v>47481</v>
      </c>
      <c r="F167" s="62" t="s">
        <v>1930</v>
      </c>
      <c r="G167" s="62" t="s">
        <v>694</v>
      </c>
      <c r="H167" s="62" t="s">
        <v>688</v>
      </c>
      <c r="I167" s="62" t="s">
        <v>457</v>
      </c>
      <c r="J167" s="62" t="s">
        <v>458</v>
      </c>
      <c r="K167" s="62" t="s">
        <v>459</v>
      </c>
      <c r="L167" s="62" t="s">
        <v>2421</v>
      </c>
      <c r="M167" s="66" t="s">
        <v>1971</v>
      </c>
    </row>
    <row r="168" spans="1:13" x14ac:dyDescent="0.3">
      <c r="A168" s="61" t="s">
        <v>2009</v>
      </c>
      <c r="B168" s="62" t="s">
        <v>686</v>
      </c>
      <c r="C168" s="62" t="s">
        <v>687</v>
      </c>
      <c r="D168" s="63">
        <v>44531</v>
      </c>
      <c r="E168" s="63">
        <v>47481</v>
      </c>
      <c r="F168" s="62" t="s">
        <v>1930</v>
      </c>
      <c r="G168" s="62" t="s">
        <v>513</v>
      </c>
      <c r="H168" s="62" t="s">
        <v>688</v>
      </c>
      <c r="I168" s="62" t="s">
        <v>457</v>
      </c>
      <c r="J168" s="62" t="s">
        <v>458</v>
      </c>
      <c r="K168" s="62" t="s">
        <v>459</v>
      </c>
      <c r="L168" s="62" t="s">
        <v>2421</v>
      </c>
      <c r="M168" s="66" t="s">
        <v>1971</v>
      </c>
    </row>
    <row r="169" spans="1:13" x14ac:dyDescent="0.3">
      <c r="A169" s="61" t="s">
        <v>2009</v>
      </c>
      <c r="B169" s="62" t="s">
        <v>686</v>
      </c>
      <c r="C169" s="62" t="s">
        <v>687</v>
      </c>
      <c r="D169" s="63">
        <v>44531</v>
      </c>
      <c r="E169" s="63">
        <v>47481</v>
      </c>
      <c r="F169" s="62" t="s">
        <v>1930</v>
      </c>
      <c r="G169" s="62" t="s">
        <v>695</v>
      </c>
      <c r="H169" s="62" t="s">
        <v>688</v>
      </c>
      <c r="I169" s="62" t="s">
        <v>457</v>
      </c>
      <c r="J169" s="62" t="s">
        <v>458</v>
      </c>
      <c r="K169" s="62" t="s">
        <v>459</v>
      </c>
      <c r="L169" s="62" t="s">
        <v>2421</v>
      </c>
      <c r="M169" s="66" t="s">
        <v>1971</v>
      </c>
    </row>
    <row r="170" spans="1:13" x14ac:dyDescent="0.3">
      <c r="A170" s="61" t="s">
        <v>2009</v>
      </c>
      <c r="B170" s="62" t="s">
        <v>686</v>
      </c>
      <c r="C170" s="62" t="s">
        <v>687</v>
      </c>
      <c r="D170" s="63">
        <v>44531</v>
      </c>
      <c r="E170" s="63">
        <v>47481</v>
      </c>
      <c r="F170" s="62" t="s">
        <v>1930</v>
      </c>
      <c r="G170" s="62" t="s">
        <v>515</v>
      </c>
      <c r="H170" s="62" t="s">
        <v>688</v>
      </c>
      <c r="I170" s="62" t="s">
        <v>457</v>
      </c>
      <c r="J170" s="62" t="s">
        <v>458</v>
      </c>
      <c r="K170" s="62" t="s">
        <v>459</v>
      </c>
      <c r="L170" s="62" t="s">
        <v>2421</v>
      </c>
      <c r="M170" s="66" t="s">
        <v>1971</v>
      </c>
    </row>
    <row r="171" spans="1:13" x14ac:dyDescent="0.3">
      <c r="A171" s="61" t="s">
        <v>2009</v>
      </c>
      <c r="B171" s="62" t="s">
        <v>686</v>
      </c>
      <c r="C171" s="62" t="s">
        <v>687</v>
      </c>
      <c r="D171" s="63">
        <v>44531</v>
      </c>
      <c r="E171" s="63">
        <v>47481</v>
      </c>
      <c r="F171" s="62" t="s">
        <v>1930</v>
      </c>
      <c r="G171" s="62" t="s">
        <v>696</v>
      </c>
      <c r="H171" s="62" t="s">
        <v>688</v>
      </c>
      <c r="I171" s="62" t="s">
        <v>457</v>
      </c>
      <c r="J171" s="62" t="s">
        <v>458</v>
      </c>
      <c r="K171" s="62" t="s">
        <v>459</v>
      </c>
      <c r="L171" s="62" t="s">
        <v>2421</v>
      </c>
      <c r="M171" s="66" t="s">
        <v>1971</v>
      </c>
    </row>
    <row r="172" spans="1:13" x14ac:dyDescent="0.3">
      <c r="A172" s="61" t="s">
        <v>2009</v>
      </c>
      <c r="B172" s="62" t="s">
        <v>686</v>
      </c>
      <c r="C172" s="62" t="s">
        <v>687</v>
      </c>
      <c r="D172" s="63">
        <v>44531</v>
      </c>
      <c r="E172" s="63">
        <v>47481</v>
      </c>
      <c r="F172" s="62" t="s">
        <v>1930</v>
      </c>
      <c r="G172" s="62" t="s">
        <v>516</v>
      </c>
      <c r="H172" s="62" t="s">
        <v>688</v>
      </c>
      <c r="I172" s="62" t="s">
        <v>457</v>
      </c>
      <c r="J172" s="62" t="s">
        <v>458</v>
      </c>
      <c r="K172" s="62" t="s">
        <v>459</v>
      </c>
      <c r="L172" s="62" t="s">
        <v>2421</v>
      </c>
      <c r="M172" s="66" t="s">
        <v>1971</v>
      </c>
    </row>
    <row r="173" spans="1:13" x14ac:dyDescent="0.3">
      <c r="A173" s="61" t="s">
        <v>2009</v>
      </c>
      <c r="B173" s="62" t="s">
        <v>686</v>
      </c>
      <c r="C173" s="62" t="s">
        <v>687</v>
      </c>
      <c r="D173" s="63">
        <v>44531</v>
      </c>
      <c r="E173" s="63">
        <v>47481</v>
      </c>
      <c r="F173" s="62" t="s">
        <v>1930</v>
      </c>
      <c r="G173" s="62" t="s">
        <v>518</v>
      </c>
      <c r="H173" s="62" t="s">
        <v>688</v>
      </c>
      <c r="I173" s="62" t="s">
        <v>457</v>
      </c>
      <c r="J173" s="62" t="s">
        <v>458</v>
      </c>
      <c r="K173" s="62" t="s">
        <v>459</v>
      </c>
      <c r="L173" s="62" t="s">
        <v>2421</v>
      </c>
      <c r="M173" s="66" t="s">
        <v>1971</v>
      </c>
    </row>
    <row r="174" spans="1:13" x14ac:dyDescent="0.3">
      <c r="A174" s="61" t="s">
        <v>2009</v>
      </c>
      <c r="B174" s="62" t="s">
        <v>686</v>
      </c>
      <c r="C174" s="62" t="s">
        <v>687</v>
      </c>
      <c r="D174" s="63">
        <v>44531</v>
      </c>
      <c r="E174" s="63">
        <v>47481</v>
      </c>
      <c r="F174" s="62" t="s">
        <v>1930</v>
      </c>
      <c r="G174" s="62" t="s">
        <v>519</v>
      </c>
      <c r="H174" s="62" t="s">
        <v>688</v>
      </c>
      <c r="I174" s="62" t="s">
        <v>457</v>
      </c>
      <c r="J174" s="62" t="s">
        <v>458</v>
      </c>
      <c r="K174" s="62" t="s">
        <v>459</v>
      </c>
      <c r="L174" s="62" t="s">
        <v>2421</v>
      </c>
      <c r="M174" s="66" t="s">
        <v>1971</v>
      </c>
    </row>
    <row r="175" spans="1:13" x14ac:dyDescent="0.3">
      <c r="A175" s="61" t="s">
        <v>2009</v>
      </c>
      <c r="B175" s="62" t="s">
        <v>686</v>
      </c>
      <c r="C175" s="62" t="s">
        <v>687</v>
      </c>
      <c r="D175" s="63">
        <v>44531</v>
      </c>
      <c r="E175" s="63">
        <v>47481</v>
      </c>
      <c r="F175" s="62" t="s">
        <v>1930</v>
      </c>
      <c r="G175" s="62" t="s">
        <v>697</v>
      </c>
      <c r="H175" s="62" t="s">
        <v>688</v>
      </c>
      <c r="I175" s="62" t="s">
        <v>457</v>
      </c>
      <c r="J175" s="62" t="s">
        <v>458</v>
      </c>
      <c r="K175" s="62" t="s">
        <v>459</v>
      </c>
      <c r="L175" s="62" t="s">
        <v>2421</v>
      </c>
      <c r="M175" s="66" t="s">
        <v>1971</v>
      </c>
    </row>
    <row r="176" spans="1:13" x14ac:dyDescent="0.3">
      <c r="A176" s="61" t="s">
        <v>2009</v>
      </c>
      <c r="B176" s="62" t="s">
        <v>686</v>
      </c>
      <c r="C176" s="62" t="s">
        <v>687</v>
      </c>
      <c r="D176" s="63">
        <v>44531</v>
      </c>
      <c r="E176" s="63">
        <v>47481</v>
      </c>
      <c r="F176" s="62" t="s">
        <v>1930</v>
      </c>
      <c r="G176" s="62" t="s">
        <v>520</v>
      </c>
      <c r="H176" s="62" t="s">
        <v>688</v>
      </c>
      <c r="I176" s="62" t="s">
        <v>457</v>
      </c>
      <c r="J176" s="62" t="s">
        <v>458</v>
      </c>
      <c r="K176" s="62" t="s">
        <v>459</v>
      </c>
      <c r="L176" s="62" t="s">
        <v>2421</v>
      </c>
      <c r="M176" s="66" t="s">
        <v>1971</v>
      </c>
    </row>
    <row r="177" spans="1:13" x14ac:dyDescent="0.3">
      <c r="A177" s="61" t="s">
        <v>2009</v>
      </c>
      <c r="B177" s="62" t="s">
        <v>686</v>
      </c>
      <c r="C177" s="62" t="s">
        <v>687</v>
      </c>
      <c r="D177" s="63">
        <v>44531</v>
      </c>
      <c r="E177" s="63">
        <v>47481</v>
      </c>
      <c r="F177" s="62" t="s">
        <v>1930</v>
      </c>
      <c r="G177" s="62" t="s">
        <v>698</v>
      </c>
      <c r="H177" s="62" t="s">
        <v>688</v>
      </c>
      <c r="I177" s="62" t="s">
        <v>457</v>
      </c>
      <c r="J177" s="62" t="s">
        <v>458</v>
      </c>
      <c r="K177" s="62" t="s">
        <v>459</v>
      </c>
      <c r="L177" s="62" t="s">
        <v>2421</v>
      </c>
      <c r="M177" s="66" t="s">
        <v>1971</v>
      </c>
    </row>
    <row r="178" spans="1:13" x14ac:dyDescent="0.3">
      <c r="A178" s="61" t="s">
        <v>2009</v>
      </c>
      <c r="B178" s="62" t="s">
        <v>686</v>
      </c>
      <c r="C178" s="62" t="s">
        <v>687</v>
      </c>
      <c r="D178" s="63">
        <v>44531</v>
      </c>
      <c r="E178" s="63">
        <v>47481</v>
      </c>
      <c r="F178" s="62" t="s">
        <v>1930</v>
      </c>
      <c r="G178" s="62" t="s">
        <v>699</v>
      </c>
      <c r="H178" s="62" t="s">
        <v>688</v>
      </c>
      <c r="I178" s="62" t="s">
        <v>457</v>
      </c>
      <c r="J178" s="62" t="s">
        <v>458</v>
      </c>
      <c r="K178" s="62" t="s">
        <v>459</v>
      </c>
      <c r="L178" s="62" t="s">
        <v>2421</v>
      </c>
      <c r="M178" s="66" t="s">
        <v>1971</v>
      </c>
    </row>
    <row r="179" spans="1:13" x14ac:dyDescent="0.3">
      <c r="A179" s="61" t="s">
        <v>2009</v>
      </c>
      <c r="B179" s="62" t="s">
        <v>686</v>
      </c>
      <c r="C179" s="62" t="s">
        <v>687</v>
      </c>
      <c r="D179" s="63">
        <v>44531</v>
      </c>
      <c r="E179" s="63">
        <v>47481</v>
      </c>
      <c r="F179" s="62" t="s">
        <v>288</v>
      </c>
      <c r="G179" s="62" t="s">
        <v>700</v>
      </c>
      <c r="H179" s="62" t="s">
        <v>688</v>
      </c>
      <c r="I179" s="62" t="s">
        <v>457</v>
      </c>
      <c r="J179" s="62" t="s">
        <v>458</v>
      </c>
      <c r="K179" s="62" t="s">
        <v>459</v>
      </c>
      <c r="L179" s="62" t="s">
        <v>2421</v>
      </c>
      <c r="M179" s="66" t="s">
        <v>1971</v>
      </c>
    </row>
    <row r="180" spans="1:13" x14ac:dyDescent="0.3">
      <c r="A180" s="61" t="s">
        <v>2009</v>
      </c>
      <c r="B180" s="62" t="s">
        <v>686</v>
      </c>
      <c r="C180" s="62" t="s">
        <v>687</v>
      </c>
      <c r="D180" s="63">
        <v>44531</v>
      </c>
      <c r="E180" s="63">
        <v>47481</v>
      </c>
      <c r="F180" s="62" t="s">
        <v>288</v>
      </c>
      <c r="G180" s="62" t="s">
        <v>701</v>
      </c>
      <c r="H180" s="62" t="s">
        <v>688</v>
      </c>
      <c r="I180" s="62" t="s">
        <v>457</v>
      </c>
      <c r="J180" s="62" t="s">
        <v>458</v>
      </c>
      <c r="K180" s="62" t="s">
        <v>459</v>
      </c>
      <c r="L180" s="62" t="s">
        <v>2421</v>
      </c>
      <c r="M180" s="66" t="s">
        <v>1971</v>
      </c>
    </row>
    <row r="181" spans="1:13" x14ac:dyDescent="0.3">
      <c r="A181" s="61" t="s">
        <v>2009</v>
      </c>
      <c r="B181" s="62" t="s">
        <v>686</v>
      </c>
      <c r="C181" s="62" t="s">
        <v>687</v>
      </c>
      <c r="D181" s="63">
        <v>44531</v>
      </c>
      <c r="E181" s="63">
        <v>47481</v>
      </c>
      <c r="F181" s="62" t="s">
        <v>1945</v>
      </c>
      <c r="G181" s="62" t="s">
        <v>702</v>
      </c>
      <c r="H181" s="62" t="s">
        <v>688</v>
      </c>
      <c r="I181" s="62" t="s">
        <v>457</v>
      </c>
      <c r="J181" s="62" t="s">
        <v>458</v>
      </c>
      <c r="K181" s="62" t="s">
        <v>459</v>
      </c>
      <c r="L181" s="62" t="s">
        <v>2421</v>
      </c>
      <c r="M181" s="66" t="s">
        <v>1971</v>
      </c>
    </row>
    <row r="182" spans="1:13" x14ac:dyDescent="0.3">
      <c r="A182" s="61" t="s">
        <v>2009</v>
      </c>
      <c r="B182" s="62" t="s">
        <v>686</v>
      </c>
      <c r="C182" s="62" t="s">
        <v>687</v>
      </c>
      <c r="D182" s="63">
        <v>44531</v>
      </c>
      <c r="E182" s="63">
        <v>47481</v>
      </c>
      <c r="F182" s="62" t="s">
        <v>1945</v>
      </c>
      <c r="G182" s="62" t="s">
        <v>703</v>
      </c>
      <c r="H182" s="62" t="s">
        <v>688</v>
      </c>
      <c r="I182" s="62" t="s">
        <v>457</v>
      </c>
      <c r="J182" s="62" t="s">
        <v>458</v>
      </c>
      <c r="K182" s="62" t="s">
        <v>459</v>
      </c>
      <c r="L182" s="62" t="s">
        <v>2421</v>
      </c>
      <c r="M182" s="66" t="s">
        <v>1971</v>
      </c>
    </row>
    <row r="183" spans="1:13" x14ac:dyDescent="0.3">
      <c r="A183" s="61" t="s">
        <v>2010</v>
      </c>
      <c r="B183" s="62" t="s">
        <v>704</v>
      </c>
      <c r="C183" s="62" t="s">
        <v>705</v>
      </c>
      <c r="D183" s="63">
        <v>44776</v>
      </c>
      <c r="E183" s="63">
        <v>46236</v>
      </c>
      <c r="F183" s="62" t="s">
        <v>1934</v>
      </c>
      <c r="G183" s="62" t="s">
        <v>524</v>
      </c>
      <c r="H183" s="62" t="s">
        <v>706</v>
      </c>
      <c r="I183" s="62" t="s">
        <v>354</v>
      </c>
      <c r="J183" s="62" t="s">
        <v>458</v>
      </c>
      <c r="K183" s="62" t="s">
        <v>459</v>
      </c>
      <c r="L183" s="62" t="s">
        <v>2421</v>
      </c>
      <c r="M183" s="66" t="s">
        <v>1971</v>
      </c>
    </row>
    <row r="184" spans="1:13" x14ac:dyDescent="0.3">
      <c r="A184" s="61" t="s">
        <v>2010</v>
      </c>
      <c r="B184" s="62" t="s">
        <v>704</v>
      </c>
      <c r="C184" s="62" t="s">
        <v>705</v>
      </c>
      <c r="D184" s="63">
        <v>44776</v>
      </c>
      <c r="E184" s="63">
        <v>46236</v>
      </c>
      <c r="F184" s="62" t="s">
        <v>1934</v>
      </c>
      <c r="G184" s="62" t="s">
        <v>477</v>
      </c>
      <c r="H184" s="62" t="s">
        <v>706</v>
      </c>
      <c r="I184" s="62" t="s">
        <v>354</v>
      </c>
      <c r="J184" s="62" t="s">
        <v>458</v>
      </c>
      <c r="K184" s="62" t="s">
        <v>459</v>
      </c>
      <c r="L184" s="62" t="s">
        <v>2421</v>
      </c>
      <c r="M184" s="66" t="s">
        <v>1971</v>
      </c>
    </row>
    <row r="185" spans="1:13" x14ac:dyDescent="0.3">
      <c r="A185" s="61" t="s">
        <v>2010</v>
      </c>
      <c r="B185" s="62" t="s">
        <v>704</v>
      </c>
      <c r="C185" s="62" t="s">
        <v>705</v>
      </c>
      <c r="D185" s="63">
        <v>44776</v>
      </c>
      <c r="E185" s="63">
        <v>46236</v>
      </c>
      <c r="F185" s="62" t="s">
        <v>1934</v>
      </c>
      <c r="G185" s="62" t="s">
        <v>526</v>
      </c>
      <c r="H185" s="62" t="s">
        <v>706</v>
      </c>
      <c r="I185" s="62" t="s">
        <v>354</v>
      </c>
      <c r="J185" s="62" t="s">
        <v>458</v>
      </c>
      <c r="K185" s="62" t="s">
        <v>459</v>
      </c>
      <c r="L185" s="62" t="s">
        <v>2421</v>
      </c>
      <c r="M185" s="66" t="s">
        <v>1971</v>
      </c>
    </row>
    <row r="186" spans="1:13" x14ac:dyDescent="0.3">
      <c r="A186" s="61" t="s">
        <v>2010</v>
      </c>
      <c r="B186" s="62" t="s">
        <v>704</v>
      </c>
      <c r="C186" s="62" t="s">
        <v>705</v>
      </c>
      <c r="D186" s="63">
        <v>44776</v>
      </c>
      <c r="E186" s="63">
        <v>46236</v>
      </c>
      <c r="F186" s="62" t="s">
        <v>1921</v>
      </c>
      <c r="G186" s="62" t="s">
        <v>620</v>
      </c>
      <c r="H186" s="62" t="s">
        <v>706</v>
      </c>
      <c r="I186" s="62" t="s">
        <v>354</v>
      </c>
      <c r="J186" s="62" t="s">
        <v>458</v>
      </c>
      <c r="K186" s="62" t="s">
        <v>459</v>
      </c>
      <c r="L186" s="62" t="s">
        <v>2421</v>
      </c>
      <c r="M186" s="66" t="s">
        <v>1971</v>
      </c>
    </row>
    <row r="187" spans="1:13" x14ac:dyDescent="0.3">
      <c r="A187" s="61" t="s">
        <v>2010</v>
      </c>
      <c r="B187" s="62" t="s">
        <v>704</v>
      </c>
      <c r="C187" s="62" t="s">
        <v>705</v>
      </c>
      <c r="D187" s="63">
        <v>44776</v>
      </c>
      <c r="E187" s="63">
        <v>46236</v>
      </c>
      <c r="F187" s="62" t="s">
        <v>1934</v>
      </c>
      <c r="G187" s="62" t="s">
        <v>524</v>
      </c>
      <c r="H187" s="62" t="s">
        <v>481</v>
      </c>
      <c r="I187" s="62" t="s">
        <v>354</v>
      </c>
      <c r="J187" s="62" t="s">
        <v>458</v>
      </c>
      <c r="K187" s="62" t="s">
        <v>459</v>
      </c>
      <c r="L187" s="62" t="s">
        <v>2421</v>
      </c>
      <c r="M187" s="66" t="s">
        <v>1971</v>
      </c>
    </row>
    <row r="188" spans="1:13" x14ac:dyDescent="0.3">
      <c r="A188" s="61" t="s">
        <v>2010</v>
      </c>
      <c r="B188" s="62" t="s">
        <v>704</v>
      </c>
      <c r="C188" s="62" t="s">
        <v>705</v>
      </c>
      <c r="D188" s="63">
        <v>44776</v>
      </c>
      <c r="E188" s="63">
        <v>46236</v>
      </c>
      <c r="F188" s="62" t="s">
        <v>1934</v>
      </c>
      <c r="G188" s="62" t="s">
        <v>477</v>
      </c>
      <c r="H188" s="62" t="s">
        <v>481</v>
      </c>
      <c r="I188" s="62" t="s">
        <v>354</v>
      </c>
      <c r="J188" s="62" t="s">
        <v>458</v>
      </c>
      <c r="K188" s="62" t="s">
        <v>459</v>
      </c>
      <c r="L188" s="62" t="s">
        <v>2421</v>
      </c>
      <c r="M188" s="66" t="s">
        <v>1971</v>
      </c>
    </row>
    <row r="189" spans="1:13" x14ac:dyDescent="0.3">
      <c r="A189" s="61" t="s">
        <v>2010</v>
      </c>
      <c r="B189" s="62" t="s">
        <v>704</v>
      </c>
      <c r="C189" s="62" t="s">
        <v>705</v>
      </c>
      <c r="D189" s="63">
        <v>44776</v>
      </c>
      <c r="E189" s="63">
        <v>46236</v>
      </c>
      <c r="F189" s="62" t="s">
        <v>1934</v>
      </c>
      <c r="G189" s="62" t="s">
        <v>526</v>
      </c>
      <c r="H189" s="62" t="s">
        <v>481</v>
      </c>
      <c r="I189" s="62" t="s">
        <v>354</v>
      </c>
      <c r="J189" s="62" t="s">
        <v>458</v>
      </c>
      <c r="K189" s="62" t="s">
        <v>459</v>
      </c>
      <c r="L189" s="62" t="s">
        <v>2421</v>
      </c>
      <c r="M189" s="66" t="s">
        <v>1971</v>
      </c>
    </row>
    <row r="190" spans="1:13" x14ac:dyDescent="0.3">
      <c r="A190" s="61" t="s">
        <v>2010</v>
      </c>
      <c r="B190" s="62" t="s">
        <v>704</v>
      </c>
      <c r="C190" s="62" t="s">
        <v>705</v>
      </c>
      <c r="D190" s="63">
        <v>44776</v>
      </c>
      <c r="E190" s="63">
        <v>46236</v>
      </c>
      <c r="F190" s="62" t="s">
        <v>1921</v>
      </c>
      <c r="G190" s="62" t="s">
        <v>620</v>
      </c>
      <c r="H190" s="62" t="s">
        <v>481</v>
      </c>
      <c r="I190" s="62" t="s">
        <v>354</v>
      </c>
      <c r="J190" s="62" t="s">
        <v>458</v>
      </c>
      <c r="K190" s="62" t="s">
        <v>459</v>
      </c>
      <c r="L190" s="62" t="s">
        <v>2421</v>
      </c>
      <c r="M190" s="66" t="s">
        <v>1971</v>
      </c>
    </row>
    <row r="191" spans="1:13" x14ac:dyDescent="0.3">
      <c r="A191" s="61" t="s">
        <v>2011</v>
      </c>
      <c r="B191" s="62" t="s">
        <v>707</v>
      </c>
      <c r="C191" s="62" t="s">
        <v>708</v>
      </c>
      <c r="D191" s="63">
        <v>44757</v>
      </c>
      <c r="E191" s="63">
        <v>46036</v>
      </c>
      <c r="F191" s="62" t="s">
        <v>1958</v>
      </c>
      <c r="G191" s="62" t="s">
        <v>328</v>
      </c>
      <c r="H191" s="62" t="s">
        <v>522</v>
      </c>
      <c r="I191" s="62" t="s">
        <v>356</v>
      </c>
      <c r="J191" s="62" t="s">
        <v>357</v>
      </c>
      <c r="K191" s="62" t="s">
        <v>358</v>
      </c>
      <c r="L191" s="62" t="s">
        <v>2421</v>
      </c>
      <c r="M191" s="66" t="s">
        <v>1971</v>
      </c>
    </row>
    <row r="192" spans="1:13" x14ac:dyDescent="0.3">
      <c r="A192" s="61" t="s">
        <v>2011</v>
      </c>
      <c r="B192" s="62" t="s">
        <v>707</v>
      </c>
      <c r="C192" s="62" t="s">
        <v>708</v>
      </c>
      <c r="D192" s="63">
        <v>44757</v>
      </c>
      <c r="E192" s="63">
        <v>46036</v>
      </c>
      <c r="F192" s="62" t="s">
        <v>1958</v>
      </c>
      <c r="G192" s="62" t="s">
        <v>329</v>
      </c>
      <c r="H192" s="62" t="s">
        <v>522</v>
      </c>
      <c r="I192" s="62" t="s">
        <v>356</v>
      </c>
      <c r="J192" s="62" t="s">
        <v>357</v>
      </c>
      <c r="K192" s="62" t="s">
        <v>358</v>
      </c>
      <c r="L192" s="62" t="s">
        <v>2421</v>
      </c>
      <c r="M192" s="66" t="s">
        <v>1971</v>
      </c>
    </row>
    <row r="193" spans="1:13" x14ac:dyDescent="0.3">
      <c r="A193" s="61" t="s">
        <v>2011</v>
      </c>
      <c r="B193" s="62" t="s">
        <v>707</v>
      </c>
      <c r="C193" s="62" t="s">
        <v>708</v>
      </c>
      <c r="D193" s="63">
        <v>44757</v>
      </c>
      <c r="E193" s="63">
        <v>46036</v>
      </c>
      <c r="F193" s="62" t="s">
        <v>1958</v>
      </c>
      <c r="G193" s="62" t="s">
        <v>330</v>
      </c>
      <c r="H193" s="62" t="s">
        <v>522</v>
      </c>
      <c r="I193" s="62" t="s">
        <v>356</v>
      </c>
      <c r="J193" s="62" t="s">
        <v>357</v>
      </c>
      <c r="K193" s="62" t="s">
        <v>358</v>
      </c>
      <c r="L193" s="62" t="s">
        <v>2421</v>
      </c>
      <c r="M193" s="66" t="s">
        <v>1971</v>
      </c>
    </row>
    <row r="194" spans="1:13" x14ac:dyDescent="0.3">
      <c r="A194" s="61" t="s">
        <v>2011</v>
      </c>
      <c r="B194" s="62" t="s">
        <v>707</v>
      </c>
      <c r="C194" s="62" t="s">
        <v>708</v>
      </c>
      <c r="D194" s="63">
        <v>44757</v>
      </c>
      <c r="E194" s="63">
        <v>46036</v>
      </c>
      <c r="F194" s="62" t="s">
        <v>1958</v>
      </c>
      <c r="G194" s="62" t="s">
        <v>331</v>
      </c>
      <c r="H194" s="62" t="s">
        <v>522</v>
      </c>
      <c r="I194" s="62" t="s">
        <v>356</v>
      </c>
      <c r="J194" s="62" t="s">
        <v>357</v>
      </c>
      <c r="K194" s="62" t="s">
        <v>358</v>
      </c>
      <c r="L194" s="62" t="s">
        <v>2421</v>
      </c>
      <c r="M194" s="66" t="s">
        <v>1971</v>
      </c>
    </row>
    <row r="195" spans="1:13" x14ac:dyDescent="0.3">
      <c r="A195" s="61" t="s">
        <v>2011</v>
      </c>
      <c r="B195" s="62" t="s">
        <v>707</v>
      </c>
      <c r="C195" s="62" t="s">
        <v>708</v>
      </c>
      <c r="D195" s="63">
        <v>44757</v>
      </c>
      <c r="E195" s="63">
        <v>46036</v>
      </c>
      <c r="F195" s="62" t="s">
        <v>1958</v>
      </c>
      <c r="G195" s="62" t="s">
        <v>332</v>
      </c>
      <c r="H195" s="62" t="s">
        <v>522</v>
      </c>
      <c r="I195" s="62" t="s">
        <v>356</v>
      </c>
      <c r="J195" s="62" t="s">
        <v>357</v>
      </c>
      <c r="K195" s="62" t="s">
        <v>358</v>
      </c>
      <c r="L195" s="62" t="s">
        <v>2421</v>
      </c>
      <c r="M195" s="66" t="s">
        <v>1971</v>
      </c>
    </row>
    <row r="196" spans="1:13" x14ac:dyDescent="0.3">
      <c r="A196" s="61" t="s">
        <v>2011</v>
      </c>
      <c r="B196" s="62" t="s">
        <v>707</v>
      </c>
      <c r="C196" s="62" t="s">
        <v>708</v>
      </c>
      <c r="D196" s="63">
        <v>44757</v>
      </c>
      <c r="E196" s="63">
        <v>46036</v>
      </c>
      <c r="F196" s="62" t="s">
        <v>1958</v>
      </c>
      <c r="G196" s="62" t="s">
        <v>333</v>
      </c>
      <c r="H196" s="62" t="s">
        <v>522</v>
      </c>
      <c r="I196" s="62" t="s">
        <v>356</v>
      </c>
      <c r="J196" s="62" t="s">
        <v>357</v>
      </c>
      <c r="K196" s="62" t="s">
        <v>358</v>
      </c>
      <c r="L196" s="62" t="s">
        <v>2421</v>
      </c>
      <c r="M196" s="66" t="s">
        <v>1971</v>
      </c>
    </row>
    <row r="197" spans="1:13" x14ac:dyDescent="0.3">
      <c r="A197" s="61" t="s">
        <v>2011</v>
      </c>
      <c r="B197" s="62" t="s">
        <v>707</v>
      </c>
      <c r="C197" s="62" t="s">
        <v>708</v>
      </c>
      <c r="D197" s="63">
        <v>44757</v>
      </c>
      <c r="E197" s="63">
        <v>46036</v>
      </c>
      <c r="F197" s="62" t="s">
        <v>1958</v>
      </c>
      <c r="G197" s="62" t="s">
        <v>334</v>
      </c>
      <c r="H197" s="62" t="s">
        <v>522</v>
      </c>
      <c r="I197" s="62" t="s">
        <v>356</v>
      </c>
      <c r="J197" s="62" t="s">
        <v>357</v>
      </c>
      <c r="K197" s="62" t="s">
        <v>358</v>
      </c>
      <c r="L197" s="62" t="s">
        <v>2421</v>
      </c>
      <c r="M197" s="66" t="s">
        <v>1971</v>
      </c>
    </row>
    <row r="198" spans="1:13" x14ac:dyDescent="0.3">
      <c r="A198" s="61" t="s">
        <v>2011</v>
      </c>
      <c r="B198" s="62" t="s">
        <v>707</v>
      </c>
      <c r="C198" s="62" t="s">
        <v>708</v>
      </c>
      <c r="D198" s="63">
        <v>44757</v>
      </c>
      <c r="E198" s="63">
        <v>46036</v>
      </c>
      <c r="F198" s="62" t="s">
        <v>1958</v>
      </c>
      <c r="G198" s="62" t="s">
        <v>335</v>
      </c>
      <c r="H198" s="62" t="s">
        <v>522</v>
      </c>
      <c r="I198" s="62" t="s">
        <v>356</v>
      </c>
      <c r="J198" s="62" t="s">
        <v>357</v>
      </c>
      <c r="K198" s="62" t="s">
        <v>358</v>
      </c>
      <c r="L198" s="62" t="s">
        <v>2421</v>
      </c>
      <c r="M198" s="66" t="s">
        <v>1971</v>
      </c>
    </row>
    <row r="199" spans="1:13" x14ac:dyDescent="0.3">
      <c r="A199" s="61" t="s">
        <v>2012</v>
      </c>
      <c r="B199" s="62" t="s">
        <v>716</v>
      </c>
      <c r="C199" s="62" t="s">
        <v>717</v>
      </c>
      <c r="D199" s="63">
        <v>44522</v>
      </c>
      <c r="E199" s="63">
        <v>46112</v>
      </c>
      <c r="F199" s="62" t="s">
        <v>289</v>
      </c>
      <c r="G199" s="62" t="s">
        <v>304</v>
      </c>
      <c r="H199" s="62" t="s">
        <v>2425</v>
      </c>
      <c r="I199" s="62" t="s">
        <v>354</v>
      </c>
      <c r="J199" s="62" t="s">
        <v>458</v>
      </c>
      <c r="K199" s="62" t="s">
        <v>459</v>
      </c>
      <c r="L199" s="62" t="s">
        <v>2421</v>
      </c>
      <c r="M199" s="66" t="s">
        <v>1971</v>
      </c>
    </row>
    <row r="200" spans="1:13" x14ac:dyDescent="0.3">
      <c r="A200" s="61" t="s">
        <v>2012</v>
      </c>
      <c r="B200" s="62" t="s">
        <v>716</v>
      </c>
      <c r="C200" s="62" t="s">
        <v>717</v>
      </c>
      <c r="D200" s="63">
        <v>44522</v>
      </c>
      <c r="E200" s="63">
        <v>46112</v>
      </c>
      <c r="F200" s="62" t="s">
        <v>289</v>
      </c>
      <c r="G200" s="62" t="s">
        <v>304</v>
      </c>
      <c r="H200" s="62" t="s">
        <v>718</v>
      </c>
      <c r="I200" s="62" t="s">
        <v>354</v>
      </c>
      <c r="J200" s="62" t="s">
        <v>458</v>
      </c>
      <c r="K200" s="62" t="s">
        <v>459</v>
      </c>
      <c r="L200" s="62" t="s">
        <v>2421</v>
      </c>
      <c r="M200" s="66" t="s">
        <v>1971</v>
      </c>
    </row>
    <row r="201" spans="1:13" x14ac:dyDescent="0.3">
      <c r="A201" s="61" t="s">
        <v>2428</v>
      </c>
      <c r="B201" s="62" t="s">
        <v>2429</v>
      </c>
      <c r="C201" s="62" t="s">
        <v>2430</v>
      </c>
      <c r="D201" s="63">
        <v>44749</v>
      </c>
      <c r="E201" s="63">
        <v>46210</v>
      </c>
      <c r="F201" s="62" t="s">
        <v>1944</v>
      </c>
      <c r="G201" s="62" t="s">
        <v>2431</v>
      </c>
      <c r="H201" s="62" t="s">
        <v>2432</v>
      </c>
      <c r="I201" s="62" t="s">
        <v>313</v>
      </c>
      <c r="J201" s="62" t="s">
        <v>724</v>
      </c>
      <c r="K201" s="62" t="s">
        <v>637</v>
      </c>
      <c r="L201" s="62" t="s">
        <v>2421</v>
      </c>
      <c r="M201" s="66" t="s">
        <v>1969</v>
      </c>
    </row>
    <row r="202" spans="1:13" x14ac:dyDescent="0.3">
      <c r="A202" s="61" t="s">
        <v>2428</v>
      </c>
      <c r="B202" s="62" t="s">
        <v>2429</v>
      </c>
      <c r="C202" s="62" t="s">
        <v>2430</v>
      </c>
      <c r="D202" s="63">
        <v>44749</v>
      </c>
      <c r="E202" s="63">
        <v>46210</v>
      </c>
      <c r="F202" s="62" t="s">
        <v>1944</v>
      </c>
      <c r="G202" s="62" t="s">
        <v>680</v>
      </c>
      <c r="H202" s="62" t="s">
        <v>2432</v>
      </c>
      <c r="I202" s="62" t="s">
        <v>313</v>
      </c>
      <c r="J202" s="62" t="s">
        <v>724</v>
      </c>
      <c r="K202" s="62" t="s">
        <v>637</v>
      </c>
      <c r="L202" s="62" t="s">
        <v>2421</v>
      </c>
      <c r="M202" s="66" t="s">
        <v>1969</v>
      </c>
    </row>
    <row r="203" spans="1:13" x14ac:dyDescent="0.3">
      <c r="A203" s="61" t="s">
        <v>2428</v>
      </c>
      <c r="B203" s="62" t="s">
        <v>2429</v>
      </c>
      <c r="C203" s="62" t="s">
        <v>2430</v>
      </c>
      <c r="D203" s="63">
        <v>44749</v>
      </c>
      <c r="E203" s="63">
        <v>46210</v>
      </c>
      <c r="F203" s="62" t="s">
        <v>1944</v>
      </c>
      <c r="G203" s="62" t="s">
        <v>2434</v>
      </c>
      <c r="H203" s="62" t="s">
        <v>2432</v>
      </c>
      <c r="I203" s="62" t="s">
        <v>313</v>
      </c>
      <c r="J203" s="62" t="s">
        <v>724</v>
      </c>
      <c r="K203" s="62" t="s">
        <v>637</v>
      </c>
      <c r="L203" s="62" t="s">
        <v>2421</v>
      </c>
      <c r="M203" s="66" t="s">
        <v>1969</v>
      </c>
    </row>
    <row r="204" spans="1:13" x14ac:dyDescent="0.3">
      <c r="A204" s="61" t="s">
        <v>2428</v>
      </c>
      <c r="B204" s="62" t="s">
        <v>2429</v>
      </c>
      <c r="C204" s="62" t="s">
        <v>2430</v>
      </c>
      <c r="D204" s="63">
        <v>44749</v>
      </c>
      <c r="E204" s="63">
        <v>46210</v>
      </c>
      <c r="F204" s="62" t="s">
        <v>1944</v>
      </c>
      <c r="G204" s="62" t="s">
        <v>725</v>
      </c>
      <c r="H204" s="62" t="s">
        <v>2432</v>
      </c>
      <c r="I204" s="62" t="s">
        <v>313</v>
      </c>
      <c r="J204" s="62" t="s">
        <v>724</v>
      </c>
      <c r="K204" s="62" t="s">
        <v>637</v>
      </c>
      <c r="L204" s="62" t="s">
        <v>2421</v>
      </c>
      <c r="M204" s="66" t="s">
        <v>1969</v>
      </c>
    </row>
    <row r="205" spans="1:13" x14ac:dyDescent="0.3">
      <c r="A205" s="61" t="s">
        <v>2428</v>
      </c>
      <c r="B205" s="62" t="s">
        <v>2429</v>
      </c>
      <c r="C205" s="62" t="s">
        <v>2430</v>
      </c>
      <c r="D205" s="63">
        <v>44749</v>
      </c>
      <c r="E205" s="63">
        <v>46210</v>
      </c>
      <c r="F205" s="62" t="s">
        <v>1944</v>
      </c>
      <c r="G205" s="62" t="s">
        <v>2435</v>
      </c>
      <c r="H205" s="62" t="s">
        <v>2432</v>
      </c>
      <c r="I205" s="62" t="s">
        <v>313</v>
      </c>
      <c r="J205" s="62" t="s">
        <v>724</v>
      </c>
      <c r="K205" s="62" t="s">
        <v>637</v>
      </c>
      <c r="L205" s="62" t="s">
        <v>2421</v>
      </c>
      <c r="M205" s="66" t="s">
        <v>1969</v>
      </c>
    </row>
    <row r="206" spans="1:13" x14ac:dyDescent="0.3">
      <c r="A206" s="61" t="s">
        <v>2428</v>
      </c>
      <c r="B206" s="62" t="s">
        <v>2429</v>
      </c>
      <c r="C206" s="62" t="s">
        <v>2430</v>
      </c>
      <c r="D206" s="63">
        <v>44749</v>
      </c>
      <c r="E206" s="63">
        <v>46210</v>
      </c>
      <c r="F206" s="62" t="s">
        <v>1944</v>
      </c>
      <c r="G206" s="62" t="s">
        <v>518</v>
      </c>
      <c r="H206" s="62" t="s">
        <v>2432</v>
      </c>
      <c r="I206" s="62" t="s">
        <v>313</v>
      </c>
      <c r="J206" s="62" t="s">
        <v>724</v>
      </c>
      <c r="K206" s="62" t="s">
        <v>637</v>
      </c>
      <c r="L206" s="62" t="s">
        <v>2421</v>
      </c>
      <c r="M206" s="66" t="s">
        <v>1969</v>
      </c>
    </row>
    <row r="207" spans="1:13" x14ac:dyDescent="0.3">
      <c r="A207" s="61" t="s">
        <v>2428</v>
      </c>
      <c r="B207" s="62" t="s">
        <v>2429</v>
      </c>
      <c r="C207" s="62" t="s">
        <v>2430</v>
      </c>
      <c r="D207" s="63">
        <v>44749</v>
      </c>
      <c r="E207" s="63">
        <v>46210</v>
      </c>
      <c r="F207" s="62" t="s">
        <v>1944</v>
      </c>
      <c r="G207" s="62" t="s">
        <v>726</v>
      </c>
      <c r="H207" s="62" t="s">
        <v>2432</v>
      </c>
      <c r="I207" s="62" t="s">
        <v>313</v>
      </c>
      <c r="J207" s="62" t="s">
        <v>724</v>
      </c>
      <c r="K207" s="62" t="s">
        <v>637</v>
      </c>
      <c r="L207" s="62" t="s">
        <v>2421</v>
      </c>
      <c r="M207" s="66" t="s">
        <v>1969</v>
      </c>
    </row>
    <row r="208" spans="1:13" x14ac:dyDescent="0.3">
      <c r="A208" s="61" t="s">
        <v>2428</v>
      </c>
      <c r="B208" s="62" t="s">
        <v>2429</v>
      </c>
      <c r="C208" s="62" t="s">
        <v>2430</v>
      </c>
      <c r="D208" s="63">
        <v>44749</v>
      </c>
      <c r="E208" s="63">
        <v>46210</v>
      </c>
      <c r="F208" s="62" t="s">
        <v>1934</v>
      </c>
      <c r="G208" s="62" t="s">
        <v>727</v>
      </c>
      <c r="H208" s="62" t="s">
        <v>2432</v>
      </c>
      <c r="I208" s="62" t="s">
        <v>313</v>
      </c>
      <c r="J208" s="62" t="s">
        <v>724</v>
      </c>
      <c r="K208" s="62" t="s">
        <v>637</v>
      </c>
      <c r="L208" s="62" t="s">
        <v>2421</v>
      </c>
      <c r="M208" s="66" t="s">
        <v>1969</v>
      </c>
    </row>
    <row r="209" spans="1:13" x14ac:dyDescent="0.3">
      <c r="A209" s="61" t="s">
        <v>2428</v>
      </c>
      <c r="B209" s="62" t="s">
        <v>2429</v>
      </c>
      <c r="C209" s="62" t="s">
        <v>2430</v>
      </c>
      <c r="D209" s="63">
        <v>44749</v>
      </c>
      <c r="E209" s="63">
        <v>46210</v>
      </c>
      <c r="F209" s="62" t="s">
        <v>1934</v>
      </c>
      <c r="G209" s="62" t="s">
        <v>524</v>
      </c>
      <c r="H209" s="62" t="s">
        <v>2432</v>
      </c>
      <c r="I209" s="62" t="s">
        <v>313</v>
      </c>
      <c r="J209" s="62" t="s">
        <v>724</v>
      </c>
      <c r="K209" s="62" t="s">
        <v>637</v>
      </c>
      <c r="L209" s="62" t="s">
        <v>2421</v>
      </c>
      <c r="M209" s="66" t="s">
        <v>1969</v>
      </c>
    </row>
    <row r="210" spans="1:13" x14ac:dyDescent="0.3">
      <c r="A210" s="61" t="s">
        <v>2428</v>
      </c>
      <c r="B210" s="62" t="s">
        <v>2429</v>
      </c>
      <c r="C210" s="62" t="s">
        <v>2430</v>
      </c>
      <c r="D210" s="63">
        <v>44749</v>
      </c>
      <c r="E210" s="63">
        <v>46210</v>
      </c>
      <c r="F210" s="62" t="s">
        <v>1934</v>
      </c>
      <c r="G210" s="62" t="s">
        <v>525</v>
      </c>
      <c r="H210" s="62" t="s">
        <v>2432</v>
      </c>
      <c r="I210" s="62" t="s">
        <v>313</v>
      </c>
      <c r="J210" s="62" t="s">
        <v>724</v>
      </c>
      <c r="K210" s="62" t="s">
        <v>637</v>
      </c>
      <c r="L210" s="62" t="s">
        <v>2421</v>
      </c>
      <c r="M210" s="66" t="s">
        <v>1969</v>
      </c>
    </row>
    <row r="211" spans="1:13" x14ac:dyDescent="0.3">
      <c r="A211" s="61" t="s">
        <v>2428</v>
      </c>
      <c r="B211" s="62" t="s">
        <v>2429</v>
      </c>
      <c r="C211" s="62" t="s">
        <v>2430</v>
      </c>
      <c r="D211" s="63">
        <v>44749</v>
      </c>
      <c r="E211" s="63">
        <v>46210</v>
      </c>
      <c r="F211" s="62" t="s">
        <v>1934</v>
      </c>
      <c r="G211" s="62" t="s">
        <v>477</v>
      </c>
      <c r="H211" s="62" t="s">
        <v>2432</v>
      </c>
      <c r="I211" s="62" t="s">
        <v>313</v>
      </c>
      <c r="J211" s="62" t="s">
        <v>724</v>
      </c>
      <c r="K211" s="62" t="s">
        <v>637</v>
      </c>
      <c r="L211" s="62" t="s">
        <v>2421</v>
      </c>
      <c r="M211" s="66" t="s">
        <v>1969</v>
      </c>
    </row>
    <row r="212" spans="1:13" x14ac:dyDescent="0.3">
      <c r="A212" s="61" t="s">
        <v>2013</v>
      </c>
      <c r="B212" s="62" t="s">
        <v>728</v>
      </c>
      <c r="C212" s="62" t="s">
        <v>729</v>
      </c>
      <c r="D212" s="63">
        <v>44834</v>
      </c>
      <c r="E212" s="63">
        <v>46295</v>
      </c>
      <c r="F212" s="62" t="s">
        <v>1936</v>
      </c>
      <c r="G212" s="62" t="s">
        <v>730</v>
      </c>
      <c r="H212" s="62" t="s">
        <v>481</v>
      </c>
      <c r="I212" s="62" t="s">
        <v>354</v>
      </c>
      <c r="J212" s="62" t="s">
        <v>616</v>
      </c>
      <c r="K212" s="62" t="s">
        <v>459</v>
      </c>
      <c r="L212" s="62" t="s">
        <v>2421</v>
      </c>
      <c r="M212" s="66" t="s">
        <v>1969</v>
      </c>
    </row>
    <row r="213" spans="1:13" x14ac:dyDescent="0.3">
      <c r="A213" s="61" t="s">
        <v>2013</v>
      </c>
      <c r="B213" s="62" t="s">
        <v>728</v>
      </c>
      <c r="C213" s="62" t="s">
        <v>729</v>
      </c>
      <c r="D213" s="63">
        <v>44834</v>
      </c>
      <c r="E213" s="63">
        <v>46295</v>
      </c>
      <c r="F213" s="62" t="s">
        <v>1936</v>
      </c>
      <c r="G213" s="62" t="s">
        <v>547</v>
      </c>
      <c r="H213" s="62" t="s">
        <v>481</v>
      </c>
      <c r="I213" s="62" t="s">
        <v>354</v>
      </c>
      <c r="J213" s="62" t="s">
        <v>616</v>
      </c>
      <c r="K213" s="62" t="s">
        <v>459</v>
      </c>
      <c r="L213" s="62" t="s">
        <v>2421</v>
      </c>
      <c r="M213" s="66" t="s">
        <v>1969</v>
      </c>
    </row>
    <row r="214" spans="1:13" x14ac:dyDescent="0.3">
      <c r="A214" s="61" t="s">
        <v>2013</v>
      </c>
      <c r="B214" s="62" t="s">
        <v>728</v>
      </c>
      <c r="C214" s="62" t="s">
        <v>729</v>
      </c>
      <c r="D214" s="63">
        <v>44834</v>
      </c>
      <c r="E214" s="63">
        <v>46295</v>
      </c>
      <c r="F214" s="62" t="s">
        <v>1931</v>
      </c>
      <c r="G214" s="62" t="s">
        <v>304</v>
      </c>
      <c r="H214" s="62" t="s">
        <v>481</v>
      </c>
      <c r="I214" s="62" t="s">
        <v>354</v>
      </c>
      <c r="J214" s="62" t="s">
        <v>616</v>
      </c>
      <c r="K214" s="62" t="s">
        <v>459</v>
      </c>
      <c r="L214" s="62" t="s">
        <v>2421</v>
      </c>
      <c r="M214" s="66" t="s">
        <v>1969</v>
      </c>
    </row>
    <row r="215" spans="1:13" x14ac:dyDescent="0.3">
      <c r="A215" s="61" t="s">
        <v>2013</v>
      </c>
      <c r="B215" s="62" t="s">
        <v>728</v>
      </c>
      <c r="C215" s="62" t="s">
        <v>729</v>
      </c>
      <c r="D215" s="63">
        <v>44834</v>
      </c>
      <c r="E215" s="63">
        <v>46295</v>
      </c>
      <c r="F215" s="62" t="s">
        <v>282</v>
      </c>
      <c r="G215" s="62" t="s">
        <v>304</v>
      </c>
      <c r="H215" s="62" t="s">
        <v>481</v>
      </c>
      <c r="I215" s="62" t="s">
        <v>354</v>
      </c>
      <c r="J215" s="62" t="s">
        <v>616</v>
      </c>
      <c r="K215" s="62" t="s">
        <v>459</v>
      </c>
      <c r="L215" s="62" t="s">
        <v>2421</v>
      </c>
      <c r="M215" s="66" t="s">
        <v>1969</v>
      </c>
    </row>
    <row r="216" spans="1:13" x14ac:dyDescent="0.3">
      <c r="A216" s="61" t="s">
        <v>2013</v>
      </c>
      <c r="B216" s="62" t="s">
        <v>728</v>
      </c>
      <c r="C216" s="62" t="s">
        <v>729</v>
      </c>
      <c r="D216" s="63">
        <v>44834</v>
      </c>
      <c r="E216" s="63">
        <v>46295</v>
      </c>
      <c r="F216" s="62" t="s">
        <v>1935</v>
      </c>
      <c r="G216" s="62" t="s">
        <v>304</v>
      </c>
      <c r="H216" s="62" t="s">
        <v>481</v>
      </c>
      <c r="I216" s="62" t="s">
        <v>354</v>
      </c>
      <c r="J216" s="62" t="s">
        <v>616</v>
      </c>
      <c r="K216" s="62" t="s">
        <v>459</v>
      </c>
      <c r="L216" s="62" t="s">
        <v>2421</v>
      </c>
      <c r="M216" s="66" t="s">
        <v>1969</v>
      </c>
    </row>
    <row r="217" spans="1:13" x14ac:dyDescent="0.3">
      <c r="A217" s="61" t="s">
        <v>2013</v>
      </c>
      <c r="B217" s="62" t="s">
        <v>728</v>
      </c>
      <c r="C217" s="62" t="s">
        <v>729</v>
      </c>
      <c r="D217" s="63">
        <v>44834</v>
      </c>
      <c r="E217" s="63">
        <v>46295</v>
      </c>
      <c r="F217" s="62" t="s">
        <v>286</v>
      </c>
      <c r="G217" s="62" t="s">
        <v>304</v>
      </c>
      <c r="H217" s="62" t="s">
        <v>481</v>
      </c>
      <c r="I217" s="62" t="s">
        <v>354</v>
      </c>
      <c r="J217" s="62" t="s">
        <v>616</v>
      </c>
      <c r="K217" s="62" t="s">
        <v>459</v>
      </c>
      <c r="L217" s="62" t="s">
        <v>2421</v>
      </c>
      <c r="M217" s="66" t="s">
        <v>1969</v>
      </c>
    </row>
    <row r="218" spans="1:13" x14ac:dyDescent="0.3">
      <c r="A218" s="61" t="s">
        <v>2013</v>
      </c>
      <c r="B218" s="62" t="s">
        <v>728</v>
      </c>
      <c r="C218" s="62" t="s">
        <v>729</v>
      </c>
      <c r="D218" s="63">
        <v>44834</v>
      </c>
      <c r="E218" s="63">
        <v>46295</v>
      </c>
      <c r="F218" s="62" t="s">
        <v>1921</v>
      </c>
      <c r="G218" s="62" t="s">
        <v>304</v>
      </c>
      <c r="H218" s="62" t="s">
        <v>481</v>
      </c>
      <c r="I218" s="62" t="s">
        <v>354</v>
      </c>
      <c r="J218" s="62" t="s">
        <v>616</v>
      </c>
      <c r="K218" s="62" t="s">
        <v>459</v>
      </c>
      <c r="L218" s="62" t="s">
        <v>2421</v>
      </c>
      <c r="M218" s="66" t="s">
        <v>1969</v>
      </c>
    </row>
    <row r="219" spans="1:13" x14ac:dyDescent="0.3">
      <c r="A219" s="61" t="s">
        <v>2013</v>
      </c>
      <c r="B219" s="62" t="s">
        <v>728</v>
      </c>
      <c r="C219" s="62" t="s">
        <v>729</v>
      </c>
      <c r="D219" s="63">
        <v>44834</v>
      </c>
      <c r="E219" s="63">
        <v>46295</v>
      </c>
      <c r="F219" s="62" t="s">
        <v>1940</v>
      </c>
      <c r="G219" s="62" t="s">
        <v>304</v>
      </c>
      <c r="H219" s="62" t="s">
        <v>481</v>
      </c>
      <c r="I219" s="62" t="s">
        <v>354</v>
      </c>
      <c r="J219" s="62" t="s">
        <v>616</v>
      </c>
      <c r="K219" s="62" t="s">
        <v>459</v>
      </c>
      <c r="L219" s="62" t="s">
        <v>2421</v>
      </c>
      <c r="M219" s="66" t="s">
        <v>1969</v>
      </c>
    </row>
    <row r="220" spans="1:13" x14ac:dyDescent="0.3">
      <c r="A220" s="61" t="s">
        <v>2013</v>
      </c>
      <c r="B220" s="62" t="s">
        <v>728</v>
      </c>
      <c r="C220" s="62" t="s">
        <v>729</v>
      </c>
      <c r="D220" s="63">
        <v>44834</v>
      </c>
      <c r="E220" s="63">
        <v>46295</v>
      </c>
      <c r="F220" s="62" t="s">
        <v>289</v>
      </c>
      <c r="G220" s="62" t="s">
        <v>304</v>
      </c>
      <c r="H220" s="62" t="s">
        <v>481</v>
      </c>
      <c r="I220" s="62" t="s">
        <v>354</v>
      </c>
      <c r="J220" s="62" t="s">
        <v>616</v>
      </c>
      <c r="K220" s="62" t="s">
        <v>459</v>
      </c>
      <c r="L220" s="62" t="s">
        <v>2421</v>
      </c>
      <c r="M220" s="66" t="s">
        <v>1969</v>
      </c>
    </row>
    <row r="221" spans="1:13" x14ac:dyDescent="0.3">
      <c r="A221" s="61" t="s">
        <v>2013</v>
      </c>
      <c r="B221" s="62" t="s">
        <v>728</v>
      </c>
      <c r="C221" s="62" t="s">
        <v>729</v>
      </c>
      <c r="D221" s="63">
        <v>44834</v>
      </c>
      <c r="E221" s="63">
        <v>46295</v>
      </c>
      <c r="F221" s="62" t="s">
        <v>1933</v>
      </c>
      <c r="G221" s="62" t="s">
        <v>304</v>
      </c>
      <c r="H221" s="62" t="s">
        <v>481</v>
      </c>
      <c r="I221" s="62" t="s">
        <v>354</v>
      </c>
      <c r="J221" s="62" t="s">
        <v>616</v>
      </c>
      <c r="K221" s="62" t="s">
        <v>459</v>
      </c>
      <c r="L221" s="62" t="s">
        <v>2421</v>
      </c>
      <c r="M221" s="66" t="s">
        <v>1969</v>
      </c>
    </row>
    <row r="222" spans="1:13" x14ac:dyDescent="0.3">
      <c r="A222" s="61" t="s">
        <v>2013</v>
      </c>
      <c r="B222" s="62" t="s">
        <v>728</v>
      </c>
      <c r="C222" s="62" t="s">
        <v>729</v>
      </c>
      <c r="D222" s="63">
        <v>44834</v>
      </c>
      <c r="E222" s="63">
        <v>46295</v>
      </c>
      <c r="F222" s="62" t="s">
        <v>1937</v>
      </c>
      <c r="G222" s="62" t="s">
        <v>304</v>
      </c>
      <c r="H222" s="62" t="s">
        <v>481</v>
      </c>
      <c r="I222" s="62" t="s">
        <v>354</v>
      </c>
      <c r="J222" s="62" t="s">
        <v>616</v>
      </c>
      <c r="K222" s="62" t="s">
        <v>459</v>
      </c>
      <c r="L222" s="62" t="s">
        <v>2421</v>
      </c>
      <c r="M222" s="66" t="s">
        <v>1969</v>
      </c>
    </row>
    <row r="223" spans="1:13" x14ac:dyDescent="0.3">
      <c r="A223" s="61" t="s">
        <v>2013</v>
      </c>
      <c r="B223" s="62" t="s">
        <v>728</v>
      </c>
      <c r="C223" s="62" t="s">
        <v>729</v>
      </c>
      <c r="D223" s="63">
        <v>44834</v>
      </c>
      <c r="E223" s="63">
        <v>46295</v>
      </c>
      <c r="F223" s="62" t="s">
        <v>1922</v>
      </c>
      <c r="G223" s="62" t="s">
        <v>304</v>
      </c>
      <c r="H223" s="62" t="s">
        <v>481</v>
      </c>
      <c r="I223" s="62" t="s">
        <v>354</v>
      </c>
      <c r="J223" s="62" t="s">
        <v>616</v>
      </c>
      <c r="K223" s="62" t="s">
        <v>459</v>
      </c>
      <c r="L223" s="62" t="s">
        <v>2421</v>
      </c>
      <c r="M223" s="66" t="s">
        <v>1969</v>
      </c>
    </row>
    <row r="224" spans="1:13" x14ac:dyDescent="0.3">
      <c r="A224" s="61" t="s">
        <v>2013</v>
      </c>
      <c r="B224" s="62" t="s">
        <v>728</v>
      </c>
      <c r="C224" s="62" t="s">
        <v>729</v>
      </c>
      <c r="D224" s="63">
        <v>44834</v>
      </c>
      <c r="E224" s="63">
        <v>46295</v>
      </c>
      <c r="F224" s="62" t="s">
        <v>1943</v>
      </c>
      <c r="G224" s="62" t="s">
        <v>304</v>
      </c>
      <c r="H224" s="62" t="s">
        <v>481</v>
      </c>
      <c r="I224" s="62" t="s">
        <v>354</v>
      </c>
      <c r="J224" s="62" t="s">
        <v>616</v>
      </c>
      <c r="K224" s="62" t="s">
        <v>459</v>
      </c>
      <c r="L224" s="62" t="s">
        <v>2421</v>
      </c>
      <c r="M224" s="66" t="s">
        <v>1969</v>
      </c>
    </row>
    <row r="225" spans="1:13" x14ac:dyDescent="0.3">
      <c r="A225" s="61" t="s">
        <v>2013</v>
      </c>
      <c r="B225" s="62" t="s">
        <v>728</v>
      </c>
      <c r="C225" s="62" t="s">
        <v>729</v>
      </c>
      <c r="D225" s="63">
        <v>44834</v>
      </c>
      <c r="E225" s="63">
        <v>46295</v>
      </c>
      <c r="F225" s="62" t="s">
        <v>1934</v>
      </c>
      <c r="G225" s="62" t="s">
        <v>304</v>
      </c>
      <c r="H225" s="62" t="s">
        <v>481</v>
      </c>
      <c r="I225" s="62" t="s">
        <v>354</v>
      </c>
      <c r="J225" s="62" t="s">
        <v>616</v>
      </c>
      <c r="K225" s="62" t="s">
        <v>459</v>
      </c>
      <c r="L225" s="62" t="s">
        <v>2421</v>
      </c>
      <c r="M225" s="66" t="s">
        <v>1969</v>
      </c>
    </row>
    <row r="226" spans="1:13" x14ac:dyDescent="0.3">
      <c r="A226" s="61" t="s">
        <v>2013</v>
      </c>
      <c r="B226" s="62" t="s">
        <v>728</v>
      </c>
      <c r="C226" s="62" t="s">
        <v>729</v>
      </c>
      <c r="D226" s="63">
        <v>44834</v>
      </c>
      <c r="E226" s="63">
        <v>46295</v>
      </c>
      <c r="F226" s="62" t="s">
        <v>1939</v>
      </c>
      <c r="G226" s="62" t="s">
        <v>304</v>
      </c>
      <c r="H226" s="62" t="s">
        <v>481</v>
      </c>
      <c r="I226" s="62" t="s">
        <v>354</v>
      </c>
      <c r="J226" s="62" t="s">
        <v>616</v>
      </c>
      <c r="K226" s="62" t="s">
        <v>459</v>
      </c>
      <c r="L226" s="62" t="s">
        <v>2421</v>
      </c>
      <c r="M226" s="66" t="s">
        <v>1969</v>
      </c>
    </row>
    <row r="227" spans="1:13" x14ac:dyDescent="0.3">
      <c r="A227" s="61" t="s">
        <v>2013</v>
      </c>
      <c r="B227" s="62" t="s">
        <v>728</v>
      </c>
      <c r="C227" s="62" t="s">
        <v>729</v>
      </c>
      <c r="D227" s="63">
        <v>44834</v>
      </c>
      <c r="E227" s="63">
        <v>46295</v>
      </c>
      <c r="F227" s="62" t="s">
        <v>1958</v>
      </c>
      <c r="G227" s="62" t="s">
        <v>304</v>
      </c>
      <c r="H227" s="62" t="s">
        <v>481</v>
      </c>
      <c r="I227" s="62" t="s">
        <v>354</v>
      </c>
      <c r="J227" s="62" t="s">
        <v>616</v>
      </c>
      <c r="K227" s="62" t="s">
        <v>459</v>
      </c>
      <c r="L227" s="62" t="s">
        <v>2421</v>
      </c>
      <c r="M227" s="66" t="s">
        <v>1969</v>
      </c>
    </row>
    <row r="228" spans="1:13" x14ac:dyDescent="0.3">
      <c r="A228" s="61" t="s">
        <v>2013</v>
      </c>
      <c r="B228" s="62" t="s">
        <v>728</v>
      </c>
      <c r="C228" s="62" t="s">
        <v>729</v>
      </c>
      <c r="D228" s="63">
        <v>44834</v>
      </c>
      <c r="E228" s="63">
        <v>46295</v>
      </c>
      <c r="F228" s="62" t="s">
        <v>1944</v>
      </c>
      <c r="G228" s="62" t="s">
        <v>304</v>
      </c>
      <c r="H228" s="62" t="s">
        <v>481</v>
      </c>
      <c r="I228" s="62" t="s">
        <v>354</v>
      </c>
      <c r="J228" s="62" t="s">
        <v>616</v>
      </c>
      <c r="K228" s="62" t="s">
        <v>459</v>
      </c>
      <c r="L228" s="62" t="s">
        <v>2421</v>
      </c>
      <c r="M228" s="66" t="s">
        <v>1969</v>
      </c>
    </row>
    <row r="229" spans="1:13" x14ac:dyDescent="0.3">
      <c r="A229" s="61" t="s">
        <v>2013</v>
      </c>
      <c r="B229" s="62" t="s">
        <v>728</v>
      </c>
      <c r="C229" s="62" t="s">
        <v>729</v>
      </c>
      <c r="D229" s="63">
        <v>44834</v>
      </c>
      <c r="E229" s="63">
        <v>46295</v>
      </c>
      <c r="F229" s="62" t="s">
        <v>1930</v>
      </c>
      <c r="G229" s="62" t="s">
        <v>304</v>
      </c>
      <c r="H229" s="62" t="s">
        <v>481</v>
      </c>
      <c r="I229" s="62" t="s">
        <v>354</v>
      </c>
      <c r="J229" s="62" t="s">
        <v>616</v>
      </c>
      <c r="K229" s="62" t="s">
        <v>459</v>
      </c>
      <c r="L229" s="62" t="s">
        <v>2421</v>
      </c>
      <c r="M229" s="66" t="s">
        <v>1969</v>
      </c>
    </row>
    <row r="230" spans="1:13" x14ac:dyDescent="0.3">
      <c r="A230" s="61" t="s">
        <v>2013</v>
      </c>
      <c r="B230" s="62" t="s">
        <v>728</v>
      </c>
      <c r="C230" s="62" t="s">
        <v>729</v>
      </c>
      <c r="D230" s="63">
        <v>44834</v>
      </c>
      <c r="E230" s="63">
        <v>46295</v>
      </c>
      <c r="F230" s="62" t="s">
        <v>284</v>
      </c>
      <c r="G230" s="62" t="s">
        <v>304</v>
      </c>
      <c r="H230" s="62" t="s">
        <v>481</v>
      </c>
      <c r="I230" s="62" t="s">
        <v>354</v>
      </c>
      <c r="J230" s="62" t="s">
        <v>616</v>
      </c>
      <c r="K230" s="62" t="s">
        <v>459</v>
      </c>
      <c r="L230" s="62" t="s">
        <v>2421</v>
      </c>
      <c r="M230" s="66" t="s">
        <v>1969</v>
      </c>
    </row>
    <row r="231" spans="1:13" x14ac:dyDescent="0.3">
      <c r="A231" s="61" t="s">
        <v>2013</v>
      </c>
      <c r="B231" s="62" t="s">
        <v>728</v>
      </c>
      <c r="C231" s="62" t="s">
        <v>729</v>
      </c>
      <c r="D231" s="63">
        <v>44834</v>
      </c>
      <c r="E231" s="63">
        <v>46295</v>
      </c>
      <c r="F231" s="62" t="s">
        <v>1942</v>
      </c>
      <c r="G231" s="62" t="s">
        <v>304</v>
      </c>
      <c r="H231" s="62" t="s">
        <v>481</v>
      </c>
      <c r="I231" s="62" t="s">
        <v>354</v>
      </c>
      <c r="J231" s="62" t="s">
        <v>616</v>
      </c>
      <c r="K231" s="62" t="s">
        <v>459</v>
      </c>
      <c r="L231" s="62" t="s">
        <v>2421</v>
      </c>
      <c r="M231" s="66" t="s">
        <v>1969</v>
      </c>
    </row>
    <row r="232" spans="1:13" x14ac:dyDescent="0.3">
      <c r="A232" s="61" t="s">
        <v>2013</v>
      </c>
      <c r="B232" s="62" t="s">
        <v>728</v>
      </c>
      <c r="C232" s="62" t="s">
        <v>729</v>
      </c>
      <c r="D232" s="63">
        <v>44834</v>
      </c>
      <c r="E232" s="63">
        <v>46295</v>
      </c>
      <c r="F232" s="62" t="s">
        <v>288</v>
      </c>
      <c r="G232" s="62" t="s">
        <v>304</v>
      </c>
      <c r="H232" s="62" t="s">
        <v>481</v>
      </c>
      <c r="I232" s="62" t="s">
        <v>354</v>
      </c>
      <c r="J232" s="62" t="s">
        <v>616</v>
      </c>
      <c r="K232" s="62" t="s">
        <v>459</v>
      </c>
      <c r="L232" s="62" t="s">
        <v>2421</v>
      </c>
      <c r="M232" s="66" t="s">
        <v>1969</v>
      </c>
    </row>
    <row r="233" spans="1:13" x14ac:dyDescent="0.3">
      <c r="A233" s="61" t="s">
        <v>2013</v>
      </c>
      <c r="B233" s="62" t="s">
        <v>728</v>
      </c>
      <c r="C233" s="62" t="s">
        <v>729</v>
      </c>
      <c r="D233" s="63">
        <v>44834</v>
      </c>
      <c r="E233" s="63">
        <v>46295</v>
      </c>
      <c r="F233" s="62" t="s">
        <v>280</v>
      </c>
      <c r="G233" s="62" t="s">
        <v>304</v>
      </c>
      <c r="H233" s="62" t="s">
        <v>481</v>
      </c>
      <c r="I233" s="62" t="s">
        <v>354</v>
      </c>
      <c r="J233" s="62" t="s">
        <v>616</v>
      </c>
      <c r="K233" s="62" t="s">
        <v>459</v>
      </c>
      <c r="L233" s="62" t="s">
        <v>2421</v>
      </c>
      <c r="M233" s="66" t="s">
        <v>1969</v>
      </c>
    </row>
    <row r="234" spans="1:13" x14ac:dyDescent="0.3">
      <c r="A234" s="61" t="s">
        <v>2013</v>
      </c>
      <c r="B234" s="62" t="s">
        <v>728</v>
      </c>
      <c r="C234" s="62" t="s">
        <v>729</v>
      </c>
      <c r="D234" s="63">
        <v>44834</v>
      </c>
      <c r="E234" s="63">
        <v>46295</v>
      </c>
      <c r="F234" s="62" t="s">
        <v>1960</v>
      </c>
      <c r="G234" s="62" t="s">
        <v>304</v>
      </c>
      <c r="H234" s="62" t="s">
        <v>481</v>
      </c>
      <c r="I234" s="62" t="s">
        <v>354</v>
      </c>
      <c r="J234" s="62" t="s">
        <v>616</v>
      </c>
      <c r="K234" s="62" t="s">
        <v>459</v>
      </c>
      <c r="L234" s="62" t="s">
        <v>2421</v>
      </c>
      <c r="M234" s="66" t="s">
        <v>1969</v>
      </c>
    </row>
    <row r="235" spans="1:13" x14ac:dyDescent="0.3">
      <c r="A235" s="61" t="s">
        <v>2013</v>
      </c>
      <c r="B235" s="62" t="s">
        <v>728</v>
      </c>
      <c r="C235" s="62" t="s">
        <v>729</v>
      </c>
      <c r="D235" s="63">
        <v>44834</v>
      </c>
      <c r="E235" s="63">
        <v>46295</v>
      </c>
      <c r="F235" s="62" t="s">
        <v>1941</v>
      </c>
      <c r="G235" s="62" t="s">
        <v>304</v>
      </c>
      <c r="H235" s="62" t="s">
        <v>481</v>
      </c>
      <c r="I235" s="62" t="s">
        <v>354</v>
      </c>
      <c r="J235" s="62" t="s">
        <v>616</v>
      </c>
      <c r="K235" s="62" t="s">
        <v>459</v>
      </c>
      <c r="L235" s="62" t="s">
        <v>2421</v>
      </c>
      <c r="M235" s="66" t="s">
        <v>1969</v>
      </c>
    </row>
    <row r="236" spans="1:13" x14ac:dyDescent="0.3">
      <c r="A236" s="61" t="s">
        <v>2013</v>
      </c>
      <c r="B236" s="62" t="s">
        <v>728</v>
      </c>
      <c r="C236" s="62" t="s">
        <v>729</v>
      </c>
      <c r="D236" s="63">
        <v>44834</v>
      </c>
      <c r="E236" s="63">
        <v>46295</v>
      </c>
      <c r="F236" s="62" t="s">
        <v>1948</v>
      </c>
      <c r="G236" s="62" t="s">
        <v>304</v>
      </c>
      <c r="H236" s="62" t="s">
        <v>481</v>
      </c>
      <c r="I236" s="62" t="s">
        <v>354</v>
      </c>
      <c r="J236" s="62" t="s">
        <v>616</v>
      </c>
      <c r="K236" s="62" t="s">
        <v>459</v>
      </c>
      <c r="L236" s="62" t="s">
        <v>2421</v>
      </c>
      <c r="M236" s="66" t="s">
        <v>1969</v>
      </c>
    </row>
    <row r="237" spans="1:13" x14ac:dyDescent="0.3">
      <c r="A237" s="61" t="s">
        <v>2013</v>
      </c>
      <c r="B237" s="62" t="s">
        <v>728</v>
      </c>
      <c r="C237" s="62" t="s">
        <v>729</v>
      </c>
      <c r="D237" s="63">
        <v>44834</v>
      </c>
      <c r="E237" s="63">
        <v>46295</v>
      </c>
      <c r="F237" s="62" t="s">
        <v>1959</v>
      </c>
      <c r="G237" s="62" t="s">
        <v>304</v>
      </c>
      <c r="H237" s="62" t="s">
        <v>481</v>
      </c>
      <c r="I237" s="62" t="s">
        <v>354</v>
      </c>
      <c r="J237" s="62" t="s">
        <v>616</v>
      </c>
      <c r="K237" s="62" t="s">
        <v>459</v>
      </c>
      <c r="L237" s="62" t="s">
        <v>2421</v>
      </c>
      <c r="M237" s="66" t="s">
        <v>1969</v>
      </c>
    </row>
    <row r="238" spans="1:13" x14ac:dyDescent="0.3">
      <c r="A238" s="61" t="s">
        <v>2013</v>
      </c>
      <c r="B238" s="62" t="s">
        <v>728</v>
      </c>
      <c r="C238" s="62" t="s">
        <v>729</v>
      </c>
      <c r="D238" s="63">
        <v>44834</v>
      </c>
      <c r="E238" s="63">
        <v>46295</v>
      </c>
      <c r="F238" s="62" t="s">
        <v>287</v>
      </c>
      <c r="G238" s="62" t="s">
        <v>304</v>
      </c>
      <c r="H238" s="62" t="s">
        <v>481</v>
      </c>
      <c r="I238" s="62" t="s">
        <v>354</v>
      </c>
      <c r="J238" s="62" t="s">
        <v>616</v>
      </c>
      <c r="K238" s="62" t="s">
        <v>459</v>
      </c>
      <c r="L238" s="62" t="s">
        <v>2421</v>
      </c>
      <c r="M238" s="66" t="s">
        <v>1969</v>
      </c>
    </row>
    <row r="239" spans="1:13" x14ac:dyDescent="0.3">
      <c r="A239" s="61" t="s">
        <v>2013</v>
      </c>
      <c r="B239" s="62" t="s">
        <v>728</v>
      </c>
      <c r="C239" s="62" t="s">
        <v>729</v>
      </c>
      <c r="D239" s="63">
        <v>44834</v>
      </c>
      <c r="E239" s="63">
        <v>46295</v>
      </c>
      <c r="F239" s="62" t="s">
        <v>1945</v>
      </c>
      <c r="G239" s="62" t="s">
        <v>304</v>
      </c>
      <c r="H239" s="62" t="s">
        <v>481</v>
      </c>
      <c r="I239" s="62" t="s">
        <v>354</v>
      </c>
      <c r="J239" s="62" t="s">
        <v>616</v>
      </c>
      <c r="K239" s="62" t="s">
        <v>459</v>
      </c>
      <c r="L239" s="62" t="s">
        <v>2421</v>
      </c>
      <c r="M239" s="66" t="s">
        <v>1969</v>
      </c>
    </row>
    <row r="240" spans="1:13" x14ac:dyDescent="0.3">
      <c r="A240" s="61" t="s">
        <v>2014</v>
      </c>
      <c r="B240" s="62" t="s">
        <v>731</v>
      </c>
      <c r="C240" s="62" t="s">
        <v>732</v>
      </c>
      <c r="D240" s="63">
        <v>44740</v>
      </c>
      <c r="E240" s="63">
        <v>46203</v>
      </c>
      <c r="F240" s="62" t="s">
        <v>1939</v>
      </c>
      <c r="G240" s="62" t="s">
        <v>733</v>
      </c>
      <c r="H240" s="62" t="s">
        <v>740</v>
      </c>
      <c r="I240" s="62" t="s">
        <v>457</v>
      </c>
      <c r="J240" s="62" t="s">
        <v>531</v>
      </c>
      <c r="K240" s="62" t="s">
        <v>459</v>
      </c>
      <c r="L240" s="62" t="s">
        <v>2421</v>
      </c>
      <c r="M240" s="66" t="s">
        <v>1971</v>
      </c>
    </row>
    <row r="241" spans="1:13" x14ac:dyDescent="0.3">
      <c r="A241" s="61" t="s">
        <v>2014</v>
      </c>
      <c r="B241" s="62" t="s">
        <v>731</v>
      </c>
      <c r="C241" s="62" t="s">
        <v>732</v>
      </c>
      <c r="D241" s="63">
        <v>44740</v>
      </c>
      <c r="E241" s="63">
        <v>46203</v>
      </c>
      <c r="F241" s="62" t="s">
        <v>1939</v>
      </c>
      <c r="G241" s="62" t="s">
        <v>734</v>
      </c>
      <c r="H241" s="62" t="s">
        <v>740</v>
      </c>
      <c r="I241" s="62" t="s">
        <v>457</v>
      </c>
      <c r="J241" s="62" t="s">
        <v>531</v>
      </c>
      <c r="K241" s="62" t="s">
        <v>459</v>
      </c>
      <c r="L241" s="62" t="s">
        <v>2421</v>
      </c>
      <c r="M241" s="66" t="s">
        <v>1971</v>
      </c>
    </row>
    <row r="242" spans="1:13" x14ac:dyDescent="0.3">
      <c r="A242" s="61" t="s">
        <v>2014</v>
      </c>
      <c r="B242" s="62" t="s">
        <v>731</v>
      </c>
      <c r="C242" s="62" t="s">
        <v>732</v>
      </c>
      <c r="D242" s="63">
        <v>44740</v>
      </c>
      <c r="E242" s="63">
        <v>46203</v>
      </c>
      <c r="F242" s="62" t="s">
        <v>1939</v>
      </c>
      <c r="G242" s="62" t="s">
        <v>735</v>
      </c>
      <c r="H242" s="62" t="s">
        <v>740</v>
      </c>
      <c r="I242" s="62" t="s">
        <v>457</v>
      </c>
      <c r="J242" s="62" t="s">
        <v>531</v>
      </c>
      <c r="K242" s="62" t="s">
        <v>459</v>
      </c>
      <c r="L242" s="62" t="s">
        <v>2421</v>
      </c>
      <c r="M242" s="66" t="s">
        <v>1971</v>
      </c>
    </row>
    <row r="243" spans="1:13" x14ac:dyDescent="0.3">
      <c r="A243" s="61" t="s">
        <v>2014</v>
      </c>
      <c r="B243" s="62" t="s">
        <v>731</v>
      </c>
      <c r="C243" s="62" t="s">
        <v>732</v>
      </c>
      <c r="D243" s="63">
        <v>44740</v>
      </c>
      <c r="E243" s="63">
        <v>46203</v>
      </c>
      <c r="F243" s="62" t="s">
        <v>1939</v>
      </c>
      <c r="G243" s="62" t="s">
        <v>736</v>
      </c>
      <c r="H243" s="62" t="s">
        <v>740</v>
      </c>
      <c r="I243" s="62" t="s">
        <v>457</v>
      </c>
      <c r="J243" s="62" t="s">
        <v>531</v>
      </c>
      <c r="K243" s="62" t="s">
        <v>459</v>
      </c>
      <c r="L243" s="62" t="s">
        <v>2421</v>
      </c>
      <c r="M243" s="66" t="s">
        <v>1971</v>
      </c>
    </row>
    <row r="244" spans="1:13" x14ac:dyDescent="0.3">
      <c r="A244" s="61" t="s">
        <v>2014</v>
      </c>
      <c r="B244" s="62" t="s">
        <v>731</v>
      </c>
      <c r="C244" s="62" t="s">
        <v>732</v>
      </c>
      <c r="D244" s="63">
        <v>44740</v>
      </c>
      <c r="E244" s="63">
        <v>46203</v>
      </c>
      <c r="F244" s="62" t="s">
        <v>1939</v>
      </c>
      <c r="G244" s="62" t="s">
        <v>737</v>
      </c>
      <c r="H244" s="62" t="s">
        <v>740</v>
      </c>
      <c r="I244" s="62" t="s">
        <v>457</v>
      </c>
      <c r="J244" s="62" t="s">
        <v>531</v>
      </c>
      <c r="K244" s="62" t="s">
        <v>459</v>
      </c>
      <c r="L244" s="62" t="s">
        <v>2421</v>
      </c>
      <c r="M244" s="66" t="s">
        <v>1971</v>
      </c>
    </row>
    <row r="245" spans="1:13" x14ac:dyDescent="0.3">
      <c r="A245" s="61" t="s">
        <v>2014</v>
      </c>
      <c r="B245" s="62" t="s">
        <v>731</v>
      </c>
      <c r="C245" s="62" t="s">
        <v>732</v>
      </c>
      <c r="D245" s="63">
        <v>44740</v>
      </c>
      <c r="E245" s="63">
        <v>46203</v>
      </c>
      <c r="F245" s="62" t="s">
        <v>1939</v>
      </c>
      <c r="G245" s="62" t="s">
        <v>738</v>
      </c>
      <c r="H245" s="62" t="s">
        <v>740</v>
      </c>
      <c r="I245" s="62" t="s">
        <v>457</v>
      </c>
      <c r="J245" s="62" t="s">
        <v>531</v>
      </c>
      <c r="K245" s="62" t="s">
        <v>459</v>
      </c>
      <c r="L245" s="62" t="s">
        <v>2421</v>
      </c>
      <c r="M245" s="66" t="s">
        <v>1971</v>
      </c>
    </row>
    <row r="246" spans="1:13" x14ac:dyDescent="0.3">
      <c r="A246" s="61" t="s">
        <v>2014</v>
      </c>
      <c r="B246" s="62" t="s">
        <v>731</v>
      </c>
      <c r="C246" s="62" t="s">
        <v>732</v>
      </c>
      <c r="D246" s="63">
        <v>44740</v>
      </c>
      <c r="E246" s="63">
        <v>46203</v>
      </c>
      <c r="F246" s="62" t="s">
        <v>1939</v>
      </c>
      <c r="G246" s="62" t="s">
        <v>540</v>
      </c>
      <c r="H246" s="62" t="s">
        <v>740</v>
      </c>
      <c r="I246" s="62" t="s">
        <v>457</v>
      </c>
      <c r="J246" s="62" t="s">
        <v>531</v>
      </c>
      <c r="K246" s="62" t="s">
        <v>459</v>
      </c>
      <c r="L246" s="62" t="s">
        <v>2421</v>
      </c>
      <c r="M246" s="66" t="s">
        <v>1971</v>
      </c>
    </row>
    <row r="247" spans="1:13" x14ac:dyDescent="0.3">
      <c r="A247" s="61" t="s">
        <v>2014</v>
      </c>
      <c r="B247" s="62" t="s">
        <v>731</v>
      </c>
      <c r="C247" s="62" t="s">
        <v>732</v>
      </c>
      <c r="D247" s="63">
        <v>44740</v>
      </c>
      <c r="E247" s="63">
        <v>46203</v>
      </c>
      <c r="F247" s="62" t="s">
        <v>1959</v>
      </c>
      <c r="G247" s="62" t="s">
        <v>612</v>
      </c>
      <c r="H247" s="62" t="s">
        <v>740</v>
      </c>
      <c r="I247" s="62" t="s">
        <v>457</v>
      </c>
      <c r="J247" s="62" t="s">
        <v>531</v>
      </c>
      <c r="K247" s="62" t="s">
        <v>459</v>
      </c>
      <c r="L247" s="62" t="s">
        <v>2421</v>
      </c>
      <c r="M247" s="66" t="s">
        <v>1971</v>
      </c>
    </row>
    <row r="248" spans="1:13" x14ac:dyDescent="0.3">
      <c r="A248" s="61" t="s">
        <v>2014</v>
      </c>
      <c r="B248" s="62" t="s">
        <v>731</v>
      </c>
      <c r="C248" s="62" t="s">
        <v>732</v>
      </c>
      <c r="D248" s="63">
        <v>44740</v>
      </c>
      <c r="E248" s="63">
        <v>46203</v>
      </c>
      <c r="F248" s="62" t="s">
        <v>1959</v>
      </c>
      <c r="G248" s="62" t="s">
        <v>739</v>
      </c>
      <c r="H248" s="62" t="s">
        <v>740</v>
      </c>
      <c r="I248" s="62" t="s">
        <v>457</v>
      </c>
      <c r="J248" s="62" t="s">
        <v>531</v>
      </c>
      <c r="K248" s="62" t="s">
        <v>459</v>
      </c>
      <c r="L248" s="62" t="s">
        <v>2421</v>
      </c>
      <c r="M248" s="66" t="s">
        <v>1971</v>
      </c>
    </row>
    <row r="249" spans="1:13" x14ac:dyDescent="0.3">
      <c r="A249" s="61" t="s">
        <v>2014</v>
      </c>
      <c r="B249" s="62" t="s">
        <v>731</v>
      </c>
      <c r="C249" s="62" t="s">
        <v>732</v>
      </c>
      <c r="D249" s="63">
        <v>44740</v>
      </c>
      <c r="E249" s="63">
        <v>46203</v>
      </c>
      <c r="F249" s="62" t="s">
        <v>1959</v>
      </c>
      <c r="G249" s="62" t="s">
        <v>669</v>
      </c>
      <c r="H249" s="62" t="s">
        <v>740</v>
      </c>
      <c r="I249" s="62" t="s">
        <v>457</v>
      </c>
      <c r="J249" s="62" t="s">
        <v>531</v>
      </c>
      <c r="K249" s="62" t="s">
        <v>459</v>
      </c>
      <c r="L249" s="62" t="s">
        <v>2421</v>
      </c>
      <c r="M249" s="66" t="s">
        <v>1971</v>
      </c>
    </row>
    <row r="250" spans="1:13" x14ac:dyDescent="0.3">
      <c r="A250" s="61" t="s">
        <v>2014</v>
      </c>
      <c r="B250" s="62" t="s">
        <v>731</v>
      </c>
      <c r="C250" s="62" t="s">
        <v>732</v>
      </c>
      <c r="D250" s="63">
        <v>44740</v>
      </c>
      <c r="E250" s="63">
        <v>46203</v>
      </c>
      <c r="F250" s="62" t="s">
        <v>1945</v>
      </c>
      <c r="G250" s="62" t="s">
        <v>402</v>
      </c>
      <c r="H250" s="62" t="s">
        <v>740</v>
      </c>
      <c r="I250" s="62" t="s">
        <v>457</v>
      </c>
      <c r="J250" s="62" t="s">
        <v>531</v>
      </c>
      <c r="K250" s="62" t="s">
        <v>459</v>
      </c>
      <c r="L250" s="62" t="s">
        <v>2421</v>
      </c>
      <c r="M250" s="66" t="s">
        <v>1971</v>
      </c>
    </row>
    <row r="251" spans="1:13" x14ac:dyDescent="0.3">
      <c r="A251" s="61" t="s">
        <v>2014</v>
      </c>
      <c r="B251" s="62" t="s">
        <v>731</v>
      </c>
      <c r="C251" s="62" t="s">
        <v>732</v>
      </c>
      <c r="D251" s="63">
        <v>44740</v>
      </c>
      <c r="E251" s="63">
        <v>46203</v>
      </c>
      <c r="F251" s="62" t="s">
        <v>1945</v>
      </c>
      <c r="G251" s="62" t="s">
        <v>404</v>
      </c>
      <c r="H251" s="62" t="s">
        <v>740</v>
      </c>
      <c r="I251" s="62" t="s">
        <v>457</v>
      </c>
      <c r="J251" s="62" t="s">
        <v>531</v>
      </c>
      <c r="K251" s="62" t="s">
        <v>459</v>
      </c>
      <c r="L251" s="62" t="s">
        <v>2421</v>
      </c>
      <c r="M251" s="66" t="s">
        <v>1971</v>
      </c>
    </row>
    <row r="252" spans="1:13" x14ac:dyDescent="0.3">
      <c r="A252" s="61" t="s">
        <v>2014</v>
      </c>
      <c r="B252" s="62" t="s">
        <v>731</v>
      </c>
      <c r="C252" s="62" t="s">
        <v>732</v>
      </c>
      <c r="D252" s="63">
        <v>44740</v>
      </c>
      <c r="E252" s="63">
        <v>46203</v>
      </c>
      <c r="F252" s="62" t="s">
        <v>1939</v>
      </c>
      <c r="G252" s="62" t="s">
        <v>733</v>
      </c>
      <c r="H252" s="62" t="s">
        <v>685</v>
      </c>
      <c r="I252" s="62" t="s">
        <v>457</v>
      </c>
      <c r="J252" s="62" t="s">
        <v>531</v>
      </c>
      <c r="K252" s="62" t="s">
        <v>459</v>
      </c>
      <c r="L252" s="62" t="s">
        <v>2421</v>
      </c>
      <c r="M252" s="66" t="s">
        <v>1971</v>
      </c>
    </row>
    <row r="253" spans="1:13" x14ac:dyDescent="0.3">
      <c r="A253" s="61" t="s">
        <v>2014</v>
      </c>
      <c r="B253" s="62" t="s">
        <v>731</v>
      </c>
      <c r="C253" s="62" t="s">
        <v>732</v>
      </c>
      <c r="D253" s="63">
        <v>44740</v>
      </c>
      <c r="E253" s="63">
        <v>46203</v>
      </c>
      <c r="F253" s="62" t="s">
        <v>1939</v>
      </c>
      <c r="G253" s="62" t="s">
        <v>734</v>
      </c>
      <c r="H253" s="62" t="s">
        <v>685</v>
      </c>
      <c r="I253" s="62" t="s">
        <v>457</v>
      </c>
      <c r="J253" s="62" t="s">
        <v>531</v>
      </c>
      <c r="K253" s="62" t="s">
        <v>459</v>
      </c>
      <c r="L253" s="62" t="s">
        <v>2421</v>
      </c>
      <c r="M253" s="66" t="s">
        <v>1971</v>
      </c>
    </row>
    <row r="254" spans="1:13" x14ac:dyDescent="0.3">
      <c r="A254" s="61" t="s">
        <v>2014</v>
      </c>
      <c r="B254" s="62" t="s">
        <v>731</v>
      </c>
      <c r="C254" s="62" t="s">
        <v>732</v>
      </c>
      <c r="D254" s="63">
        <v>44740</v>
      </c>
      <c r="E254" s="63">
        <v>46203</v>
      </c>
      <c r="F254" s="62" t="s">
        <v>1939</v>
      </c>
      <c r="G254" s="62" t="s">
        <v>735</v>
      </c>
      <c r="H254" s="62" t="s">
        <v>685</v>
      </c>
      <c r="I254" s="62" t="s">
        <v>457</v>
      </c>
      <c r="J254" s="62" t="s">
        <v>531</v>
      </c>
      <c r="K254" s="62" t="s">
        <v>459</v>
      </c>
      <c r="L254" s="62" t="s">
        <v>2421</v>
      </c>
      <c r="M254" s="66" t="s">
        <v>1971</v>
      </c>
    </row>
    <row r="255" spans="1:13" x14ac:dyDescent="0.3">
      <c r="A255" s="61" t="s">
        <v>2014</v>
      </c>
      <c r="B255" s="62" t="s">
        <v>731</v>
      </c>
      <c r="C255" s="62" t="s">
        <v>732</v>
      </c>
      <c r="D255" s="63">
        <v>44740</v>
      </c>
      <c r="E255" s="63">
        <v>46203</v>
      </c>
      <c r="F255" s="62" t="s">
        <v>1939</v>
      </c>
      <c r="G255" s="62" t="s">
        <v>736</v>
      </c>
      <c r="H255" s="62" t="s">
        <v>685</v>
      </c>
      <c r="I255" s="62" t="s">
        <v>457</v>
      </c>
      <c r="J255" s="62" t="s">
        <v>531</v>
      </c>
      <c r="K255" s="62" t="s">
        <v>459</v>
      </c>
      <c r="L255" s="62" t="s">
        <v>2421</v>
      </c>
      <c r="M255" s="66" t="s">
        <v>1971</v>
      </c>
    </row>
    <row r="256" spans="1:13" x14ac:dyDescent="0.3">
      <c r="A256" s="61" t="s">
        <v>2014</v>
      </c>
      <c r="B256" s="62" t="s">
        <v>731</v>
      </c>
      <c r="C256" s="62" t="s">
        <v>732</v>
      </c>
      <c r="D256" s="63">
        <v>44740</v>
      </c>
      <c r="E256" s="63">
        <v>46203</v>
      </c>
      <c r="F256" s="62" t="s">
        <v>1939</v>
      </c>
      <c r="G256" s="62" t="s">
        <v>737</v>
      </c>
      <c r="H256" s="62" t="s">
        <v>685</v>
      </c>
      <c r="I256" s="62" t="s">
        <v>457</v>
      </c>
      <c r="J256" s="62" t="s">
        <v>531</v>
      </c>
      <c r="K256" s="62" t="s">
        <v>459</v>
      </c>
      <c r="L256" s="62" t="s">
        <v>2421</v>
      </c>
      <c r="M256" s="66" t="s">
        <v>1971</v>
      </c>
    </row>
    <row r="257" spans="1:13" x14ac:dyDescent="0.3">
      <c r="A257" s="61" t="s">
        <v>2014</v>
      </c>
      <c r="B257" s="62" t="s">
        <v>731</v>
      </c>
      <c r="C257" s="62" t="s">
        <v>732</v>
      </c>
      <c r="D257" s="63">
        <v>44740</v>
      </c>
      <c r="E257" s="63">
        <v>46203</v>
      </c>
      <c r="F257" s="62" t="s">
        <v>1939</v>
      </c>
      <c r="G257" s="62" t="s">
        <v>738</v>
      </c>
      <c r="H257" s="62" t="s">
        <v>685</v>
      </c>
      <c r="I257" s="62" t="s">
        <v>457</v>
      </c>
      <c r="J257" s="62" t="s">
        <v>531</v>
      </c>
      <c r="K257" s="62" t="s">
        <v>459</v>
      </c>
      <c r="L257" s="62" t="s">
        <v>2421</v>
      </c>
      <c r="M257" s="66" t="s">
        <v>1971</v>
      </c>
    </row>
    <row r="258" spans="1:13" x14ac:dyDescent="0.3">
      <c r="A258" s="61" t="s">
        <v>2014</v>
      </c>
      <c r="B258" s="62" t="s">
        <v>731</v>
      </c>
      <c r="C258" s="62" t="s">
        <v>732</v>
      </c>
      <c r="D258" s="63">
        <v>44740</v>
      </c>
      <c r="E258" s="63">
        <v>46203</v>
      </c>
      <c r="F258" s="62" t="s">
        <v>1939</v>
      </c>
      <c r="G258" s="62" t="s">
        <v>540</v>
      </c>
      <c r="H258" s="62" t="s">
        <v>685</v>
      </c>
      <c r="I258" s="62" t="s">
        <v>457</v>
      </c>
      <c r="J258" s="62" t="s">
        <v>531</v>
      </c>
      <c r="K258" s="62" t="s">
        <v>459</v>
      </c>
      <c r="L258" s="62" t="s">
        <v>2421</v>
      </c>
      <c r="M258" s="66" t="s">
        <v>1971</v>
      </c>
    </row>
    <row r="259" spans="1:13" x14ac:dyDescent="0.3">
      <c r="A259" s="61" t="s">
        <v>2014</v>
      </c>
      <c r="B259" s="62" t="s">
        <v>731</v>
      </c>
      <c r="C259" s="62" t="s">
        <v>732</v>
      </c>
      <c r="D259" s="63">
        <v>44740</v>
      </c>
      <c r="E259" s="63">
        <v>46203</v>
      </c>
      <c r="F259" s="62" t="s">
        <v>1959</v>
      </c>
      <c r="G259" s="62" t="s">
        <v>612</v>
      </c>
      <c r="H259" s="62" t="s">
        <v>685</v>
      </c>
      <c r="I259" s="62" t="s">
        <v>457</v>
      </c>
      <c r="J259" s="62" t="s">
        <v>531</v>
      </c>
      <c r="K259" s="62" t="s">
        <v>459</v>
      </c>
      <c r="L259" s="62" t="s">
        <v>2421</v>
      </c>
      <c r="M259" s="66" t="s">
        <v>1971</v>
      </c>
    </row>
    <row r="260" spans="1:13" x14ac:dyDescent="0.3">
      <c r="A260" s="61" t="s">
        <v>2014</v>
      </c>
      <c r="B260" s="62" t="s">
        <v>731</v>
      </c>
      <c r="C260" s="62" t="s">
        <v>732</v>
      </c>
      <c r="D260" s="63">
        <v>44740</v>
      </c>
      <c r="E260" s="63">
        <v>46203</v>
      </c>
      <c r="F260" s="62" t="s">
        <v>1959</v>
      </c>
      <c r="G260" s="62" t="s">
        <v>739</v>
      </c>
      <c r="H260" s="62" t="s">
        <v>685</v>
      </c>
      <c r="I260" s="62" t="s">
        <v>457</v>
      </c>
      <c r="J260" s="62" t="s">
        <v>531</v>
      </c>
      <c r="K260" s="62" t="s">
        <v>459</v>
      </c>
      <c r="L260" s="62" t="s">
        <v>2421</v>
      </c>
      <c r="M260" s="66" t="s">
        <v>1971</v>
      </c>
    </row>
    <row r="261" spans="1:13" x14ac:dyDescent="0.3">
      <c r="A261" s="61" t="s">
        <v>2014</v>
      </c>
      <c r="B261" s="62" t="s">
        <v>731</v>
      </c>
      <c r="C261" s="62" t="s">
        <v>732</v>
      </c>
      <c r="D261" s="63">
        <v>44740</v>
      </c>
      <c r="E261" s="63">
        <v>46203</v>
      </c>
      <c r="F261" s="62" t="s">
        <v>1959</v>
      </c>
      <c r="G261" s="62" t="s">
        <v>669</v>
      </c>
      <c r="H261" s="62" t="s">
        <v>685</v>
      </c>
      <c r="I261" s="62" t="s">
        <v>457</v>
      </c>
      <c r="J261" s="62" t="s">
        <v>531</v>
      </c>
      <c r="K261" s="62" t="s">
        <v>459</v>
      </c>
      <c r="L261" s="62" t="s">
        <v>2421</v>
      </c>
      <c r="M261" s="66" t="s">
        <v>1971</v>
      </c>
    </row>
    <row r="262" spans="1:13" x14ac:dyDescent="0.3">
      <c r="A262" s="61" t="s">
        <v>2014</v>
      </c>
      <c r="B262" s="62" t="s">
        <v>731</v>
      </c>
      <c r="C262" s="62" t="s">
        <v>732</v>
      </c>
      <c r="D262" s="63">
        <v>44740</v>
      </c>
      <c r="E262" s="63">
        <v>46203</v>
      </c>
      <c r="F262" s="62" t="s">
        <v>1945</v>
      </c>
      <c r="G262" s="62" t="s">
        <v>402</v>
      </c>
      <c r="H262" s="62" t="s">
        <v>685</v>
      </c>
      <c r="I262" s="62" t="s">
        <v>457</v>
      </c>
      <c r="J262" s="62" t="s">
        <v>531</v>
      </c>
      <c r="K262" s="62" t="s">
        <v>459</v>
      </c>
      <c r="L262" s="62" t="s">
        <v>2421</v>
      </c>
      <c r="M262" s="66" t="s">
        <v>1971</v>
      </c>
    </row>
    <row r="263" spans="1:13" x14ac:dyDescent="0.3">
      <c r="A263" s="61" t="s">
        <v>2014</v>
      </c>
      <c r="B263" s="62" t="s">
        <v>731</v>
      </c>
      <c r="C263" s="62" t="s">
        <v>732</v>
      </c>
      <c r="D263" s="63">
        <v>44740</v>
      </c>
      <c r="E263" s="63">
        <v>46203</v>
      </c>
      <c r="F263" s="62" t="s">
        <v>1945</v>
      </c>
      <c r="G263" s="62" t="s">
        <v>404</v>
      </c>
      <c r="H263" s="62" t="s">
        <v>685</v>
      </c>
      <c r="I263" s="62" t="s">
        <v>457</v>
      </c>
      <c r="J263" s="62" t="s">
        <v>531</v>
      </c>
      <c r="K263" s="62" t="s">
        <v>459</v>
      </c>
      <c r="L263" s="62" t="s">
        <v>2421</v>
      </c>
      <c r="M263" s="66" t="s">
        <v>1971</v>
      </c>
    </row>
    <row r="264" spans="1:13" x14ac:dyDescent="0.3">
      <c r="A264" s="61" t="s">
        <v>2015</v>
      </c>
      <c r="B264" s="62" t="s">
        <v>741</v>
      </c>
      <c r="C264" s="62" t="s">
        <v>742</v>
      </c>
      <c r="D264" s="63">
        <v>44803</v>
      </c>
      <c r="E264" s="63">
        <v>46265</v>
      </c>
      <c r="F264" s="62" t="s">
        <v>1936</v>
      </c>
      <c r="G264" s="62" t="s">
        <v>709</v>
      </c>
      <c r="H264" s="62" t="s">
        <v>534</v>
      </c>
      <c r="I264" s="62" t="s">
        <v>354</v>
      </c>
      <c r="J264" s="62" t="s">
        <v>743</v>
      </c>
      <c r="K264" s="62" t="s">
        <v>744</v>
      </c>
      <c r="L264" s="62" t="s">
        <v>2421</v>
      </c>
      <c r="M264" s="66" t="s">
        <v>1971</v>
      </c>
    </row>
    <row r="265" spans="1:13" x14ac:dyDescent="0.3">
      <c r="A265" s="61" t="s">
        <v>2015</v>
      </c>
      <c r="B265" s="62" t="s">
        <v>741</v>
      </c>
      <c r="C265" s="62" t="s">
        <v>742</v>
      </c>
      <c r="D265" s="63">
        <v>44803</v>
      </c>
      <c r="E265" s="63">
        <v>46265</v>
      </c>
      <c r="F265" s="62" t="s">
        <v>1936</v>
      </c>
      <c r="G265" s="62" t="s">
        <v>745</v>
      </c>
      <c r="H265" s="62" t="s">
        <v>534</v>
      </c>
      <c r="I265" s="62" t="s">
        <v>354</v>
      </c>
      <c r="J265" s="62" t="s">
        <v>743</v>
      </c>
      <c r="K265" s="62" t="s">
        <v>744</v>
      </c>
      <c r="L265" s="62" t="s">
        <v>2421</v>
      </c>
      <c r="M265" s="66" t="s">
        <v>1971</v>
      </c>
    </row>
    <row r="266" spans="1:13" x14ac:dyDescent="0.3">
      <c r="A266" s="61" t="s">
        <v>2015</v>
      </c>
      <c r="B266" s="62" t="s">
        <v>741</v>
      </c>
      <c r="C266" s="62" t="s">
        <v>742</v>
      </c>
      <c r="D266" s="63">
        <v>44803</v>
      </c>
      <c r="E266" s="63">
        <v>46265</v>
      </c>
      <c r="F266" s="62" t="s">
        <v>1936</v>
      </c>
      <c r="G266" s="62" t="s">
        <v>746</v>
      </c>
      <c r="H266" s="62" t="s">
        <v>534</v>
      </c>
      <c r="I266" s="62" t="s">
        <v>354</v>
      </c>
      <c r="J266" s="62" t="s">
        <v>743</v>
      </c>
      <c r="K266" s="62" t="s">
        <v>744</v>
      </c>
      <c r="L266" s="62" t="s">
        <v>2421</v>
      </c>
      <c r="M266" s="66" t="s">
        <v>1971</v>
      </c>
    </row>
    <row r="267" spans="1:13" x14ac:dyDescent="0.3">
      <c r="A267" s="61" t="s">
        <v>2015</v>
      </c>
      <c r="B267" s="62" t="s">
        <v>741</v>
      </c>
      <c r="C267" s="62" t="s">
        <v>742</v>
      </c>
      <c r="D267" s="63">
        <v>44803</v>
      </c>
      <c r="E267" s="63">
        <v>46265</v>
      </c>
      <c r="F267" s="62" t="s">
        <v>1936</v>
      </c>
      <c r="G267" s="62" t="s">
        <v>747</v>
      </c>
      <c r="H267" s="62" t="s">
        <v>534</v>
      </c>
      <c r="I267" s="62" t="s">
        <v>354</v>
      </c>
      <c r="J267" s="62" t="s">
        <v>743</v>
      </c>
      <c r="K267" s="62" t="s">
        <v>744</v>
      </c>
      <c r="L267" s="62" t="s">
        <v>2421</v>
      </c>
      <c r="M267" s="66" t="s">
        <v>1971</v>
      </c>
    </row>
    <row r="268" spans="1:13" x14ac:dyDescent="0.3">
      <c r="A268" s="61" t="s">
        <v>2015</v>
      </c>
      <c r="B268" s="62" t="s">
        <v>741</v>
      </c>
      <c r="C268" s="62" t="s">
        <v>742</v>
      </c>
      <c r="D268" s="63">
        <v>44803</v>
      </c>
      <c r="E268" s="63">
        <v>46265</v>
      </c>
      <c r="F268" s="62" t="s">
        <v>1936</v>
      </c>
      <c r="G268" s="62" t="s">
        <v>748</v>
      </c>
      <c r="H268" s="62" t="s">
        <v>534</v>
      </c>
      <c r="I268" s="62" t="s">
        <v>354</v>
      </c>
      <c r="J268" s="62" t="s">
        <v>743</v>
      </c>
      <c r="K268" s="62" t="s">
        <v>744</v>
      </c>
      <c r="L268" s="62" t="s">
        <v>2421</v>
      </c>
      <c r="M268" s="66" t="s">
        <v>1971</v>
      </c>
    </row>
    <row r="269" spans="1:13" x14ac:dyDescent="0.3">
      <c r="A269" s="61" t="s">
        <v>2017</v>
      </c>
      <c r="B269" s="62" t="s">
        <v>751</v>
      </c>
      <c r="C269" s="62" t="s">
        <v>752</v>
      </c>
      <c r="D269" s="63">
        <v>44802</v>
      </c>
      <c r="E269" s="63">
        <v>46626</v>
      </c>
      <c r="F269" s="62" t="s">
        <v>1931</v>
      </c>
      <c r="G269" s="62" t="s">
        <v>304</v>
      </c>
      <c r="H269" s="62" t="s">
        <v>601</v>
      </c>
      <c r="I269" s="62" t="s">
        <v>354</v>
      </c>
      <c r="J269" s="62" t="s">
        <v>743</v>
      </c>
      <c r="K269" s="62" t="s">
        <v>744</v>
      </c>
      <c r="L269" s="62" t="s">
        <v>2421</v>
      </c>
      <c r="M269" s="66" t="s">
        <v>1971</v>
      </c>
    </row>
    <row r="270" spans="1:13" x14ac:dyDescent="0.3">
      <c r="A270" s="61" t="s">
        <v>2017</v>
      </c>
      <c r="B270" s="62" t="s">
        <v>751</v>
      </c>
      <c r="C270" s="62" t="s">
        <v>752</v>
      </c>
      <c r="D270" s="63">
        <v>44802</v>
      </c>
      <c r="E270" s="63">
        <v>46626</v>
      </c>
      <c r="F270" s="62" t="s">
        <v>1940</v>
      </c>
      <c r="G270" s="62" t="s">
        <v>304</v>
      </c>
      <c r="H270" s="62" t="s">
        <v>601</v>
      </c>
      <c r="I270" s="62" t="s">
        <v>354</v>
      </c>
      <c r="J270" s="62" t="s">
        <v>743</v>
      </c>
      <c r="K270" s="62" t="s">
        <v>744</v>
      </c>
      <c r="L270" s="62" t="s">
        <v>2421</v>
      </c>
      <c r="M270" s="66" t="s">
        <v>1971</v>
      </c>
    </row>
    <row r="271" spans="1:13" x14ac:dyDescent="0.3">
      <c r="A271" s="61" t="s">
        <v>2018</v>
      </c>
      <c r="B271" s="62" t="s">
        <v>753</v>
      </c>
      <c r="C271" s="62" t="s">
        <v>754</v>
      </c>
      <c r="D271" s="63">
        <v>44599</v>
      </c>
      <c r="E271" s="63">
        <v>46425</v>
      </c>
      <c r="F271" s="62" t="s">
        <v>348</v>
      </c>
      <c r="G271" s="62" t="s">
        <v>348</v>
      </c>
      <c r="H271" s="62" t="s">
        <v>601</v>
      </c>
      <c r="I271" s="62" t="s">
        <v>457</v>
      </c>
      <c r="J271" s="62" t="s">
        <v>755</v>
      </c>
      <c r="K271" s="62" t="s">
        <v>365</v>
      </c>
      <c r="L271" s="62" t="s">
        <v>2421</v>
      </c>
      <c r="M271" s="66" t="s">
        <v>1971</v>
      </c>
    </row>
    <row r="272" spans="1:13" x14ac:dyDescent="0.3">
      <c r="A272" s="61" t="s">
        <v>2018</v>
      </c>
      <c r="B272" s="62" t="s">
        <v>753</v>
      </c>
      <c r="C272" s="62" t="s">
        <v>754</v>
      </c>
      <c r="D272" s="63">
        <v>44599</v>
      </c>
      <c r="E272" s="63">
        <v>46425</v>
      </c>
      <c r="F272" s="62" t="s">
        <v>1933</v>
      </c>
      <c r="G272" s="62" t="s">
        <v>756</v>
      </c>
      <c r="H272" s="62" t="s">
        <v>601</v>
      </c>
      <c r="I272" s="62" t="s">
        <v>457</v>
      </c>
      <c r="J272" s="62" t="s">
        <v>755</v>
      </c>
      <c r="K272" s="62" t="s">
        <v>365</v>
      </c>
      <c r="L272" s="62" t="s">
        <v>2421</v>
      </c>
      <c r="M272" s="66" t="s">
        <v>1971</v>
      </c>
    </row>
    <row r="273" spans="1:13" x14ac:dyDescent="0.3">
      <c r="A273" s="61" t="s">
        <v>2018</v>
      </c>
      <c r="B273" s="62" t="s">
        <v>753</v>
      </c>
      <c r="C273" s="62" t="s">
        <v>754</v>
      </c>
      <c r="D273" s="63">
        <v>44599</v>
      </c>
      <c r="E273" s="63">
        <v>46425</v>
      </c>
      <c r="F273" s="62" t="s">
        <v>1922</v>
      </c>
      <c r="G273" s="62" t="s">
        <v>349</v>
      </c>
      <c r="H273" s="62" t="s">
        <v>601</v>
      </c>
      <c r="I273" s="62" t="s">
        <v>457</v>
      </c>
      <c r="J273" s="62" t="s">
        <v>755</v>
      </c>
      <c r="K273" s="62" t="s">
        <v>365</v>
      </c>
      <c r="L273" s="62" t="s">
        <v>2421</v>
      </c>
      <c r="M273" s="66" t="s">
        <v>1971</v>
      </c>
    </row>
    <row r="274" spans="1:13" x14ac:dyDescent="0.3">
      <c r="A274" s="61" t="s">
        <v>2018</v>
      </c>
      <c r="B274" s="62" t="s">
        <v>753</v>
      </c>
      <c r="C274" s="62" t="s">
        <v>754</v>
      </c>
      <c r="D274" s="63">
        <v>44599</v>
      </c>
      <c r="E274" s="63">
        <v>46425</v>
      </c>
      <c r="F274" s="62" t="s">
        <v>1943</v>
      </c>
      <c r="G274" s="62" t="s">
        <v>452</v>
      </c>
      <c r="H274" s="62" t="s">
        <v>601</v>
      </c>
      <c r="I274" s="62" t="s">
        <v>457</v>
      </c>
      <c r="J274" s="62" t="s">
        <v>755</v>
      </c>
      <c r="K274" s="62" t="s">
        <v>365</v>
      </c>
      <c r="L274" s="62" t="s">
        <v>2421</v>
      </c>
      <c r="M274" s="66" t="s">
        <v>1971</v>
      </c>
    </row>
    <row r="275" spans="1:13" x14ac:dyDescent="0.3">
      <c r="A275" s="61" t="s">
        <v>2018</v>
      </c>
      <c r="B275" s="62" t="s">
        <v>753</v>
      </c>
      <c r="C275" s="62" t="s">
        <v>754</v>
      </c>
      <c r="D275" s="63">
        <v>44599</v>
      </c>
      <c r="E275" s="63">
        <v>46425</v>
      </c>
      <c r="F275" s="62" t="s">
        <v>1939</v>
      </c>
      <c r="G275" s="62" t="s">
        <v>539</v>
      </c>
      <c r="H275" s="62" t="s">
        <v>601</v>
      </c>
      <c r="I275" s="62" t="s">
        <v>457</v>
      </c>
      <c r="J275" s="62" t="s">
        <v>755</v>
      </c>
      <c r="K275" s="62" t="s">
        <v>365</v>
      </c>
      <c r="L275" s="62" t="s">
        <v>2421</v>
      </c>
      <c r="M275" s="66" t="s">
        <v>1971</v>
      </c>
    </row>
    <row r="276" spans="1:13" x14ac:dyDescent="0.3">
      <c r="A276" s="61" t="s">
        <v>2018</v>
      </c>
      <c r="B276" s="62" t="s">
        <v>753</v>
      </c>
      <c r="C276" s="62" t="s">
        <v>754</v>
      </c>
      <c r="D276" s="63">
        <v>44599</v>
      </c>
      <c r="E276" s="63">
        <v>46425</v>
      </c>
      <c r="F276" s="62" t="s">
        <v>1930</v>
      </c>
      <c r="G276" s="62" t="s">
        <v>453</v>
      </c>
      <c r="H276" s="62" t="s">
        <v>601</v>
      </c>
      <c r="I276" s="62" t="s">
        <v>457</v>
      </c>
      <c r="J276" s="62" t="s">
        <v>755</v>
      </c>
      <c r="K276" s="62" t="s">
        <v>365</v>
      </c>
      <c r="L276" s="62" t="s">
        <v>2421</v>
      </c>
      <c r="M276" s="66" t="s">
        <v>1971</v>
      </c>
    </row>
    <row r="277" spans="1:13" x14ac:dyDescent="0.3">
      <c r="A277" s="61" t="s">
        <v>2018</v>
      </c>
      <c r="B277" s="62" t="s">
        <v>753</v>
      </c>
      <c r="C277" s="62" t="s">
        <v>754</v>
      </c>
      <c r="D277" s="63">
        <v>44599</v>
      </c>
      <c r="E277" s="63">
        <v>46425</v>
      </c>
      <c r="F277" s="62" t="s">
        <v>284</v>
      </c>
      <c r="G277" s="62" t="s">
        <v>285</v>
      </c>
      <c r="H277" s="62" t="s">
        <v>601</v>
      </c>
      <c r="I277" s="62" t="s">
        <v>457</v>
      </c>
      <c r="J277" s="62" t="s">
        <v>755</v>
      </c>
      <c r="K277" s="62" t="s">
        <v>365</v>
      </c>
      <c r="L277" s="62" t="s">
        <v>2421</v>
      </c>
      <c r="M277" s="66" t="s">
        <v>1971</v>
      </c>
    </row>
    <row r="278" spans="1:13" x14ac:dyDescent="0.3">
      <c r="A278" s="61" t="s">
        <v>2018</v>
      </c>
      <c r="B278" s="62" t="s">
        <v>753</v>
      </c>
      <c r="C278" s="62" t="s">
        <v>754</v>
      </c>
      <c r="D278" s="63">
        <v>44599</v>
      </c>
      <c r="E278" s="63">
        <v>46425</v>
      </c>
      <c r="F278" s="62" t="s">
        <v>1942</v>
      </c>
      <c r="G278" s="62" t="s">
        <v>757</v>
      </c>
      <c r="H278" s="62" t="s">
        <v>601</v>
      </c>
      <c r="I278" s="62" t="s">
        <v>457</v>
      </c>
      <c r="J278" s="62" t="s">
        <v>755</v>
      </c>
      <c r="K278" s="62" t="s">
        <v>365</v>
      </c>
      <c r="L278" s="62" t="s">
        <v>2421</v>
      </c>
      <c r="M278" s="66" t="s">
        <v>1971</v>
      </c>
    </row>
    <row r="279" spans="1:13" x14ac:dyDescent="0.3">
      <c r="A279" s="61" t="s">
        <v>2018</v>
      </c>
      <c r="B279" s="62" t="s">
        <v>753</v>
      </c>
      <c r="C279" s="62" t="s">
        <v>754</v>
      </c>
      <c r="D279" s="63">
        <v>44599</v>
      </c>
      <c r="E279" s="63">
        <v>46425</v>
      </c>
      <c r="F279" s="62" t="s">
        <v>288</v>
      </c>
      <c r="G279" s="62" t="s">
        <v>454</v>
      </c>
      <c r="H279" s="62" t="s">
        <v>601</v>
      </c>
      <c r="I279" s="62" t="s">
        <v>457</v>
      </c>
      <c r="J279" s="62" t="s">
        <v>755</v>
      </c>
      <c r="K279" s="62" t="s">
        <v>365</v>
      </c>
      <c r="L279" s="62" t="s">
        <v>2421</v>
      </c>
      <c r="M279" s="66" t="s">
        <v>1971</v>
      </c>
    </row>
    <row r="280" spans="1:13" x14ac:dyDescent="0.3">
      <c r="A280" s="61" t="s">
        <v>2018</v>
      </c>
      <c r="B280" s="62" t="s">
        <v>753</v>
      </c>
      <c r="C280" s="62" t="s">
        <v>754</v>
      </c>
      <c r="D280" s="63">
        <v>44599</v>
      </c>
      <c r="E280" s="63">
        <v>46425</v>
      </c>
      <c r="F280" s="62" t="s">
        <v>1959</v>
      </c>
      <c r="G280" s="62" t="s">
        <v>612</v>
      </c>
      <c r="H280" s="62" t="s">
        <v>601</v>
      </c>
      <c r="I280" s="62" t="s">
        <v>457</v>
      </c>
      <c r="J280" s="62" t="s">
        <v>755</v>
      </c>
      <c r="K280" s="62" t="s">
        <v>365</v>
      </c>
      <c r="L280" s="62" t="s">
        <v>2421</v>
      </c>
      <c r="M280" s="66" t="s">
        <v>1971</v>
      </c>
    </row>
    <row r="281" spans="1:13" x14ac:dyDescent="0.3">
      <c r="A281" s="61" t="s">
        <v>2019</v>
      </c>
      <c r="B281" s="62" t="s">
        <v>758</v>
      </c>
      <c r="C281" s="62" t="s">
        <v>759</v>
      </c>
      <c r="D281" s="63">
        <v>44771</v>
      </c>
      <c r="E281" s="63">
        <v>46203</v>
      </c>
      <c r="F281" s="62" t="s">
        <v>1930</v>
      </c>
      <c r="G281" s="62" t="s">
        <v>760</v>
      </c>
      <c r="H281" s="62" t="s">
        <v>361</v>
      </c>
      <c r="I281" s="62" t="s">
        <v>354</v>
      </c>
      <c r="J281" s="62" t="s">
        <v>364</v>
      </c>
      <c r="K281" s="62" t="s">
        <v>365</v>
      </c>
      <c r="L281" s="62" t="s">
        <v>2421</v>
      </c>
      <c r="M281" s="66" t="s">
        <v>1974</v>
      </c>
    </row>
    <row r="282" spans="1:13" x14ac:dyDescent="0.3">
      <c r="A282" s="61" t="s">
        <v>2019</v>
      </c>
      <c r="B282" s="62" t="s">
        <v>758</v>
      </c>
      <c r="C282" s="62" t="s">
        <v>759</v>
      </c>
      <c r="D282" s="63">
        <v>44771</v>
      </c>
      <c r="E282" s="63">
        <v>46203</v>
      </c>
      <c r="F282" s="62" t="s">
        <v>1930</v>
      </c>
      <c r="G282" s="62" t="s">
        <v>418</v>
      </c>
      <c r="H282" s="62" t="s">
        <v>361</v>
      </c>
      <c r="I282" s="62" t="s">
        <v>354</v>
      </c>
      <c r="J282" s="62" t="s">
        <v>364</v>
      </c>
      <c r="K282" s="62" t="s">
        <v>365</v>
      </c>
      <c r="L282" s="62" t="s">
        <v>2421</v>
      </c>
      <c r="M282" s="66" t="s">
        <v>1974</v>
      </c>
    </row>
    <row r="283" spans="1:13" x14ac:dyDescent="0.3">
      <c r="A283" s="61" t="s">
        <v>2019</v>
      </c>
      <c r="B283" s="62" t="s">
        <v>758</v>
      </c>
      <c r="C283" s="62" t="s">
        <v>759</v>
      </c>
      <c r="D283" s="63">
        <v>44771</v>
      </c>
      <c r="E283" s="63">
        <v>46203</v>
      </c>
      <c r="F283" s="62" t="s">
        <v>1930</v>
      </c>
      <c r="G283" s="62" t="s">
        <v>419</v>
      </c>
      <c r="H283" s="62" t="s">
        <v>361</v>
      </c>
      <c r="I283" s="62" t="s">
        <v>354</v>
      </c>
      <c r="J283" s="62" t="s">
        <v>364</v>
      </c>
      <c r="K283" s="62" t="s">
        <v>365</v>
      </c>
      <c r="L283" s="62" t="s">
        <v>2421</v>
      </c>
      <c r="M283" s="66" t="s">
        <v>1974</v>
      </c>
    </row>
    <row r="284" spans="1:13" x14ac:dyDescent="0.3">
      <c r="A284" s="61" t="s">
        <v>2019</v>
      </c>
      <c r="B284" s="62" t="s">
        <v>758</v>
      </c>
      <c r="C284" s="62" t="s">
        <v>759</v>
      </c>
      <c r="D284" s="63">
        <v>44771</v>
      </c>
      <c r="E284" s="63">
        <v>46203</v>
      </c>
      <c r="F284" s="62" t="s">
        <v>1930</v>
      </c>
      <c r="G284" s="62" t="s">
        <v>501</v>
      </c>
      <c r="H284" s="62" t="s">
        <v>361</v>
      </c>
      <c r="I284" s="62" t="s">
        <v>354</v>
      </c>
      <c r="J284" s="62" t="s">
        <v>364</v>
      </c>
      <c r="K284" s="62" t="s">
        <v>365</v>
      </c>
      <c r="L284" s="62" t="s">
        <v>2421</v>
      </c>
      <c r="M284" s="66" t="s">
        <v>1974</v>
      </c>
    </row>
    <row r="285" spans="1:13" x14ac:dyDescent="0.3">
      <c r="A285" s="61" t="s">
        <v>2019</v>
      </c>
      <c r="B285" s="62" t="s">
        <v>758</v>
      </c>
      <c r="C285" s="62" t="s">
        <v>759</v>
      </c>
      <c r="D285" s="63">
        <v>44771</v>
      </c>
      <c r="E285" s="63">
        <v>46203</v>
      </c>
      <c r="F285" s="62" t="s">
        <v>1930</v>
      </c>
      <c r="G285" s="62" t="s">
        <v>502</v>
      </c>
      <c r="H285" s="62" t="s">
        <v>361</v>
      </c>
      <c r="I285" s="62" t="s">
        <v>354</v>
      </c>
      <c r="J285" s="62" t="s">
        <v>364</v>
      </c>
      <c r="K285" s="62" t="s">
        <v>365</v>
      </c>
      <c r="L285" s="62" t="s">
        <v>2421</v>
      </c>
      <c r="M285" s="66" t="s">
        <v>1974</v>
      </c>
    </row>
    <row r="286" spans="1:13" x14ac:dyDescent="0.3">
      <c r="A286" s="61" t="s">
        <v>2019</v>
      </c>
      <c r="B286" s="62" t="s">
        <v>758</v>
      </c>
      <c r="C286" s="62" t="s">
        <v>759</v>
      </c>
      <c r="D286" s="63">
        <v>44771</v>
      </c>
      <c r="E286" s="63">
        <v>46203</v>
      </c>
      <c r="F286" s="62" t="s">
        <v>1930</v>
      </c>
      <c r="G286" s="62" t="s">
        <v>421</v>
      </c>
      <c r="H286" s="62" t="s">
        <v>361</v>
      </c>
      <c r="I286" s="62" t="s">
        <v>354</v>
      </c>
      <c r="J286" s="62" t="s">
        <v>364</v>
      </c>
      <c r="K286" s="62" t="s">
        <v>365</v>
      </c>
      <c r="L286" s="62" t="s">
        <v>2421</v>
      </c>
      <c r="M286" s="66" t="s">
        <v>1974</v>
      </c>
    </row>
    <row r="287" spans="1:13" x14ac:dyDescent="0.3">
      <c r="A287" s="61" t="s">
        <v>2019</v>
      </c>
      <c r="B287" s="62" t="s">
        <v>758</v>
      </c>
      <c r="C287" s="62" t="s">
        <v>759</v>
      </c>
      <c r="D287" s="63">
        <v>44771</v>
      </c>
      <c r="E287" s="63">
        <v>46203</v>
      </c>
      <c r="F287" s="62" t="s">
        <v>1936</v>
      </c>
      <c r="G287" s="62" t="s">
        <v>761</v>
      </c>
      <c r="H287" s="62" t="s">
        <v>361</v>
      </c>
      <c r="I287" s="62" t="s">
        <v>354</v>
      </c>
      <c r="J287" s="62" t="s">
        <v>364</v>
      </c>
      <c r="K287" s="62" t="s">
        <v>365</v>
      </c>
      <c r="L287" s="62" t="s">
        <v>2421</v>
      </c>
      <c r="M287" s="66" t="s">
        <v>1974</v>
      </c>
    </row>
    <row r="288" spans="1:13" x14ac:dyDescent="0.3">
      <c r="A288" s="61" t="s">
        <v>2019</v>
      </c>
      <c r="B288" s="62" t="s">
        <v>758</v>
      </c>
      <c r="C288" s="62" t="s">
        <v>759</v>
      </c>
      <c r="D288" s="63">
        <v>44771</v>
      </c>
      <c r="E288" s="63">
        <v>46203</v>
      </c>
      <c r="F288" s="62" t="s">
        <v>1936</v>
      </c>
      <c r="G288" s="62" t="s">
        <v>604</v>
      </c>
      <c r="H288" s="62" t="s">
        <v>361</v>
      </c>
      <c r="I288" s="62" t="s">
        <v>354</v>
      </c>
      <c r="J288" s="62" t="s">
        <v>364</v>
      </c>
      <c r="K288" s="62" t="s">
        <v>365</v>
      </c>
      <c r="L288" s="62" t="s">
        <v>2421</v>
      </c>
      <c r="M288" s="66" t="s">
        <v>1974</v>
      </c>
    </row>
    <row r="289" spans="1:13" x14ac:dyDescent="0.3">
      <c r="A289" s="61" t="s">
        <v>2019</v>
      </c>
      <c r="B289" s="62" t="s">
        <v>758</v>
      </c>
      <c r="C289" s="62" t="s">
        <v>759</v>
      </c>
      <c r="D289" s="63">
        <v>44771</v>
      </c>
      <c r="E289" s="63">
        <v>46203</v>
      </c>
      <c r="F289" s="62" t="s">
        <v>1936</v>
      </c>
      <c r="G289" s="62" t="s">
        <v>411</v>
      </c>
      <c r="H289" s="62" t="s">
        <v>361</v>
      </c>
      <c r="I289" s="62" t="s">
        <v>354</v>
      </c>
      <c r="J289" s="62" t="s">
        <v>364</v>
      </c>
      <c r="K289" s="62" t="s">
        <v>365</v>
      </c>
      <c r="L289" s="62" t="s">
        <v>2421</v>
      </c>
      <c r="M289" s="66" t="s">
        <v>1974</v>
      </c>
    </row>
    <row r="290" spans="1:13" x14ac:dyDescent="0.3">
      <c r="A290" s="61" t="s">
        <v>2019</v>
      </c>
      <c r="B290" s="62" t="s">
        <v>758</v>
      </c>
      <c r="C290" s="62" t="s">
        <v>759</v>
      </c>
      <c r="D290" s="63">
        <v>44771</v>
      </c>
      <c r="E290" s="63">
        <v>46203</v>
      </c>
      <c r="F290" s="62" t="s">
        <v>1944</v>
      </c>
      <c r="G290" s="62" t="s">
        <v>675</v>
      </c>
      <c r="H290" s="62" t="s">
        <v>361</v>
      </c>
      <c r="I290" s="62" t="s">
        <v>354</v>
      </c>
      <c r="J290" s="62" t="s">
        <v>364</v>
      </c>
      <c r="K290" s="62" t="s">
        <v>365</v>
      </c>
      <c r="L290" s="62" t="s">
        <v>2421</v>
      </c>
      <c r="M290" s="66" t="s">
        <v>1974</v>
      </c>
    </row>
    <row r="291" spans="1:13" x14ac:dyDescent="0.3">
      <c r="A291" s="61" t="s">
        <v>2019</v>
      </c>
      <c r="B291" s="62" t="s">
        <v>758</v>
      </c>
      <c r="C291" s="62" t="s">
        <v>759</v>
      </c>
      <c r="D291" s="63">
        <v>44771</v>
      </c>
      <c r="E291" s="63">
        <v>46203</v>
      </c>
      <c r="F291" s="62" t="s">
        <v>1944</v>
      </c>
      <c r="G291" s="62" t="s">
        <v>676</v>
      </c>
      <c r="H291" s="62" t="s">
        <v>361</v>
      </c>
      <c r="I291" s="62" t="s">
        <v>354</v>
      </c>
      <c r="J291" s="62" t="s">
        <v>364</v>
      </c>
      <c r="K291" s="62" t="s">
        <v>365</v>
      </c>
      <c r="L291" s="62" t="s">
        <v>2421</v>
      </c>
      <c r="M291" s="66" t="s">
        <v>1974</v>
      </c>
    </row>
    <row r="292" spans="1:13" x14ac:dyDescent="0.3">
      <c r="A292" s="61" t="s">
        <v>2019</v>
      </c>
      <c r="B292" s="62" t="s">
        <v>758</v>
      </c>
      <c r="C292" s="62" t="s">
        <v>759</v>
      </c>
      <c r="D292" s="63">
        <v>44771</v>
      </c>
      <c r="E292" s="63">
        <v>46203</v>
      </c>
      <c r="F292" s="62" t="s">
        <v>1943</v>
      </c>
      <c r="G292" s="62" t="s">
        <v>762</v>
      </c>
      <c r="H292" s="62" t="s">
        <v>361</v>
      </c>
      <c r="I292" s="62" t="s">
        <v>354</v>
      </c>
      <c r="J292" s="62" t="s">
        <v>364</v>
      </c>
      <c r="K292" s="62" t="s">
        <v>365</v>
      </c>
      <c r="L292" s="62" t="s">
        <v>2421</v>
      </c>
      <c r="M292" s="66" t="s">
        <v>1974</v>
      </c>
    </row>
    <row r="293" spans="1:13" x14ac:dyDescent="0.3">
      <c r="A293" s="61" t="s">
        <v>2019</v>
      </c>
      <c r="B293" s="62" t="s">
        <v>758</v>
      </c>
      <c r="C293" s="62" t="s">
        <v>759</v>
      </c>
      <c r="D293" s="63">
        <v>44771</v>
      </c>
      <c r="E293" s="63">
        <v>46203</v>
      </c>
      <c r="F293" s="62" t="s">
        <v>1939</v>
      </c>
      <c r="G293" s="62" t="s">
        <v>539</v>
      </c>
      <c r="H293" s="62" t="s">
        <v>361</v>
      </c>
      <c r="I293" s="62" t="s">
        <v>354</v>
      </c>
      <c r="J293" s="62" t="s">
        <v>364</v>
      </c>
      <c r="K293" s="62" t="s">
        <v>365</v>
      </c>
      <c r="L293" s="62" t="s">
        <v>2421</v>
      </c>
      <c r="M293" s="66" t="s">
        <v>1974</v>
      </c>
    </row>
    <row r="294" spans="1:13" x14ac:dyDescent="0.3">
      <c r="A294" s="61" t="s">
        <v>2020</v>
      </c>
      <c r="B294" s="62" t="s">
        <v>775</v>
      </c>
      <c r="C294" s="62" t="s">
        <v>776</v>
      </c>
      <c r="D294" s="63">
        <v>44818</v>
      </c>
      <c r="E294" s="63">
        <v>46279</v>
      </c>
      <c r="F294" s="62" t="s">
        <v>1943</v>
      </c>
      <c r="G294" s="62" t="s">
        <v>777</v>
      </c>
      <c r="H294" s="62" t="s">
        <v>481</v>
      </c>
      <c r="I294" s="62" t="s">
        <v>457</v>
      </c>
      <c r="J294" s="62" t="s">
        <v>778</v>
      </c>
      <c r="K294" s="62" t="s">
        <v>459</v>
      </c>
      <c r="L294" s="62" t="s">
        <v>2421</v>
      </c>
      <c r="M294" s="66" t="s">
        <v>1971</v>
      </c>
    </row>
    <row r="295" spans="1:13" x14ac:dyDescent="0.3">
      <c r="A295" s="61" t="s">
        <v>2020</v>
      </c>
      <c r="B295" s="62" t="s">
        <v>775</v>
      </c>
      <c r="C295" s="62" t="s">
        <v>776</v>
      </c>
      <c r="D295" s="63">
        <v>44818</v>
      </c>
      <c r="E295" s="63">
        <v>46279</v>
      </c>
      <c r="F295" s="62" t="s">
        <v>1943</v>
      </c>
      <c r="G295" s="62" t="s">
        <v>779</v>
      </c>
      <c r="H295" s="62" t="s">
        <v>481</v>
      </c>
      <c r="I295" s="62" t="s">
        <v>457</v>
      </c>
      <c r="J295" s="62" t="s">
        <v>778</v>
      </c>
      <c r="K295" s="62" t="s">
        <v>459</v>
      </c>
      <c r="L295" s="62" t="s">
        <v>2421</v>
      </c>
      <c r="M295" s="66" t="s">
        <v>1971</v>
      </c>
    </row>
    <row r="296" spans="1:13" x14ac:dyDescent="0.3">
      <c r="A296" s="61" t="s">
        <v>2020</v>
      </c>
      <c r="B296" s="62" t="s">
        <v>775</v>
      </c>
      <c r="C296" s="62" t="s">
        <v>776</v>
      </c>
      <c r="D296" s="63">
        <v>44818</v>
      </c>
      <c r="E296" s="63">
        <v>46279</v>
      </c>
      <c r="F296" s="62" t="s">
        <v>1943</v>
      </c>
      <c r="G296" s="62" t="s">
        <v>780</v>
      </c>
      <c r="H296" s="62" t="s">
        <v>481</v>
      </c>
      <c r="I296" s="62" t="s">
        <v>457</v>
      </c>
      <c r="J296" s="62" t="s">
        <v>778</v>
      </c>
      <c r="K296" s="62" t="s">
        <v>459</v>
      </c>
      <c r="L296" s="62" t="s">
        <v>2421</v>
      </c>
      <c r="M296" s="66" t="s">
        <v>1971</v>
      </c>
    </row>
    <row r="297" spans="1:13" x14ac:dyDescent="0.3">
      <c r="A297" s="61" t="s">
        <v>2020</v>
      </c>
      <c r="B297" s="62" t="s">
        <v>775</v>
      </c>
      <c r="C297" s="62" t="s">
        <v>776</v>
      </c>
      <c r="D297" s="63">
        <v>44818</v>
      </c>
      <c r="E297" s="63">
        <v>46279</v>
      </c>
      <c r="F297" s="62" t="s">
        <v>1959</v>
      </c>
      <c r="G297" s="62" t="s">
        <v>578</v>
      </c>
      <c r="H297" s="62" t="s">
        <v>481</v>
      </c>
      <c r="I297" s="62" t="s">
        <v>457</v>
      </c>
      <c r="J297" s="62" t="s">
        <v>778</v>
      </c>
      <c r="K297" s="62" t="s">
        <v>459</v>
      </c>
      <c r="L297" s="62" t="s">
        <v>2421</v>
      </c>
      <c r="M297" s="66" t="s">
        <v>1971</v>
      </c>
    </row>
    <row r="298" spans="1:13" x14ac:dyDescent="0.3">
      <c r="A298" s="61" t="s">
        <v>2020</v>
      </c>
      <c r="B298" s="62" t="s">
        <v>775</v>
      </c>
      <c r="C298" s="62" t="s">
        <v>776</v>
      </c>
      <c r="D298" s="63">
        <v>44818</v>
      </c>
      <c r="E298" s="63">
        <v>46279</v>
      </c>
      <c r="F298" s="62" t="s">
        <v>1959</v>
      </c>
      <c r="G298" s="62" t="s">
        <v>781</v>
      </c>
      <c r="H298" s="62" t="s">
        <v>481</v>
      </c>
      <c r="I298" s="62" t="s">
        <v>457</v>
      </c>
      <c r="J298" s="62" t="s">
        <v>778</v>
      </c>
      <c r="K298" s="62" t="s">
        <v>459</v>
      </c>
      <c r="L298" s="62" t="s">
        <v>2421</v>
      </c>
      <c r="M298" s="66" t="s">
        <v>1971</v>
      </c>
    </row>
    <row r="299" spans="1:13" x14ac:dyDescent="0.3">
      <c r="A299" s="61" t="s">
        <v>2020</v>
      </c>
      <c r="B299" s="62" t="s">
        <v>775</v>
      </c>
      <c r="C299" s="62" t="s">
        <v>776</v>
      </c>
      <c r="D299" s="63">
        <v>44818</v>
      </c>
      <c r="E299" s="63">
        <v>46279</v>
      </c>
      <c r="F299" s="62" t="s">
        <v>1943</v>
      </c>
      <c r="G299" s="62" t="s">
        <v>777</v>
      </c>
      <c r="H299" s="62" t="s">
        <v>782</v>
      </c>
      <c r="I299" s="62" t="s">
        <v>457</v>
      </c>
      <c r="J299" s="62" t="s">
        <v>778</v>
      </c>
      <c r="K299" s="62" t="s">
        <v>459</v>
      </c>
      <c r="L299" s="62" t="s">
        <v>2421</v>
      </c>
      <c r="M299" s="66" t="s">
        <v>1971</v>
      </c>
    </row>
    <row r="300" spans="1:13" x14ac:dyDescent="0.3">
      <c r="A300" s="61" t="s">
        <v>2020</v>
      </c>
      <c r="B300" s="62" t="s">
        <v>775</v>
      </c>
      <c r="C300" s="62" t="s">
        <v>776</v>
      </c>
      <c r="D300" s="63">
        <v>44818</v>
      </c>
      <c r="E300" s="63">
        <v>46279</v>
      </c>
      <c r="F300" s="62" t="s">
        <v>1943</v>
      </c>
      <c r="G300" s="62" t="s">
        <v>779</v>
      </c>
      <c r="H300" s="62" t="s">
        <v>782</v>
      </c>
      <c r="I300" s="62" t="s">
        <v>457</v>
      </c>
      <c r="J300" s="62" t="s">
        <v>778</v>
      </c>
      <c r="K300" s="62" t="s">
        <v>459</v>
      </c>
      <c r="L300" s="62" t="s">
        <v>2421</v>
      </c>
      <c r="M300" s="66" t="s">
        <v>1971</v>
      </c>
    </row>
    <row r="301" spans="1:13" x14ac:dyDescent="0.3">
      <c r="A301" s="61" t="s">
        <v>2020</v>
      </c>
      <c r="B301" s="62" t="s">
        <v>775</v>
      </c>
      <c r="C301" s="62" t="s">
        <v>776</v>
      </c>
      <c r="D301" s="63">
        <v>44818</v>
      </c>
      <c r="E301" s="63">
        <v>46279</v>
      </c>
      <c r="F301" s="62" t="s">
        <v>1943</v>
      </c>
      <c r="G301" s="62" t="s">
        <v>780</v>
      </c>
      <c r="H301" s="62" t="s">
        <v>782</v>
      </c>
      <c r="I301" s="62" t="s">
        <v>457</v>
      </c>
      <c r="J301" s="62" t="s">
        <v>778</v>
      </c>
      <c r="K301" s="62" t="s">
        <v>459</v>
      </c>
      <c r="L301" s="62" t="s">
        <v>2421</v>
      </c>
      <c r="M301" s="66" t="s">
        <v>1971</v>
      </c>
    </row>
    <row r="302" spans="1:13" x14ac:dyDescent="0.3">
      <c r="A302" s="61" t="s">
        <v>2020</v>
      </c>
      <c r="B302" s="62" t="s">
        <v>775</v>
      </c>
      <c r="C302" s="62" t="s">
        <v>776</v>
      </c>
      <c r="D302" s="63">
        <v>44818</v>
      </c>
      <c r="E302" s="63">
        <v>46279</v>
      </c>
      <c r="F302" s="62" t="s">
        <v>1959</v>
      </c>
      <c r="G302" s="62" t="s">
        <v>578</v>
      </c>
      <c r="H302" s="62" t="s">
        <v>782</v>
      </c>
      <c r="I302" s="62" t="s">
        <v>457</v>
      </c>
      <c r="J302" s="62" t="s">
        <v>778</v>
      </c>
      <c r="K302" s="62" t="s">
        <v>459</v>
      </c>
      <c r="L302" s="62" t="s">
        <v>2421</v>
      </c>
      <c r="M302" s="66" t="s">
        <v>1971</v>
      </c>
    </row>
    <row r="303" spans="1:13" x14ac:dyDescent="0.3">
      <c r="A303" s="61" t="s">
        <v>2020</v>
      </c>
      <c r="B303" s="62" t="s">
        <v>775</v>
      </c>
      <c r="C303" s="62" t="s">
        <v>776</v>
      </c>
      <c r="D303" s="63">
        <v>44818</v>
      </c>
      <c r="E303" s="63">
        <v>46279</v>
      </c>
      <c r="F303" s="62" t="s">
        <v>1959</v>
      </c>
      <c r="G303" s="62" t="s">
        <v>781</v>
      </c>
      <c r="H303" s="62" t="s">
        <v>782</v>
      </c>
      <c r="I303" s="62" t="s">
        <v>457</v>
      </c>
      <c r="J303" s="62" t="s">
        <v>778</v>
      </c>
      <c r="K303" s="62" t="s">
        <v>459</v>
      </c>
      <c r="L303" s="62" t="s">
        <v>2421</v>
      </c>
      <c r="M303" s="66" t="s">
        <v>1971</v>
      </c>
    </row>
    <row r="304" spans="1:13" x14ac:dyDescent="0.3">
      <c r="A304" s="61" t="s">
        <v>2022</v>
      </c>
      <c r="B304" s="62" t="s">
        <v>783</v>
      </c>
      <c r="C304" s="62" t="s">
        <v>784</v>
      </c>
      <c r="D304" s="63">
        <v>44858</v>
      </c>
      <c r="E304" s="63">
        <v>46319</v>
      </c>
      <c r="F304" s="62" t="s">
        <v>1934</v>
      </c>
      <c r="G304" s="62" t="s">
        <v>497</v>
      </c>
      <c r="H304" s="62" t="s">
        <v>481</v>
      </c>
      <c r="I304" s="62" t="s">
        <v>313</v>
      </c>
      <c r="J304" s="62" t="s">
        <v>357</v>
      </c>
      <c r="K304" s="62" t="s">
        <v>358</v>
      </c>
      <c r="L304" s="62" t="s">
        <v>2421</v>
      </c>
      <c r="M304" s="66" t="s">
        <v>1969</v>
      </c>
    </row>
    <row r="305" spans="1:13" x14ac:dyDescent="0.3">
      <c r="A305" s="61" t="s">
        <v>2022</v>
      </c>
      <c r="B305" s="62" t="s">
        <v>783</v>
      </c>
      <c r="C305" s="62" t="s">
        <v>784</v>
      </c>
      <c r="D305" s="63">
        <v>44858</v>
      </c>
      <c r="E305" s="63">
        <v>46319</v>
      </c>
      <c r="F305" s="62" t="s">
        <v>1934</v>
      </c>
      <c r="G305" s="62" t="s">
        <v>526</v>
      </c>
      <c r="H305" s="62" t="s">
        <v>481</v>
      </c>
      <c r="I305" s="62" t="s">
        <v>313</v>
      </c>
      <c r="J305" s="62" t="s">
        <v>357</v>
      </c>
      <c r="K305" s="62" t="s">
        <v>358</v>
      </c>
      <c r="L305" s="62" t="s">
        <v>2421</v>
      </c>
      <c r="M305" s="66" t="s">
        <v>1969</v>
      </c>
    </row>
    <row r="306" spans="1:13" x14ac:dyDescent="0.3">
      <c r="A306" s="61" t="s">
        <v>2022</v>
      </c>
      <c r="B306" s="62" t="s">
        <v>783</v>
      </c>
      <c r="C306" s="62" t="s">
        <v>784</v>
      </c>
      <c r="D306" s="63">
        <v>44858</v>
      </c>
      <c r="E306" s="63">
        <v>46319</v>
      </c>
      <c r="F306" s="62" t="s">
        <v>1934</v>
      </c>
      <c r="G306" s="62" t="s">
        <v>498</v>
      </c>
      <c r="H306" s="62" t="s">
        <v>481</v>
      </c>
      <c r="I306" s="62" t="s">
        <v>313</v>
      </c>
      <c r="J306" s="62" t="s">
        <v>357</v>
      </c>
      <c r="K306" s="62" t="s">
        <v>358</v>
      </c>
      <c r="L306" s="62" t="s">
        <v>2421</v>
      </c>
      <c r="M306" s="66" t="s">
        <v>1969</v>
      </c>
    </row>
    <row r="307" spans="1:13" x14ac:dyDescent="0.3">
      <c r="A307" s="61" t="s">
        <v>2022</v>
      </c>
      <c r="B307" s="62" t="s">
        <v>783</v>
      </c>
      <c r="C307" s="62" t="s">
        <v>784</v>
      </c>
      <c r="D307" s="63">
        <v>44858</v>
      </c>
      <c r="E307" s="63">
        <v>46319</v>
      </c>
      <c r="F307" s="62" t="s">
        <v>1934</v>
      </c>
      <c r="G307" s="62" t="s">
        <v>500</v>
      </c>
      <c r="H307" s="62" t="s">
        <v>481</v>
      </c>
      <c r="I307" s="62" t="s">
        <v>313</v>
      </c>
      <c r="J307" s="62" t="s">
        <v>357</v>
      </c>
      <c r="K307" s="62" t="s">
        <v>358</v>
      </c>
      <c r="L307" s="62" t="s">
        <v>2421</v>
      </c>
      <c r="M307" s="66" t="s">
        <v>1969</v>
      </c>
    </row>
    <row r="308" spans="1:13" x14ac:dyDescent="0.3">
      <c r="A308" s="61" t="s">
        <v>2022</v>
      </c>
      <c r="B308" s="62" t="s">
        <v>783</v>
      </c>
      <c r="C308" s="62" t="s">
        <v>784</v>
      </c>
      <c r="D308" s="63">
        <v>44858</v>
      </c>
      <c r="E308" s="63">
        <v>46319</v>
      </c>
      <c r="F308" s="62" t="s">
        <v>282</v>
      </c>
      <c r="G308" s="62" t="s">
        <v>785</v>
      </c>
      <c r="H308" s="62" t="s">
        <v>481</v>
      </c>
      <c r="I308" s="62" t="s">
        <v>313</v>
      </c>
      <c r="J308" s="62" t="s">
        <v>357</v>
      </c>
      <c r="K308" s="62" t="s">
        <v>358</v>
      </c>
      <c r="L308" s="62" t="s">
        <v>2421</v>
      </c>
      <c r="M308" s="66" t="s">
        <v>1969</v>
      </c>
    </row>
    <row r="309" spans="1:13" x14ac:dyDescent="0.3">
      <c r="A309" s="61" t="s">
        <v>2022</v>
      </c>
      <c r="B309" s="62" t="s">
        <v>783</v>
      </c>
      <c r="C309" s="62" t="s">
        <v>784</v>
      </c>
      <c r="D309" s="63">
        <v>44858</v>
      </c>
      <c r="E309" s="63">
        <v>46319</v>
      </c>
      <c r="F309" s="62" t="s">
        <v>282</v>
      </c>
      <c r="G309" s="62" t="s">
        <v>786</v>
      </c>
      <c r="H309" s="62" t="s">
        <v>481</v>
      </c>
      <c r="I309" s="62" t="s">
        <v>313</v>
      </c>
      <c r="J309" s="62" t="s">
        <v>357</v>
      </c>
      <c r="K309" s="62" t="s">
        <v>358</v>
      </c>
      <c r="L309" s="62" t="s">
        <v>2421</v>
      </c>
      <c r="M309" s="66" t="s">
        <v>1969</v>
      </c>
    </row>
    <row r="310" spans="1:13" x14ac:dyDescent="0.3">
      <c r="A310" s="61" t="s">
        <v>2022</v>
      </c>
      <c r="B310" s="62" t="s">
        <v>783</v>
      </c>
      <c r="C310" s="62" t="s">
        <v>784</v>
      </c>
      <c r="D310" s="63">
        <v>44858</v>
      </c>
      <c r="E310" s="63">
        <v>46319</v>
      </c>
      <c r="F310" s="62" t="s">
        <v>282</v>
      </c>
      <c r="G310" s="62" t="s">
        <v>787</v>
      </c>
      <c r="H310" s="62" t="s">
        <v>481</v>
      </c>
      <c r="I310" s="62" t="s">
        <v>313</v>
      </c>
      <c r="J310" s="62" t="s">
        <v>357</v>
      </c>
      <c r="K310" s="62" t="s">
        <v>358</v>
      </c>
      <c r="L310" s="62" t="s">
        <v>2421</v>
      </c>
      <c r="M310" s="66" t="s">
        <v>1969</v>
      </c>
    </row>
    <row r="311" spans="1:13" x14ac:dyDescent="0.3">
      <c r="A311" s="61" t="s">
        <v>2022</v>
      </c>
      <c r="B311" s="62" t="s">
        <v>783</v>
      </c>
      <c r="C311" s="62" t="s">
        <v>784</v>
      </c>
      <c r="D311" s="63">
        <v>44858</v>
      </c>
      <c r="E311" s="63">
        <v>46319</v>
      </c>
      <c r="F311" s="62" t="s">
        <v>1938</v>
      </c>
      <c r="G311" s="62" t="s">
        <v>503</v>
      </c>
      <c r="H311" s="62" t="s">
        <v>481</v>
      </c>
      <c r="I311" s="62" t="s">
        <v>313</v>
      </c>
      <c r="J311" s="62" t="s">
        <v>357</v>
      </c>
      <c r="K311" s="62" t="s">
        <v>358</v>
      </c>
      <c r="L311" s="62" t="s">
        <v>2421</v>
      </c>
      <c r="M311" s="66" t="s">
        <v>1969</v>
      </c>
    </row>
    <row r="312" spans="1:13" x14ac:dyDescent="0.3">
      <c r="A312" s="61" t="s">
        <v>2022</v>
      </c>
      <c r="B312" s="62" t="s">
        <v>783</v>
      </c>
      <c r="C312" s="62" t="s">
        <v>784</v>
      </c>
      <c r="D312" s="63">
        <v>44858</v>
      </c>
      <c r="E312" s="63">
        <v>46319</v>
      </c>
      <c r="F312" s="62" t="s">
        <v>1938</v>
      </c>
      <c r="G312" s="62" t="s">
        <v>504</v>
      </c>
      <c r="H312" s="62" t="s">
        <v>481</v>
      </c>
      <c r="I312" s="62" t="s">
        <v>313</v>
      </c>
      <c r="J312" s="62" t="s">
        <v>357</v>
      </c>
      <c r="K312" s="62" t="s">
        <v>358</v>
      </c>
      <c r="L312" s="62" t="s">
        <v>2421</v>
      </c>
      <c r="M312" s="66" t="s">
        <v>1969</v>
      </c>
    </row>
    <row r="313" spans="1:13" x14ac:dyDescent="0.3">
      <c r="A313" s="61" t="s">
        <v>2022</v>
      </c>
      <c r="B313" s="62" t="s">
        <v>783</v>
      </c>
      <c r="C313" s="62" t="s">
        <v>784</v>
      </c>
      <c r="D313" s="63">
        <v>44858</v>
      </c>
      <c r="E313" s="63">
        <v>46319</v>
      </c>
      <c r="F313" s="62" t="s">
        <v>1938</v>
      </c>
      <c r="G313" s="62" t="s">
        <v>506</v>
      </c>
      <c r="H313" s="62" t="s">
        <v>481</v>
      </c>
      <c r="I313" s="62" t="s">
        <v>313</v>
      </c>
      <c r="J313" s="62" t="s">
        <v>357</v>
      </c>
      <c r="K313" s="62" t="s">
        <v>358</v>
      </c>
      <c r="L313" s="62" t="s">
        <v>2421</v>
      </c>
      <c r="M313" s="66" t="s">
        <v>1969</v>
      </c>
    </row>
    <row r="314" spans="1:13" x14ac:dyDescent="0.3">
      <c r="A314" s="61" t="s">
        <v>2023</v>
      </c>
      <c r="B314" s="62" t="s">
        <v>788</v>
      </c>
      <c r="C314" s="62" t="s">
        <v>789</v>
      </c>
      <c r="D314" s="63">
        <v>44755</v>
      </c>
      <c r="E314" s="63">
        <v>46581</v>
      </c>
      <c r="F314" s="62" t="s">
        <v>1941</v>
      </c>
      <c r="G314" s="62" t="s">
        <v>325</v>
      </c>
      <c r="H314" s="62" t="s">
        <v>963</v>
      </c>
      <c r="I314" s="62" t="s">
        <v>457</v>
      </c>
      <c r="J314" s="62" t="s">
        <v>790</v>
      </c>
      <c r="K314" s="62" t="s">
        <v>465</v>
      </c>
      <c r="L314" s="62" t="s">
        <v>2421</v>
      </c>
      <c r="M314" s="66" t="s">
        <v>1964</v>
      </c>
    </row>
    <row r="315" spans="1:13" x14ac:dyDescent="0.3">
      <c r="A315" s="61" t="s">
        <v>2024</v>
      </c>
      <c r="B315" s="62" t="s">
        <v>791</v>
      </c>
      <c r="C315" s="62" t="s">
        <v>792</v>
      </c>
      <c r="D315" s="63">
        <v>44652</v>
      </c>
      <c r="E315" s="63">
        <v>46113</v>
      </c>
      <c r="F315" s="62" t="s">
        <v>348</v>
      </c>
      <c r="G315" s="62" t="s">
        <v>348</v>
      </c>
      <c r="H315" s="62" t="s">
        <v>373</v>
      </c>
      <c r="I315" s="62" t="s">
        <v>424</v>
      </c>
      <c r="J315" s="62" t="s">
        <v>793</v>
      </c>
      <c r="K315" s="62" t="s">
        <v>358</v>
      </c>
      <c r="L315" s="62" t="s">
        <v>2421</v>
      </c>
      <c r="M315" s="66" t="s">
        <v>1983</v>
      </c>
    </row>
    <row r="316" spans="1:13" x14ac:dyDescent="0.3">
      <c r="A316" s="61" t="s">
        <v>2025</v>
      </c>
      <c r="B316" s="62" t="s">
        <v>800</v>
      </c>
      <c r="C316" s="62" t="s">
        <v>801</v>
      </c>
      <c r="D316" s="63">
        <v>44880</v>
      </c>
      <c r="E316" s="63">
        <v>46568</v>
      </c>
      <c r="F316" s="62" t="s">
        <v>1922</v>
      </c>
      <c r="G316" s="62" t="s">
        <v>349</v>
      </c>
      <c r="H316" s="62" t="s">
        <v>468</v>
      </c>
      <c r="I316" s="62" t="s">
        <v>346</v>
      </c>
      <c r="J316" s="62" t="s">
        <v>640</v>
      </c>
      <c r="K316" s="62" t="s">
        <v>417</v>
      </c>
      <c r="L316" s="62" t="s">
        <v>2421</v>
      </c>
      <c r="M316" s="66" t="s">
        <v>1985</v>
      </c>
    </row>
    <row r="317" spans="1:13" x14ac:dyDescent="0.3">
      <c r="A317" s="61" t="s">
        <v>2025</v>
      </c>
      <c r="B317" s="62" t="s">
        <v>800</v>
      </c>
      <c r="C317" s="62" t="s">
        <v>801</v>
      </c>
      <c r="D317" s="63">
        <v>44880</v>
      </c>
      <c r="E317" s="63">
        <v>46568</v>
      </c>
      <c r="F317" s="62" t="s">
        <v>1922</v>
      </c>
      <c r="G317" s="62" t="s">
        <v>553</v>
      </c>
      <c r="H317" s="62" t="s">
        <v>468</v>
      </c>
      <c r="I317" s="62" t="s">
        <v>346</v>
      </c>
      <c r="J317" s="62" t="s">
        <v>640</v>
      </c>
      <c r="K317" s="62" t="s">
        <v>417</v>
      </c>
      <c r="L317" s="62" t="s">
        <v>2421</v>
      </c>
      <c r="M317" s="66" t="s">
        <v>1985</v>
      </c>
    </row>
    <row r="318" spans="1:13" x14ac:dyDescent="0.3">
      <c r="A318" s="61" t="s">
        <v>2025</v>
      </c>
      <c r="B318" s="62" t="s">
        <v>800</v>
      </c>
      <c r="C318" s="62" t="s">
        <v>801</v>
      </c>
      <c r="D318" s="63">
        <v>44880</v>
      </c>
      <c r="E318" s="63">
        <v>46568</v>
      </c>
      <c r="F318" s="62" t="s">
        <v>1922</v>
      </c>
      <c r="G318" s="62" t="s">
        <v>349</v>
      </c>
      <c r="H318" s="62" t="s">
        <v>802</v>
      </c>
      <c r="I318" s="62" t="s">
        <v>346</v>
      </c>
      <c r="J318" s="62" t="s">
        <v>640</v>
      </c>
      <c r="K318" s="62" t="s">
        <v>417</v>
      </c>
      <c r="L318" s="62" t="s">
        <v>2421</v>
      </c>
      <c r="M318" s="66" t="s">
        <v>1985</v>
      </c>
    </row>
    <row r="319" spans="1:13" x14ac:dyDescent="0.3">
      <c r="A319" s="61" t="s">
        <v>2025</v>
      </c>
      <c r="B319" s="62" t="s">
        <v>800</v>
      </c>
      <c r="C319" s="62" t="s">
        <v>801</v>
      </c>
      <c r="D319" s="63">
        <v>44880</v>
      </c>
      <c r="E319" s="63">
        <v>46568</v>
      </c>
      <c r="F319" s="62" t="s">
        <v>1922</v>
      </c>
      <c r="G319" s="62" t="s">
        <v>553</v>
      </c>
      <c r="H319" s="62" t="s">
        <v>802</v>
      </c>
      <c r="I319" s="62" t="s">
        <v>346</v>
      </c>
      <c r="J319" s="62" t="s">
        <v>640</v>
      </c>
      <c r="K319" s="62" t="s">
        <v>417</v>
      </c>
      <c r="L319" s="62" t="s">
        <v>2421</v>
      </c>
      <c r="M319" s="66" t="s">
        <v>1985</v>
      </c>
    </row>
    <row r="320" spans="1:13" x14ac:dyDescent="0.3">
      <c r="A320" s="61" t="s">
        <v>2026</v>
      </c>
      <c r="B320" s="62" t="s">
        <v>814</v>
      </c>
      <c r="C320" s="62" t="s">
        <v>815</v>
      </c>
      <c r="D320" s="63">
        <v>44714</v>
      </c>
      <c r="E320" s="63">
        <v>46540</v>
      </c>
      <c r="F320" s="62" t="s">
        <v>350</v>
      </c>
      <c r="G320" s="62" t="s">
        <v>350</v>
      </c>
      <c r="H320" s="62" t="s">
        <v>2437</v>
      </c>
      <c r="I320" s="62" t="s">
        <v>457</v>
      </c>
      <c r="J320" s="62" t="s">
        <v>684</v>
      </c>
      <c r="K320" s="62" t="s">
        <v>459</v>
      </c>
      <c r="L320" s="62" t="s">
        <v>2421</v>
      </c>
      <c r="M320" s="66" t="s">
        <v>1971</v>
      </c>
    </row>
    <row r="321" spans="1:13" x14ac:dyDescent="0.3">
      <c r="A321" s="61" t="s">
        <v>2026</v>
      </c>
      <c r="B321" s="62" t="s">
        <v>814</v>
      </c>
      <c r="C321" s="62" t="s">
        <v>815</v>
      </c>
      <c r="D321" s="63">
        <v>44714</v>
      </c>
      <c r="E321" s="63">
        <v>46540</v>
      </c>
      <c r="F321" s="62" t="s">
        <v>350</v>
      </c>
      <c r="G321" s="62" t="s">
        <v>350</v>
      </c>
      <c r="H321" s="62" t="s">
        <v>2438</v>
      </c>
      <c r="I321" s="62" t="s">
        <v>457</v>
      </c>
      <c r="J321" s="62" t="s">
        <v>684</v>
      </c>
      <c r="K321" s="62" t="s">
        <v>459</v>
      </c>
      <c r="L321" s="62" t="s">
        <v>2421</v>
      </c>
      <c r="M321" s="66" t="s">
        <v>1971</v>
      </c>
    </row>
    <row r="322" spans="1:13" x14ac:dyDescent="0.3">
      <c r="A322" s="61" t="s">
        <v>2026</v>
      </c>
      <c r="B322" s="62" t="s">
        <v>814</v>
      </c>
      <c r="C322" s="62" t="s">
        <v>815</v>
      </c>
      <c r="D322" s="63">
        <v>44714</v>
      </c>
      <c r="E322" s="63">
        <v>46540</v>
      </c>
      <c r="F322" s="62" t="s">
        <v>350</v>
      </c>
      <c r="G322" s="62" t="s">
        <v>350</v>
      </c>
      <c r="H322" s="62" t="s">
        <v>2439</v>
      </c>
      <c r="I322" s="62" t="s">
        <v>457</v>
      </c>
      <c r="J322" s="62" t="s">
        <v>684</v>
      </c>
      <c r="K322" s="62" t="s">
        <v>459</v>
      </c>
      <c r="L322" s="62" t="s">
        <v>2421</v>
      </c>
      <c r="M322" s="66" t="s">
        <v>1971</v>
      </c>
    </row>
    <row r="323" spans="1:13" x14ac:dyDescent="0.3">
      <c r="A323" s="61" t="s">
        <v>2026</v>
      </c>
      <c r="B323" s="62" t="s">
        <v>814</v>
      </c>
      <c r="C323" s="62" t="s">
        <v>815</v>
      </c>
      <c r="D323" s="63">
        <v>44714</v>
      </c>
      <c r="E323" s="63">
        <v>46540</v>
      </c>
      <c r="F323" s="62" t="s">
        <v>350</v>
      </c>
      <c r="G323" s="62" t="s">
        <v>350</v>
      </c>
      <c r="H323" s="62" t="s">
        <v>2440</v>
      </c>
      <c r="I323" s="62" t="s">
        <v>457</v>
      </c>
      <c r="J323" s="62" t="s">
        <v>684</v>
      </c>
      <c r="K323" s="62" t="s">
        <v>459</v>
      </c>
      <c r="L323" s="62" t="s">
        <v>2421</v>
      </c>
      <c r="M323" s="66" t="s">
        <v>1971</v>
      </c>
    </row>
    <row r="324" spans="1:13" x14ac:dyDescent="0.3">
      <c r="A324" s="61" t="s">
        <v>2026</v>
      </c>
      <c r="B324" s="62" t="s">
        <v>814</v>
      </c>
      <c r="C324" s="62" t="s">
        <v>815</v>
      </c>
      <c r="D324" s="63">
        <v>44714</v>
      </c>
      <c r="E324" s="63">
        <v>46540</v>
      </c>
      <c r="F324" s="62" t="s">
        <v>350</v>
      </c>
      <c r="G324" s="62" t="s">
        <v>350</v>
      </c>
      <c r="H324" s="62" t="s">
        <v>740</v>
      </c>
      <c r="I324" s="62" t="s">
        <v>457</v>
      </c>
      <c r="J324" s="62" t="s">
        <v>684</v>
      </c>
      <c r="K324" s="62" t="s">
        <v>459</v>
      </c>
      <c r="L324" s="62" t="s">
        <v>2421</v>
      </c>
      <c r="M324" s="66" t="s">
        <v>1971</v>
      </c>
    </row>
    <row r="325" spans="1:13" x14ac:dyDescent="0.3">
      <c r="A325" s="61" t="s">
        <v>2026</v>
      </c>
      <c r="B325" s="62" t="s">
        <v>814</v>
      </c>
      <c r="C325" s="62" t="s">
        <v>815</v>
      </c>
      <c r="D325" s="63">
        <v>44714</v>
      </c>
      <c r="E325" s="63">
        <v>46540</v>
      </c>
      <c r="F325" s="62" t="s">
        <v>350</v>
      </c>
      <c r="G325" s="62" t="s">
        <v>350</v>
      </c>
      <c r="H325" s="62" t="s">
        <v>2441</v>
      </c>
      <c r="I325" s="62" t="s">
        <v>457</v>
      </c>
      <c r="J325" s="62" t="s">
        <v>684</v>
      </c>
      <c r="K325" s="62" t="s">
        <v>459</v>
      </c>
      <c r="L325" s="62" t="s">
        <v>2421</v>
      </c>
      <c r="M325" s="66" t="s">
        <v>1971</v>
      </c>
    </row>
    <row r="326" spans="1:13" x14ac:dyDescent="0.3">
      <c r="A326" s="61" t="s">
        <v>2026</v>
      </c>
      <c r="B326" s="62" t="s">
        <v>814</v>
      </c>
      <c r="C326" s="62" t="s">
        <v>815</v>
      </c>
      <c r="D326" s="63">
        <v>44714</v>
      </c>
      <c r="E326" s="63">
        <v>46540</v>
      </c>
      <c r="F326" s="62" t="s">
        <v>350</v>
      </c>
      <c r="G326" s="62" t="s">
        <v>350</v>
      </c>
      <c r="H326" s="62" t="s">
        <v>2442</v>
      </c>
      <c r="I326" s="62" t="s">
        <v>457</v>
      </c>
      <c r="J326" s="62" t="s">
        <v>684</v>
      </c>
      <c r="K326" s="62" t="s">
        <v>459</v>
      </c>
      <c r="L326" s="62" t="s">
        <v>2421</v>
      </c>
      <c r="M326" s="66" t="s">
        <v>1971</v>
      </c>
    </row>
    <row r="327" spans="1:13" x14ac:dyDescent="0.3">
      <c r="A327" s="61" t="s">
        <v>2026</v>
      </c>
      <c r="B327" s="62" t="s">
        <v>814</v>
      </c>
      <c r="C327" s="62" t="s">
        <v>815</v>
      </c>
      <c r="D327" s="63">
        <v>44714</v>
      </c>
      <c r="E327" s="63">
        <v>46540</v>
      </c>
      <c r="F327" s="62" t="s">
        <v>350</v>
      </c>
      <c r="G327" s="62" t="s">
        <v>350</v>
      </c>
      <c r="H327" s="62" t="s">
        <v>601</v>
      </c>
      <c r="I327" s="62" t="s">
        <v>457</v>
      </c>
      <c r="J327" s="62" t="s">
        <v>684</v>
      </c>
      <c r="K327" s="62" t="s">
        <v>459</v>
      </c>
      <c r="L327" s="62" t="s">
        <v>2421</v>
      </c>
      <c r="M327" s="66" t="s">
        <v>1971</v>
      </c>
    </row>
    <row r="328" spans="1:13" x14ac:dyDescent="0.3">
      <c r="A328" s="61" t="s">
        <v>2026</v>
      </c>
      <c r="B328" s="62" t="s">
        <v>814</v>
      </c>
      <c r="C328" s="62" t="s">
        <v>815</v>
      </c>
      <c r="D328" s="63">
        <v>44714</v>
      </c>
      <c r="E328" s="63">
        <v>46540</v>
      </c>
      <c r="F328" s="62" t="s">
        <v>350</v>
      </c>
      <c r="G328" s="62" t="s">
        <v>350</v>
      </c>
      <c r="H328" s="62" t="s">
        <v>685</v>
      </c>
      <c r="I328" s="62" t="s">
        <v>457</v>
      </c>
      <c r="J328" s="62" t="s">
        <v>684</v>
      </c>
      <c r="K328" s="62" t="s">
        <v>459</v>
      </c>
      <c r="L328" s="62" t="s">
        <v>2421</v>
      </c>
      <c r="M328" s="66" t="s">
        <v>1971</v>
      </c>
    </row>
    <row r="329" spans="1:13" x14ac:dyDescent="0.3">
      <c r="A329" s="61" t="s">
        <v>2027</v>
      </c>
      <c r="B329" s="62" t="s">
        <v>819</v>
      </c>
      <c r="C329" s="62" t="s">
        <v>820</v>
      </c>
      <c r="D329" s="63">
        <v>44909</v>
      </c>
      <c r="E329" s="63">
        <v>46387</v>
      </c>
      <c r="F329" s="62" t="s">
        <v>1916</v>
      </c>
      <c r="G329" s="62" t="s">
        <v>304</v>
      </c>
      <c r="H329" s="62" t="s">
        <v>821</v>
      </c>
      <c r="I329" s="62" t="s">
        <v>457</v>
      </c>
      <c r="J329" s="62" t="s">
        <v>458</v>
      </c>
      <c r="K329" s="62" t="s">
        <v>459</v>
      </c>
      <c r="L329" s="62" t="s">
        <v>2421</v>
      </c>
      <c r="M329" s="66" t="s">
        <v>1971</v>
      </c>
    </row>
    <row r="330" spans="1:13" x14ac:dyDescent="0.3">
      <c r="A330" s="61" t="s">
        <v>2027</v>
      </c>
      <c r="B330" s="62" t="s">
        <v>819</v>
      </c>
      <c r="C330" s="62" t="s">
        <v>820</v>
      </c>
      <c r="D330" s="63">
        <v>44909</v>
      </c>
      <c r="E330" s="63">
        <v>46387</v>
      </c>
      <c r="F330" s="62" t="s">
        <v>1934</v>
      </c>
      <c r="G330" s="62" t="s">
        <v>304</v>
      </c>
      <c r="H330" s="62" t="s">
        <v>821</v>
      </c>
      <c r="I330" s="62" t="s">
        <v>457</v>
      </c>
      <c r="J330" s="62" t="s">
        <v>458</v>
      </c>
      <c r="K330" s="62" t="s">
        <v>459</v>
      </c>
      <c r="L330" s="62" t="s">
        <v>2421</v>
      </c>
      <c r="M330" s="66" t="s">
        <v>1971</v>
      </c>
    </row>
    <row r="331" spans="1:13" x14ac:dyDescent="0.3">
      <c r="A331" s="61" t="s">
        <v>2027</v>
      </c>
      <c r="B331" s="62" t="s">
        <v>819</v>
      </c>
      <c r="C331" s="62" t="s">
        <v>820</v>
      </c>
      <c r="D331" s="63">
        <v>44909</v>
      </c>
      <c r="E331" s="63">
        <v>46387</v>
      </c>
      <c r="F331" s="62" t="s">
        <v>1958</v>
      </c>
      <c r="G331" s="62" t="s">
        <v>304</v>
      </c>
      <c r="H331" s="62" t="s">
        <v>821</v>
      </c>
      <c r="I331" s="62" t="s">
        <v>457</v>
      </c>
      <c r="J331" s="62" t="s">
        <v>458</v>
      </c>
      <c r="K331" s="62" t="s">
        <v>459</v>
      </c>
      <c r="L331" s="62" t="s">
        <v>2421</v>
      </c>
      <c r="M331" s="66" t="s">
        <v>1971</v>
      </c>
    </row>
    <row r="332" spans="1:13" x14ac:dyDescent="0.3">
      <c r="A332" s="61" t="s">
        <v>2027</v>
      </c>
      <c r="B332" s="62" t="s">
        <v>819</v>
      </c>
      <c r="C332" s="62" t="s">
        <v>820</v>
      </c>
      <c r="D332" s="63">
        <v>44909</v>
      </c>
      <c r="E332" s="63">
        <v>46387</v>
      </c>
      <c r="F332" s="62" t="s">
        <v>1961</v>
      </c>
      <c r="G332" s="62" t="s">
        <v>304</v>
      </c>
      <c r="H332" s="62" t="s">
        <v>821</v>
      </c>
      <c r="I332" s="62" t="s">
        <v>457</v>
      </c>
      <c r="J332" s="62" t="s">
        <v>458</v>
      </c>
      <c r="K332" s="62" t="s">
        <v>459</v>
      </c>
      <c r="L332" s="62" t="s">
        <v>2421</v>
      </c>
      <c r="M332" s="66" t="s">
        <v>1971</v>
      </c>
    </row>
    <row r="333" spans="1:13" x14ac:dyDescent="0.3">
      <c r="A333" s="61" t="s">
        <v>2027</v>
      </c>
      <c r="B333" s="62" t="s">
        <v>819</v>
      </c>
      <c r="C333" s="62" t="s">
        <v>820</v>
      </c>
      <c r="D333" s="63">
        <v>44909</v>
      </c>
      <c r="E333" s="63">
        <v>46387</v>
      </c>
      <c r="F333" s="62" t="s">
        <v>1938</v>
      </c>
      <c r="G333" s="62" t="s">
        <v>304</v>
      </c>
      <c r="H333" s="62" t="s">
        <v>821</v>
      </c>
      <c r="I333" s="62" t="s">
        <v>457</v>
      </c>
      <c r="J333" s="62" t="s">
        <v>458</v>
      </c>
      <c r="K333" s="62" t="s">
        <v>459</v>
      </c>
      <c r="L333" s="62" t="s">
        <v>2421</v>
      </c>
      <c r="M333" s="66" t="s">
        <v>1971</v>
      </c>
    </row>
    <row r="334" spans="1:13" x14ac:dyDescent="0.3">
      <c r="A334" s="61" t="s">
        <v>2027</v>
      </c>
      <c r="B334" s="62" t="s">
        <v>819</v>
      </c>
      <c r="C334" s="62" t="s">
        <v>820</v>
      </c>
      <c r="D334" s="63">
        <v>44909</v>
      </c>
      <c r="E334" s="63">
        <v>46387</v>
      </c>
      <c r="F334" s="62" t="s">
        <v>1941</v>
      </c>
      <c r="G334" s="62" t="s">
        <v>304</v>
      </c>
      <c r="H334" s="62" t="s">
        <v>821</v>
      </c>
      <c r="I334" s="62" t="s">
        <v>457</v>
      </c>
      <c r="J334" s="62" t="s">
        <v>458</v>
      </c>
      <c r="K334" s="62" t="s">
        <v>459</v>
      </c>
      <c r="L334" s="62" t="s">
        <v>2421</v>
      </c>
      <c r="M334" s="66" t="s">
        <v>1971</v>
      </c>
    </row>
    <row r="335" spans="1:13" x14ac:dyDescent="0.3">
      <c r="A335" s="61" t="s">
        <v>2027</v>
      </c>
      <c r="B335" s="62" t="s">
        <v>819</v>
      </c>
      <c r="C335" s="62" t="s">
        <v>820</v>
      </c>
      <c r="D335" s="63">
        <v>44909</v>
      </c>
      <c r="E335" s="63">
        <v>46387</v>
      </c>
      <c r="F335" s="62" t="s">
        <v>1963</v>
      </c>
      <c r="G335" s="62" t="s">
        <v>304</v>
      </c>
      <c r="H335" s="62" t="s">
        <v>821</v>
      </c>
      <c r="I335" s="62" t="s">
        <v>457</v>
      </c>
      <c r="J335" s="62" t="s">
        <v>458</v>
      </c>
      <c r="K335" s="62" t="s">
        <v>459</v>
      </c>
      <c r="L335" s="62" t="s">
        <v>2421</v>
      </c>
      <c r="M335" s="66" t="s">
        <v>1971</v>
      </c>
    </row>
    <row r="336" spans="1:13" x14ac:dyDescent="0.3">
      <c r="A336" s="61" t="s">
        <v>2027</v>
      </c>
      <c r="B336" s="62" t="s">
        <v>819</v>
      </c>
      <c r="C336" s="62" t="s">
        <v>820</v>
      </c>
      <c r="D336" s="63">
        <v>44909</v>
      </c>
      <c r="E336" s="63">
        <v>46387</v>
      </c>
      <c r="F336" s="62" t="s">
        <v>1948</v>
      </c>
      <c r="G336" s="62" t="s">
        <v>304</v>
      </c>
      <c r="H336" s="62" t="s">
        <v>821</v>
      </c>
      <c r="I336" s="62" t="s">
        <v>457</v>
      </c>
      <c r="J336" s="62" t="s">
        <v>458</v>
      </c>
      <c r="K336" s="62" t="s">
        <v>459</v>
      </c>
      <c r="L336" s="62" t="s">
        <v>2421</v>
      </c>
      <c r="M336" s="66" t="s">
        <v>1971</v>
      </c>
    </row>
    <row r="337" spans="1:13" x14ac:dyDescent="0.3">
      <c r="A337" s="61" t="s">
        <v>2027</v>
      </c>
      <c r="B337" s="62" t="s">
        <v>819</v>
      </c>
      <c r="C337" s="62" t="s">
        <v>820</v>
      </c>
      <c r="D337" s="63">
        <v>44909</v>
      </c>
      <c r="E337" s="63">
        <v>46387</v>
      </c>
      <c r="F337" s="62" t="s">
        <v>1959</v>
      </c>
      <c r="G337" s="62" t="s">
        <v>304</v>
      </c>
      <c r="H337" s="62" t="s">
        <v>821</v>
      </c>
      <c r="I337" s="62" t="s">
        <v>457</v>
      </c>
      <c r="J337" s="62" t="s">
        <v>458</v>
      </c>
      <c r="K337" s="62" t="s">
        <v>459</v>
      </c>
      <c r="L337" s="62" t="s">
        <v>2421</v>
      </c>
      <c r="M337" s="66" t="s">
        <v>1971</v>
      </c>
    </row>
    <row r="338" spans="1:13" x14ac:dyDescent="0.3">
      <c r="A338" s="61" t="s">
        <v>2027</v>
      </c>
      <c r="B338" s="62" t="s">
        <v>819</v>
      </c>
      <c r="C338" s="62" t="s">
        <v>820</v>
      </c>
      <c r="D338" s="63">
        <v>44909</v>
      </c>
      <c r="E338" s="63">
        <v>46387</v>
      </c>
      <c r="F338" s="62" t="s">
        <v>1916</v>
      </c>
      <c r="G338" s="62" t="s">
        <v>304</v>
      </c>
      <c r="H338" s="62" t="s">
        <v>822</v>
      </c>
      <c r="I338" s="62" t="s">
        <v>457</v>
      </c>
      <c r="J338" s="62" t="s">
        <v>458</v>
      </c>
      <c r="K338" s="62" t="s">
        <v>459</v>
      </c>
      <c r="L338" s="62" t="s">
        <v>2421</v>
      </c>
      <c r="M338" s="66" t="s">
        <v>1971</v>
      </c>
    </row>
    <row r="339" spans="1:13" x14ac:dyDescent="0.3">
      <c r="A339" s="61" t="s">
        <v>2027</v>
      </c>
      <c r="B339" s="62" t="s">
        <v>819</v>
      </c>
      <c r="C339" s="62" t="s">
        <v>820</v>
      </c>
      <c r="D339" s="63">
        <v>44909</v>
      </c>
      <c r="E339" s="63">
        <v>46387</v>
      </c>
      <c r="F339" s="62" t="s">
        <v>1934</v>
      </c>
      <c r="G339" s="62" t="s">
        <v>304</v>
      </c>
      <c r="H339" s="62" t="s">
        <v>822</v>
      </c>
      <c r="I339" s="62" t="s">
        <v>457</v>
      </c>
      <c r="J339" s="62" t="s">
        <v>458</v>
      </c>
      <c r="K339" s="62" t="s">
        <v>459</v>
      </c>
      <c r="L339" s="62" t="s">
        <v>2421</v>
      </c>
      <c r="M339" s="66" t="s">
        <v>1971</v>
      </c>
    </row>
    <row r="340" spans="1:13" x14ac:dyDescent="0.3">
      <c r="A340" s="61" t="s">
        <v>2027</v>
      </c>
      <c r="B340" s="62" t="s">
        <v>819</v>
      </c>
      <c r="C340" s="62" t="s">
        <v>820</v>
      </c>
      <c r="D340" s="63">
        <v>44909</v>
      </c>
      <c r="E340" s="63">
        <v>46387</v>
      </c>
      <c r="F340" s="62" t="s">
        <v>1958</v>
      </c>
      <c r="G340" s="62" t="s">
        <v>304</v>
      </c>
      <c r="H340" s="62" t="s">
        <v>822</v>
      </c>
      <c r="I340" s="62" t="s">
        <v>457</v>
      </c>
      <c r="J340" s="62" t="s">
        <v>458</v>
      </c>
      <c r="K340" s="62" t="s">
        <v>459</v>
      </c>
      <c r="L340" s="62" t="s">
        <v>2421</v>
      </c>
      <c r="M340" s="66" t="s">
        <v>1971</v>
      </c>
    </row>
    <row r="341" spans="1:13" x14ac:dyDescent="0.3">
      <c r="A341" s="61" t="s">
        <v>2027</v>
      </c>
      <c r="B341" s="62" t="s">
        <v>819</v>
      </c>
      <c r="C341" s="62" t="s">
        <v>820</v>
      </c>
      <c r="D341" s="63">
        <v>44909</v>
      </c>
      <c r="E341" s="63">
        <v>46387</v>
      </c>
      <c r="F341" s="62" t="s">
        <v>1961</v>
      </c>
      <c r="G341" s="62" t="s">
        <v>304</v>
      </c>
      <c r="H341" s="62" t="s">
        <v>822</v>
      </c>
      <c r="I341" s="62" t="s">
        <v>457</v>
      </c>
      <c r="J341" s="62" t="s">
        <v>458</v>
      </c>
      <c r="K341" s="62" t="s">
        <v>459</v>
      </c>
      <c r="L341" s="62" t="s">
        <v>2421</v>
      </c>
      <c r="M341" s="66" t="s">
        <v>1971</v>
      </c>
    </row>
    <row r="342" spans="1:13" x14ac:dyDescent="0.3">
      <c r="A342" s="61" t="s">
        <v>2027</v>
      </c>
      <c r="B342" s="62" t="s">
        <v>819</v>
      </c>
      <c r="C342" s="62" t="s">
        <v>820</v>
      </c>
      <c r="D342" s="63">
        <v>44909</v>
      </c>
      <c r="E342" s="63">
        <v>46387</v>
      </c>
      <c r="F342" s="62" t="s">
        <v>1938</v>
      </c>
      <c r="G342" s="62" t="s">
        <v>304</v>
      </c>
      <c r="H342" s="62" t="s">
        <v>822</v>
      </c>
      <c r="I342" s="62" t="s">
        <v>457</v>
      </c>
      <c r="J342" s="62" t="s">
        <v>458</v>
      </c>
      <c r="K342" s="62" t="s">
        <v>459</v>
      </c>
      <c r="L342" s="62" t="s">
        <v>2421</v>
      </c>
      <c r="M342" s="66" t="s">
        <v>1971</v>
      </c>
    </row>
    <row r="343" spans="1:13" x14ac:dyDescent="0.3">
      <c r="A343" s="61" t="s">
        <v>2027</v>
      </c>
      <c r="B343" s="62" t="s">
        <v>819</v>
      </c>
      <c r="C343" s="62" t="s">
        <v>820</v>
      </c>
      <c r="D343" s="63">
        <v>44909</v>
      </c>
      <c r="E343" s="63">
        <v>46387</v>
      </c>
      <c r="F343" s="62" t="s">
        <v>1941</v>
      </c>
      <c r="G343" s="62" t="s">
        <v>304</v>
      </c>
      <c r="H343" s="62" t="s">
        <v>822</v>
      </c>
      <c r="I343" s="62" t="s">
        <v>457</v>
      </c>
      <c r="J343" s="62" t="s">
        <v>458</v>
      </c>
      <c r="K343" s="62" t="s">
        <v>459</v>
      </c>
      <c r="L343" s="62" t="s">
        <v>2421</v>
      </c>
      <c r="M343" s="66" t="s">
        <v>1971</v>
      </c>
    </row>
    <row r="344" spans="1:13" x14ac:dyDescent="0.3">
      <c r="A344" s="61" t="s">
        <v>2027</v>
      </c>
      <c r="B344" s="62" t="s">
        <v>819</v>
      </c>
      <c r="C344" s="62" t="s">
        <v>820</v>
      </c>
      <c r="D344" s="63">
        <v>44909</v>
      </c>
      <c r="E344" s="63">
        <v>46387</v>
      </c>
      <c r="F344" s="62" t="s">
        <v>1963</v>
      </c>
      <c r="G344" s="62" t="s">
        <v>304</v>
      </c>
      <c r="H344" s="62" t="s">
        <v>822</v>
      </c>
      <c r="I344" s="62" t="s">
        <v>457</v>
      </c>
      <c r="J344" s="62" t="s">
        <v>458</v>
      </c>
      <c r="K344" s="62" t="s">
        <v>459</v>
      </c>
      <c r="L344" s="62" t="s">
        <v>2421</v>
      </c>
      <c r="M344" s="66" t="s">
        <v>1971</v>
      </c>
    </row>
    <row r="345" spans="1:13" x14ac:dyDescent="0.3">
      <c r="A345" s="61" t="s">
        <v>2027</v>
      </c>
      <c r="B345" s="62" t="s">
        <v>819</v>
      </c>
      <c r="C345" s="62" t="s">
        <v>820</v>
      </c>
      <c r="D345" s="63">
        <v>44909</v>
      </c>
      <c r="E345" s="63">
        <v>46387</v>
      </c>
      <c r="F345" s="62" t="s">
        <v>1948</v>
      </c>
      <c r="G345" s="62" t="s">
        <v>304</v>
      </c>
      <c r="H345" s="62" t="s">
        <v>822</v>
      </c>
      <c r="I345" s="62" t="s">
        <v>457</v>
      </c>
      <c r="J345" s="62" t="s">
        <v>458</v>
      </c>
      <c r="K345" s="62" t="s">
        <v>459</v>
      </c>
      <c r="L345" s="62" t="s">
        <v>2421</v>
      </c>
      <c r="M345" s="66" t="s">
        <v>1971</v>
      </c>
    </row>
    <row r="346" spans="1:13" x14ac:dyDescent="0.3">
      <c r="A346" s="61" t="s">
        <v>2027</v>
      </c>
      <c r="B346" s="62" t="s">
        <v>819</v>
      </c>
      <c r="C346" s="62" t="s">
        <v>820</v>
      </c>
      <c r="D346" s="63">
        <v>44909</v>
      </c>
      <c r="E346" s="63">
        <v>46387</v>
      </c>
      <c r="F346" s="62" t="s">
        <v>1959</v>
      </c>
      <c r="G346" s="62" t="s">
        <v>304</v>
      </c>
      <c r="H346" s="62" t="s">
        <v>822</v>
      </c>
      <c r="I346" s="62" t="s">
        <v>457</v>
      </c>
      <c r="J346" s="62" t="s">
        <v>458</v>
      </c>
      <c r="K346" s="62" t="s">
        <v>459</v>
      </c>
      <c r="L346" s="62" t="s">
        <v>2421</v>
      </c>
      <c r="M346" s="66" t="s">
        <v>1971</v>
      </c>
    </row>
    <row r="347" spans="1:13" x14ac:dyDescent="0.3">
      <c r="A347" s="61" t="s">
        <v>2028</v>
      </c>
      <c r="B347" s="62" t="s">
        <v>823</v>
      </c>
      <c r="C347" s="62" t="s">
        <v>824</v>
      </c>
      <c r="D347" s="63">
        <v>44958</v>
      </c>
      <c r="E347" s="63">
        <v>46053</v>
      </c>
      <c r="F347" s="62" t="s">
        <v>1935</v>
      </c>
      <c r="G347" s="62" t="s">
        <v>625</v>
      </c>
      <c r="H347" s="62" t="s">
        <v>373</v>
      </c>
      <c r="I347" s="62" t="s">
        <v>825</v>
      </c>
      <c r="J347" s="62" t="s">
        <v>552</v>
      </c>
      <c r="K347" s="62" t="s">
        <v>371</v>
      </c>
      <c r="L347" s="62" t="s">
        <v>2421</v>
      </c>
      <c r="M347" s="66" t="s">
        <v>1976</v>
      </c>
    </row>
    <row r="348" spans="1:13" x14ac:dyDescent="0.3">
      <c r="A348" s="61" t="s">
        <v>2028</v>
      </c>
      <c r="B348" s="62" t="s">
        <v>823</v>
      </c>
      <c r="C348" s="62" t="s">
        <v>824</v>
      </c>
      <c r="D348" s="63">
        <v>44958</v>
      </c>
      <c r="E348" s="63">
        <v>46053</v>
      </c>
      <c r="F348" s="62" t="s">
        <v>288</v>
      </c>
      <c r="G348" s="62" t="s">
        <v>826</v>
      </c>
      <c r="H348" s="62" t="s">
        <v>373</v>
      </c>
      <c r="I348" s="62" t="s">
        <v>825</v>
      </c>
      <c r="J348" s="62" t="s">
        <v>552</v>
      </c>
      <c r="K348" s="62" t="s">
        <v>371</v>
      </c>
      <c r="L348" s="62" t="s">
        <v>2421</v>
      </c>
      <c r="M348" s="66" t="s">
        <v>1976</v>
      </c>
    </row>
    <row r="349" spans="1:13" x14ac:dyDescent="0.3">
      <c r="A349" s="61" t="s">
        <v>2028</v>
      </c>
      <c r="B349" s="62" t="s">
        <v>823</v>
      </c>
      <c r="C349" s="62" t="s">
        <v>824</v>
      </c>
      <c r="D349" s="63">
        <v>44958</v>
      </c>
      <c r="E349" s="63">
        <v>46053</v>
      </c>
      <c r="F349" s="62" t="s">
        <v>1938</v>
      </c>
      <c r="G349" s="62" t="s">
        <v>506</v>
      </c>
      <c r="H349" s="62" t="s">
        <v>373</v>
      </c>
      <c r="I349" s="62" t="s">
        <v>825</v>
      </c>
      <c r="J349" s="62" t="s">
        <v>552</v>
      </c>
      <c r="K349" s="62" t="s">
        <v>371</v>
      </c>
      <c r="L349" s="62" t="s">
        <v>2421</v>
      </c>
      <c r="M349" s="66" t="s">
        <v>1976</v>
      </c>
    </row>
    <row r="350" spans="1:13" x14ac:dyDescent="0.3">
      <c r="A350" s="61" t="s">
        <v>2028</v>
      </c>
      <c r="B350" s="62" t="s">
        <v>823</v>
      </c>
      <c r="C350" s="62" t="s">
        <v>824</v>
      </c>
      <c r="D350" s="63">
        <v>44958</v>
      </c>
      <c r="E350" s="63">
        <v>46053</v>
      </c>
      <c r="F350" s="62" t="s">
        <v>1959</v>
      </c>
      <c r="G350" s="62" t="s">
        <v>679</v>
      </c>
      <c r="H350" s="62" t="s">
        <v>373</v>
      </c>
      <c r="I350" s="62" t="s">
        <v>825</v>
      </c>
      <c r="J350" s="62" t="s">
        <v>552</v>
      </c>
      <c r="K350" s="62" t="s">
        <v>371</v>
      </c>
      <c r="L350" s="62" t="s">
        <v>2421</v>
      </c>
      <c r="M350" s="66" t="s">
        <v>1976</v>
      </c>
    </row>
    <row r="351" spans="1:13" x14ac:dyDescent="0.3">
      <c r="A351" s="61" t="s">
        <v>2028</v>
      </c>
      <c r="B351" s="62" t="s">
        <v>823</v>
      </c>
      <c r="C351" s="62" t="s">
        <v>824</v>
      </c>
      <c r="D351" s="63">
        <v>44958</v>
      </c>
      <c r="E351" s="63">
        <v>46053</v>
      </c>
      <c r="F351" s="62" t="s">
        <v>1936</v>
      </c>
      <c r="G351" s="62" t="s">
        <v>604</v>
      </c>
      <c r="H351" s="62" t="s">
        <v>373</v>
      </c>
      <c r="I351" s="62" t="s">
        <v>825</v>
      </c>
      <c r="J351" s="62" t="s">
        <v>552</v>
      </c>
      <c r="K351" s="62" t="s">
        <v>371</v>
      </c>
      <c r="L351" s="62" t="s">
        <v>2421</v>
      </c>
      <c r="M351" s="66" t="s">
        <v>1976</v>
      </c>
    </row>
    <row r="352" spans="1:13" x14ac:dyDescent="0.3">
      <c r="A352" s="61" t="s">
        <v>2029</v>
      </c>
      <c r="B352" s="62" t="s">
        <v>828</v>
      </c>
      <c r="C352" s="62" t="s">
        <v>829</v>
      </c>
      <c r="D352" s="63">
        <v>44927</v>
      </c>
      <c r="E352" s="63">
        <v>46023</v>
      </c>
      <c r="F352" s="62" t="s">
        <v>289</v>
      </c>
      <c r="G352" s="62" t="s">
        <v>830</v>
      </c>
      <c r="H352" s="62" t="s">
        <v>373</v>
      </c>
      <c r="I352" s="62" t="s">
        <v>424</v>
      </c>
      <c r="J352" s="62" t="s">
        <v>551</v>
      </c>
      <c r="K352" s="62" t="s">
        <v>428</v>
      </c>
      <c r="L352" s="62" t="s">
        <v>2421</v>
      </c>
      <c r="M352" s="66" t="s">
        <v>1972</v>
      </c>
    </row>
    <row r="353" spans="1:13" x14ac:dyDescent="0.3">
      <c r="A353" s="61" t="s">
        <v>2029</v>
      </c>
      <c r="B353" s="62" t="s">
        <v>828</v>
      </c>
      <c r="C353" s="62" t="s">
        <v>829</v>
      </c>
      <c r="D353" s="63">
        <v>44927</v>
      </c>
      <c r="E353" s="63">
        <v>46023</v>
      </c>
      <c r="F353" s="62" t="s">
        <v>289</v>
      </c>
      <c r="G353" s="62" t="s">
        <v>831</v>
      </c>
      <c r="H353" s="62" t="s">
        <v>373</v>
      </c>
      <c r="I353" s="62" t="s">
        <v>424</v>
      </c>
      <c r="J353" s="62" t="s">
        <v>551</v>
      </c>
      <c r="K353" s="62" t="s">
        <v>428</v>
      </c>
      <c r="L353" s="62" t="s">
        <v>2421</v>
      </c>
      <c r="M353" s="66" t="s">
        <v>1972</v>
      </c>
    </row>
    <row r="354" spans="1:13" x14ac:dyDescent="0.3">
      <c r="A354" s="61" t="s">
        <v>2029</v>
      </c>
      <c r="B354" s="62" t="s">
        <v>828</v>
      </c>
      <c r="C354" s="62" t="s">
        <v>829</v>
      </c>
      <c r="D354" s="63">
        <v>44927</v>
      </c>
      <c r="E354" s="63">
        <v>46023</v>
      </c>
      <c r="F354" s="62" t="s">
        <v>289</v>
      </c>
      <c r="G354" s="62" t="s">
        <v>832</v>
      </c>
      <c r="H354" s="62" t="s">
        <v>373</v>
      </c>
      <c r="I354" s="62" t="s">
        <v>424</v>
      </c>
      <c r="J354" s="62" t="s">
        <v>551</v>
      </c>
      <c r="K354" s="62" t="s">
        <v>428</v>
      </c>
      <c r="L354" s="62" t="s">
        <v>2421</v>
      </c>
      <c r="M354" s="66" t="s">
        <v>1972</v>
      </c>
    </row>
    <row r="355" spans="1:13" x14ac:dyDescent="0.3">
      <c r="A355" s="61" t="s">
        <v>2029</v>
      </c>
      <c r="B355" s="62" t="s">
        <v>828</v>
      </c>
      <c r="C355" s="62" t="s">
        <v>829</v>
      </c>
      <c r="D355" s="63">
        <v>44927</v>
      </c>
      <c r="E355" s="63">
        <v>46023</v>
      </c>
      <c r="F355" s="62" t="s">
        <v>289</v>
      </c>
      <c r="G355" s="62" t="s">
        <v>565</v>
      </c>
      <c r="H355" s="62" t="s">
        <v>373</v>
      </c>
      <c r="I355" s="62" t="s">
        <v>424</v>
      </c>
      <c r="J355" s="62" t="s">
        <v>551</v>
      </c>
      <c r="K355" s="62" t="s">
        <v>428</v>
      </c>
      <c r="L355" s="62" t="s">
        <v>2421</v>
      </c>
      <c r="M355" s="66" t="s">
        <v>1972</v>
      </c>
    </row>
    <row r="356" spans="1:13" x14ac:dyDescent="0.3">
      <c r="A356" s="61" t="s">
        <v>2029</v>
      </c>
      <c r="B356" s="62" t="s">
        <v>828</v>
      </c>
      <c r="C356" s="62" t="s">
        <v>829</v>
      </c>
      <c r="D356" s="63">
        <v>44927</v>
      </c>
      <c r="E356" s="63">
        <v>46023</v>
      </c>
      <c r="F356" s="62" t="s">
        <v>289</v>
      </c>
      <c r="G356" s="62" t="s">
        <v>576</v>
      </c>
      <c r="H356" s="62" t="s">
        <v>373</v>
      </c>
      <c r="I356" s="62" t="s">
        <v>424</v>
      </c>
      <c r="J356" s="62" t="s">
        <v>551</v>
      </c>
      <c r="K356" s="62" t="s">
        <v>428</v>
      </c>
      <c r="L356" s="62" t="s">
        <v>2421</v>
      </c>
      <c r="M356" s="66" t="s">
        <v>1972</v>
      </c>
    </row>
    <row r="357" spans="1:13" x14ac:dyDescent="0.3">
      <c r="A357" s="61" t="s">
        <v>2029</v>
      </c>
      <c r="B357" s="62" t="s">
        <v>828</v>
      </c>
      <c r="C357" s="62" t="s">
        <v>829</v>
      </c>
      <c r="D357" s="63">
        <v>44927</v>
      </c>
      <c r="E357" s="63">
        <v>46023</v>
      </c>
      <c r="F357" s="62" t="s">
        <v>282</v>
      </c>
      <c r="G357" s="62" t="s">
        <v>470</v>
      </c>
      <c r="H357" s="62" t="s">
        <v>373</v>
      </c>
      <c r="I357" s="62" t="s">
        <v>424</v>
      </c>
      <c r="J357" s="62" t="s">
        <v>551</v>
      </c>
      <c r="K357" s="62" t="s">
        <v>428</v>
      </c>
      <c r="L357" s="62" t="s">
        <v>2421</v>
      </c>
      <c r="M357" s="66" t="s">
        <v>1972</v>
      </c>
    </row>
    <row r="358" spans="1:13" x14ac:dyDescent="0.3">
      <c r="A358" s="61" t="s">
        <v>2029</v>
      </c>
      <c r="B358" s="62" t="s">
        <v>828</v>
      </c>
      <c r="C358" s="62" t="s">
        <v>829</v>
      </c>
      <c r="D358" s="63">
        <v>44927</v>
      </c>
      <c r="E358" s="63">
        <v>46023</v>
      </c>
      <c r="F358" s="62" t="s">
        <v>282</v>
      </c>
      <c r="G358" s="62" t="s">
        <v>833</v>
      </c>
      <c r="H358" s="62" t="s">
        <v>373</v>
      </c>
      <c r="I358" s="62" t="s">
        <v>424</v>
      </c>
      <c r="J358" s="62" t="s">
        <v>551</v>
      </c>
      <c r="K358" s="62" t="s">
        <v>428</v>
      </c>
      <c r="L358" s="62" t="s">
        <v>2421</v>
      </c>
      <c r="M358" s="66" t="s">
        <v>1972</v>
      </c>
    </row>
    <row r="359" spans="1:13" x14ac:dyDescent="0.3">
      <c r="A359" s="61" t="s">
        <v>2029</v>
      </c>
      <c r="B359" s="62" t="s">
        <v>828</v>
      </c>
      <c r="C359" s="62" t="s">
        <v>829</v>
      </c>
      <c r="D359" s="63">
        <v>44927</v>
      </c>
      <c r="E359" s="63">
        <v>46023</v>
      </c>
      <c r="F359" s="62" t="s">
        <v>282</v>
      </c>
      <c r="G359" s="62" t="s">
        <v>473</v>
      </c>
      <c r="H359" s="62" t="s">
        <v>373</v>
      </c>
      <c r="I359" s="62" t="s">
        <v>424</v>
      </c>
      <c r="J359" s="62" t="s">
        <v>551</v>
      </c>
      <c r="K359" s="62" t="s">
        <v>428</v>
      </c>
      <c r="L359" s="62" t="s">
        <v>2421</v>
      </c>
      <c r="M359" s="66" t="s">
        <v>1972</v>
      </c>
    </row>
    <row r="360" spans="1:13" x14ac:dyDescent="0.3">
      <c r="A360" s="61" t="s">
        <v>2029</v>
      </c>
      <c r="B360" s="62" t="s">
        <v>828</v>
      </c>
      <c r="C360" s="62" t="s">
        <v>829</v>
      </c>
      <c r="D360" s="63">
        <v>44927</v>
      </c>
      <c r="E360" s="63">
        <v>46023</v>
      </c>
      <c r="F360" s="62" t="s">
        <v>282</v>
      </c>
      <c r="G360" s="62" t="s">
        <v>834</v>
      </c>
      <c r="H360" s="62" t="s">
        <v>373</v>
      </c>
      <c r="I360" s="62" t="s">
        <v>424</v>
      </c>
      <c r="J360" s="62" t="s">
        <v>551</v>
      </c>
      <c r="K360" s="62" t="s">
        <v>428</v>
      </c>
      <c r="L360" s="62" t="s">
        <v>2421</v>
      </c>
      <c r="M360" s="66" t="s">
        <v>1972</v>
      </c>
    </row>
    <row r="361" spans="1:13" x14ac:dyDescent="0.3">
      <c r="A361" s="61" t="s">
        <v>2029</v>
      </c>
      <c r="B361" s="62" t="s">
        <v>828</v>
      </c>
      <c r="C361" s="62" t="s">
        <v>829</v>
      </c>
      <c r="D361" s="63">
        <v>44927</v>
      </c>
      <c r="E361" s="63">
        <v>46023</v>
      </c>
      <c r="F361" s="62" t="s">
        <v>1941</v>
      </c>
      <c r="G361" s="62" t="s">
        <v>367</v>
      </c>
      <c r="H361" s="62" t="s">
        <v>373</v>
      </c>
      <c r="I361" s="62" t="s">
        <v>424</v>
      </c>
      <c r="J361" s="62" t="s">
        <v>551</v>
      </c>
      <c r="K361" s="62" t="s">
        <v>428</v>
      </c>
      <c r="L361" s="62" t="s">
        <v>2421</v>
      </c>
      <c r="M361" s="66" t="s">
        <v>1972</v>
      </c>
    </row>
    <row r="362" spans="1:13" x14ac:dyDescent="0.3">
      <c r="A362" s="61" t="s">
        <v>2029</v>
      </c>
      <c r="B362" s="62" t="s">
        <v>828</v>
      </c>
      <c r="C362" s="62" t="s">
        <v>829</v>
      </c>
      <c r="D362" s="63">
        <v>44927</v>
      </c>
      <c r="E362" s="63">
        <v>46023</v>
      </c>
      <c r="F362" s="62" t="s">
        <v>1941</v>
      </c>
      <c r="G362" s="62" t="s">
        <v>324</v>
      </c>
      <c r="H362" s="62" t="s">
        <v>373</v>
      </c>
      <c r="I362" s="62" t="s">
        <v>424</v>
      </c>
      <c r="J362" s="62" t="s">
        <v>551</v>
      </c>
      <c r="K362" s="62" t="s">
        <v>428</v>
      </c>
      <c r="L362" s="62" t="s">
        <v>2421</v>
      </c>
      <c r="M362" s="66" t="s">
        <v>1972</v>
      </c>
    </row>
    <row r="363" spans="1:13" x14ac:dyDescent="0.3">
      <c r="A363" s="61" t="s">
        <v>2029</v>
      </c>
      <c r="B363" s="62" t="s">
        <v>828</v>
      </c>
      <c r="C363" s="62" t="s">
        <v>829</v>
      </c>
      <c r="D363" s="63">
        <v>44927</v>
      </c>
      <c r="E363" s="63">
        <v>46023</v>
      </c>
      <c r="F363" s="62" t="s">
        <v>1941</v>
      </c>
      <c r="G363" s="62" t="s">
        <v>399</v>
      </c>
      <c r="H363" s="62" t="s">
        <v>373</v>
      </c>
      <c r="I363" s="62" t="s">
        <v>424</v>
      </c>
      <c r="J363" s="62" t="s">
        <v>551</v>
      </c>
      <c r="K363" s="62" t="s">
        <v>428</v>
      </c>
      <c r="L363" s="62" t="s">
        <v>2421</v>
      </c>
      <c r="M363" s="66" t="s">
        <v>1972</v>
      </c>
    </row>
    <row r="364" spans="1:13" x14ac:dyDescent="0.3">
      <c r="A364" s="61" t="s">
        <v>2029</v>
      </c>
      <c r="B364" s="62" t="s">
        <v>828</v>
      </c>
      <c r="C364" s="62" t="s">
        <v>829</v>
      </c>
      <c r="D364" s="63">
        <v>44927</v>
      </c>
      <c r="E364" s="63">
        <v>46023</v>
      </c>
      <c r="F364" s="62" t="s">
        <v>348</v>
      </c>
      <c r="G364" s="62" t="s">
        <v>348</v>
      </c>
      <c r="H364" s="62" t="s">
        <v>373</v>
      </c>
      <c r="I364" s="62" t="s">
        <v>424</v>
      </c>
      <c r="J364" s="62" t="s">
        <v>551</v>
      </c>
      <c r="K364" s="62" t="s">
        <v>428</v>
      </c>
      <c r="L364" s="62" t="s">
        <v>2421</v>
      </c>
      <c r="M364" s="66" t="s">
        <v>1972</v>
      </c>
    </row>
    <row r="365" spans="1:13" x14ac:dyDescent="0.3">
      <c r="A365" s="61" t="s">
        <v>2029</v>
      </c>
      <c r="B365" s="62" t="s">
        <v>828</v>
      </c>
      <c r="C365" s="62" t="s">
        <v>829</v>
      </c>
      <c r="D365" s="63">
        <v>44927</v>
      </c>
      <c r="E365" s="63">
        <v>46023</v>
      </c>
      <c r="F365" s="62" t="s">
        <v>1945</v>
      </c>
      <c r="G365" s="62" t="s">
        <v>400</v>
      </c>
      <c r="H365" s="62" t="s">
        <v>373</v>
      </c>
      <c r="I365" s="62" t="s">
        <v>424</v>
      </c>
      <c r="J365" s="62" t="s">
        <v>551</v>
      </c>
      <c r="K365" s="62" t="s">
        <v>428</v>
      </c>
      <c r="L365" s="62" t="s">
        <v>2421</v>
      </c>
      <c r="M365" s="66" t="s">
        <v>1972</v>
      </c>
    </row>
    <row r="366" spans="1:13" x14ac:dyDescent="0.3">
      <c r="A366" s="61" t="s">
        <v>2030</v>
      </c>
      <c r="B366" s="62" t="s">
        <v>837</v>
      </c>
      <c r="C366" s="62" t="s">
        <v>838</v>
      </c>
      <c r="D366" s="63">
        <v>44915</v>
      </c>
      <c r="E366" s="63">
        <v>46446</v>
      </c>
      <c r="F366" s="62" t="s">
        <v>1930</v>
      </c>
      <c r="G366" s="62" t="s">
        <v>512</v>
      </c>
      <c r="H366" s="62" t="s">
        <v>373</v>
      </c>
      <c r="I366" s="62" t="s">
        <v>354</v>
      </c>
      <c r="J366" s="62" t="s">
        <v>357</v>
      </c>
      <c r="K366" s="62" t="s">
        <v>358</v>
      </c>
      <c r="L366" s="62" t="s">
        <v>2421</v>
      </c>
      <c r="M366" s="66" t="s">
        <v>1971</v>
      </c>
    </row>
    <row r="367" spans="1:13" x14ac:dyDescent="0.3">
      <c r="A367" s="61" t="s">
        <v>2030</v>
      </c>
      <c r="B367" s="62" t="s">
        <v>837</v>
      </c>
      <c r="C367" s="62" t="s">
        <v>838</v>
      </c>
      <c r="D367" s="63">
        <v>44915</v>
      </c>
      <c r="E367" s="63">
        <v>46446</v>
      </c>
      <c r="F367" s="62" t="s">
        <v>1930</v>
      </c>
      <c r="G367" s="62" t="s">
        <v>342</v>
      </c>
      <c r="H367" s="62" t="s">
        <v>373</v>
      </c>
      <c r="I367" s="62" t="s">
        <v>354</v>
      </c>
      <c r="J367" s="62" t="s">
        <v>357</v>
      </c>
      <c r="K367" s="62" t="s">
        <v>358</v>
      </c>
      <c r="L367" s="62" t="s">
        <v>2421</v>
      </c>
      <c r="M367" s="66" t="s">
        <v>1971</v>
      </c>
    </row>
    <row r="368" spans="1:13" x14ac:dyDescent="0.3">
      <c r="A368" s="61" t="s">
        <v>2030</v>
      </c>
      <c r="B368" s="62" t="s">
        <v>837</v>
      </c>
      <c r="C368" s="62" t="s">
        <v>838</v>
      </c>
      <c r="D368" s="63">
        <v>44915</v>
      </c>
      <c r="E368" s="63">
        <v>46446</v>
      </c>
      <c r="F368" s="62" t="s">
        <v>1930</v>
      </c>
      <c r="G368" s="62" t="s">
        <v>839</v>
      </c>
      <c r="H368" s="62" t="s">
        <v>373</v>
      </c>
      <c r="I368" s="62" t="s">
        <v>354</v>
      </c>
      <c r="J368" s="62" t="s">
        <v>357</v>
      </c>
      <c r="K368" s="62" t="s">
        <v>358</v>
      </c>
      <c r="L368" s="62" t="s">
        <v>2421</v>
      </c>
      <c r="M368" s="66" t="s">
        <v>1971</v>
      </c>
    </row>
    <row r="369" spans="1:13" x14ac:dyDescent="0.3">
      <c r="A369" s="61" t="s">
        <v>2030</v>
      </c>
      <c r="B369" s="62" t="s">
        <v>837</v>
      </c>
      <c r="C369" s="62" t="s">
        <v>838</v>
      </c>
      <c r="D369" s="63">
        <v>44915</v>
      </c>
      <c r="E369" s="63">
        <v>46446</v>
      </c>
      <c r="F369" s="62" t="s">
        <v>1930</v>
      </c>
      <c r="G369" s="62" t="s">
        <v>517</v>
      </c>
      <c r="H369" s="62" t="s">
        <v>373</v>
      </c>
      <c r="I369" s="62" t="s">
        <v>354</v>
      </c>
      <c r="J369" s="62" t="s">
        <v>357</v>
      </c>
      <c r="K369" s="62" t="s">
        <v>358</v>
      </c>
      <c r="L369" s="62" t="s">
        <v>2421</v>
      </c>
      <c r="M369" s="66" t="s">
        <v>1971</v>
      </c>
    </row>
    <row r="370" spans="1:13" x14ac:dyDescent="0.3">
      <c r="A370" s="61" t="s">
        <v>2030</v>
      </c>
      <c r="B370" s="62" t="s">
        <v>837</v>
      </c>
      <c r="C370" s="62" t="s">
        <v>838</v>
      </c>
      <c r="D370" s="63">
        <v>44915</v>
      </c>
      <c r="E370" s="63">
        <v>46446</v>
      </c>
      <c r="F370" s="62" t="s">
        <v>1930</v>
      </c>
      <c r="G370" s="62" t="s">
        <v>518</v>
      </c>
      <c r="H370" s="62" t="s">
        <v>373</v>
      </c>
      <c r="I370" s="62" t="s">
        <v>354</v>
      </c>
      <c r="J370" s="62" t="s">
        <v>357</v>
      </c>
      <c r="K370" s="62" t="s">
        <v>358</v>
      </c>
      <c r="L370" s="62" t="s">
        <v>2421</v>
      </c>
      <c r="M370" s="66" t="s">
        <v>1971</v>
      </c>
    </row>
    <row r="371" spans="1:13" x14ac:dyDescent="0.3">
      <c r="A371" s="61" t="s">
        <v>2030</v>
      </c>
      <c r="B371" s="62" t="s">
        <v>837</v>
      </c>
      <c r="C371" s="62" t="s">
        <v>838</v>
      </c>
      <c r="D371" s="63">
        <v>44915</v>
      </c>
      <c r="E371" s="63">
        <v>46446</v>
      </c>
      <c r="F371" s="62" t="s">
        <v>1930</v>
      </c>
      <c r="G371" s="62" t="s">
        <v>520</v>
      </c>
      <c r="H371" s="62" t="s">
        <v>373</v>
      </c>
      <c r="I371" s="62" t="s">
        <v>354</v>
      </c>
      <c r="J371" s="62" t="s">
        <v>357</v>
      </c>
      <c r="K371" s="62" t="s">
        <v>358</v>
      </c>
      <c r="L371" s="62" t="s">
        <v>2421</v>
      </c>
      <c r="M371" s="66" t="s">
        <v>1971</v>
      </c>
    </row>
    <row r="372" spans="1:13" x14ac:dyDescent="0.3">
      <c r="A372" s="61" t="s">
        <v>2030</v>
      </c>
      <c r="B372" s="62" t="s">
        <v>837</v>
      </c>
      <c r="C372" s="62" t="s">
        <v>838</v>
      </c>
      <c r="D372" s="63">
        <v>44915</v>
      </c>
      <c r="E372" s="63">
        <v>46446</v>
      </c>
      <c r="F372" s="62" t="s">
        <v>1940</v>
      </c>
      <c r="G372" s="62" t="s">
        <v>304</v>
      </c>
      <c r="H372" s="62" t="s">
        <v>373</v>
      </c>
      <c r="I372" s="62" t="s">
        <v>354</v>
      </c>
      <c r="J372" s="62" t="s">
        <v>357</v>
      </c>
      <c r="K372" s="62" t="s">
        <v>358</v>
      </c>
      <c r="L372" s="62" t="s">
        <v>2421</v>
      </c>
      <c r="M372" s="66" t="s">
        <v>1971</v>
      </c>
    </row>
    <row r="373" spans="1:13" x14ac:dyDescent="0.3">
      <c r="A373" s="61" t="s">
        <v>2031</v>
      </c>
      <c r="B373" s="62" t="s">
        <v>840</v>
      </c>
      <c r="C373" s="62" t="s">
        <v>841</v>
      </c>
      <c r="D373" s="63">
        <v>44896</v>
      </c>
      <c r="E373" s="63">
        <v>46172</v>
      </c>
      <c r="F373" s="62" t="s">
        <v>1922</v>
      </c>
      <c r="G373" s="62" t="s">
        <v>387</v>
      </c>
      <c r="H373" s="62" t="s">
        <v>664</v>
      </c>
      <c r="I373" s="62" t="s">
        <v>356</v>
      </c>
      <c r="J373" s="62" t="s">
        <v>314</v>
      </c>
      <c r="K373" s="62" t="s">
        <v>315</v>
      </c>
      <c r="L373" s="62" t="s">
        <v>2421</v>
      </c>
      <c r="M373" s="66" t="s">
        <v>1969</v>
      </c>
    </row>
    <row r="374" spans="1:13" x14ac:dyDescent="0.3">
      <c r="A374" s="61" t="s">
        <v>2032</v>
      </c>
      <c r="B374" s="62" t="s">
        <v>844</v>
      </c>
      <c r="C374" s="62" t="s">
        <v>845</v>
      </c>
      <c r="D374" s="63">
        <v>44868</v>
      </c>
      <c r="E374" s="63">
        <v>46115</v>
      </c>
      <c r="F374" s="62" t="s">
        <v>282</v>
      </c>
      <c r="G374" s="62" t="s">
        <v>304</v>
      </c>
      <c r="H374" s="62" t="s">
        <v>468</v>
      </c>
      <c r="I374" s="62" t="s">
        <v>509</v>
      </c>
      <c r="J374" s="62" t="s">
        <v>551</v>
      </c>
      <c r="K374" s="62" t="s">
        <v>428</v>
      </c>
      <c r="L374" s="62" t="s">
        <v>2421</v>
      </c>
      <c r="M374" s="66" t="s">
        <v>1972</v>
      </c>
    </row>
    <row r="375" spans="1:13" x14ac:dyDescent="0.3">
      <c r="A375" s="61" t="s">
        <v>2032</v>
      </c>
      <c r="B375" s="62" t="s">
        <v>844</v>
      </c>
      <c r="C375" s="62" t="s">
        <v>845</v>
      </c>
      <c r="D375" s="63">
        <v>44868</v>
      </c>
      <c r="E375" s="63">
        <v>46115</v>
      </c>
      <c r="F375" s="62" t="s">
        <v>348</v>
      </c>
      <c r="G375" s="62" t="s">
        <v>304</v>
      </c>
      <c r="H375" s="62" t="s">
        <v>468</v>
      </c>
      <c r="I375" s="62" t="s">
        <v>509</v>
      </c>
      <c r="J375" s="62" t="s">
        <v>551</v>
      </c>
      <c r="K375" s="62" t="s">
        <v>428</v>
      </c>
      <c r="L375" s="62" t="s">
        <v>2421</v>
      </c>
      <c r="M375" s="66" t="s">
        <v>1972</v>
      </c>
    </row>
    <row r="376" spans="1:13" x14ac:dyDescent="0.3">
      <c r="A376" s="61" t="s">
        <v>2032</v>
      </c>
      <c r="B376" s="62" t="s">
        <v>844</v>
      </c>
      <c r="C376" s="62" t="s">
        <v>845</v>
      </c>
      <c r="D376" s="63">
        <v>44868</v>
      </c>
      <c r="E376" s="63">
        <v>46115</v>
      </c>
      <c r="F376" s="62" t="s">
        <v>1933</v>
      </c>
      <c r="G376" s="62" t="s">
        <v>304</v>
      </c>
      <c r="H376" s="62" t="s">
        <v>468</v>
      </c>
      <c r="I376" s="62" t="s">
        <v>509</v>
      </c>
      <c r="J376" s="62" t="s">
        <v>551</v>
      </c>
      <c r="K376" s="62" t="s">
        <v>428</v>
      </c>
      <c r="L376" s="62" t="s">
        <v>2421</v>
      </c>
      <c r="M376" s="66" t="s">
        <v>1972</v>
      </c>
    </row>
    <row r="377" spans="1:13" x14ac:dyDescent="0.3">
      <c r="A377" s="61" t="s">
        <v>2032</v>
      </c>
      <c r="B377" s="62" t="s">
        <v>844</v>
      </c>
      <c r="C377" s="62" t="s">
        <v>845</v>
      </c>
      <c r="D377" s="63">
        <v>44868</v>
      </c>
      <c r="E377" s="63">
        <v>46115</v>
      </c>
      <c r="F377" s="62" t="s">
        <v>1922</v>
      </c>
      <c r="G377" s="62" t="s">
        <v>304</v>
      </c>
      <c r="H377" s="62" t="s">
        <v>468</v>
      </c>
      <c r="I377" s="62" t="s">
        <v>509</v>
      </c>
      <c r="J377" s="62" t="s">
        <v>551</v>
      </c>
      <c r="K377" s="62" t="s">
        <v>428</v>
      </c>
      <c r="L377" s="62" t="s">
        <v>2421</v>
      </c>
      <c r="M377" s="66" t="s">
        <v>1972</v>
      </c>
    </row>
    <row r="378" spans="1:13" x14ac:dyDescent="0.3">
      <c r="A378" s="61" t="s">
        <v>2032</v>
      </c>
      <c r="B378" s="62" t="s">
        <v>844</v>
      </c>
      <c r="C378" s="62" t="s">
        <v>845</v>
      </c>
      <c r="D378" s="63">
        <v>44868</v>
      </c>
      <c r="E378" s="63">
        <v>46115</v>
      </c>
      <c r="F378" s="62" t="s">
        <v>1943</v>
      </c>
      <c r="G378" s="62" t="s">
        <v>304</v>
      </c>
      <c r="H378" s="62" t="s">
        <v>468</v>
      </c>
      <c r="I378" s="62" t="s">
        <v>509</v>
      </c>
      <c r="J378" s="62" t="s">
        <v>551</v>
      </c>
      <c r="K378" s="62" t="s">
        <v>428</v>
      </c>
      <c r="L378" s="62" t="s">
        <v>2421</v>
      </c>
      <c r="M378" s="66" t="s">
        <v>1972</v>
      </c>
    </row>
    <row r="379" spans="1:13" x14ac:dyDescent="0.3">
      <c r="A379" s="61" t="s">
        <v>2032</v>
      </c>
      <c r="B379" s="62" t="s">
        <v>844</v>
      </c>
      <c r="C379" s="62" t="s">
        <v>845</v>
      </c>
      <c r="D379" s="63">
        <v>44868</v>
      </c>
      <c r="E379" s="63">
        <v>46115</v>
      </c>
      <c r="F379" s="62" t="s">
        <v>284</v>
      </c>
      <c r="G379" s="62" t="s">
        <v>304</v>
      </c>
      <c r="H379" s="62" t="s">
        <v>468</v>
      </c>
      <c r="I379" s="62" t="s">
        <v>509</v>
      </c>
      <c r="J379" s="62" t="s">
        <v>551</v>
      </c>
      <c r="K379" s="62" t="s">
        <v>428</v>
      </c>
      <c r="L379" s="62" t="s">
        <v>2421</v>
      </c>
      <c r="M379" s="66" t="s">
        <v>1972</v>
      </c>
    </row>
    <row r="380" spans="1:13" x14ac:dyDescent="0.3">
      <c r="A380" s="61" t="s">
        <v>2032</v>
      </c>
      <c r="B380" s="62" t="s">
        <v>844</v>
      </c>
      <c r="C380" s="62" t="s">
        <v>845</v>
      </c>
      <c r="D380" s="63">
        <v>44868</v>
      </c>
      <c r="E380" s="63">
        <v>46115</v>
      </c>
      <c r="F380" s="62" t="s">
        <v>1959</v>
      </c>
      <c r="G380" s="62" t="s">
        <v>304</v>
      </c>
      <c r="H380" s="62" t="s">
        <v>468</v>
      </c>
      <c r="I380" s="62" t="s">
        <v>509</v>
      </c>
      <c r="J380" s="62" t="s">
        <v>551</v>
      </c>
      <c r="K380" s="62" t="s">
        <v>428</v>
      </c>
      <c r="L380" s="62" t="s">
        <v>2421</v>
      </c>
      <c r="M380" s="66" t="s">
        <v>1972</v>
      </c>
    </row>
    <row r="381" spans="1:13" x14ac:dyDescent="0.3">
      <c r="A381" s="61" t="s">
        <v>2032</v>
      </c>
      <c r="B381" s="62" t="s">
        <v>844</v>
      </c>
      <c r="C381" s="62" t="s">
        <v>845</v>
      </c>
      <c r="D381" s="63">
        <v>44868</v>
      </c>
      <c r="E381" s="63">
        <v>46115</v>
      </c>
      <c r="F381" s="62" t="s">
        <v>1936</v>
      </c>
      <c r="G381" s="62" t="s">
        <v>304</v>
      </c>
      <c r="H381" s="62" t="s">
        <v>468</v>
      </c>
      <c r="I381" s="62" t="s">
        <v>509</v>
      </c>
      <c r="J381" s="62" t="s">
        <v>551</v>
      </c>
      <c r="K381" s="62" t="s">
        <v>428</v>
      </c>
      <c r="L381" s="62" t="s">
        <v>2421</v>
      </c>
      <c r="M381" s="66" t="s">
        <v>1972</v>
      </c>
    </row>
    <row r="382" spans="1:13" x14ac:dyDescent="0.3">
      <c r="A382" s="61" t="s">
        <v>2032</v>
      </c>
      <c r="B382" s="62" t="s">
        <v>844</v>
      </c>
      <c r="C382" s="62" t="s">
        <v>845</v>
      </c>
      <c r="D382" s="63">
        <v>44868</v>
      </c>
      <c r="E382" s="63">
        <v>46115</v>
      </c>
      <c r="F382" s="62" t="s">
        <v>287</v>
      </c>
      <c r="G382" s="62" t="s">
        <v>304</v>
      </c>
      <c r="H382" s="62" t="s">
        <v>468</v>
      </c>
      <c r="I382" s="62" t="s">
        <v>509</v>
      </c>
      <c r="J382" s="62" t="s">
        <v>551</v>
      </c>
      <c r="K382" s="62" t="s">
        <v>428</v>
      </c>
      <c r="L382" s="62" t="s">
        <v>2421</v>
      </c>
      <c r="M382" s="66" t="s">
        <v>1972</v>
      </c>
    </row>
    <row r="383" spans="1:13" x14ac:dyDescent="0.3">
      <c r="A383" s="61" t="s">
        <v>2032</v>
      </c>
      <c r="B383" s="62" t="s">
        <v>844</v>
      </c>
      <c r="C383" s="62" t="s">
        <v>845</v>
      </c>
      <c r="D383" s="63">
        <v>44868</v>
      </c>
      <c r="E383" s="63">
        <v>46115</v>
      </c>
      <c r="F383" s="62" t="s">
        <v>1945</v>
      </c>
      <c r="G383" s="62" t="s">
        <v>304</v>
      </c>
      <c r="H383" s="62" t="s">
        <v>468</v>
      </c>
      <c r="I383" s="62" t="s">
        <v>509</v>
      </c>
      <c r="J383" s="62" t="s">
        <v>551</v>
      </c>
      <c r="K383" s="62" t="s">
        <v>428</v>
      </c>
      <c r="L383" s="62" t="s">
        <v>2421</v>
      </c>
      <c r="M383" s="66" t="s">
        <v>1972</v>
      </c>
    </row>
    <row r="384" spans="1:13" x14ac:dyDescent="0.3">
      <c r="A384" s="61" t="s">
        <v>2033</v>
      </c>
      <c r="B384" s="62" t="s">
        <v>846</v>
      </c>
      <c r="C384" s="62" t="s">
        <v>847</v>
      </c>
      <c r="D384" s="63">
        <v>44774</v>
      </c>
      <c r="E384" s="63">
        <v>46264</v>
      </c>
      <c r="F384" s="62" t="s">
        <v>350</v>
      </c>
      <c r="G384" s="62" t="s">
        <v>350</v>
      </c>
      <c r="H384" s="62" t="s">
        <v>848</v>
      </c>
      <c r="I384" s="62" t="s">
        <v>457</v>
      </c>
      <c r="J384" s="62" t="s">
        <v>616</v>
      </c>
      <c r="K384" s="62" t="s">
        <v>459</v>
      </c>
      <c r="L384" s="62" t="s">
        <v>2421</v>
      </c>
      <c r="M384" s="66" t="s">
        <v>1971</v>
      </c>
    </row>
    <row r="385" spans="1:13" x14ac:dyDescent="0.3">
      <c r="A385" s="61" t="s">
        <v>2034</v>
      </c>
      <c r="B385" s="62" t="s">
        <v>849</v>
      </c>
      <c r="C385" s="62" t="s">
        <v>850</v>
      </c>
      <c r="D385" s="63">
        <v>44784</v>
      </c>
      <c r="E385" s="63">
        <v>46610</v>
      </c>
      <c r="F385" s="62" t="s">
        <v>286</v>
      </c>
      <c r="G385" s="62" t="s">
        <v>304</v>
      </c>
      <c r="H385" s="62" t="s">
        <v>609</v>
      </c>
      <c r="I385" s="62" t="s">
        <v>457</v>
      </c>
      <c r="J385" s="62" t="s">
        <v>851</v>
      </c>
      <c r="K385" s="62" t="s">
        <v>637</v>
      </c>
      <c r="L385" s="62" t="s">
        <v>2421</v>
      </c>
      <c r="M385" s="66" t="s">
        <v>1969</v>
      </c>
    </row>
    <row r="386" spans="1:13" x14ac:dyDescent="0.3">
      <c r="A386" s="61" t="s">
        <v>2035</v>
      </c>
      <c r="B386" s="62" t="s">
        <v>852</v>
      </c>
      <c r="C386" s="62" t="s">
        <v>853</v>
      </c>
      <c r="D386" s="63">
        <v>44958</v>
      </c>
      <c r="E386" s="63">
        <v>46053</v>
      </c>
      <c r="F386" s="62" t="s">
        <v>282</v>
      </c>
      <c r="G386" s="62" t="s">
        <v>854</v>
      </c>
      <c r="H386" s="62" t="s">
        <v>373</v>
      </c>
      <c r="I386" s="62" t="s">
        <v>825</v>
      </c>
      <c r="J386" s="62" t="s">
        <v>471</v>
      </c>
      <c r="K386" s="62" t="s">
        <v>371</v>
      </c>
      <c r="L386" s="62" t="s">
        <v>2421</v>
      </c>
      <c r="M386" s="66" t="s">
        <v>1972</v>
      </c>
    </row>
    <row r="387" spans="1:13" x14ac:dyDescent="0.3">
      <c r="A387" s="61" t="s">
        <v>2035</v>
      </c>
      <c r="B387" s="62" t="s">
        <v>852</v>
      </c>
      <c r="C387" s="62" t="s">
        <v>853</v>
      </c>
      <c r="D387" s="63">
        <v>44958</v>
      </c>
      <c r="E387" s="63">
        <v>46053</v>
      </c>
      <c r="F387" s="62" t="s">
        <v>282</v>
      </c>
      <c r="G387" s="62" t="s">
        <v>785</v>
      </c>
      <c r="H387" s="62" t="s">
        <v>373</v>
      </c>
      <c r="I387" s="62" t="s">
        <v>825</v>
      </c>
      <c r="J387" s="62" t="s">
        <v>471</v>
      </c>
      <c r="K387" s="62" t="s">
        <v>371</v>
      </c>
      <c r="L387" s="62" t="s">
        <v>2421</v>
      </c>
      <c r="M387" s="66" t="s">
        <v>1972</v>
      </c>
    </row>
    <row r="388" spans="1:13" x14ac:dyDescent="0.3">
      <c r="A388" s="61" t="s">
        <v>2035</v>
      </c>
      <c r="B388" s="62" t="s">
        <v>852</v>
      </c>
      <c r="C388" s="62" t="s">
        <v>853</v>
      </c>
      <c r="D388" s="63">
        <v>44958</v>
      </c>
      <c r="E388" s="63">
        <v>46053</v>
      </c>
      <c r="F388" s="62" t="s">
        <v>282</v>
      </c>
      <c r="G388" s="62" t="s">
        <v>668</v>
      </c>
      <c r="H388" s="62" t="s">
        <v>373</v>
      </c>
      <c r="I388" s="62" t="s">
        <v>825</v>
      </c>
      <c r="J388" s="62" t="s">
        <v>471</v>
      </c>
      <c r="K388" s="62" t="s">
        <v>371</v>
      </c>
      <c r="L388" s="62" t="s">
        <v>2421</v>
      </c>
      <c r="M388" s="66" t="s">
        <v>1972</v>
      </c>
    </row>
    <row r="389" spans="1:13" x14ac:dyDescent="0.3">
      <c r="A389" s="61" t="s">
        <v>2035</v>
      </c>
      <c r="B389" s="62" t="s">
        <v>852</v>
      </c>
      <c r="C389" s="62" t="s">
        <v>853</v>
      </c>
      <c r="D389" s="63">
        <v>44958</v>
      </c>
      <c r="E389" s="63">
        <v>46053</v>
      </c>
      <c r="F389" s="62" t="s">
        <v>282</v>
      </c>
      <c r="G389" s="62" t="s">
        <v>786</v>
      </c>
      <c r="H389" s="62" t="s">
        <v>373</v>
      </c>
      <c r="I389" s="62" t="s">
        <v>825</v>
      </c>
      <c r="J389" s="62" t="s">
        <v>471</v>
      </c>
      <c r="K389" s="62" t="s">
        <v>371</v>
      </c>
      <c r="L389" s="62" t="s">
        <v>2421</v>
      </c>
      <c r="M389" s="66" t="s">
        <v>1972</v>
      </c>
    </row>
    <row r="390" spans="1:13" x14ac:dyDescent="0.3">
      <c r="A390" s="61" t="s">
        <v>2035</v>
      </c>
      <c r="B390" s="62" t="s">
        <v>852</v>
      </c>
      <c r="C390" s="62" t="s">
        <v>853</v>
      </c>
      <c r="D390" s="63">
        <v>44958</v>
      </c>
      <c r="E390" s="63">
        <v>46053</v>
      </c>
      <c r="F390" s="62" t="s">
        <v>282</v>
      </c>
      <c r="G390" s="62" t="s">
        <v>806</v>
      </c>
      <c r="H390" s="62" t="s">
        <v>373</v>
      </c>
      <c r="I390" s="62" t="s">
        <v>825</v>
      </c>
      <c r="J390" s="62" t="s">
        <v>471</v>
      </c>
      <c r="K390" s="62" t="s">
        <v>371</v>
      </c>
      <c r="L390" s="62" t="s">
        <v>2421</v>
      </c>
      <c r="M390" s="66" t="s">
        <v>1972</v>
      </c>
    </row>
    <row r="391" spans="1:13" x14ac:dyDescent="0.3">
      <c r="A391" s="61" t="s">
        <v>2035</v>
      </c>
      <c r="B391" s="62" t="s">
        <v>852</v>
      </c>
      <c r="C391" s="62" t="s">
        <v>853</v>
      </c>
      <c r="D391" s="63">
        <v>44958</v>
      </c>
      <c r="E391" s="63">
        <v>46053</v>
      </c>
      <c r="F391" s="62" t="s">
        <v>282</v>
      </c>
      <c r="G391" s="62" t="s">
        <v>787</v>
      </c>
      <c r="H391" s="62" t="s">
        <v>373</v>
      </c>
      <c r="I391" s="62" t="s">
        <v>825</v>
      </c>
      <c r="J391" s="62" t="s">
        <v>471</v>
      </c>
      <c r="K391" s="62" t="s">
        <v>371</v>
      </c>
      <c r="L391" s="62" t="s">
        <v>2421</v>
      </c>
      <c r="M391" s="66" t="s">
        <v>1972</v>
      </c>
    </row>
    <row r="392" spans="1:13" x14ac:dyDescent="0.3">
      <c r="A392" s="61" t="s">
        <v>2036</v>
      </c>
      <c r="B392" s="62" t="s">
        <v>856</v>
      </c>
      <c r="C392" s="62" t="s">
        <v>857</v>
      </c>
      <c r="D392" s="63">
        <v>44755</v>
      </c>
      <c r="E392" s="63">
        <v>46307</v>
      </c>
      <c r="F392" s="62" t="s">
        <v>1931</v>
      </c>
      <c r="G392" s="62" t="s">
        <v>304</v>
      </c>
      <c r="H392" s="62" t="s">
        <v>373</v>
      </c>
      <c r="I392" s="62" t="s">
        <v>346</v>
      </c>
      <c r="J392" s="62" t="s">
        <v>640</v>
      </c>
      <c r="K392" s="62" t="s">
        <v>417</v>
      </c>
      <c r="L392" s="62" t="s">
        <v>2421</v>
      </c>
      <c r="M392" s="66" t="s">
        <v>1965</v>
      </c>
    </row>
    <row r="393" spans="1:13" x14ac:dyDescent="0.3">
      <c r="A393" s="61" t="s">
        <v>2036</v>
      </c>
      <c r="B393" s="62" t="s">
        <v>856</v>
      </c>
      <c r="C393" s="62" t="s">
        <v>857</v>
      </c>
      <c r="D393" s="63">
        <v>44755</v>
      </c>
      <c r="E393" s="63">
        <v>46307</v>
      </c>
      <c r="F393" s="62" t="s">
        <v>282</v>
      </c>
      <c r="G393" s="62" t="s">
        <v>304</v>
      </c>
      <c r="H393" s="62" t="s">
        <v>373</v>
      </c>
      <c r="I393" s="62" t="s">
        <v>346</v>
      </c>
      <c r="J393" s="62" t="s">
        <v>640</v>
      </c>
      <c r="K393" s="62" t="s">
        <v>417</v>
      </c>
      <c r="L393" s="62" t="s">
        <v>2421</v>
      </c>
      <c r="M393" s="66" t="s">
        <v>1965</v>
      </c>
    </row>
    <row r="394" spans="1:13" x14ac:dyDescent="0.3">
      <c r="A394" s="61" t="s">
        <v>2036</v>
      </c>
      <c r="B394" s="62" t="s">
        <v>856</v>
      </c>
      <c r="C394" s="62" t="s">
        <v>857</v>
      </c>
      <c r="D394" s="63">
        <v>44755</v>
      </c>
      <c r="E394" s="63">
        <v>46307</v>
      </c>
      <c r="F394" s="62" t="s">
        <v>1935</v>
      </c>
      <c r="G394" s="62" t="s">
        <v>304</v>
      </c>
      <c r="H394" s="62" t="s">
        <v>373</v>
      </c>
      <c r="I394" s="62" t="s">
        <v>346</v>
      </c>
      <c r="J394" s="62" t="s">
        <v>640</v>
      </c>
      <c r="K394" s="62" t="s">
        <v>417</v>
      </c>
      <c r="L394" s="62" t="s">
        <v>2421</v>
      </c>
      <c r="M394" s="66" t="s">
        <v>1965</v>
      </c>
    </row>
    <row r="395" spans="1:13" x14ac:dyDescent="0.3">
      <c r="A395" s="61" t="s">
        <v>2036</v>
      </c>
      <c r="B395" s="62" t="s">
        <v>856</v>
      </c>
      <c r="C395" s="62" t="s">
        <v>857</v>
      </c>
      <c r="D395" s="63">
        <v>44755</v>
      </c>
      <c r="E395" s="63">
        <v>46307</v>
      </c>
      <c r="F395" s="62" t="s">
        <v>286</v>
      </c>
      <c r="G395" s="62" t="s">
        <v>304</v>
      </c>
      <c r="H395" s="62" t="s">
        <v>373</v>
      </c>
      <c r="I395" s="62" t="s">
        <v>346</v>
      </c>
      <c r="J395" s="62" t="s">
        <v>640</v>
      </c>
      <c r="K395" s="62" t="s">
        <v>417</v>
      </c>
      <c r="L395" s="62" t="s">
        <v>2421</v>
      </c>
      <c r="M395" s="66" t="s">
        <v>1965</v>
      </c>
    </row>
    <row r="396" spans="1:13" x14ac:dyDescent="0.3">
      <c r="A396" s="61" t="s">
        <v>2036</v>
      </c>
      <c r="B396" s="62" t="s">
        <v>856</v>
      </c>
      <c r="C396" s="62" t="s">
        <v>857</v>
      </c>
      <c r="D396" s="63">
        <v>44755</v>
      </c>
      <c r="E396" s="63">
        <v>46307</v>
      </c>
      <c r="F396" s="62" t="s">
        <v>1921</v>
      </c>
      <c r="G396" s="62" t="s">
        <v>304</v>
      </c>
      <c r="H396" s="62" t="s">
        <v>373</v>
      </c>
      <c r="I396" s="62" t="s">
        <v>346</v>
      </c>
      <c r="J396" s="62" t="s">
        <v>640</v>
      </c>
      <c r="K396" s="62" t="s">
        <v>417</v>
      </c>
      <c r="L396" s="62" t="s">
        <v>2421</v>
      </c>
      <c r="M396" s="66" t="s">
        <v>1965</v>
      </c>
    </row>
    <row r="397" spans="1:13" x14ac:dyDescent="0.3">
      <c r="A397" s="61" t="s">
        <v>2036</v>
      </c>
      <c r="B397" s="62" t="s">
        <v>856</v>
      </c>
      <c r="C397" s="62" t="s">
        <v>857</v>
      </c>
      <c r="D397" s="63">
        <v>44755</v>
      </c>
      <c r="E397" s="63">
        <v>46307</v>
      </c>
      <c r="F397" s="62" t="s">
        <v>289</v>
      </c>
      <c r="G397" s="62" t="s">
        <v>304</v>
      </c>
      <c r="H397" s="62" t="s">
        <v>373</v>
      </c>
      <c r="I397" s="62" t="s">
        <v>346</v>
      </c>
      <c r="J397" s="62" t="s">
        <v>640</v>
      </c>
      <c r="K397" s="62" t="s">
        <v>417</v>
      </c>
      <c r="L397" s="62" t="s">
        <v>2421</v>
      </c>
      <c r="M397" s="66" t="s">
        <v>1965</v>
      </c>
    </row>
    <row r="398" spans="1:13" x14ac:dyDescent="0.3">
      <c r="A398" s="61" t="s">
        <v>2036</v>
      </c>
      <c r="B398" s="62" t="s">
        <v>856</v>
      </c>
      <c r="C398" s="62" t="s">
        <v>857</v>
      </c>
      <c r="D398" s="63">
        <v>44755</v>
      </c>
      <c r="E398" s="63">
        <v>46307</v>
      </c>
      <c r="F398" s="62" t="s">
        <v>348</v>
      </c>
      <c r="G398" s="62" t="s">
        <v>304</v>
      </c>
      <c r="H398" s="62" t="s">
        <v>373</v>
      </c>
      <c r="I398" s="62" t="s">
        <v>346</v>
      </c>
      <c r="J398" s="62" t="s">
        <v>640</v>
      </c>
      <c r="K398" s="62" t="s">
        <v>417</v>
      </c>
      <c r="L398" s="62" t="s">
        <v>2421</v>
      </c>
      <c r="M398" s="66" t="s">
        <v>1965</v>
      </c>
    </row>
    <row r="399" spans="1:13" x14ac:dyDescent="0.3">
      <c r="A399" s="61" t="s">
        <v>2036</v>
      </c>
      <c r="B399" s="62" t="s">
        <v>856</v>
      </c>
      <c r="C399" s="62" t="s">
        <v>857</v>
      </c>
      <c r="D399" s="63">
        <v>44755</v>
      </c>
      <c r="E399" s="63">
        <v>46307</v>
      </c>
      <c r="F399" s="62" t="s">
        <v>1933</v>
      </c>
      <c r="G399" s="62" t="s">
        <v>304</v>
      </c>
      <c r="H399" s="62" t="s">
        <v>373</v>
      </c>
      <c r="I399" s="62" t="s">
        <v>346</v>
      </c>
      <c r="J399" s="62" t="s">
        <v>640</v>
      </c>
      <c r="K399" s="62" t="s">
        <v>417</v>
      </c>
      <c r="L399" s="62" t="s">
        <v>2421</v>
      </c>
      <c r="M399" s="66" t="s">
        <v>1965</v>
      </c>
    </row>
    <row r="400" spans="1:13" x14ac:dyDescent="0.3">
      <c r="A400" s="61" t="s">
        <v>2036</v>
      </c>
      <c r="B400" s="62" t="s">
        <v>856</v>
      </c>
      <c r="C400" s="62" t="s">
        <v>857</v>
      </c>
      <c r="D400" s="63">
        <v>44755</v>
      </c>
      <c r="E400" s="63">
        <v>46307</v>
      </c>
      <c r="F400" s="62" t="s">
        <v>1937</v>
      </c>
      <c r="G400" s="62" t="s">
        <v>304</v>
      </c>
      <c r="H400" s="62" t="s">
        <v>373</v>
      </c>
      <c r="I400" s="62" t="s">
        <v>346</v>
      </c>
      <c r="J400" s="62" t="s">
        <v>640</v>
      </c>
      <c r="K400" s="62" t="s">
        <v>417</v>
      </c>
      <c r="L400" s="62" t="s">
        <v>2421</v>
      </c>
      <c r="M400" s="66" t="s">
        <v>1965</v>
      </c>
    </row>
    <row r="401" spans="1:13" x14ac:dyDescent="0.3">
      <c r="A401" s="61" t="s">
        <v>2036</v>
      </c>
      <c r="B401" s="62" t="s">
        <v>856</v>
      </c>
      <c r="C401" s="62" t="s">
        <v>857</v>
      </c>
      <c r="D401" s="63">
        <v>44755</v>
      </c>
      <c r="E401" s="63">
        <v>46307</v>
      </c>
      <c r="F401" s="62" t="s">
        <v>1922</v>
      </c>
      <c r="G401" s="62" t="s">
        <v>304</v>
      </c>
      <c r="H401" s="62" t="s">
        <v>373</v>
      </c>
      <c r="I401" s="62" t="s">
        <v>346</v>
      </c>
      <c r="J401" s="62" t="s">
        <v>640</v>
      </c>
      <c r="K401" s="62" t="s">
        <v>417</v>
      </c>
      <c r="L401" s="62" t="s">
        <v>2421</v>
      </c>
      <c r="M401" s="66" t="s">
        <v>1965</v>
      </c>
    </row>
    <row r="402" spans="1:13" x14ac:dyDescent="0.3">
      <c r="A402" s="61" t="s">
        <v>2036</v>
      </c>
      <c r="B402" s="62" t="s">
        <v>856</v>
      </c>
      <c r="C402" s="62" t="s">
        <v>857</v>
      </c>
      <c r="D402" s="63">
        <v>44755</v>
      </c>
      <c r="E402" s="63">
        <v>46307</v>
      </c>
      <c r="F402" s="62" t="s">
        <v>1943</v>
      </c>
      <c r="G402" s="62" t="s">
        <v>304</v>
      </c>
      <c r="H402" s="62" t="s">
        <v>373</v>
      </c>
      <c r="I402" s="62" t="s">
        <v>346</v>
      </c>
      <c r="J402" s="62" t="s">
        <v>640</v>
      </c>
      <c r="K402" s="62" t="s">
        <v>417</v>
      </c>
      <c r="L402" s="62" t="s">
        <v>2421</v>
      </c>
      <c r="M402" s="66" t="s">
        <v>1965</v>
      </c>
    </row>
    <row r="403" spans="1:13" x14ac:dyDescent="0.3">
      <c r="A403" s="61" t="s">
        <v>2036</v>
      </c>
      <c r="B403" s="62" t="s">
        <v>856</v>
      </c>
      <c r="C403" s="62" t="s">
        <v>857</v>
      </c>
      <c r="D403" s="63">
        <v>44755</v>
      </c>
      <c r="E403" s="63">
        <v>46307</v>
      </c>
      <c r="F403" s="62" t="s">
        <v>1939</v>
      </c>
      <c r="G403" s="62" t="s">
        <v>304</v>
      </c>
      <c r="H403" s="62" t="s">
        <v>373</v>
      </c>
      <c r="I403" s="62" t="s">
        <v>346</v>
      </c>
      <c r="J403" s="62" t="s">
        <v>640</v>
      </c>
      <c r="K403" s="62" t="s">
        <v>417</v>
      </c>
      <c r="L403" s="62" t="s">
        <v>2421</v>
      </c>
      <c r="M403" s="66" t="s">
        <v>1965</v>
      </c>
    </row>
    <row r="404" spans="1:13" x14ac:dyDescent="0.3">
      <c r="A404" s="61" t="s">
        <v>2036</v>
      </c>
      <c r="B404" s="62" t="s">
        <v>856</v>
      </c>
      <c r="C404" s="62" t="s">
        <v>857</v>
      </c>
      <c r="D404" s="63">
        <v>44755</v>
      </c>
      <c r="E404" s="63">
        <v>46307</v>
      </c>
      <c r="F404" s="62" t="s">
        <v>1958</v>
      </c>
      <c r="G404" s="62" t="s">
        <v>304</v>
      </c>
      <c r="H404" s="62" t="s">
        <v>373</v>
      </c>
      <c r="I404" s="62" t="s">
        <v>346</v>
      </c>
      <c r="J404" s="62" t="s">
        <v>640</v>
      </c>
      <c r="K404" s="62" t="s">
        <v>417</v>
      </c>
      <c r="L404" s="62" t="s">
        <v>2421</v>
      </c>
      <c r="M404" s="66" t="s">
        <v>1965</v>
      </c>
    </row>
    <row r="405" spans="1:13" x14ac:dyDescent="0.3">
      <c r="A405" s="61" t="s">
        <v>2036</v>
      </c>
      <c r="B405" s="62" t="s">
        <v>856</v>
      </c>
      <c r="C405" s="62" t="s">
        <v>857</v>
      </c>
      <c r="D405" s="63">
        <v>44755</v>
      </c>
      <c r="E405" s="63">
        <v>46307</v>
      </c>
      <c r="F405" s="62" t="s">
        <v>1944</v>
      </c>
      <c r="G405" s="62" t="s">
        <v>304</v>
      </c>
      <c r="H405" s="62" t="s">
        <v>373</v>
      </c>
      <c r="I405" s="62" t="s">
        <v>346</v>
      </c>
      <c r="J405" s="62" t="s">
        <v>640</v>
      </c>
      <c r="K405" s="62" t="s">
        <v>417</v>
      </c>
      <c r="L405" s="62" t="s">
        <v>2421</v>
      </c>
      <c r="M405" s="66" t="s">
        <v>1965</v>
      </c>
    </row>
    <row r="406" spans="1:13" x14ac:dyDescent="0.3">
      <c r="A406" s="61" t="s">
        <v>2036</v>
      </c>
      <c r="B406" s="62" t="s">
        <v>856</v>
      </c>
      <c r="C406" s="62" t="s">
        <v>857</v>
      </c>
      <c r="D406" s="63">
        <v>44755</v>
      </c>
      <c r="E406" s="63">
        <v>46307</v>
      </c>
      <c r="F406" s="62" t="s">
        <v>1930</v>
      </c>
      <c r="G406" s="62" t="s">
        <v>304</v>
      </c>
      <c r="H406" s="62" t="s">
        <v>373</v>
      </c>
      <c r="I406" s="62" t="s">
        <v>346</v>
      </c>
      <c r="J406" s="62" t="s">
        <v>640</v>
      </c>
      <c r="K406" s="62" t="s">
        <v>417</v>
      </c>
      <c r="L406" s="62" t="s">
        <v>2421</v>
      </c>
      <c r="M406" s="66" t="s">
        <v>1965</v>
      </c>
    </row>
    <row r="407" spans="1:13" x14ac:dyDescent="0.3">
      <c r="A407" s="61" t="s">
        <v>2036</v>
      </c>
      <c r="B407" s="62" t="s">
        <v>856</v>
      </c>
      <c r="C407" s="62" t="s">
        <v>857</v>
      </c>
      <c r="D407" s="63">
        <v>44755</v>
      </c>
      <c r="E407" s="63">
        <v>46307</v>
      </c>
      <c r="F407" s="62" t="s">
        <v>284</v>
      </c>
      <c r="G407" s="62" t="s">
        <v>304</v>
      </c>
      <c r="H407" s="62" t="s">
        <v>373</v>
      </c>
      <c r="I407" s="62" t="s">
        <v>346</v>
      </c>
      <c r="J407" s="62" t="s">
        <v>640</v>
      </c>
      <c r="K407" s="62" t="s">
        <v>417</v>
      </c>
      <c r="L407" s="62" t="s">
        <v>2421</v>
      </c>
      <c r="M407" s="66" t="s">
        <v>1965</v>
      </c>
    </row>
    <row r="408" spans="1:13" x14ac:dyDescent="0.3">
      <c r="A408" s="61" t="s">
        <v>2036</v>
      </c>
      <c r="B408" s="62" t="s">
        <v>856</v>
      </c>
      <c r="C408" s="62" t="s">
        <v>857</v>
      </c>
      <c r="D408" s="63">
        <v>44755</v>
      </c>
      <c r="E408" s="63">
        <v>46307</v>
      </c>
      <c r="F408" s="62" t="s">
        <v>1942</v>
      </c>
      <c r="G408" s="62" t="s">
        <v>304</v>
      </c>
      <c r="H408" s="62" t="s">
        <v>373</v>
      </c>
      <c r="I408" s="62" t="s">
        <v>346</v>
      </c>
      <c r="J408" s="62" t="s">
        <v>640</v>
      </c>
      <c r="K408" s="62" t="s">
        <v>417</v>
      </c>
      <c r="L408" s="62" t="s">
        <v>2421</v>
      </c>
      <c r="M408" s="66" t="s">
        <v>1965</v>
      </c>
    </row>
    <row r="409" spans="1:13" x14ac:dyDescent="0.3">
      <c r="A409" s="61" t="s">
        <v>2036</v>
      </c>
      <c r="B409" s="62" t="s">
        <v>856</v>
      </c>
      <c r="C409" s="62" t="s">
        <v>857</v>
      </c>
      <c r="D409" s="63">
        <v>44755</v>
      </c>
      <c r="E409" s="63">
        <v>46307</v>
      </c>
      <c r="F409" s="62" t="s">
        <v>288</v>
      </c>
      <c r="G409" s="62" t="s">
        <v>304</v>
      </c>
      <c r="H409" s="62" t="s">
        <v>373</v>
      </c>
      <c r="I409" s="62" t="s">
        <v>346</v>
      </c>
      <c r="J409" s="62" t="s">
        <v>640</v>
      </c>
      <c r="K409" s="62" t="s">
        <v>417</v>
      </c>
      <c r="L409" s="62" t="s">
        <v>2421</v>
      </c>
      <c r="M409" s="66" t="s">
        <v>1965</v>
      </c>
    </row>
    <row r="410" spans="1:13" x14ac:dyDescent="0.3">
      <c r="A410" s="61" t="s">
        <v>2036</v>
      </c>
      <c r="B410" s="62" t="s">
        <v>856</v>
      </c>
      <c r="C410" s="62" t="s">
        <v>857</v>
      </c>
      <c r="D410" s="63">
        <v>44755</v>
      </c>
      <c r="E410" s="63">
        <v>46307</v>
      </c>
      <c r="F410" s="62" t="s">
        <v>280</v>
      </c>
      <c r="G410" s="62" t="s">
        <v>304</v>
      </c>
      <c r="H410" s="62" t="s">
        <v>373</v>
      </c>
      <c r="I410" s="62" t="s">
        <v>346</v>
      </c>
      <c r="J410" s="62" t="s">
        <v>640</v>
      </c>
      <c r="K410" s="62" t="s">
        <v>417</v>
      </c>
      <c r="L410" s="62" t="s">
        <v>2421</v>
      </c>
      <c r="M410" s="66" t="s">
        <v>1965</v>
      </c>
    </row>
    <row r="411" spans="1:13" x14ac:dyDescent="0.3">
      <c r="A411" s="61" t="s">
        <v>2036</v>
      </c>
      <c r="B411" s="62" t="s">
        <v>856</v>
      </c>
      <c r="C411" s="62" t="s">
        <v>857</v>
      </c>
      <c r="D411" s="63">
        <v>44755</v>
      </c>
      <c r="E411" s="63">
        <v>46307</v>
      </c>
      <c r="F411" s="62" t="s">
        <v>1960</v>
      </c>
      <c r="G411" s="62" t="s">
        <v>304</v>
      </c>
      <c r="H411" s="62" t="s">
        <v>373</v>
      </c>
      <c r="I411" s="62" t="s">
        <v>346</v>
      </c>
      <c r="J411" s="62" t="s">
        <v>640</v>
      </c>
      <c r="K411" s="62" t="s">
        <v>417</v>
      </c>
      <c r="L411" s="62" t="s">
        <v>2421</v>
      </c>
      <c r="M411" s="66" t="s">
        <v>1965</v>
      </c>
    </row>
    <row r="412" spans="1:13" x14ac:dyDescent="0.3">
      <c r="A412" s="61" t="s">
        <v>2036</v>
      </c>
      <c r="B412" s="62" t="s">
        <v>856</v>
      </c>
      <c r="C412" s="62" t="s">
        <v>857</v>
      </c>
      <c r="D412" s="63">
        <v>44755</v>
      </c>
      <c r="E412" s="63">
        <v>46307</v>
      </c>
      <c r="F412" s="62" t="s">
        <v>1961</v>
      </c>
      <c r="G412" s="62" t="s">
        <v>304</v>
      </c>
      <c r="H412" s="62" t="s">
        <v>373</v>
      </c>
      <c r="I412" s="62" t="s">
        <v>346</v>
      </c>
      <c r="J412" s="62" t="s">
        <v>640</v>
      </c>
      <c r="K412" s="62" t="s">
        <v>417</v>
      </c>
      <c r="L412" s="62" t="s">
        <v>2421</v>
      </c>
      <c r="M412" s="66" t="s">
        <v>1965</v>
      </c>
    </row>
    <row r="413" spans="1:13" x14ac:dyDescent="0.3">
      <c r="A413" s="61" t="s">
        <v>2036</v>
      </c>
      <c r="B413" s="62" t="s">
        <v>856</v>
      </c>
      <c r="C413" s="62" t="s">
        <v>857</v>
      </c>
      <c r="D413" s="63">
        <v>44755</v>
      </c>
      <c r="E413" s="63">
        <v>46307</v>
      </c>
      <c r="F413" s="62" t="s">
        <v>1941</v>
      </c>
      <c r="G413" s="62" t="s">
        <v>304</v>
      </c>
      <c r="H413" s="62" t="s">
        <v>373</v>
      </c>
      <c r="I413" s="62" t="s">
        <v>346</v>
      </c>
      <c r="J413" s="62" t="s">
        <v>640</v>
      </c>
      <c r="K413" s="62" t="s">
        <v>417</v>
      </c>
      <c r="L413" s="62" t="s">
        <v>2421</v>
      </c>
      <c r="M413" s="66" t="s">
        <v>1965</v>
      </c>
    </row>
    <row r="414" spans="1:13" x14ac:dyDescent="0.3">
      <c r="A414" s="61" t="s">
        <v>2036</v>
      </c>
      <c r="B414" s="62" t="s">
        <v>856</v>
      </c>
      <c r="C414" s="62" t="s">
        <v>857</v>
      </c>
      <c r="D414" s="63">
        <v>44755</v>
      </c>
      <c r="E414" s="63">
        <v>46307</v>
      </c>
      <c r="F414" s="62" t="s">
        <v>1948</v>
      </c>
      <c r="G414" s="62" t="s">
        <v>304</v>
      </c>
      <c r="H414" s="62" t="s">
        <v>373</v>
      </c>
      <c r="I414" s="62" t="s">
        <v>346</v>
      </c>
      <c r="J414" s="62" t="s">
        <v>640</v>
      </c>
      <c r="K414" s="62" t="s">
        <v>417</v>
      </c>
      <c r="L414" s="62" t="s">
        <v>2421</v>
      </c>
      <c r="M414" s="66" t="s">
        <v>1965</v>
      </c>
    </row>
    <row r="415" spans="1:13" x14ac:dyDescent="0.3">
      <c r="A415" s="61" t="s">
        <v>2036</v>
      </c>
      <c r="B415" s="62" t="s">
        <v>856</v>
      </c>
      <c r="C415" s="62" t="s">
        <v>857</v>
      </c>
      <c r="D415" s="63">
        <v>44755</v>
      </c>
      <c r="E415" s="63">
        <v>46307</v>
      </c>
      <c r="F415" s="62" t="s">
        <v>1959</v>
      </c>
      <c r="G415" s="62" t="s">
        <v>304</v>
      </c>
      <c r="H415" s="62" t="s">
        <v>373</v>
      </c>
      <c r="I415" s="62" t="s">
        <v>346</v>
      </c>
      <c r="J415" s="62" t="s">
        <v>640</v>
      </c>
      <c r="K415" s="62" t="s">
        <v>417</v>
      </c>
      <c r="L415" s="62" t="s">
        <v>2421</v>
      </c>
      <c r="M415" s="66" t="s">
        <v>1965</v>
      </c>
    </row>
    <row r="416" spans="1:13" x14ac:dyDescent="0.3">
      <c r="A416" s="61" t="s">
        <v>2036</v>
      </c>
      <c r="B416" s="62" t="s">
        <v>856</v>
      </c>
      <c r="C416" s="62" t="s">
        <v>857</v>
      </c>
      <c r="D416" s="63">
        <v>44755</v>
      </c>
      <c r="E416" s="63">
        <v>46307</v>
      </c>
      <c r="F416" s="62" t="s">
        <v>287</v>
      </c>
      <c r="G416" s="62" t="s">
        <v>304</v>
      </c>
      <c r="H416" s="62" t="s">
        <v>373</v>
      </c>
      <c r="I416" s="62" t="s">
        <v>346</v>
      </c>
      <c r="J416" s="62" t="s">
        <v>640</v>
      </c>
      <c r="K416" s="62" t="s">
        <v>417</v>
      </c>
      <c r="L416" s="62" t="s">
        <v>2421</v>
      </c>
      <c r="M416" s="66" t="s">
        <v>1965</v>
      </c>
    </row>
    <row r="417" spans="1:13" x14ac:dyDescent="0.3">
      <c r="A417" s="61" t="s">
        <v>2036</v>
      </c>
      <c r="B417" s="62" t="s">
        <v>856</v>
      </c>
      <c r="C417" s="62" t="s">
        <v>857</v>
      </c>
      <c r="D417" s="63">
        <v>44755</v>
      </c>
      <c r="E417" s="63">
        <v>46307</v>
      </c>
      <c r="F417" s="62" t="s">
        <v>1945</v>
      </c>
      <c r="G417" s="62" t="s">
        <v>304</v>
      </c>
      <c r="H417" s="62" t="s">
        <v>373</v>
      </c>
      <c r="I417" s="62" t="s">
        <v>346</v>
      </c>
      <c r="J417" s="62" t="s">
        <v>640</v>
      </c>
      <c r="K417" s="62" t="s">
        <v>417</v>
      </c>
      <c r="L417" s="62" t="s">
        <v>2421</v>
      </c>
      <c r="M417" s="66" t="s">
        <v>1965</v>
      </c>
    </row>
    <row r="418" spans="1:13" x14ac:dyDescent="0.3">
      <c r="A418" s="61" t="s">
        <v>2037</v>
      </c>
      <c r="B418" s="62" t="s">
        <v>858</v>
      </c>
      <c r="C418" s="62" t="s">
        <v>857</v>
      </c>
      <c r="D418" s="63">
        <v>44755</v>
      </c>
      <c r="E418" s="63">
        <v>46308</v>
      </c>
      <c r="F418" s="62" t="s">
        <v>1931</v>
      </c>
      <c r="G418" s="62" t="s">
        <v>304</v>
      </c>
      <c r="H418" s="62" t="s">
        <v>468</v>
      </c>
      <c r="I418" s="62" t="s">
        <v>346</v>
      </c>
      <c r="J418" s="62" t="s">
        <v>640</v>
      </c>
      <c r="K418" s="62" t="s">
        <v>417</v>
      </c>
      <c r="L418" s="62" t="s">
        <v>2421</v>
      </c>
      <c r="M418" s="66" t="s">
        <v>1965</v>
      </c>
    </row>
    <row r="419" spans="1:13" x14ac:dyDescent="0.3">
      <c r="A419" s="61" t="s">
        <v>2037</v>
      </c>
      <c r="B419" s="62" t="s">
        <v>858</v>
      </c>
      <c r="C419" s="62" t="s">
        <v>857</v>
      </c>
      <c r="D419" s="63">
        <v>44755</v>
      </c>
      <c r="E419" s="63">
        <v>46308</v>
      </c>
      <c r="F419" s="62" t="s">
        <v>282</v>
      </c>
      <c r="G419" s="62" t="s">
        <v>304</v>
      </c>
      <c r="H419" s="62" t="s">
        <v>468</v>
      </c>
      <c r="I419" s="62" t="s">
        <v>346</v>
      </c>
      <c r="J419" s="62" t="s">
        <v>640</v>
      </c>
      <c r="K419" s="62" t="s">
        <v>417</v>
      </c>
      <c r="L419" s="62" t="s">
        <v>2421</v>
      </c>
      <c r="M419" s="66" t="s">
        <v>1965</v>
      </c>
    </row>
    <row r="420" spans="1:13" x14ac:dyDescent="0.3">
      <c r="A420" s="61" t="s">
        <v>2037</v>
      </c>
      <c r="B420" s="62" t="s">
        <v>858</v>
      </c>
      <c r="C420" s="62" t="s">
        <v>857</v>
      </c>
      <c r="D420" s="63">
        <v>44755</v>
      </c>
      <c r="E420" s="63">
        <v>46308</v>
      </c>
      <c r="F420" s="62" t="s">
        <v>1921</v>
      </c>
      <c r="G420" s="62" t="s">
        <v>304</v>
      </c>
      <c r="H420" s="62" t="s">
        <v>468</v>
      </c>
      <c r="I420" s="62" t="s">
        <v>346</v>
      </c>
      <c r="J420" s="62" t="s">
        <v>640</v>
      </c>
      <c r="K420" s="62" t="s">
        <v>417</v>
      </c>
      <c r="L420" s="62" t="s">
        <v>2421</v>
      </c>
      <c r="M420" s="66" t="s">
        <v>1965</v>
      </c>
    </row>
    <row r="421" spans="1:13" x14ac:dyDescent="0.3">
      <c r="A421" s="61" t="s">
        <v>2037</v>
      </c>
      <c r="B421" s="62" t="s">
        <v>858</v>
      </c>
      <c r="C421" s="62" t="s">
        <v>857</v>
      </c>
      <c r="D421" s="63">
        <v>44755</v>
      </c>
      <c r="E421" s="63">
        <v>46308</v>
      </c>
      <c r="F421" s="62" t="s">
        <v>348</v>
      </c>
      <c r="G421" s="62" t="s">
        <v>304</v>
      </c>
      <c r="H421" s="62" t="s">
        <v>468</v>
      </c>
      <c r="I421" s="62" t="s">
        <v>346</v>
      </c>
      <c r="J421" s="62" t="s">
        <v>640</v>
      </c>
      <c r="K421" s="62" t="s">
        <v>417</v>
      </c>
      <c r="L421" s="62" t="s">
        <v>2421</v>
      </c>
      <c r="M421" s="66" t="s">
        <v>1965</v>
      </c>
    </row>
    <row r="422" spans="1:13" x14ac:dyDescent="0.3">
      <c r="A422" s="61" t="s">
        <v>2037</v>
      </c>
      <c r="B422" s="62" t="s">
        <v>858</v>
      </c>
      <c r="C422" s="62" t="s">
        <v>857</v>
      </c>
      <c r="D422" s="63">
        <v>44755</v>
      </c>
      <c r="E422" s="63">
        <v>46308</v>
      </c>
      <c r="F422" s="62" t="s">
        <v>1937</v>
      </c>
      <c r="G422" s="62" t="s">
        <v>304</v>
      </c>
      <c r="H422" s="62" t="s">
        <v>468</v>
      </c>
      <c r="I422" s="62" t="s">
        <v>346</v>
      </c>
      <c r="J422" s="62" t="s">
        <v>640</v>
      </c>
      <c r="K422" s="62" t="s">
        <v>417</v>
      </c>
      <c r="L422" s="62" t="s">
        <v>2421</v>
      </c>
      <c r="M422" s="66" t="s">
        <v>1965</v>
      </c>
    </row>
    <row r="423" spans="1:13" x14ac:dyDescent="0.3">
      <c r="A423" s="61" t="s">
        <v>2037</v>
      </c>
      <c r="B423" s="62" t="s">
        <v>858</v>
      </c>
      <c r="C423" s="62" t="s">
        <v>857</v>
      </c>
      <c r="D423" s="63">
        <v>44755</v>
      </c>
      <c r="E423" s="63">
        <v>46308</v>
      </c>
      <c r="F423" s="62" t="s">
        <v>1922</v>
      </c>
      <c r="G423" s="62" t="s">
        <v>304</v>
      </c>
      <c r="H423" s="62" t="s">
        <v>468</v>
      </c>
      <c r="I423" s="62" t="s">
        <v>346</v>
      </c>
      <c r="J423" s="62" t="s">
        <v>640</v>
      </c>
      <c r="K423" s="62" t="s">
        <v>417</v>
      </c>
      <c r="L423" s="62" t="s">
        <v>2421</v>
      </c>
      <c r="M423" s="66" t="s">
        <v>1965</v>
      </c>
    </row>
    <row r="424" spans="1:13" x14ac:dyDescent="0.3">
      <c r="A424" s="61" t="s">
        <v>2037</v>
      </c>
      <c r="B424" s="62" t="s">
        <v>858</v>
      </c>
      <c r="C424" s="62" t="s">
        <v>857</v>
      </c>
      <c r="D424" s="63">
        <v>44755</v>
      </c>
      <c r="E424" s="63">
        <v>46308</v>
      </c>
      <c r="F424" s="62" t="s">
        <v>280</v>
      </c>
      <c r="G424" s="62" t="s">
        <v>304</v>
      </c>
      <c r="H424" s="62" t="s">
        <v>468</v>
      </c>
      <c r="I424" s="62" t="s">
        <v>346</v>
      </c>
      <c r="J424" s="62" t="s">
        <v>640</v>
      </c>
      <c r="K424" s="62" t="s">
        <v>417</v>
      </c>
      <c r="L424" s="62" t="s">
        <v>2421</v>
      </c>
      <c r="M424" s="66" t="s">
        <v>1965</v>
      </c>
    </row>
    <row r="425" spans="1:13" x14ac:dyDescent="0.3">
      <c r="A425" s="61" t="s">
        <v>2037</v>
      </c>
      <c r="B425" s="62" t="s">
        <v>858</v>
      </c>
      <c r="C425" s="62" t="s">
        <v>857</v>
      </c>
      <c r="D425" s="63">
        <v>44755</v>
      </c>
      <c r="E425" s="63">
        <v>46308</v>
      </c>
      <c r="F425" s="62" t="s">
        <v>1931</v>
      </c>
      <c r="G425" s="62" t="s">
        <v>304</v>
      </c>
      <c r="H425" s="62" t="s">
        <v>373</v>
      </c>
      <c r="I425" s="62" t="s">
        <v>346</v>
      </c>
      <c r="J425" s="62" t="s">
        <v>640</v>
      </c>
      <c r="K425" s="62" t="s">
        <v>417</v>
      </c>
      <c r="L425" s="62" t="s">
        <v>2421</v>
      </c>
      <c r="M425" s="66" t="s">
        <v>1965</v>
      </c>
    </row>
    <row r="426" spans="1:13" x14ac:dyDescent="0.3">
      <c r="A426" s="61" t="s">
        <v>2037</v>
      </c>
      <c r="B426" s="62" t="s">
        <v>858</v>
      </c>
      <c r="C426" s="62" t="s">
        <v>857</v>
      </c>
      <c r="D426" s="63">
        <v>44755</v>
      </c>
      <c r="E426" s="63">
        <v>46308</v>
      </c>
      <c r="F426" s="62" t="s">
        <v>282</v>
      </c>
      <c r="G426" s="62" t="s">
        <v>304</v>
      </c>
      <c r="H426" s="62" t="s">
        <v>373</v>
      </c>
      <c r="I426" s="62" t="s">
        <v>346</v>
      </c>
      <c r="J426" s="62" t="s">
        <v>640</v>
      </c>
      <c r="K426" s="62" t="s">
        <v>417</v>
      </c>
      <c r="L426" s="62" t="s">
        <v>2421</v>
      </c>
      <c r="M426" s="66" t="s">
        <v>1965</v>
      </c>
    </row>
    <row r="427" spans="1:13" x14ac:dyDescent="0.3">
      <c r="A427" s="61" t="s">
        <v>2037</v>
      </c>
      <c r="B427" s="62" t="s">
        <v>858</v>
      </c>
      <c r="C427" s="62" t="s">
        <v>857</v>
      </c>
      <c r="D427" s="63">
        <v>44755</v>
      </c>
      <c r="E427" s="63">
        <v>46308</v>
      </c>
      <c r="F427" s="62" t="s">
        <v>1921</v>
      </c>
      <c r="G427" s="62" t="s">
        <v>304</v>
      </c>
      <c r="H427" s="62" t="s">
        <v>373</v>
      </c>
      <c r="I427" s="62" t="s">
        <v>346</v>
      </c>
      <c r="J427" s="62" t="s">
        <v>640</v>
      </c>
      <c r="K427" s="62" t="s">
        <v>417</v>
      </c>
      <c r="L427" s="62" t="s">
        <v>2421</v>
      </c>
      <c r="M427" s="66" t="s">
        <v>1965</v>
      </c>
    </row>
    <row r="428" spans="1:13" x14ac:dyDescent="0.3">
      <c r="A428" s="61" t="s">
        <v>2037</v>
      </c>
      <c r="B428" s="62" t="s">
        <v>858</v>
      </c>
      <c r="C428" s="62" t="s">
        <v>857</v>
      </c>
      <c r="D428" s="63">
        <v>44755</v>
      </c>
      <c r="E428" s="63">
        <v>46308</v>
      </c>
      <c r="F428" s="62" t="s">
        <v>348</v>
      </c>
      <c r="G428" s="62" t="s">
        <v>304</v>
      </c>
      <c r="H428" s="62" t="s">
        <v>373</v>
      </c>
      <c r="I428" s="62" t="s">
        <v>346</v>
      </c>
      <c r="J428" s="62" t="s">
        <v>640</v>
      </c>
      <c r="K428" s="62" t="s">
        <v>417</v>
      </c>
      <c r="L428" s="62" t="s">
        <v>2421</v>
      </c>
      <c r="M428" s="66" t="s">
        <v>1965</v>
      </c>
    </row>
    <row r="429" spans="1:13" x14ac:dyDescent="0.3">
      <c r="A429" s="61" t="s">
        <v>2037</v>
      </c>
      <c r="B429" s="62" t="s">
        <v>858</v>
      </c>
      <c r="C429" s="62" t="s">
        <v>857</v>
      </c>
      <c r="D429" s="63">
        <v>44755</v>
      </c>
      <c r="E429" s="63">
        <v>46308</v>
      </c>
      <c r="F429" s="62" t="s">
        <v>1937</v>
      </c>
      <c r="G429" s="62" t="s">
        <v>304</v>
      </c>
      <c r="H429" s="62" t="s">
        <v>373</v>
      </c>
      <c r="I429" s="62" t="s">
        <v>346</v>
      </c>
      <c r="J429" s="62" t="s">
        <v>640</v>
      </c>
      <c r="K429" s="62" t="s">
        <v>417</v>
      </c>
      <c r="L429" s="62" t="s">
        <v>2421</v>
      </c>
      <c r="M429" s="66" t="s">
        <v>1965</v>
      </c>
    </row>
    <row r="430" spans="1:13" x14ac:dyDescent="0.3">
      <c r="A430" s="61" t="s">
        <v>2037</v>
      </c>
      <c r="B430" s="62" t="s">
        <v>858</v>
      </c>
      <c r="C430" s="62" t="s">
        <v>857</v>
      </c>
      <c r="D430" s="63">
        <v>44755</v>
      </c>
      <c r="E430" s="63">
        <v>46308</v>
      </c>
      <c r="F430" s="62" t="s">
        <v>1922</v>
      </c>
      <c r="G430" s="62" t="s">
        <v>304</v>
      </c>
      <c r="H430" s="62" t="s">
        <v>373</v>
      </c>
      <c r="I430" s="62" t="s">
        <v>346</v>
      </c>
      <c r="J430" s="62" t="s">
        <v>640</v>
      </c>
      <c r="K430" s="62" t="s">
        <v>417</v>
      </c>
      <c r="L430" s="62" t="s">
        <v>2421</v>
      </c>
      <c r="M430" s="66" t="s">
        <v>1965</v>
      </c>
    </row>
    <row r="431" spans="1:13" x14ac:dyDescent="0.3">
      <c r="A431" s="61" t="s">
        <v>2037</v>
      </c>
      <c r="B431" s="62" t="s">
        <v>858</v>
      </c>
      <c r="C431" s="62" t="s">
        <v>857</v>
      </c>
      <c r="D431" s="63">
        <v>44755</v>
      </c>
      <c r="E431" s="63">
        <v>46308</v>
      </c>
      <c r="F431" s="62" t="s">
        <v>280</v>
      </c>
      <c r="G431" s="62" t="s">
        <v>304</v>
      </c>
      <c r="H431" s="62" t="s">
        <v>373</v>
      </c>
      <c r="I431" s="62" t="s">
        <v>346</v>
      </c>
      <c r="J431" s="62" t="s">
        <v>640</v>
      </c>
      <c r="K431" s="62" t="s">
        <v>417</v>
      </c>
      <c r="L431" s="62" t="s">
        <v>2421</v>
      </c>
      <c r="M431" s="66" t="s">
        <v>1965</v>
      </c>
    </row>
    <row r="432" spans="1:13" x14ac:dyDescent="0.3">
      <c r="A432" s="61" t="s">
        <v>2038</v>
      </c>
      <c r="B432" s="62" t="s">
        <v>859</v>
      </c>
      <c r="C432" s="62" t="s">
        <v>857</v>
      </c>
      <c r="D432" s="63">
        <v>44928</v>
      </c>
      <c r="E432" s="63">
        <v>46308</v>
      </c>
      <c r="F432" s="62" t="s">
        <v>1921</v>
      </c>
      <c r="G432" s="62" t="s">
        <v>559</v>
      </c>
      <c r="H432" s="62" t="s">
        <v>373</v>
      </c>
      <c r="I432" s="62" t="s">
        <v>2443</v>
      </c>
      <c r="J432" s="62" t="s">
        <v>640</v>
      </c>
      <c r="K432" s="62" t="s">
        <v>417</v>
      </c>
      <c r="L432" s="62" t="s">
        <v>2421</v>
      </c>
      <c r="M432" s="66" t="s">
        <v>1965</v>
      </c>
    </row>
    <row r="433" spans="1:13" x14ac:dyDescent="0.3">
      <c r="A433" s="61" t="s">
        <v>2038</v>
      </c>
      <c r="B433" s="62" t="s">
        <v>859</v>
      </c>
      <c r="C433" s="62" t="s">
        <v>857</v>
      </c>
      <c r="D433" s="63">
        <v>44928</v>
      </c>
      <c r="E433" s="63">
        <v>46308</v>
      </c>
      <c r="F433" s="62" t="s">
        <v>1921</v>
      </c>
      <c r="G433" s="62" t="s">
        <v>487</v>
      </c>
      <c r="H433" s="62" t="s">
        <v>373</v>
      </c>
      <c r="I433" s="62" t="s">
        <v>2443</v>
      </c>
      <c r="J433" s="62" t="s">
        <v>640</v>
      </c>
      <c r="K433" s="62" t="s">
        <v>417</v>
      </c>
      <c r="L433" s="62" t="s">
        <v>2421</v>
      </c>
      <c r="M433" s="66" t="s">
        <v>1965</v>
      </c>
    </row>
    <row r="434" spans="1:13" x14ac:dyDescent="0.3">
      <c r="A434" s="61" t="s">
        <v>2038</v>
      </c>
      <c r="B434" s="62" t="s">
        <v>859</v>
      </c>
      <c r="C434" s="62" t="s">
        <v>857</v>
      </c>
      <c r="D434" s="63">
        <v>44928</v>
      </c>
      <c r="E434" s="63">
        <v>46308</v>
      </c>
      <c r="F434" s="62" t="s">
        <v>1921</v>
      </c>
      <c r="G434" s="62" t="s">
        <v>560</v>
      </c>
      <c r="H434" s="62" t="s">
        <v>373</v>
      </c>
      <c r="I434" s="62" t="s">
        <v>2443</v>
      </c>
      <c r="J434" s="62" t="s">
        <v>640</v>
      </c>
      <c r="K434" s="62" t="s">
        <v>417</v>
      </c>
      <c r="L434" s="62" t="s">
        <v>2421</v>
      </c>
      <c r="M434" s="66" t="s">
        <v>1965</v>
      </c>
    </row>
    <row r="435" spans="1:13" x14ac:dyDescent="0.3">
      <c r="A435" s="61" t="s">
        <v>2038</v>
      </c>
      <c r="B435" s="62" t="s">
        <v>859</v>
      </c>
      <c r="C435" s="62" t="s">
        <v>857</v>
      </c>
      <c r="D435" s="63">
        <v>44928</v>
      </c>
      <c r="E435" s="63">
        <v>46308</v>
      </c>
      <c r="F435" s="62" t="s">
        <v>1922</v>
      </c>
      <c r="G435" s="62" t="s">
        <v>349</v>
      </c>
      <c r="H435" s="62" t="s">
        <v>373</v>
      </c>
      <c r="I435" s="62" t="s">
        <v>2443</v>
      </c>
      <c r="J435" s="62" t="s">
        <v>640</v>
      </c>
      <c r="K435" s="62" t="s">
        <v>417</v>
      </c>
      <c r="L435" s="62" t="s">
        <v>2421</v>
      </c>
      <c r="M435" s="66" t="s">
        <v>1965</v>
      </c>
    </row>
    <row r="436" spans="1:13" x14ac:dyDescent="0.3">
      <c r="A436" s="61" t="s">
        <v>2038</v>
      </c>
      <c r="B436" s="62" t="s">
        <v>859</v>
      </c>
      <c r="C436" s="62" t="s">
        <v>857</v>
      </c>
      <c r="D436" s="63">
        <v>44928</v>
      </c>
      <c r="E436" s="63">
        <v>46308</v>
      </c>
      <c r="F436" s="62" t="s">
        <v>1922</v>
      </c>
      <c r="G436" s="62" t="s">
        <v>387</v>
      </c>
      <c r="H436" s="62" t="s">
        <v>373</v>
      </c>
      <c r="I436" s="62" t="s">
        <v>2443</v>
      </c>
      <c r="J436" s="62" t="s">
        <v>640</v>
      </c>
      <c r="K436" s="62" t="s">
        <v>417</v>
      </c>
      <c r="L436" s="62" t="s">
        <v>2421</v>
      </c>
      <c r="M436" s="66" t="s">
        <v>1965</v>
      </c>
    </row>
    <row r="437" spans="1:13" x14ac:dyDescent="0.3">
      <c r="A437" s="61" t="s">
        <v>2038</v>
      </c>
      <c r="B437" s="62" t="s">
        <v>859</v>
      </c>
      <c r="C437" s="62" t="s">
        <v>857</v>
      </c>
      <c r="D437" s="63">
        <v>44928</v>
      </c>
      <c r="E437" s="63">
        <v>46308</v>
      </c>
      <c r="F437" s="62" t="s">
        <v>1922</v>
      </c>
      <c r="G437" s="62" t="s">
        <v>553</v>
      </c>
      <c r="H437" s="62" t="s">
        <v>373</v>
      </c>
      <c r="I437" s="62" t="s">
        <v>2443</v>
      </c>
      <c r="J437" s="62" t="s">
        <v>640</v>
      </c>
      <c r="K437" s="62" t="s">
        <v>417</v>
      </c>
      <c r="L437" s="62" t="s">
        <v>2421</v>
      </c>
      <c r="M437" s="66" t="s">
        <v>1965</v>
      </c>
    </row>
    <row r="438" spans="1:13" x14ac:dyDescent="0.3">
      <c r="A438" s="61" t="s">
        <v>2038</v>
      </c>
      <c r="B438" s="62" t="s">
        <v>859</v>
      </c>
      <c r="C438" s="62" t="s">
        <v>857</v>
      </c>
      <c r="D438" s="63">
        <v>44928</v>
      </c>
      <c r="E438" s="63">
        <v>46308</v>
      </c>
      <c r="F438" s="62" t="s">
        <v>1931</v>
      </c>
      <c r="G438" s="62" t="s">
        <v>281</v>
      </c>
      <c r="H438" s="62" t="s">
        <v>373</v>
      </c>
      <c r="I438" s="62" t="s">
        <v>2443</v>
      </c>
      <c r="J438" s="62" t="s">
        <v>640</v>
      </c>
      <c r="K438" s="62" t="s">
        <v>417</v>
      </c>
      <c r="L438" s="62" t="s">
        <v>2421</v>
      </c>
      <c r="M438" s="66" t="s">
        <v>1965</v>
      </c>
    </row>
    <row r="439" spans="1:13" x14ac:dyDescent="0.3">
      <c r="A439" s="61" t="s">
        <v>2038</v>
      </c>
      <c r="B439" s="62" t="s">
        <v>859</v>
      </c>
      <c r="C439" s="62" t="s">
        <v>857</v>
      </c>
      <c r="D439" s="63">
        <v>44928</v>
      </c>
      <c r="E439" s="63">
        <v>46308</v>
      </c>
      <c r="F439" s="62" t="s">
        <v>1931</v>
      </c>
      <c r="G439" s="62" t="s">
        <v>344</v>
      </c>
      <c r="H439" s="62" t="s">
        <v>373</v>
      </c>
      <c r="I439" s="62" t="s">
        <v>2443</v>
      </c>
      <c r="J439" s="62" t="s">
        <v>640</v>
      </c>
      <c r="K439" s="62" t="s">
        <v>417</v>
      </c>
      <c r="L439" s="62" t="s">
        <v>2421</v>
      </c>
      <c r="M439" s="66" t="s">
        <v>1965</v>
      </c>
    </row>
    <row r="440" spans="1:13" x14ac:dyDescent="0.3">
      <c r="A440" s="61" t="s">
        <v>2038</v>
      </c>
      <c r="B440" s="62" t="s">
        <v>859</v>
      </c>
      <c r="C440" s="62" t="s">
        <v>857</v>
      </c>
      <c r="D440" s="63">
        <v>44928</v>
      </c>
      <c r="E440" s="63">
        <v>46308</v>
      </c>
      <c r="F440" s="62" t="s">
        <v>280</v>
      </c>
      <c r="G440" s="62" t="s">
        <v>280</v>
      </c>
      <c r="H440" s="62" t="s">
        <v>373</v>
      </c>
      <c r="I440" s="62" t="s">
        <v>2443</v>
      </c>
      <c r="J440" s="62" t="s">
        <v>640</v>
      </c>
      <c r="K440" s="62" t="s">
        <v>417</v>
      </c>
      <c r="L440" s="62" t="s">
        <v>2421</v>
      </c>
      <c r="M440" s="66" t="s">
        <v>1965</v>
      </c>
    </row>
    <row r="441" spans="1:13" x14ac:dyDescent="0.3">
      <c r="A441" s="61" t="s">
        <v>2038</v>
      </c>
      <c r="B441" s="62" t="s">
        <v>859</v>
      </c>
      <c r="C441" s="62" t="s">
        <v>857</v>
      </c>
      <c r="D441" s="63">
        <v>44928</v>
      </c>
      <c r="E441" s="63">
        <v>46308</v>
      </c>
      <c r="F441" s="62" t="s">
        <v>280</v>
      </c>
      <c r="G441" s="62" t="s">
        <v>409</v>
      </c>
      <c r="H441" s="62" t="s">
        <v>373</v>
      </c>
      <c r="I441" s="62" t="s">
        <v>2443</v>
      </c>
      <c r="J441" s="62" t="s">
        <v>640</v>
      </c>
      <c r="K441" s="62" t="s">
        <v>417</v>
      </c>
      <c r="L441" s="62" t="s">
        <v>2421</v>
      </c>
      <c r="M441" s="66" t="s">
        <v>1965</v>
      </c>
    </row>
    <row r="442" spans="1:13" x14ac:dyDescent="0.3">
      <c r="A442" s="61" t="s">
        <v>2038</v>
      </c>
      <c r="B442" s="62" t="s">
        <v>859</v>
      </c>
      <c r="C442" s="62" t="s">
        <v>857</v>
      </c>
      <c r="D442" s="63">
        <v>44928</v>
      </c>
      <c r="E442" s="63">
        <v>46308</v>
      </c>
      <c r="F442" s="62" t="s">
        <v>282</v>
      </c>
      <c r="G442" s="62" t="s">
        <v>283</v>
      </c>
      <c r="H442" s="62" t="s">
        <v>373</v>
      </c>
      <c r="I442" s="62" t="s">
        <v>2443</v>
      </c>
      <c r="J442" s="62" t="s">
        <v>640</v>
      </c>
      <c r="K442" s="62" t="s">
        <v>417</v>
      </c>
      <c r="L442" s="62" t="s">
        <v>2421</v>
      </c>
      <c r="M442" s="66" t="s">
        <v>1965</v>
      </c>
    </row>
    <row r="443" spans="1:13" x14ac:dyDescent="0.3">
      <c r="A443" s="61" t="s">
        <v>2038</v>
      </c>
      <c r="B443" s="62" t="s">
        <v>859</v>
      </c>
      <c r="C443" s="62" t="s">
        <v>857</v>
      </c>
      <c r="D443" s="63">
        <v>44928</v>
      </c>
      <c r="E443" s="63">
        <v>46308</v>
      </c>
      <c r="F443" s="62" t="s">
        <v>348</v>
      </c>
      <c r="G443" s="62" t="s">
        <v>348</v>
      </c>
      <c r="H443" s="62" t="s">
        <v>373</v>
      </c>
      <c r="I443" s="62" t="s">
        <v>2443</v>
      </c>
      <c r="J443" s="62" t="s">
        <v>640</v>
      </c>
      <c r="K443" s="62" t="s">
        <v>417</v>
      </c>
      <c r="L443" s="62" t="s">
        <v>2421</v>
      </c>
      <c r="M443" s="66" t="s">
        <v>1965</v>
      </c>
    </row>
    <row r="444" spans="1:13" x14ac:dyDescent="0.3">
      <c r="A444" s="61" t="s">
        <v>2038</v>
      </c>
      <c r="B444" s="62" t="s">
        <v>859</v>
      </c>
      <c r="C444" s="62" t="s">
        <v>857</v>
      </c>
      <c r="D444" s="63">
        <v>44928</v>
      </c>
      <c r="E444" s="63">
        <v>46308</v>
      </c>
      <c r="F444" s="62" t="s">
        <v>1937</v>
      </c>
      <c r="G444" s="62" t="s">
        <v>566</v>
      </c>
      <c r="H444" s="62" t="s">
        <v>373</v>
      </c>
      <c r="I444" s="62" t="s">
        <v>2443</v>
      </c>
      <c r="J444" s="62" t="s">
        <v>640</v>
      </c>
      <c r="K444" s="62" t="s">
        <v>417</v>
      </c>
      <c r="L444" s="62" t="s">
        <v>2421</v>
      </c>
      <c r="M444" s="66" t="s">
        <v>1965</v>
      </c>
    </row>
    <row r="445" spans="1:13" x14ac:dyDescent="0.3">
      <c r="A445" s="61" t="s">
        <v>2039</v>
      </c>
      <c r="B445" s="62" t="s">
        <v>860</v>
      </c>
      <c r="C445" s="62" t="s">
        <v>861</v>
      </c>
      <c r="D445" s="63">
        <v>44958</v>
      </c>
      <c r="E445" s="63">
        <v>46053</v>
      </c>
      <c r="F445" s="62" t="s">
        <v>1922</v>
      </c>
      <c r="G445" s="62" t="s">
        <v>304</v>
      </c>
      <c r="H445" s="62" t="s">
        <v>490</v>
      </c>
      <c r="I445" s="62" t="s">
        <v>825</v>
      </c>
      <c r="J445" s="62" t="s">
        <v>579</v>
      </c>
      <c r="K445" s="62" t="s">
        <v>428</v>
      </c>
      <c r="L445" s="62" t="s">
        <v>2421</v>
      </c>
      <c r="M445" s="66" t="s">
        <v>1972</v>
      </c>
    </row>
    <row r="446" spans="1:13" x14ac:dyDescent="0.3">
      <c r="A446" s="61" t="s">
        <v>2039</v>
      </c>
      <c r="B446" s="62" t="s">
        <v>860</v>
      </c>
      <c r="C446" s="62" t="s">
        <v>861</v>
      </c>
      <c r="D446" s="63">
        <v>44958</v>
      </c>
      <c r="E446" s="63">
        <v>46053</v>
      </c>
      <c r="F446" s="62" t="s">
        <v>1934</v>
      </c>
      <c r="G446" s="62" t="s">
        <v>304</v>
      </c>
      <c r="H446" s="62" t="s">
        <v>490</v>
      </c>
      <c r="I446" s="62" t="s">
        <v>825</v>
      </c>
      <c r="J446" s="62" t="s">
        <v>579</v>
      </c>
      <c r="K446" s="62" t="s">
        <v>428</v>
      </c>
      <c r="L446" s="62" t="s">
        <v>2421</v>
      </c>
      <c r="M446" s="66" t="s">
        <v>1972</v>
      </c>
    </row>
    <row r="447" spans="1:13" x14ac:dyDescent="0.3">
      <c r="A447" s="61" t="s">
        <v>2039</v>
      </c>
      <c r="B447" s="62" t="s">
        <v>860</v>
      </c>
      <c r="C447" s="62" t="s">
        <v>861</v>
      </c>
      <c r="D447" s="63">
        <v>44958</v>
      </c>
      <c r="E447" s="63">
        <v>46053</v>
      </c>
      <c r="F447" s="62" t="s">
        <v>1941</v>
      </c>
      <c r="G447" s="62" t="s">
        <v>304</v>
      </c>
      <c r="H447" s="62" t="s">
        <v>490</v>
      </c>
      <c r="I447" s="62" t="s">
        <v>825</v>
      </c>
      <c r="J447" s="62" t="s">
        <v>579</v>
      </c>
      <c r="K447" s="62" t="s">
        <v>428</v>
      </c>
      <c r="L447" s="62" t="s">
        <v>2421</v>
      </c>
      <c r="M447" s="66" t="s">
        <v>1972</v>
      </c>
    </row>
    <row r="448" spans="1:13" x14ac:dyDescent="0.3">
      <c r="A448" s="61" t="s">
        <v>2040</v>
      </c>
      <c r="B448" s="62" t="s">
        <v>862</v>
      </c>
      <c r="C448" s="62" t="s">
        <v>863</v>
      </c>
      <c r="D448" s="63">
        <v>44916</v>
      </c>
      <c r="E448" s="63">
        <v>46203</v>
      </c>
      <c r="F448" s="62" t="s">
        <v>350</v>
      </c>
      <c r="G448" s="62" t="s">
        <v>304</v>
      </c>
      <c r="H448" s="62" t="s">
        <v>821</v>
      </c>
      <c r="I448" s="62" t="s">
        <v>424</v>
      </c>
      <c r="J448" s="62" t="s">
        <v>719</v>
      </c>
      <c r="K448" s="62" t="s">
        <v>465</v>
      </c>
      <c r="L448" s="62" t="s">
        <v>2421</v>
      </c>
      <c r="M448" s="66" t="s">
        <v>1964</v>
      </c>
    </row>
    <row r="449" spans="1:13" x14ac:dyDescent="0.3">
      <c r="A449" s="61" t="s">
        <v>2041</v>
      </c>
      <c r="B449" s="62" t="s">
        <v>871</v>
      </c>
      <c r="C449" s="62" t="s">
        <v>872</v>
      </c>
      <c r="D449" s="63">
        <v>44713</v>
      </c>
      <c r="E449" s="63">
        <v>46904</v>
      </c>
      <c r="F449" s="62" t="s">
        <v>1935</v>
      </c>
      <c r="G449" s="62" t="s">
        <v>304</v>
      </c>
      <c r="H449" s="62" t="s">
        <v>873</v>
      </c>
      <c r="I449" s="62" t="s">
        <v>313</v>
      </c>
      <c r="J449" s="62" t="s">
        <v>364</v>
      </c>
      <c r="K449" s="62" t="s">
        <v>365</v>
      </c>
      <c r="L449" s="62" t="s">
        <v>2421</v>
      </c>
      <c r="M449" s="66" t="s">
        <v>1969</v>
      </c>
    </row>
    <row r="450" spans="1:13" x14ac:dyDescent="0.3">
      <c r="A450" s="61" t="s">
        <v>2041</v>
      </c>
      <c r="B450" s="62" t="s">
        <v>871</v>
      </c>
      <c r="C450" s="62" t="s">
        <v>872</v>
      </c>
      <c r="D450" s="63">
        <v>44713</v>
      </c>
      <c r="E450" s="63">
        <v>46904</v>
      </c>
      <c r="F450" s="62" t="s">
        <v>286</v>
      </c>
      <c r="G450" s="62" t="s">
        <v>304</v>
      </c>
      <c r="H450" s="62" t="s">
        <v>873</v>
      </c>
      <c r="I450" s="62" t="s">
        <v>313</v>
      </c>
      <c r="J450" s="62" t="s">
        <v>364</v>
      </c>
      <c r="K450" s="62" t="s">
        <v>365</v>
      </c>
      <c r="L450" s="62" t="s">
        <v>2421</v>
      </c>
      <c r="M450" s="66" t="s">
        <v>1969</v>
      </c>
    </row>
    <row r="451" spans="1:13" x14ac:dyDescent="0.3">
      <c r="A451" s="61" t="s">
        <v>2041</v>
      </c>
      <c r="B451" s="62" t="s">
        <v>871</v>
      </c>
      <c r="C451" s="62" t="s">
        <v>872</v>
      </c>
      <c r="D451" s="63">
        <v>44713</v>
      </c>
      <c r="E451" s="63">
        <v>46904</v>
      </c>
      <c r="F451" s="62" t="s">
        <v>1933</v>
      </c>
      <c r="G451" s="62" t="s">
        <v>304</v>
      </c>
      <c r="H451" s="62" t="s">
        <v>873</v>
      </c>
      <c r="I451" s="62" t="s">
        <v>313</v>
      </c>
      <c r="J451" s="62" t="s">
        <v>364</v>
      </c>
      <c r="K451" s="62" t="s">
        <v>365</v>
      </c>
      <c r="L451" s="62" t="s">
        <v>2421</v>
      </c>
      <c r="M451" s="66" t="s">
        <v>1969</v>
      </c>
    </row>
    <row r="452" spans="1:13" x14ac:dyDescent="0.3">
      <c r="A452" s="61" t="s">
        <v>2041</v>
      </c>
      <c r="B452" s="62" t="s">
        <v>871</v>
      </c>
      <c r="C452" s="62" t="s">
        <v>872</v>
      </c>
      <c r="D452" s="63">
        <v>44713</v>
      </c>
      <c r="E452" s="63">
        <v>46904</v>
      </c>
      <c r="F452" s="62" t="s">
        <v>1937</v>
      </c>
      <c r="G452" s="62" t="s">
        <v>304</v>
      </c>
      <c r="H452" s="62" t="s">
        <v>873</v>
      </c>
      <c r="I452" s="62" t="s">
        <v>313</v>
      </c>
      <c r="J452" s="62" t="s">
        <v>364</v>
      </c>
      <c r="K452" s="62" t="s">
        <v>365</v>
      </c>
      <c r="L452" s="62" t="s">
        <v>2421</v>
      </c>
      <c r="M452" s="66" t="s">
        <v>1969</v>
      </c>
    </row>
    <row r="453" spans="1:13" x14ac:dyDescent="0.3">
      <c r="A453" s="61" t="s">
        <v>2041</v>
      </c>
      <c r="B453" s="62" t="s">
        <v>871</v>
      </c>
      <c r="C453" s="62" t="s">
        <v>872</v>
      </c>
      <c r="D453" s="63">
        <v>44713</v>
      </c>
      <c r="E453" s="63">
        <v>46904</v>
      </c>
      <c r="F453" s="62" t="s">
        <v>1930</v>
      </c>
      <c r="G453" s="62" t="s">
        <v>304</v>
      </c>
      <c r="H453" s="62" t="s">
        <v>873</v>
      </c>
      <c r="I453" s="62" t="s">
        <v>313</v>
      </c>
      <c r="J453" s="62" t="s">
        <v>364</v>
      </c>
      <c r="K453" s="62" t="s">
        <v>365</v>
      </c>
      <c r="L453" s="62" t="s">
        <v>2421</v>
      </c>
      <c r="M453" s="66" t="s">
        <v>1969</v>
      </c>
    </row>
    <row r="454" spans="1:13" x14ac:dyDescent="0.3">
      <c r="A454" s="61" t="s">
        <v>2041</v>
      </c>
      <c r="B454" s="62" t="s">
        <v>871</v>
      </c>
      <c r="C454" s="62" t="s">
        <v>872</v>
      </c>
      <c r="D454" s="63">
        <v>44713</v>
      </c>
      <c r="E454" s="63">
        <v>46904</v>
      </c>
      <c r="F454" s="62" t="s">
        <v>280</v>
      </c>
      <c r="G454" s="62" t="s">
        <v>304</v>
      </c>
      <c r="H454" s="62" t="s">
        <v>873</v>
      </c>
      <c r="I454" s="62" t="s">
        <v>313</v>
      </c>
      <c r="J454" s="62" t="s">
        <v>364</v>
      </c>
      <c r="K454" s="62" t="s">
        <v>365</v>
      </c>
      <c r="L454" s="62" t="s">
        <v>2421</v>
      </c>
      <c r="M454" s="66" t="s">
        <v>1969</v>
      </c>
    </row>
    <row r="455" spans="1:13" x14ac:dyDescent="0.3">
      <c r="A455" s="61" t="s">
        <v>2041</v>
      </c>
      <c r="B455" s="62" t="s">
        <v>871</v>
      </c>
      <c r="C455" s="62" t="s">
        <v>872</v>
      </c>
      <c r="D455" s="63">
        <v>44713</v>
      </c>
      <c r="E455" s="63">
        <v>46904</v>
      </c>
      <c r="F455" s="62" t="s">
        <v>1960</v>
      </c>
      <c r="G455" s="62" t="s">
        <v>304</v>
      </c>
      <c r="H455" s="62" t="s">
        <v>873</v>
      </c>
      <c r="I455" s="62" t="s">
        <v>313</v>
      </c>
      <c r="J455" s="62" t="s">
        <v>364</v>
      </c>
      <c r="K455" s="62" t="s">
        <v>365</v>
      </c>
      <c r="L455" s="62" t="s">
        <v>2421</v>
      </c>
      <c r="M455" s="66" t="s">
        <v>1969</v>
      </c>
    </row>
    <row r="456" spans="1:13" x14ac:dyDescent="0.3">
      <c r="A456" s="61" t="s">
        <v>2041</v>
      </c>
      <c r="B456" s="62" t="s">
        <v>871</v>
      </c>
      <c r="C456" s="62" t="s">
        <v>872</v>
      </c>
      <c r="D456" s="63">
        <v>44713</v>
      </c>
      <c r="E456" s="63">
        <v>46904</v>
      </c>
      <c r="F456" s="62" t="s">
        <v>1941</v>
      </c>
      <c r="G456" s="62" t="s">
        <v>304</v>
      </c>
      <c r="H456" s="62" t="s">
        <v>873</v>
      </c>
      <c r="I456" s="62" t="s">
        <v>313</v>
      </c>
      <c r="J456" s="62" t="s">
        <v>364</v>
      </c>
      <c r="K456" s="62" t="s">
        <v>365</v>
      </c>
      <c r="L456" s="62" t="s">
        <v>2421</v>
      </c>
      <c r="M456" s="66" t="s">
        <v>1969</v>
      </c>
    </row>
    <row r="457" spans="1:13" x14ac:dyDescent="0.3">
      <c r="A457" s="61" t="s">
        <v>2041</v>
      </c>
      <c r="B457" s="62" t="s">
        <v>871</v>
      </c>
      <c r="C457" s="62" t="s">
        <v>872</v>
      </c>
      <c r="D457" s="63">
        <v>44713</v>
      </c>
      <c r="E457" s="63">
        <v>46904</v>
      </c>
      <c r="F457" s="62" t="s">
        <v>1948</v>
      </c>
      <c r="G457" s="62" t="s">
        <v>304</v>
      </c>
      <c r="H457" s="62" t="s">
        <v>873</v>
      </c>
      <c r="I457" s="62" t="s">
        <v>313</v>
      </c>
      <c r="J457" s="62" t="s">
        <v>364</v>
      </c>
      <c r="K457" s="62" t="s">
        <v>365</v>
      </c>
      <c r="L457" s="62" t="s">
        <v>2421</v>
      </c>
      <c r="M457" s="66" t="s">
        <v>1969</v>
      </c>
    </row>
    <row r="458" spans="1:13" x14ac:dyDescent="0.3">
      <c r="A458" s="61" t="s">
        <v>2444</v>
      </c>
      <c r="B458" s="62" t="s">
        <v>2445</v>
      </c>
      <c r="C458" s="62" t="s">
        <v>2446</v>
      </c>
      <c r="D458" s="63">
        <v>44835</v>
      </c>
      <c r="E458" s="63">
        <v>46081</v>
      </c>
      <c r="F458" s="62" t="s">
        <v>348</v>
      </c>
      <c r="G458" s="62" t="s">
        <v>304</v>
      </c>
      <c r="H458" s="62" t="s">
        <v>2447</v>
      </c>
      <c r="I458" s="62" t="s">
        <v>307</v>
      </c>
      <c r="J458" s="62" t="s">
        <v>416</v>
      </c>
      <c r="K458" s="62" t="s">
        <v>417</v>
      </c>
      <c r="L458" s="62" t="s">
        <v>2421</v>
      </c>
      <c r="M458" s="66" t="s">
        <v>1972</v>
      </c>
    </row>
    <row r="459" spans="1:13" x14ac:dyDescent="0.3">
      <c r="A459" s="61" t="s">
        <v>2444</v>
      </c>
      <c r="B459" s="62" t="s">
        <v>2445</v>
      </c>
      <c r="C459" s="62" t="s">
        <v>2446</v>
      </c>
      <c r="D459" s="63">
        <v>44835</v>
      </c>
      <c r="E459" s="63">
        <v>46081</v>
      </c>
      <c r="F459" s="62" t="s">
        <v>1930</v>
      </c>
      <c r="G459" s="62" t="s">
        <v>304</v>
      </c>
      <c r="H459" s="62" t="s">
        <v>2447</v>
      </c>
      <c r="I459" s="62" t="s">
        <v>307</v>
      </c>
      <c r="J459" s="62" t="s">
        <v>416</v>
      </c>
      <c r="K459" s="62" t="s">
        <v>417</v>
      </c>
      <c r="L459" s="62" t="s">
        <v>2421</v>
      </c>
      <c r="M459" s="66" t="s">
        <v>1972</v>
      </c>
    </row>
    <row r="460" spans="1:13" x14ac:dyDescent="0.3">
      <c r="A460" s="61" t="s">
        <v>2444</v>
      </c>
      <c r="B460" s="62" t="s">
        <v>2445</v>
      </c>
      <c r="C460" s="62" t="s">
        <v>2446</v>
      </c>
      <c r="D460" s="63">
        <v>44835</v>
      </c>
      <c r="E460" s="63">
        <v>46081</v>
      </c>
      <c r="F460" s="62" t="s">
        <v>284</v>
      </c>
      <c r="G460" s="62" t="s">
        <v>304</v>
      </c>
      <c r="H460" s="62" t="s">
        <v>2447</v>
      </c>
      <c r="I460" s="62" t="s">
        <v>307</v>
      </c>
      <c r="J460" s="62" t="s">
        <v>416</v>
      </c>
      <c r="K460" s="62" t="s">
        <v>417</v>
      </c>
      <c r="L460" s="62" t="s">
        <v>2421</v>
      </c>
      <c r="M460" s="66" t="s">
        <v>1972</v>
      </c>
    </row>
    <row r="461" spans="1:13" x14ac:dyDescent="0.3">
      <c r="A461" s="61" t="s">
        <v>2444</v>
      </c>
      <c r="B461" s="62" t="s">
        <v>2445</v>
      </c>
      <c r="C461" s="62" t="s">
        <v>2446</v>
      </c>
      <c r="D461" s="63">
        <v>44835</v>
      </c>
      <c r="E461" s="63">
        <v>46081</v>
      </c>
      <c r="F461" s="62" t="s">
        <v>1945</v>
      </c>
      <c r="G461" s="62" t="s">
        <v>304</v>
      </c>
      <c r="H461" s="62" t="s">
        <v>2447</v>
      </c>
      <c r="I461" s="62" t="s">
        <v>307</v>
      </c>
      <c r="J461" s="62" t="s">
        <v>416</v>
      </c>
      <c r="K461" s="62" t="s">
        <v>417</v>
      </c>
      <c r="L461" s="62" t="s">
        <v>2421</v>
      </c>
      <c r="M461" s="66" t="s">
        <v>1972</v>
      </c>
    </row>
    <row r="462" spans="1:13" x14ac:dyDescent="0.3">
      <c r="A462" s="61" t="s">
        <v>2042</v>
      </c>
      <c r="B462" s="62" t="s">
        <v>874</v>
      </c>
      <c r="C462" s="62" t="s">
        <v>857</v>
      </c>
      <c r="D462" s="63">
        <v>44882</v>
      </c>
      <c r="E462" s="63">
        <v>46187</v>
      </c>
      <c r="F462" s="62" t="s">
        <v>1921</v>
      </c>
      <c r="G462" s="62" t="s">
        <v>559</v>
      </c>
      <c r="H462" s="62" t="s">
        <v>373</v>
      </c>
      <c r="I462" s="62" t="s">
        <v>346</v>
      </c>
      <c r="J462" s="62" t="s">
        <v>640</v>
      </c>
      <c r="K462" s="62" t="s">
        <v>417</v>
      </c>
      <c r="L462" s="62" t="s">
        <v>2421</v>
      </c>
      <c r="M462" s="66" t="s">
        <v>1965</v>
      </c>
    </row>
    <row r="463" spans="1:13" x14ac:dyDescent="0.3">
      <c r="A463" s="61" t="s">
        <v>2042</v>
      </c>
      <c r="B463" s="62" t="s">
        <v>874</v>
      </c>
      <c r="C463" s="62" t="s">
        <v>857</v>
      </c>
      <c r="D463" s="63">
        <v>44882</v>
      </c>
      <c r="E463" s="63">
        <v>46187</v>
      </c>
      <c r="F463" s="62" t="s">
        <v>1921</v>
      </c>
      <c r="G463" s="62" t="s">
        <v>487</v>
      </c>
      <c r="H463" s="62" t="s">
        <v>373</v>
      </c>
      <c r="I463" s="62" t="s">
        <v>346</v>
      </c>
      <c r="J463" s="62" t="s">
        <v>640</v>
      </c>
      <c r="K463" s="62" t="s">
        <v>417</v>
      </c>
      <c r="L463" s="62" t="s">
        <v>2421</v>
      </c>
      <c r="M463" s="66" t="s">
        <v>1965</v>
      </c>
    </row>
    <row r="464" spans="1:13" x14ac:dyDescent="0.3">
      <c r="A464" s="61" t="s">
        <v>2042</v>
      </c>
      <c r="B464" s="62" t="s">
        <v>874</v>
      </c>
      <c r="C464" s="62" t="s">
        <v>857</v>
      </c>
      <c r="D464" s="63">
        <v>44882</v>
      </c>
      <c r="E464" s="63">
        <v>46187</v>
      </c>
      <c r="F464" s="62" t="s">
        <v>1921</v>
      </c>
      <c r="G464" s="62" t="s">
        <v>560</v>
      </c>
      <c r="H464" s="62" t="s">
        <v>373</v>
      </c>
      <c r="I464" s="62" t="s">
        <v>346</v>
      </c>
      <c r="J464" s="62" t="s">
        <v>640</v>
      </c>
      <c r="K464" s="62" t="s">
        <v>417</v>
      </c>
      <c r="L464" s="62" t="s">
        <v>2421</v>
      </c>
      <c r="M464" s="66" t="s">
        <v>1965</v>
      </c>
    </row>
    <row r="465" spans="1:13" x14ac:dyDescent="0.3">
      <c r="A465" s="61" t="s">
        <v>2042</v>
      </c>
      <c r="B465" s="62" t="s">
        <v>874</v>
      </c>
      <c r="C465" s="62" t="s">
        <v>857</v>
      </c>
      <c r="D465" s="63">
        <v>44882</v>
      </c>
      <c r="E465" s="63">
        <v>46187</v>
      </c>
      <c r="F465" s="62" t="s">
        <v>1922</v>
      </c>
      <c r="G465" s="62" t="s">
        <v>349</v>
      </c>
      <c r="H465" s="62" t="s">
        <v>373</v>
      </c>
      <c r="I465" s="62" t="s">
        <v>346</v>
      </c>
      <c r="J465" s="62" t="s">
        <v>640</v>
      </c>
      <c r="K465" s="62" t="s">
        <v>417</v>
      </c>
      <c r="L465" s="62" t="s">
        <v>2421</v>
      </c>
      <c r="M465" s="66" t="s">
        <v>1965</v>
      </c>
    </row>
    <row r="466" spans="1:13" x14ac:dyDescent="0.3">
      <c r="A466" s="61" t="s">
        <v>2042</v>
      </c>
      <c r="B466" s="62" t="s">
        <v>874</v>
      </c>
      <c r="C466" s="62" t="s">
        <v>857</v>
      </c>
      <c r="D466" s="63">
        <v>44882</v>
      </c>
      <c r="E466" s="63">
        <v>46187</v>
      </c>
      <c r="F466" s="62" t="s">
        <v>1922</v>
      </c>
      <c r="G466" s="62" t="s">
        <v>387</v>
      </c>
      <c r="H466" s="62" t="s">
        <v>373</v>
      </c>
      <c r="I466" s="62" t="s">
        <v>346</v>
      </c>
      <c r="J466" s="62" t="s">
        <v>640</v>
      </c>
      <c r="K466" s="62" t="s">
        <v>417</v>
      </c>
      <c r="L466" s="62" t="s">
        <v>2421</v>
      </c>
      <c r="M466" s="66" t="s">
        <v>1965</v>
      </c>
    </row>
    <row r="467" spans="1:13" x14ac:dyDescent="0.3">
      <c r="A467" s="61" t="s">
        <v>2042</v>
      </c>
      <c r="B467" s="62" t="s">
        <v>874</v>
      </c>
      <c r="C467" s="62" t="s">
        <v>857</v>
      </c>
      <c r="D467" s="63">
        <v>44882</v>
      </c>
      <c r="E467" s="63">
        <v>46187</v>
      </c>
      <c r="F467" s="62" t="s">
        <v>1922</v>
      </c>
      <c r="G467" s="62" t="s">
        <v>553</v>
      </c>
      <c r="H467" s="62" t="s">
        <v>373</v>
      </c>
      <c r="I467" s="62" t="s">
        <v>346</v>
      </c>
      <c r="J467" s="62" t="s">
        <v>640</v>
      </c>
      <c r="K467" s="62" t="s">
        <v>417</v>
      </c>
      <c r="L467" s="62" t="s">
        <v>2421</v>
      </c>
      <c r="M467" s="66" t="s">
        <v>1965</v>
      </c>
    </row>
    <row r="468" spans="1:13" x14ac:dyDescent="0.3">
      <c r="A468" s="61" t="s">
        <v>2042</v>
      </c>
      <c r="B468" s="62" t="s">
        <v>874</v>
      </c>
      <c r="C468" s="62" t="s">
        <v>857</v>
      </c>
      <c r="D468" s="63">
        <v>44882</v>
      </c>
      <c r="E468" s="63">
        <v>46187</v>
      </c>
      <c r="F468" s="62" t="s">
        <v>1931</v>
      </c>
      <c r="G468" s="62" t="s">
        <v>281</v>
      </c>
      <c r="H468" s="62" t="s">
        <v>373</v>
      </c>
      <c r="I468" s="62" t="s">
        <v>346</v>
      </c>
      <c r="J468" s="62" t="s">
        <v>640</v>
      </c>
      <c r="K468" s="62" t="s">
        <v>417</v>
      </c>
      <c r="L468" s="62" t="s">
        <v>2421</v>
      </c>
      <c r="M468" s="66" t="s">
        <v>1965</v>
      </c>
    </row>
    <row r="469" spans="1:13" x14ac:dyDescent="0.3">
      <c r="A469" s="61" t="s">
        <v>2042</v>
      </c>
      <c r="B469" s="62" t="s">
        <v>874</v>
      </c>
      <c r="C469" s="62" t="s">
        <v>857</v>
      </c>
      <c r="D469" s="63">
        <v>44882</v>
      </c>
      <c r="E469" s="63">
        <v>46187</v>
      </c>
      <c r="F469" s="62" t="s">
        <v>1931</v>
      </c>
      <c r="G469" s="62" t="s">
        <v>344</v>
      </c>
      <c r="H469" s="62" t="s">
        <v>373</v>
      </c>
      <c r="I469" s="62" t="s">
        <v>346</v>
      </c>
      <c r="J469" s="62" t="s">
        <v>640</v>
      </c>
      <c r="K469" s="62" t="s">
        <v>417</v>
      </c>
      <c r="L469" s="62" t="s">
        <v>2421</v>
      </c>
      <c r="M469" s="66" t="s">
        <v>1965</v>
      </c>
    </row>
    <row r="470" spans="1:13" x14ac:dyDescent="0.3">
      <c r="A470" s="61" t="s">
        <v>2042</v>
      </c>
      <c r="B470" s="62" t="s">
        <v>874</v>
      </c>
      <c r="C470" s="62" t="s">
        <v>857</v>
      </c>
      <c r="D470" s="63">
        <v>44882</v>
      </c>
      <c r="E470" s="63">
        <v>46187</v>
      </c>
      <c r="F470" s="62" t="s">
        <v>280</v>
      </c>
      <c r="G470" s="62" t="s">
        <v>280</v>
      </c>
      <c r="H470" s="62" t="s">
        <v>373</v>
      </c>
      <c r="I470" s="62" t="s">
        <v>346</v>
      </c>
      <c r="J470" s="62" t="s">
        <v>640</v>
      </c>
      <c r="K470" s="62" t="s">
        <v>417</v>
      </c>
      <c r="L470" s="62" t="s">
        <v>2421</v>
      </c>
      <c r="M470" s="66" t="s">
        <v>1965</v>
      </c>
    </row>
    <row r="471" spans="1:13" x14ac:dyDescent="0.3">
      <c r="A471" s="61" t="s">
        <v>2042</v>
      </c>
      <c r="B471" s="62" t="s">
        <v>874</v>
      </c>
      <c r="C471" s="62" t="s">
        <v>857</v>
      </c>
      <c r="D471" s="63">
        <v>44882</v>
      </c>
      <c r="E471" s="63">
        <v>46187</v>
      </c>
      <c r="F471" s="62" t="s">
        <v>280</v>
      </c>
      <c r="G471" s="62" t="s">
        <v>409</v>
      </c>
      <c r="H471" s="62" t="s">
        <v>373</v>
      </c>
      <c r="I471" s="62" t="s">
        <v>346</v>
      </c>
      <c r="J471" s="62" t="s">
        <v>640</v>
      </c>
      <c r="K471" s="62" t="s">
        <v>417</v>
      </c>
      <c r="L471" s="62" t="s">
        <v>2421</v>
      </c>
      <c r="M471" s="66" t="s">
        <v>1965</v>
      </c>
    </row>
    <row r="472" spans="1:13" x14ac:dyDescent="0.3">
      <c r="A472" s="61" t="s">
        <v>2042</v>
      </c>
      <c r="B472" s="62" t="s">
        <v>874</v>
      </c>
      <c r="C472" s="62" t="s">
        <v>857</v>
      </c>
      <c r="D472" s="63">
        <v>44882</v>
      </c>
      <c r="E472" s="63">
        <v>46187</v>
      </c>
      <c r="F472" s="62" t="s">
        <v>282</v>
      </c>
      <c r="G472" s="62" t="s">
        <v>283</v>
      </c>
      <c r="H472" s="62" t="s">
        <v>373</v>
      </c>
      <c r="I472" s="62" t="s">
        <v>346</v>
      </c>
      <c r="J472" s="62" t="s">
        <v>640</v>
      </c>
      <c r="K472" s="62" t="s">
        <v>417</v>
      </c>
      <c r="L472" s="62" t="s">
        <v>2421</v>
      </c>
      <c r="M472" s="66" t="s">
        <v>1965</v>
      </c>
    </row>
    <row r="473" spans="1:13" x14ac:dyDescent="0.3">
      <c r="A473" s="61" t="s">
        <v>2042</v>
      </c>
      <c r="B473" s="62" t="s">
        <v>874</v>
      </c>
      <c r="C473" s="62" t="s">
        <v>857</v>
      </c>
      <c r="D473" s="63">
        <v>44882</v>
      </c>
      <c r="E473" s="63">
        <v>46187</v>
      </c>
      <c r="F473" s="62" t="s">
        <v>348</v>
      </c>
      <c r="G473" s="62" t="s">
        <v>348</v>
      </c>
      <c r="H473" s="62" t="s">
        <v>373</v>
      </c>
      <c r="I473" s="62" t="s">
        <v>346</v>
      </c>
      <c r="J473" s="62" t="s">
        <v>640</v>
      </c>
      <c r="K473" s="62" t="s">
        <v>417</v>
      </c>
      <c r="L473" s="62" t="s">
        <v>2421</v>
      </c>
      <c r="M473" s="66" t="s">
        <v>1965</v>
      </c>
    </row>
    <row r="474" spans="1:13" x14ac:dyDescent="0.3">
      <c r="A474" s="61" t="s">
        <v>2042</v>
      </c>
      <c r="B474" s="62" t="s">
        <v>874</v>
      </c>
      <c r="C474" s="62" t="s">
        <v>857</v>
      </c>
      <c r="D474" s="63">
        <v>44882</v>
      </c>
      <c r="E474" s="63">
        <v>46187</v>
      </c>
      <c r="F474" s="62" t="s">
        <v>1937</v>
      </c>
      <c r="G474" s="62" t="s">
        <v>566</v>
      </c>
      <c r="H474" s="62" t="s">
        <v>373</v>
      </c>
      <c r="I474" s="62" t="s">
        <v>346</v>
      </c>
      <c r="J474" s="62" t="s">
        <v>640</v>
      </c>
      <c r="K474" s="62" t="s">
        <v>417</v>
      </c>
      <c r="L474" s="62" t="s">
        <v>2421</v>
      </c>
      <c r="M474" s="66" t="s">
        <v>1965</v>
      </c>
    </row>
    <row r="475" spans="1:13" x14ac:dyDescent="0.3">
      <c r="A475" s="61" t="s">
        <v>2043</v>
      </c>
      <c r="B475" s="62" t="s">
        <v>875</v>
      </c>
      <c r="C475" s="62" t="s">
        <v>876</v>
      </c>
      <c r="D475" s="63">
        <v>44927</v>
      </c>
      <c r="E475" s="63">
        <v>46112</v>
      </c>
      <c r="F475" s="62" t="s">
        <v>1931</v>
      </c>
      <c r="G475" s="62" t="s">
        <v>877</v>
      </c>
      <c r="H475" s="62" t="s">
        <v>2448</v>
      </c>
      <c r="I475" s="62" t="s">
        <v>825</v>
      </c>
      <c r="J475" s="62" t="s">
        <v>603</v>
      </c>
      <c r="K475" s="62" t="s">
        <v>371</v>
      </c>
      <c r="L475" s="62" t="s">
        <v>2421</v>
      </c>
      <c r="M475" s="66" t="s">
        <v>1972</v>
      </c>
    </row>
    <row r="476" spans="1:13" x14ac:dyDescent="0.3">
      <c r="A476" s="61" t="s">
        <v>2043</v>
      </c>
      <c r="B476" s="62" t="s">
        <v>875</v>
      </c>
      <c r="C476" s="62" t="s">
        <v>876</v>
      </c>
      <c r="D476" s="63">
        <v>44927</v>
      </c>
      <c r="E476" s="63">
        <v>46112</v>
      </c>
      <c r="F476" s="62" t="s">
        <v>282</v>
      </c>
      <c r="G476" s="62" t="s">
        <v>473</v>
      </c>
      <c r="H476" s="62" t="s">
        <v>2448</v>
      </c>
      <c r="I476" s="62" t="s">
        <v>825</v>
      </c>
      <c r="J476" s="62" t="s">
        <v>603</v>
      </c>
      <c r="K476" s="62" t="s">
        <v>371</v>
      </c>
      <c r="L476" s="62" t="s">
        <v>2421</v>
      </c>
      <c r="M476" s="66" t="s">
        <v>1972</v>
      </c>
    </row>
    <row r="477" spans="1:13" x14ac:dyDescent="0.3">
      <c r="A477" s="61" t="s">
        <v>2043</v>
      </c>
      <c r="B477" s="62" t="s">
        <v>875</v>
      </c>
      <c r="C477" s="62" t="s">
        <v>876</v>
      </c>
      <c r="D477" s="63">
        <v>44927</v>
      </c>
      <c r="E477" s="63">
        <v>46112</v>
      </c>
      <c r="F477" s="62" t="s">
        <v>1921</v>
      </c>
      <c r="G477" s="62" t="s">
        <v>560</v>
      </c>
      <c r="H477" s="62" t="s">
        <v>2448</v>
      </c>
      <c r="I477" s="62" t="s">
        <v>825</v>
      </c>
      <c r="J477" s="62" t="s">
        <v>603</v>
      </c>
      <c r="K477" s="62" t="s">
        <v>371</v>
      </c>
      <c r="L477" s="62" t="s">
        <v>2421</v>
      </c>
      <c r="M477" s="66" t="s">
        <v>1972</v>
      </c>
    </row>
    <row r="478" spans="1:13" x14ac:dyDescent="0.3">
      <c r="A478" s="61" t="s">
        <v>2043</v>
      </c>
      <c r="B478" s="62" t="s">
        <v>875</v>
      </c>
      <c r="C478" s="62" t="s">
        <v>876</v>
      </c>
      <c r="D478" s="63">
        <v>44927</v>
      </c>
      <c r="E478" s="63">
        <v>46112</v>
      </c>
      <c r="F478" s="62" t="s">
        <v>1943</v>
      </c>
      <c r="G478" s="62" t="s">
        <v>878</v>
      </c>
      <c r="H478" s="62" t="s">
        <v>2448</v>
      </c>
      <c r="I478" s="62" t="s">
        <v>825</v>
      </c>
      <c r="J478" s="62" t="s">
        <v>603</v>
      </c>
      <c r="K478" s="62" t="s">
        <v>371</v>
      </c>
      <c r="L478" s="62" t="s">
        <v>2421</v>
      </c>
      <c r="M478" s="66" t="s">
        <v>1972</v>
      </c>
    </row>
    <row r="479" spans="1:13" x14ac:dyDescent="0.3">
      <c r="A479" s="61" t="s">
        <v>2043</v>
      </c>
      <c r="B479" s="62" t="s">
        <v>875</v>
      </c>
      <c r="C479" s="62" t="s">
        <v>876</v>
      </c>
      <c r="D479" s="63">
        <v>44927</v>
      </c>
      <c r="E479" s="63">
        <v>46112</v>
      </c>
      <c r="F479" s="62" t="s">
        <v>1939</v>
      </c>
      <c r="G479" s="62" t="s">
        <v>539</v>
      </c>
      <c r="H479" s="62" t="s">
        <v>2448</v>
      </c>
      <c r="I479" s="62" t="s">
        <v>825</v>
      </c>
      <c r="J479" s="62" t="s">
        <v>603</v>
      </c>
      <c r="K479" s="62" t="s">
        <v>371</v>
      </c>
      <c r="L479" s="62" t="s">
        <v>2421</v>
      </c>
      <c r="M479" s="66" t="s">
        <v>1972</v>
      </c>
    </row>
    <row r="480" spans="1:13" x14ac:dyDescent="0.3">
      <c r="A480" s="61" t="s">
        <v>2043</v>
      </c>
      <c r="B480" s="62" t="s">
        <v>875</v>
      </c>
      <c r="C480" s="62" t="s">
        <v>876</v>
      </c>
      <c r="D480" s="63">
        <v>44927</v>
      </c>
      <c r="E480" s="63">
        <v>46112</v>
      </c>
      <c r="F480" s="62" t="s">
        <v>1944</v>
      </c>
      <c r="G480" s="62" t="s">
        <v>680</v>
      </c>
      <c r="H480" s="62" t="s">
        <v>2448</v>
      </c>
      <c r="I480" s="62" t="s">
        <v>825</v>
      </c>
      <c r="J480" s="62" t="s">
        <v>603</v>
      </c>
      <c r="K480" s="62" t="s">
        <v>371</v>
      </c>
      <c r="L480" s="62" t="s">
        <v>2421</v>
      </c>
      <c r="M480" s="66" t="s">
        <v>1972</v>
      </c>
    </row>
    <row r="481" spans="1:13" x14ac:dyDescent="0.3">
      <c r="A481" s="61" t="s">
        <v>2043</v>
      </c>
      <c r="B481" s="62" t="s">
        <v>875</v>
      </c>
      <c r="C481" s="62" t="s">
        <v>876</v>
      </c>
      <c r="D481" s="63">
        <v>44927</v>
      </c>
      <c r="E481" s="63">
        <v>46112</v>
      </c>
      <c r="F481" s="62" t="s">
        <v>1941</v>
      </c>
      <c r="G481" s="62" t="s">
        <v>325</v>
      </c>
      <c r="H481" s="62" t="s">
        <v>2448</v>
      </c>
      <c r="I481" s="62" t="s">
        <v>825</v>
      </c>
      <c r="J481" s="62" t="s">
        <v>603</v>
      </c>
      <c r="K481" s="62" t="s">
        <v>371</v>
      </c>
      <c r="L481" s="62" t="s">
        <v>2421</v>
      </c>
      <c r="M481" s="66" t="s">
        <v>1972</v>
      </c>
    </row>
    <row r="482" spans="1:13" x14ac:dyDescent="0.3">
      <c r="A482" s="61" t="s">
        <v>2043</v>
      </c>
      <c r="B482" s="62" t="s">
        <v>875</v>
      </c>
      <c r="C482" s="62" t="s">
        <v>876</v>
      </c>
      <c r="D482" s="63">
        <v>44927</v>
      </c>
      <c r="E482" s="63">
        <v>46112</v>
      </c>
      <c r="F482" s="62" t="s">
        <v>1931</v>
      </c>
      <c r="G482" s="62" t="s">
        <v>877</v>
      </c>
      <c r="H482" s="62" t="s">
        <v>879</v>
      </c>
      <c r="I482" s="62" t="s">
        <v>825</v>
      </c>
      <c r="J482" s="62" t="s">
        <v>603</v>
      </c>
      <c r="K482" s="62" t="s">
        <v>371</v>
      </c>
      <c r="L482" s="62" t="s">
        <v>2421</v>
      </c>
      <c r="M482" s="66" t="s">
        <v>1972</v>
      </c>
    </row>
    <row r="483" spans="1:13" x14ac:dyDescent="0.3">
      <c r="A483" s="61" t="s">
        <v>2043</v>
      </c>
      <c r="B483" s="62" t="s">
        <v>875</v>
      </c>
      <c r="C483" s="62" t="s">
        <v>876</v>
      </c>
      <c r="D483" s="63">
        <v>44927</v>
      </c>
      <c r="E483" s="63">
        <v>46112</v>
      </c>
      <c r="F483" s="62" t="s">
        <v>282</v>
      </c>
      <c r="G483" s="62" t="s">
        <v>473</v>
      </c>
      <c r="H483" s="62" t="s">
        <v>879</v>
      </c>
      <c r="I483" s="62" t="s">
        <v>825</v>
      </c>
      <c r="J483" s="62" t="s">
        <v>603</v>
      </c>
      <c r="K483" s="62" t="s">
        <v>371</v>
      </c>
      <c r="L483" s="62" t="s">
        <v>2421</v>
      </c>
      <c r="M483" s="66" t="s">
        <v>1972</v>
      </c>
    </row>
    <row r="484" spans="1:13" x14ac:dyDescent="0.3">
      <c r="A484" s="61" t="s">
        <v>2043</v>
      </c>
      <c r="B484" s="62" t="s">
        <v>875</v>
      </c>
      <c r="C484" s="62" t="s">
        <v>876</v>
      </c>
      <c r="D484" s="63">
        <v>44927</v>
      </c>
      <c r="E484" s="63">
        <v>46112</v>
      </c>
      <c r="F484" s="62" t="s">
        <v>1921</v>
      </c>
      <c r="G484" s="62" t="s">
        <v>560</v>
      </c>
      <c r="H484" s="62" t="s">
        <v>879</v>
      </c>
      <c r="I484" s="62" t="s">
        <v>825</v>
      </c>
      <c r="J484" s="62" t="s">
        <v>603</v>
      </c>
      <c r="K484" s="62" t="s">
        <v>371</v>
      </c>
      <c r="L484" s="62" t="s">
        <v>2421</v>
      </c>
      <c r="M484" s="66" t="s">
        <v>1972</v>
      </c>
    </row>
    <row r="485" spans="1:13" x14ac:dyDescent="0.3">
      <c r="A485" s="61" t="s">
        <v>2043</v>
      </c>
      <c r="B485" s="62" t="s">
        <v>875</v>
      </c>
      <c r="C485" s="62" t="s">
        <v>876</v>
      </c>
      <c r="D485" s="63">
        <v>44927</v>
      </c>
      <c r="E485" s="63">
        <v>46112</v>
      </c>
      <c r="F485" s="62" t="s">
        <v>1943</v>
      </c>
      <c r="G485" s="62" t="s">
        <v>878</v>
      </c>
      <c r="H485" s="62" t="s">
        <v>879</v>
      </c>
      <c r="I485" s="62" t="s">
        <v>825</v>
      </c>
      <c r="J485" s="62" t="s">
        <v>603</v>
      </c>
      <c r="K485" s="62" t="s">
        <v>371</v>
      </c>
      <c r="L485" s="62" t="s">
        <v>2421</v>
      </c>
      <c r="M485" s="66" t="s">
        <v>1972</v>
      </c>
    </row>
    <row r="486" spans="1:13" x14ac:dyDescent="0.3">
      <c r="A486" s="61" t="s">
        <v>2043</v>
      </c>
      <c r="B486" s="62" t="s">
        <v>875</v>
      </c>
      <c r="C486" s="62" t="s">
        <v>876</v>
      </c>
      <c r="D486" s="63">
        <v>44927</v>
      </c>
      <c r="E486" s="63">
        <v>46112</v>
      </c>
      <c r="F486" s="62" t="s">
        <v>1939</v>
      </c>
      <c r="G486" s="62" t="s">
        <v>539</v>
      </c>
      <c r="H486" s="62" t="s">
        <v>879</v>
      </c>
      <c r="I486" s="62" t="s">
        <v>825</v>
      </c>
      <c r="J486" s="62" t="s">
        <v>603</v>
      </c>
      <c r="K486" s="62" t="s">
        <v>371</v>
      </c>
      <c r="L486" s="62" t="s">
        <v>2421</v>
      </c>
      <c r="M486" s="66" t="s">
        <v>1972</v>
      </c>
    </row>
    <row r="487" spans="1:13" x14ac:dyDescent="0.3">
      <c r="A487" s="61" t="s">
        <v>2043</v>
      </c>
      <c r="B487" s="62" t="s">
        <v>875</v>
      </c>
      <c r="C487" s="62" t="s">
        <v>876</v>
      </c>
      <c r="D487" s="63">
        <v>44927</v>
      </c>
      <c r="E487" s="63">
        <v>46112</v>
      </c>
      <c r="F487" s="62" t="s">
        <v>1944</v>
      </c>
      <c r="G487" s="62" t="s">
        <v>680</v>
      </c>
      <c r="H487" s="62" t="s">
        <v>879</v>
      </c>
      <c r="I487" s="62" t="s">
        <v>825</v>
      </c>
      <c r="J487" s="62" t="s">
        <v>603</v>
      </c>
      <c r="K487" s="62" t="s">
        <v>371</v>
      </c>
      <c r="L487" s="62" t="s">
        <v>2421</v>
      </c>
      <c r="M487" s="66" t="s">
        <v>1972</v>
      </c>
    </row>
    <row r="488" spans="1:13" x14ac:dyDescent="0.3">
      <c r="A488" s="61" t="s">
        <v>2043</v>
      </c>
      <c r="B488" s="62" t="s">
        <v>875</v>
      </c>
      <c r="C488" s="62" t="s">
        <v>876</v>
      </c>
      <c r="D488" s="63">
        <v>44927</v>
      </c>
      <c r="E488" s="63">
        <v>46112</v>
      </c>
      <c r="F488" s="62" t="s">
        <v>1941</v>
      </c>
      <c r="G488" s="62" t="s">
        <v>325</v>
      </c>
      <c r="H488" s="62" t="s">
        <v>879</v>
      </c>
      <c r="I488" s="62" t="s">
        <v>825</v>
      </c>
      <c r="J488" s="62" t="s">
        <v>603</v>
      </c>
      <c r="K488" s="62" t="s">
        <v>371</v>
      </c>
      <c r="L488" s="62" t="s">
        <v>2421</v>
      </c>
      <c r="M488" s="66" t="s">
        <v>1972</v>
      </c>
    </row>
    <row r="489" spans="1:13" x14ac:dyDescent="0.3">
      <c r="A489" s="61" t="s">
        <v>2043</v>
      </c>
      <c r="B489" s="62" t="s">
        <v>875</v>
      </c>
      <c r="C489" s="62" t="s">
        <v>876</v>
      </c>
      <c r="D489" s="63">
        <v>44927</v>
      </c>
      <c r="E489" s="63">
        <v>46112</v>
      </c>
      <c r="F489" s="62" t="s">
        <v>1931</v>
      </c>
      <c r="G489" s="62" t="s">
        <v>877</v>
      </c>
      <c r="H489" s="62" t="s">
        <v>373</v>
      </c>
      <c r="I489" s="62" t="s">
        <v>825</v>
      </c>
      <c r="J489" s="62" t="s">
        <v>603</v>
      </c>
      <c r="K489" s="62" t="s">
        <v>371</v>
      </c>
      <c r="L489" s="62" t="s">
        <v>2421</v>
      </c>
      <c r="M489" s="66" t="s">
        <v>1972</v>
      </c>
    </row>
    <row r="490" spans="1:13" x14ac:dyDescent="0.3">
      <c r="A490" s="61" t="s">
        <v>2043</v>
      </c>
      <c r="B490" s="62" t="s">
        <v>875</v>
      </c>
      <c r="C490" s="62" t="s">
        <v>876</v>
      </c>
      <c r="D490" s="63">
        <v>44927</v>
      </c>
      <c r="E490" s="63">
        <v>46112</v>
      </c>
      <c r="F490" s="62" t="s">
        <v>282</v>
      </c>
      <c r="G490" s="62" t="s">
        <v>473</v>
      </c>
      <c r="H490" s="62" t="s">
        <v>373</v>
      </c>
      <c r="I490" s="62" t="s">
        <v>825</v>
      </c>
      <c r="J490" s="62" t="s">
        <v>603</v>
      </c>
      <c r="K490" s="62" t="s">
        <v>371</v>
      </c>
      <c r="L490" s="62" t="s">
        <v>2421</v>
      </c>
      <c r="M490" s="66" t="s">
        <v>1972</v>
      </c>
    </row>
    <row r="491" spans="1:13" x14ac:dyDescent="0.3">
      <c r="A491" s="61" t="s">
        <v>2043</v>
      </c>
      <c r="B491" s="62" t="s">
        <v>875</v>
      </c>
      <c r="C491" s="62" t="s">
        <v>876</v>
      </c>
      <c r="D491" s="63">
        <v>44927</v>
      </c>
      <c r="E491" s="63">
        <v>46112</v>
      </c>
      <c r="F491" s="62" t="s">
        <v>1921</v>
      </c>
      <c r="G491" s="62" t="s">
        <v>560</v>
      </c>
      <c r="H491" s="62" t="s">
        <v>373</v>
      </c>
      <c r="I491" s="62" t="s">
        <v>825</v>
      </c>
      <c r="J491" s="62" t="s">
        <v>603</v>
      </c>
      <c r="K491" s="62" t="s">
        <v>371</v>
      </c>
      <c r="L491" s="62" t="s">
        <v>2421</v>
      </c>
      <c r="M491" s="66" t="s">
        <v>1972</v>
      </c>
    </row>
    <row r="492" spans="1:13" x14ac:dyDescent="0.3">
      <c r="A492" s="61" t="s">
        <v>2043</v>
      </c>
      <c r="B492" s="62" t="s">
        <v>875</v>
      </c>
      <c r="C492" s="62" t="s">
        <v>876</v>
      </c>
      <c r="D492" s="63">
        <v>44927</v>
      </c>
      <c r="E492" s="63">
        <v>46112</v>
      </c>
      <c r="F492" s="62" t="s">
        <v>1943</v>
      </c>
      <c r="G492" s="62" t="s">
        <v>878</v>
      </c>
      <c r="H492" s="62" t="s">
        <v>373</v>
      </c>
      <c r="I492" s="62" t="s">
        <v>825</v>
      </c>
      <c r="J492" s="62" t="s">
        <v>603</v>
      </c>
      <c r="K492" s="62" t="s">
        <v>371</v>
      </c>
      <c r="L492" s="62" t="s">
        <v>2421</v>
      </c>
      <c r="M492" s="66" t="s">
        <v>1972</v>
      </c>
    </row>
    <row r="493" spans="1:13" x14ac:dyDescent="0.3">
      <c r="A493" s="61" t="s">
        <v>2043</v>
      </c>
      <c r="B493" s="62" t="s">
        <v>875</v>
      </c>
      <c r="C493" s="62" t="s">
        <v>876</v>
      </c>
      <c r="D493" s="63">
        <v>44927</v>
      </c>
      <c r="E493" s="63">
        <v>46112</v>
      </c>
      <c r="F493" s="62" t="s">
        <v>1939</v>
      </c>
      <c r="G493" s="62" t="s">
        <v>539</v>
      </c>
      <c r="H493" s="62" t="s">
        <v>373</v>
      </c>
      <c r="I493" s="62" t="s">
        <v>825</v>
      </c>
      <c r="J493" s="62" t="s">
        <v>603</v>
      </c>
      <c r="K493" s="62" t="s">
        <v>371</v>
      </c>
      <c r="L493" s="62" t="s">
        <v>2421</v>
      </c>
      <c r="M493" s="66" t="s">
        <v>1972</v>
      </c>
    </row>
    <row r="494" spans="1:13" x14ac:dyDescent="0.3">
      <c r="A494" s="61" t="s">
        <v>2043</v>
      </c>
      <c r="B494" s="62" t="s">
        <v>875</v>
      </c>
      <c r="C494" s="62" t="s">
        <v>876</v>
      </c>
      <c r="D494" s="63">
        <v>44927</v>
      </c>
      <c r="E494" s="63">
        <v>46112</v>
      </c>
      <c r="F494" s="62" t="s">
        <v>1944</v>
      </c>
      <c r="G494" s="62" t="s">
        <v>680</v>
      </c>
      <c r="H494" s="62" t="s">
        <v>373</v>
      </c>
      <c r="I494" s="62" t="s">
        <v>825</v>
      </c>
      <c r="J494" s="62" t="s">
        <v>603</v>
      </c>
      <c r="K494" s="62" t="s">
        <v>371</v>
      </c>
      <c r="L494" s="62" t="s">
        <v>2421</v>
      </c>
      <c r="M494" s="66" t="s">
        <v>1972</v>
      </c>
    </row>
    <row r="495" spans="1:13" x14ac:dyDescent="0.3">
      <c r="A495" s="61" t="s">
        <v>2043</v>
      </c>
      <c r="B495" s="62" t="s">
        <v>875</v>
      </c>
      <c r="C495" s="62" t="s">
        <v>876</v>
      </c>
      <c r="D495" s="63">
        <v>44927</v>
      </c>
      <c r="E495" s="63">
        <v>46112</v>
      </c>
      <c r="F495" s="62" t="s">
        <v>1941</v>
      </c>
      <c r="G495" s="62" t="s">
        <v>325</v>
      </c>
      <c r="H495" s="62" t="s">
        <v>373</v>
      </c>
      <c r="I495" s="62" t="s">
        <v>825</v>
      </c>
      <c r="J495" s="62" t="s">
        <v>603</v>
      </c>
      <c r="K495" s="62" t="s">
        <v>371</v>
      </c>
      <c r="L495" s="62" t="s">
        <v>2421</v>
      </c>
      <c r="M495" s="66" t="s">
        <v>1972</v>
      </c>
    </row>
    <row r="496" spans="1:13" x14ac:dyDescent="0.3">
      <c r="A496" s="61" t="s">
        <v>2044</v>
      </c>
      <c r="B496" s="62" t="s">
        <v>880</v>
      </c>
      <c r="C496" s="62" t="s">
        <v>881</v>
      </c>
      <c r="D496" s="63">
        <v>44956</v>
      </c>
      <c r="E496" s="63">
        <v>46052</v>
      </c>
      <c r="F496" s="62" t="s">
        <v>1916</v>
      </c>
      <c r="G496" s="62" t="s">
        <v>882</v>
      </c>
      <c r="H496" s="62" t="s">
        <v>2425</v>
      </c>
      <c r="I496" s="62" t="s">
        <v>424</v>
      </c>
      <c r="J496" s="62" t="s">
        <v>883</v>
      </c>
      <c r="K496" s="62" t="s">
        <v>347</v>
      </c>
      <c r="L496" s="62" t="s">
        <v>2421</v>
      </c>
      <c r="M496" s="66" t="s">
        <v>1965</v>
      </c>
    </row>
    <row r="497" spans="1:13" x14ac:dyDescent="0.3">
      <c r="A497" s="61" t="s">
        <v>2044</v>
      </c>
      <c r="B497" s="62" t="s">
        <v>880</v>
      </c>
      <c r="C497" s="62" t="s">
        <v>881</v>
      </c>
      <c r="D497" s="63">
        <v>44956</v>
      </c>
      <c r="E497" s="63">
        <v>46052</v>
      </c>
      <c r="F497" s="62" t="s">
        <v>1916</v>
      </c>
      <c r="G497" s="62" t="s">
        <v>629</v>
      </c>
      <c r="H497" s="62" t="s">
        <v>2425</v>
      </c>
      <c r="I497" s="62" t="s">
        <v>424</v>
      </c>
      <c r="J497" s="62" t="s">
        <v>883</v>
      </c>
      <c r="K497" s="62" t="s">
        <v>347</v>
      </c>
      <c r="L497" s="62" t="s">
        <v>2421</v>
      </c>
      <c r="M497" s="66" t="s">
        <v>1965</v>
      </c>
    </row>
    <row r="498" spans="1:13" x14ac:dyDescent="0.3">
      <c r="A498" s="61" t="s">
        <v>2044</v>
      </c>
      <c r="B498" s="62" t="s">
        <v>880</v>
      </c>
      <c r="C498" s="62" t="s">
        <v>881</v>
      </c>
      <c r="D498" s="63">
        <v>44956</v>
      </c>
      <c r="E498" s="63">
        <v>46052</v>
      </c>
      <c r="F498" s="62" t="s">
        <v>1916</v>
      </c>
      <c r="G498" s="62" t="s">
        <v>884</v>
      </c>
      <c r="H498" s="62" t="s">
        <v>2425</v>
      </c>
      <c r="I498" s="62" t="s">
        <v>424</v>
      </c>
      <c r="J498" s="62" t="s">
        <v>883</v>
      </c>
      <c r="K498" s="62" t="s">
        <v>347</v>
      </c>
      <c r="L498" s="62" t="s">
        <v>2421</v>
      </c>
      <c r="M498" s="66" t="s">
        <v>1965</v>
      </c>
    </row>
    <row r="499" spans="1:13" x14ac:dyDescent="0.3">
      <c r="A499" s="61" t="s">
        <v>2044</v>
      </c>
      <c r="B499" s="62" t="s">
        <v>880</v>
      </c>
      <c r="C499" s="62" t="s">
        <v>881</v>
      </c>
      <c r="D499" s="63">
        <v>44956</v>
      </c>
      <c r="E499" s="63">
        <v>46052</v>
      </c>
      <c r="F499" s="62" t="s">
        <v>1916</v>
      </c>
      <c r="G499" s="62" t="s">
        <v>630</v>
      </c>
      <c r="H499" s="62" t="s">
        <v>2425</v>
      </c>
      <c r="I499" s="62" t="s">
        <v>424</v>
      </c>
      <c r="J499" s="62" t="s">
        <v>883</v>
      </c>
      <c r="K499" s="62" t="s">
        <v>347</v>
      </c>
      <c r="L499" s="62" t="s">
        <v>2421</v>
      </c>
      <c r="M499" s="66" t="s">
        <v>1965</v>
      </c>
    </row>
    <row r="500" spans="1:13" x14ac:dyDescent="0.3">
      <c r="A500" s="61" t="s">
        <v>2044</v>
      </c>
      <c r="B500" s="62" t="s">
        <v>880</v>
      </c>
      <c r="C500" s="62" t="s">
        <v>881</v>
      </c>
      <c r="D500" s="63">
        <v>44956</v>
      </c>
      <c r="E500" s="63">
        <v>46052</v>
      </c>
      <c r="F500" s="62" t="s">
        <v>1916</v>
      </c>
      <c r="G500" s="62" t="s">
        <v>885</v>
      </c>
      <c r="H500" s="62" t="s">
        <v>2425</v>
      </c>
      <c r="I500" s="62" t="s">
        <v>424</v>
      </c>
      <c r="J500" s="62" t="s">
        <v>883</v>
      </c>
      <c r="K500" s="62" t="s">
        <v>347</v>
      </c>
      <c r="L500" s="62" t="s">
        <v>2421</v>
      </c>
      <c r="M500" s="66" t="s">
        <v>1965</v>
      </c>
    </row>
    <row r="501" spans="1:13" x14ac:dyDescent="0.3">
      <c r="A501" s="61" t="s">
        <v>2044</v>
      </c>
      <c r="B501" s="62" t="s">
        <v>880</v>
      </c>
      <c r="C501" s="62" t="s">
        <v>881</v>
      </c>
      <c r="D501" s="63">
        <v>44956</v>
      </c>
      <c r="E501" s="63">
        <v>46052</v>
      </c>
      <c r="F501" s="62" t="s">
        <v>1916</v>
      </c>
      <c r="G501" s="62" t="s">
        <v>886</v>
      </c>
      <c r="H501" s="62" t="s">
        <v>2425</v>
      </c>
      <c r="I501" s="62" t="s">
        <v>424</v>
      </c>
      <c r="J501" s="62" t="s">
        <v>883</v>
      </c>
      <c r="K501" s="62" t="s">
        <v>347</v>
      </c>
      <c r="L501" s="62" t="s">
        <v>2421</v>
      </c>
      <c r="M501" s="66" t="s">
        <v>1965</v>
      </c>
    </row>
    <row r="502" spans="1:13" x14ac:dyDescent="0.3">
      <c r="A502" s="61" t="s">
        <v>2044</v>
      </c>
      <c r="B502" s="62" t="s">
        <v>880</v>
      </c>
      <c r="C502" s="62" t="s">
        <v>881</v>
      </c>
      <c r="D502" s="63">
        <v>44956</v>
      </c>
      <c r="E502" s="63">
        <v>46052</v>
      </c>
      <c r="F502" s="62" t="s">
        <v>1916</v>
      </c>
      <c r="G502" s="62" t="s">
        <v>887</v>
      </c>
      <c r="H502" s="62" t="s">
        <v>2425</v>
      </c>
      <c r="I502" s="62" t="s">
        <v>424</v>
      </c>
      <c r="J502" s="62" t="s">
        <v>883</v>
      </c>
      <c r="K502" s="62" t="s">
        <v>347</v>
      </c>
      <c r="L502" s="62" t="s">
        <v>2421</v>
      </c>
      <c r="M502" s="66" t="s">
        <v>1965</v>
      </c>
    </row>
    <row r="503" spans="1:13" x14ac:dyDescent="0.3">
      <c r="A503" s="61" t="s">
        <v>2044</v>
      </c>
      <c r="B503" s="62" t="s">
        <v>880</v>
      </c>
      <c r="C503" s="62" t="s">
        <v>881</v>
      </c>
      <c r="D503" s="63">
        <v>44956</v>
      </c>
      <c r="E503" s="63">
        <v>46052</v>
      </c>
      <c r="F503" s="62" t="s">
        <v>1916</v>
      </c>
      <c r="G503" s="62" t="s">
        <v>888</v>
      </c>
      <c r="H503" s="62" t="s">
        <v>2425</v>
      </c>
      <c r="I503" s="62" t="s">
        <v>424</v>
      </c>
      <c r="J503" s="62" t="s">
        <v>883</v>
      </c>
      <c r="K503" s="62" t="s">
        <v>347</v>
      </c>
      <c r="L503" s="62" t="s">
        <v>2421</v>
      </c>
      <c r="M503" s="66" t="s">
        <v>1965</v>
      </c>
    </row>
    <row r="504" spans="1:13" x14ac:dyDescent="0.3">
      <c r="A504" s="61" t="s">
        <v>2044</v>
      </c>
      <c r="B504" s="62" t="s">
        <v>880</v>
      </c>
      <c r="C504" s="62" t="s">
        <v>881</v>
      </c>
      <c r="D504" s="63">
        <v>44956</v>
      </c>
      <c r="E504" s="63">
        <v>46052</v>
      </c>
      <c r="F504" s="62" t="s">
        <v>1916</v>
      </c>
      <c r="G504" s="62" t="s">
        <v>889</v>
      </c>
      <c r="H504" s="62" t="s">
        <v>2425</v>
      </c>
      <c r="I504" s="62" t="s">
        <v>424</v>
      </c>
      <c r="J504" s="62" t="s">
        <v>883</v>
      </c>
      <c r="K504" s="62" t="s">
        <v>347</v>
      </c>
      <c r="L504" s="62" t="s">
        <v>2421</v>
      </c>
      <c r="M504" s="66" t="s">
        <v>1965</v>
      </c>
    </row>
    <row r="505" spans="1:13" x14ac:dyDescent="0.3">
      <c r="A505" s="61" t="s">
        <v>2044</v>
      </c>
      <c r="B505" s="62" t="s">
        <v>880</v>
      </c>
      <c r="C505" s="62" t="s">
        <v>881</v>
      </c>
      <c r="D505" s="63">
        <v>44956</v>
      </c>
      <c r="E505" s="63">
        <v>46052</v>
      </c>
      <c r="F505" s="62" t="s">
        <v>1916</v>
      </c>
      <c r="G505" s="62" t="s">
        <v>890</v>
      </c>
      <c r="H505" s="62" t="s">
        <v>2425</v>
      </c>
      <c r="I505" s="62" t="s">
        <v>424</v>
      </c>
      <c r="J505" s="62" t="s">
        <v>883</v>
      </c>
      <c r="K505" s="62" t="s">
        <v>347</v>
      </c>
      <c r="L505" s="62" t="s">
        <v>2421</v>
      </c>
      <c r="M505" s="66" t="s">
        <v>1965</v>
      </c>
    </row>
    <row r="506" spans="1:13" x14ac:dyDescent="0.3">
      <c r="A506" s="61" t="s">
        <v>2044</v>
      </c>
      <c r="B506" s="62" t="s">
        <v>880</v>
      </c>
      <c r="C506" s="62" t="s">
        <v>881</v>
      </c>
      <c r="D506" s="63">
        <v>44956</v>
      </c>
      <c r="E506" s="63">
        <v>46052</v>
      </c>
      <c r="F506" s="62" t="s">
        <v>1958</v>
      </c>
      <c r="G506" s="62" t="s">
        <v>628</v>
      </c>
      <c r="H506" s="62" t="s">
        <v>2425</v>
      </c>
      <c r="I506" s="62" t="s">
        <v>424</v>
      </c>
      <c r="J506" s="62" t="s">
        <v>883</v>
      </c>
      <c r="K506" s="62" t="s">
        <v>347</v>
      </c>
      <c r="L506" s="62" t="s">
        <v>2421</v>
      </c>
      <c r="M506" s="66" t="s">
        <v>1965</v>
      </c>
    </row>
    <row r="507" spans="1:13" x14ac:dyDescent="0.3">
      <c r="A507" s="61" t="s">
        <v>2045</v>
      </c>
      <c r="B507" s="62" t="s">
        <v>2449</v>
      </c>
      <c r="C507" s="62" t="s">
        <v>891</v>
      </c>
      <c r="D507" s="63">
        <v>44974</v>
      </c>
      <c r="E507" s="63">
        <v>46446</v>
      </c>
      <c r="F507" s="62" t="s">
        <v>350</v>
      </c>
      <c r="G507" s="62" t="s">
        <v>304</v>
      </c>
      <c r="H507" s="62" t="s">
        <v>522</v>
      </c>
      <c r="I507" s="62" t="s">
        <v>2443</v>
      </c>
      <c r="J507" s="62" t="s">
        <v>892</v>
      </c>
      <c r="K507" s="62" t="s">
        <v>375</v>
      </c>
      <c r="L507" s="62" t="s">
        <v>2421</v>
      </c>
      <c r="M507" s="66" t="s">
        <v>1976</v>
      </c>
    </row>
    <row r="508" spans="1:13" x14ac:dyDescent="0.3">
      <c r="A508" s="61" t="s">
        <v>2046</v>
      </c>
      <c r="B508" s="62" t="s">
        <v>893</v>
      </c>
      <c r="C508" s="62" t="s">
        <v>894</v>
      </c>
      <c r="D508" s="63">
        <v>44936</v>
      </c>
      <c r="E508" s="63">
        <v>47848</v>
      </c>
      <c r="F508" s="62" t="s">
        <v>1959</v>
      </c>
      <c r="G508" s="62" t="s">
        <v>666</v>
      </c>
      <c r="H508" s="62" t="s">
        <v>895</v>
      </c>
      <c r="I508" s="62" t="s">
        <v>424</v>
      </c>
      <c r="J508" s="62" t="s">
        <v>896</v>
      </c>
      <c r="K508" s="62" t="s">
        <v>428</v>
      </c>
      <c r="L508" s="62" t="s">
        <v>2421</v>
      </c>
      <c r="M508" s="66" t="s">
        <v>1972</v>
      </c>
    </row>
    <row r="509" spans="1:13" x14ac:dyDescent="0.3">
      <c r="A509" s="61" t="s">
        <v>2046</v>
      </c>
      <c r="B509" s="62" t="s">
        <v>893</v>
      </c>
      <c r="C509" s="62" t="s">
        <v>894</v>
      </c>
      <c r="D509" s="63">
        <v>44936</v>
      </c>
      <c r="E509" s="63">
        <v>47848</v>
      </c>
      <c r="F509" s="62" t="s">
        <v>1959</v>
      </c>
      <c r="G509" s="62" t="s">
        <v>794</v>
      </c>
      <c r="H509" s="62" t="s">
        <v>895</v>
      </c>
      <c r="I509" s="62" t="s">
        <v>424</v>
      </c>
      <c r="J509" s="62" t="s">
        <v>896</v>
      </c>
      <c r="K509" s="62" t="s">
        <v>428</v>
      </c>
      <c r="L509" s="62" t="s">
        <v>2421</v>
      </c>
      <c r="M509" s="66" t="s">
        <v>1972</v>
      </c>
    </row>
    <row r="510" spans="1:13" x14ac:dyDescent="0.3">
      <c r="A510" s="61" t="s">
        <v>2046</v>
      </c>
      <c r="B510" s="62" t="s">
        <v>893</v>
      </c>
      <c r="C510" s="62" t="s">
        <v>894</v>
      </c>
      <c r="D510" s="63">
        <v>44936</v>
      </c>
      <c r="E510" s="63">
        <v>47848</v>
      </c>
      <c r="F510" s="62" t="s">
        <v>1959</v>
      </c>
      <c r="G510" s="62" t="s">
        <v>585</v>
      </c>
      <c r="H510" s="62" t="s">
        <v>895</v>
      </c>
      <c r="I510" s="62" t="s">
        <v>424</v>
      </c>
      <c r="J510" s="62" t="s">
        <v>896</v>
      </c>
      <c r="K510" s="62" t="s">
        <v>428</v>
      </c>
      <c r="L510" s="62" t="s">
        <v>2421</v>
      </c>
      <c r="M510" s="66" t="s">
        <v>1972</v>
      </c>
    </row>
    <row r="511" spans="1:13" x14ac:dyDescent="0.3">
      <c r="A511" s="61" t="s">
        <v>2046</v>
      </c>
      <c r="B511" s="62" t="s">
        <v>893</v>
      </c>
      <c r="C511" s="62" t="s">
        <v>894</v>
      </c>
      <c r="D511" s="63">
        <v>44936</v>
      </c>
      <c r="E511" s="63">
        <v>47848</v>
      </c>
      <c r="F511" s="62" t="s">
        <v>1959</v>
      </c>
      <c r="G511" s="62" t="s">
        <v>612</v>
      </c>
      <c r="H511" s="62" t="s">
        <v>895</v>
      </c>
      <c r="I511" s="62" t="s">
        <v>424</v>
      </c>
      <c r="J511" s="62" t="s">
        <v>896</v>
      </c>
      <c r="K511" s="62" t="s">
        <v>428</v>
      </c>
      <c r="L511" s="62" t="s">
        <v>2421</v>
      </c>
      <c r="M511" s="66" t="s">
        <v>1972</v>
      </c>
    </row>
    <row r="512" spans="1:13" x14ac:dyDescent="0.3">
      <c r="A512" s="61" t="s">
        <v>2046</v>
      </c>
      <c r="B512" s="62" t="s">
        <v>893</v>
      </c>
      <c r="C512" s="62" t="s">
        <v>894</v>
      </c>
      <c r="D512" s="63">
        <v>44936</v>
      </c>
      <c r="E512" s="63">
        <v>47848</v>
      </c>
      <c r="F512" s="62" t="s">
        <v>1959</v>
      </c>
      <c r="G512" s="62" t="s">
        <v>670</v>
      </c>
      <c r="H512" s="62" t="s">
        <v>895</v>
      </c>
      <c r="I512" s="62" t="s">
        <v>424</v>
      </c>
      <c r="J512" s="62" t="s">
        <v>896</v>
      </c>
      <c r="K512" s="62" t="s">
        <v>428</v>
      </c>
      <c r="L512" s="62" t="s">
        <v>2421</v>
      </c>
      <c r="M512" s="66" t="s">
        <v>1972</v>
      </c>
    </row>
    <row r="513" spans="1:13" x14ac:dyDescent="0.3">
      <c r="A513" s="61" t="s">
        <v>2046</v>
      </c>
      <c r="B513" s="62" t="s">
        <v>893</v>
      </c>
      <c r="C513" s="62" t="s">
        <v>894</v>
      </c>
      <c r="D513" s="63">
        <v>44936</v>
      </c>
      <c r="E513" s="63">
        <v>47848</v>
      </c>
      <c r="F513" s="62" t="s">
        <v>1942</v>
      </c>
      <c r="G513" s="62" t="s">
        <v>757</v>
      </c>
      <c r="H513" s="62" t="s">
        <v>895</v>
      </c>
      <c r="I513" s="62" t="s">
        <v>424</v>
      </c>
      <c r="J513" s="62" t="s">
        <v>896</v>
      </c>
      <c r="K513" s="62" t="s">
        <v>428</v>
      </c>
      <c r="L513" s="62" t="s">
        <v>2421</v>
      </c>
      <c r="M513" s="66" t="s">
        <v>1972</v>
      </c>
    </row>
    <row r="514" spans="1:13" x14ac:dyDescent="0.3">
      <c r="A514" s="61" t="s">
        <v>2046</v>
      </c>
      <c r="B514" s="62" t="s">
        <v>893</v>
      </c>
      <c r="C514" s="62" t="s">
        <v>894</v>
      </c>
      <c r="D514" s="63">
        <v>44936</v>
      </c>
      <c r="E514" s="63">
        <v>47848</v>
      </c>
      <c r="F514" s="62" t="s">
        <v>1942</v>
      </c>
      <c r="G514" s="62" t="s">
        <v>897</v>
      </c>
      <c r="H514" s="62" t="s">
        <v>895</v>
      </c>
      <c r="I514" s="62" t="s">
        <v>424</v>
      </c>
      <c r="J514" s="62" t="s">
        <v>896</v>
      </c>
      <c r="K514" s="62" t="s">
        <v>428</v>
      </c>
      <c r="L514" s="62" t="s">
        <v>2421</v>
      </c>
      <c r="M514" s="66" t="s">
        <v>1972</v>
      </c>
    </row>
    <row r="515" spans="1:13" x14ac:dyDescent="0.3">
      <c r="A515" s="61" t="s">
        <v>2046</v>
      </c>
      <c r="B515" s="62" t="s">
        <v>893</v>
      </c>
      <c r="C515" s="62" t="s">
        <v>894</v>
      </c>
      <c r="D515" s="63">
        <v>44936</v>
      </c>
      <c r="E515" s="63">
        <v>47848</v>
      </c>
      <c r="F515" s="62" t="s">
        <v>1942</v>
      </c>
      <c r="G515" s="62" t="s">
        <v>898</v>
      </c>
      <c r="H515" s="62" t="s">
        <v>895</v>
      </c>
      <c r="I515" s="62" t="s">
        <v>424</v>
      </c>
      <c r="J515" s="62" t="s">
        <v>896</v>
      </c>
      <c r="K515" s="62" t="s">
        <v>428</v>
      </c>
      <c r="L515" s="62" t="s">
        <v>2421</v>
      </c>
      <c r="M515" s="66" t="s">
        <v>1972</v>
      </c>
    </row>
    <row r="516" spans="1:13" x14ac:dyDescent="0.3">
      <c r="A516" s="61" t="s">
        <v>2046</v>
      </c>
      <c r="B516" s="62" t="s">
        <v>893</v>
      </c>
      <c r="C516" s="62" t="s">
        <v>894</v>
      </c>
      <c r="D516" s="63">
        <v>44936</v>
      </c>
      <c r="E516" s="63">
        <v>47848</v>
      </c>
      <c r="F516" s="62" t="s">
        <v>1930</v>
      </c>
      <c r="G516" s="62" t="s">
        <v>721</v>
      </c>
      <c r="H516" s="62" t="s">
        <v>895</v>
      </c>
      <c r="I516" s="62" t="s">
        <v>424</v>
      </c>
      <c r="J516" s="62" t="s">
        <v>896</v>
      </c>
      <c r="K516" s="62" t="s">
        <v>428</v>
      </c>
      <c r="L516" s="62" t="s">
        <v>2421</v>
      </c>
      <c r="M516" s="66" t="s">
        <v>1972</v>
      </c>
    </row>
    <row r="517" spans="1:13" x14ac:dyDescent="0.3">
      <c r="A517" s="61" t="s">
        <v>2046</v>
      </c>
      <c r="B517" s="62" t="s">
        <v>893</v>
      </c>
      <c r="C517" s="62" t="s">
        <v>894</v>
      </c>
      <c r="D517" s="63">
        <v>44936</v>
      </c>
      <c r="E517" s="63">
        <v>47848</v>
      </c>
      <c r="F517" s="62" t="s">
        <v>1930</v>
      </c>
      <c r="G517" s="62" t="s">
        <v>453</v>
      </c>
      <c r="H517" s="62" t="s">
        <v>895</v>
      </c>
      <c r="I517" s="62" t="s">
        <v>424</v>
      </c>
      <c r="J517" s="62" t="s">
        <v>896</v>
      </c>
      <c r="K517" s="62" t="s">
        <v>428</v>
      </c>
      <c r="L517" s="62" t="s">
        <v>2421</v>
      </c>
      <c r="M517" s="66" t="s">
        <v>1972</v>
      </c>
    </row>
    <row r="518" spans="1:13" x14ac:dyDescent="0.3">
      <c r="A518" s="61" t="s">
        <v>2046</v>
      </c>
      <c r="B518" s="62" t="s">
        <v>893</v>
      </c>
      <c r="C518" s="62" t="s">
        <v>894</v>
      </c>
      <c r="D518" s="63">
        <v>44936</v>
      </c>
      <c r="E518" s="63">
        <v>47848</v>
      </c>
      <c r="F518" s="62" t="s">
        <v>1945</v>
      </c>
      <c r="G518" s="62" t="s">
        <v>400</v>
      </c>
      <c r="H518" s="62" t="s">
        <v>895</v>
      </c>
      <c r="I518" s="62" t="s">
        <v>424</v>
      </c>
      <c r="J518" s="62" t="s">
        <v>896</v>
      </c>
      <c r="K518" s="62" t="s">
        <v>428</v>
      </c>
      <c r="L518" s="62" t="s">
        <v>2421</v>
      </c>
      <c r="M518" s="66" t="s">
        <v>1972</v>
      </c>
    </row>
    <row r="519" spans="1:13" x14ac:dyDescent="0.3">
      <c r="A519" s="61" t="s">
        <v>2046</v>
      </c>
      <c r="B519" s="62" t="s">
        <v>893</v>
      </c>
      <c r="C519" s="62" t="s">
        <v>894</v>
      </c>
      <c r="D519" s="63">
        <v>44936</v>
      </c>
      <c r="E519" s="63">
        <v>47848</v>
      </c>
      <c r="F519" s="62" t="s">
        <v>1945</v>
      </c>
      <c r="G519" s="62" t="s">
        <v>555</v>
      </c>
      <c r="H519" s="62" t="s">
        <v>895</v>
      </c>
      <c r="I519" s="62" t="s">
        <v>424</v>
      </c>
      <c r="J519" s="62" t="s">
        <v>896</v>
      </c>
      <c r="K519" s="62" t="s">
        <v>428</v>
      </c>
      <c r="L519" s="62" t="s">
        <v>2421</v>
      </c>
      <c r="M519" s="66" t="s">
        <v>1972</v>
      </c>
    </row>
    <row r="520" spans="1:13" x14ac:dyDescent="0.3">
      <c r="A520" s="61" t="s">
        <v>2046</v>
      </c>
      <c r="B520" s="62" t="s">
        <v>893</v>
      </c>
      <c r="C520" s="62" t="s">
        <v>894</v>
      </c>
      <c r="D520" s="63">
        <v>44936</v>
      </c>
      <c r="E520" s="63">
        <v>47848</v>
      </c>
      <c r="F520" s="62" t="s">
        <v>1931</v>
      </c>
      <c r="G520" s="62" t="s">
        <v>281</v>
      </c>
      <c r="H520" s="62" t="s">
        <v>895</v>
      </c>
      <c r="I520" s="62" t="s">
        <v>424</v>
      </c>
      <c r="J520" s="62" t="s">
        <v>896</v>
      </c>
      <c r="K520" s="62" t="s">
        <v>428</v>
      </c>
      <c r="L520" s="62" t="s">
        <v>2421</v>
      </c>
      <c r="M520" s="66" t="s">
        <v>1972</v>
      </c>
    </row>
    <row r="521" spans="1:13" x14ac:dyDescent="0.3">
      <c r="A521" s="61" t="s">
        <v>2046</v>
      </c>
      <c r="B521" s="62" t="s">
        <v>893</v>
      </c>
      <c r="C521" s="62" t="s">
        <v>894</v>
      </c>
      <c r="D521" s="63">
        <v>44936</v>
      </c>
      <c r="E521" s="63">
        <v>47848</v>
      </c>
      <c r="F521" s="62" t="s">
        <v>282</v>
      </c>
      <c r="G521" s="62" t="s">
        <v>283</v>
      </c>
      <c r="H521" s="62" t="s">
        <v>895</v>
      </c>
      <c r="I521" s="62" t="s">
        <v>424</v>
      </c>
      <c r="J521" s="62" t="s">
        <v>896</v>
      </c>
      <c r="K521" s="62" t="s">
        <v>428</v>
      </c>
      <c r="L521" s="62" t="s">
        <v>2421</v>
      </c>
      <c r="M521" s="66" t="s">
        <v>1972</v>
      </c>
    </row>
    <row r="522" spans="1:13" x14ac:dyDescent="0.3">
      <c r="A522" s="61" t="s">
        <v>2046</v>
      </c>
      <c r="B522" s="62" t="s">
        <v>893</v>
      </c>
      <c r="C522" s="62" t="s">
        <v>894</v>
      </c>
      <c r="D522" s="63">
        <v>44936</v>
      </c>
      <c r="E522" s="63">
        <v>47848</v>
      </c>
      <c r="F522" s="62" t="s">
        <v>1921</v>
      </c>
      <c r="G522" s="62" t="s">
        <v>487</v>
      </c>
      <c r="H522" s="62" t="s">
        <v>895</v>
      </c>
      <c r="I522" s="62" t="s">
        <v>424</v>
      </c>
      <c r="J522" s="62" t="s">
        <v>896</v>
      </c>
      <c r="K522" s="62" t="s">
        <v>428</v>
      </c>
      <c r="L522" s="62" t="s">
        <v>2421</v>
      </c>
      <c r="M522" s="66" t="s">
        <v>1972</v>
      </c>
    </row>
    <row r="523" spans="1:13" x14ac:dyDescent="0.3">
      <c r="A523" s="61" t="s">
        <v>2046</v>
      </c>
      <c r="B523" s="62" t="s">
        <v>893</v>
      </c>
      <c r="C523" s="62" t="s">
        <v>894</v>
      </c>
      <c r="D523" s="63">
        <v>44936</v>
      </c>
      <c r="E523" s="63">
        <v>47848</v>
      </c>
      <c r="F523" s="62" t="s">
        <v>348</v>
      </c>
      <c r="G523" s="62" t="s">
        <v>348</v>
      </c>
      <c r="H523" s="62" t="s">
        <v>895</v>
      </c>
      <c r="I523" s="62" t="s">
        <v>424</v>
      </c>
      <c r="J523" s="62" t="s">
        <v>896</v>
      </c>
      <c r="K523" s="62" t="s">
        <v>428</v>
      </c>
      <c r="L523" s="62" t="s">
        <v>2421</v>
      </c>
      <c r="M523" s="66" t="s">
        <v>1972</v>
      </c>
    </row>
    <row r="524" spans="1:13" x14ac:dyDescent="0.3">
      <c r="A524" s="61" t="s">
        <v>2046</v>
      </c>
      <c r="B524" s="62" t="s">
        <v>893</v>
      </c>
      <c r="C524" s="62" t="s">
        <v>894</v>
      </c>
      <c r="D524" s="63">
        <v>44936</v>
      </c>
      <c r="E524" s="63">
        <v>47848</v>
      </c>
      <c r="F524" s="62" t="s">
        <v>1934</v>
      </c>
      <c r="G524" s="62" t="s">
        <v>477</v>
      </c>
      <c r="H524" s="62" t="s">
        <v>895</v>
      </c>
      <c r="I524" s="62" t="s">
        <v>424</v>
      </c>
      <c r="J524" s="62" t="s">
        <v>896</v>
      </c>
      <c r="K524" s="62" t="s">
        <v>428</v>
      </c>
      <c r="L524" s="62" t="s">
        <v>2421</v>
      </c>
      <c r="M524" s="66" t="s">
        <v>1972</v>
      </c>
    </row>
    <row r="525" spans="1:13" x14ac:dyDescent="0.3">
      <c r="A525" s="61" t="s">
        <v>2046</v>
      </c>
      <c r="B525" s="62" t="s">
        <v>893</v>
      </c>
      <c r="C525" s="62" t="s">
        <v>894</v>
      </c>
      <c r="D525" s="63">
        <v>44936</v>
      </c>
      <c r="E525" s="63">
        <v>47848</v>
      </c>
      <c r="F525" s="62" t="s">
        <v>1939</v>
      </c>
      <c r="G525" s="62" t="s">
        <v>539</v>
      </c>
      <c r="H525" s="62" t="s">
        <v>895</v>
      </c>
      <c r="I525" s="62" t="s">
        <v>424</v>
      </c>
      <c r="J525" s="62" t="s">
        <v>896</v>
      </c>
      <c r="K525" s="62" t="s">
        <v>428</v>
      </c>
      <c r="L525" s="62" t="s">
        <v>2421</v>
      </c>
      <c r="M525" s="66" t="s">
        <v>1972</v>
      </c>
    </row>
    <row r="526" spans="1:13" x14ac:dyDescent="0.3">
      <c r="A526" s="61" t="s">
        <v>2046</v>
      </c>
      <c r="B526" s="62" t="s">
        <v>893</v>
      </c>
      <c r="C526" s="62" t="s">
        <v>894</v>
      </c>
      <c r="D526" s="63">
        <v>44936</v>
      </c>
      <c r="E526" s="63">
        <v>47848</v>
      </c>
      <c r="F526" s="62" t="s">
        <v>1958</v>
      </c>
      <c r="G526" s="62" t="s">
        <v>328</v>
      </c>
      <c r="H526" s="62" t="s">
        <v>895</v>
      </c>
      <c r="I526" s="62" t="s">
        <v>424</v>
      </c>
      <c r="J526" s="62" t="s">
        <v>896</v>
      </c>
      <c r="K526" s="62" t="s">
        <v>428</v>
      </c>
      <c r="L526" s="62" t="s">
        <v>2421</v>
      </c>
      <c r="M526" s="66" t="s">
        <v>1972</v>
      </c>
    </row>
    <row r="527" spans="1:13" x14ac:dyDescent="0.3">
      <c r="A527" s="61" t="s">
        <v>2046</v>
      </c>
      <c r="B527" s="62" t="s">
        <v>893</v>
      </c>
      <c r="C527" s="62" t="s">
        <v>894</v>
      </c>
      <c r="D527" s="63">
        <v>44936</v>
      </c>
      <c r="E527" s="63">
        <v>47848</v>
      </c>
      <c r="F527" s="62" t="s">
        <v>1961</v>
      </c>
      <c r="G527" s="62" t="s">
        <v>634</v>
      </c>
      <c r="H527" s="62" t="s">
        <v>895</v>
      </c>
      <c r="I527" s="62" t="s">
        <v>424</v>
      </c>
      <c r="J527" s="62" t="s">
        <v>896</v>
      </c>
      <c r="K527" s="62" t="s">
        <v>428</v>
      </c>
      <c r="L527" s="62" t="s">
        <v>2421</v>
      </c>
      <c r="M527" s="66" t="s">
        <v>1972</v>
      </c>
    </row>
    <row r="528" spans="1:13" x14ac:dyDescent="0.3">
      <c r="A528" s="61" t="s">
        <v>2046</v>
      </c>
      <c r="B528" s="62" t="s">
        <v>893</v>
      </c>
      <c r="C528" s="62" t="s">
        <v>894</v>
      </c>
      <c r="D528" s="63">
        <v>44936</v>
      </c>
      <c r="E528" s="63">
        <v>47848</v>
      </c>
      <c r="F528" s="62" t="s">
        <v>1941</v>
      </c>
      <c r="G528" s="62" t="s">
        <v>325</v>
      </c>
      <c r="H528" s="62" t="s">
        <v>895</v>
      </c>
      <c r="I528" s="62" t="s">
        <v>424</v>
      </c>
      <c r="J528" s="62" t="s">
        <v>896</v>
      </c>
      <c r="K528" s="62" t="s">
        <v>428</v>
      </c>
      <c r="L528" s="62" t="s">
        <v>2421</v>
      </c>
      <c r="M528" s="66" t="s">
        <v>1972</v>
      </c>
    </row>
    <row r="529" spans="1:13" x14ac:dyDescent="0.3">
      <c r="A529" s="61" t="s">
        <v>2046</v>
      </c>
      <c r="B529" s="62" t="s">
        <v>893</v>
      </c>
      <c r="C529" s="62" t="s">
        <v>894</v>
      </c>
      <c r="D529" s="63">
        <v>44936</v>
      </c>
      <c r="E529" s="63">
        <v>47848</v>
      </c>
      <c r="F529" s="62" t="s">
        <v>1936</v>
      </c>
      <c r="G529" s="62" t="s">
        <v>411</v>
      </c>
      <c r="H529" s="62" t="s">
        <v>895</v>
      </c>
      <c r="I529" s="62" t="s">
        <v>424</v>
      </c>
      <c r="J529" s="62" t="s">
        <v>896</v>
      </c>
      <c r="K529" s="62" t="s">
        <v>428</v>
      </c>
      <c r="L529" s="62" t="s">
        <v>2421</v>
      </c>
      <c r="M529" s="66" t="s">
        <v>1972</v>
      </c>
    </row>
    <row r="530" spans="1:13" x14ac:dyDescent="0.3">
      <c r="A530" s="61" t="s">
        <v>2046</v>
      </c>
      <c r="B530" s="62" t="s">
        <v>893</v>
      </c>
      <c r="C530" s="62" t="s">
        <v>894</v>
      </c>
      <c r="D530" s="63">
        <v>44936</v>
      </c>
      <c r="E530" s="63">
        <v>47848</v>
      </c>
      <c r="F530" s="62" t="s">
        <v>287</v>
      </c>
      <c r="G530" s="62" t="s">
        <v>396</v>
      </c>
      <c r="H530" s="62" t="s">
        <v>895</v>
      </c>
      <c r="I530" s="62" t="s">
        <v>424</v>
      </c>
      <c r="J530" s="62" t="s">
        <v>896</v>
      </c>
      <c r="K530" s="62" t="s">
        <v>428</v>
      </c>
      <c r="L530" s="62" t="s">
        <v>2421</v>
      </c>
      <c r="M530" s="66" t="s">
        <v>1972</v>
      </c>
    </row>
    <row r="531" spans="1:13" x14ac:dyDescent="0.3">
      <c r="A531" s="61" t="s">
        <v>2047</v>
      </c>
      <c r="B531" s="62" t="s">
        <v>899</v>
      </c>
      <c r="C531" s="62" t="s">
        <v>900</v>
      </c>
      <c r="D531" s="63">
        <v>44936</v>
      </c>
      <c r="E531" s="63">
        <v>47848</v>
      </c>
      <c r="F531" s="62" t="s">
        <v>1959</v>
      </c>
      <c r="G531" s="62" t="s">
        <v>666</v>
      </c>
      <c r="H531" s="62" t="s">
        <v>895</v>
      </c>
      <c r="I531" s="62" t="s">
        <v>2443</v>
      </c>
      <c r="J531" s="62" t="s">
        <v>314</v>
      </c>
      <c r="K531" s="62" t="s">
        <v>315</v>
      </c>
      <c r="L531" s="62" t="s">
        <v>2421</v>
      </c>
      <c r="M531" s="66" t="s">
        <v>1969</v>
      </c>
    </row>
    <row r="532" spans="1:13" x14ac:dyDescent="0.3">
      <c r="A532" s="61" t="s">
        <v>2047</v>
      </c>
      <c r="B532" s="62" t="s">
        <v>899</v>
      </c>
      <c r="C532" s="62" t="s">
        <v>900</v>
      </c>
      <c r="D532" s="63">
        <v>44936</v>
      </c>
      <c r="E532" s="63">
        <v>47848</v>
      </c>
      <c r="F532" s="62" t="s">
        <v>1959</v>
      </c>
      <c r="G532" s="62" t="s">
        <v>584</v>
      </c>
      <c r="H532" s="62" t="s">
        <v>895</v>
      </c>
      <c r="I532" s="62" t="s">
        <v>2443</v>
      </c>
      <c r="J532" s="62" t="s">
        <v>314</v>
      </c>
      <c r="K532" s="62" t="s">
        <v>315</v>
      </c>
      <c r="L532" s="62" t="s">
        <v>2421</v>
      </c>
      <c r="M532" s="66" t="s">
        <v>1969</v>
      </c>
    </row>
    <row r="533" spans="1:13" x14ac:dyDescent="0.3">
      <c r="A533" s="61" t="s">
        <v>2047</v>
      </c>
      <c r="B533" s="62" t="s">
        <v>899</v>
      </c>
      <c r="C533" s="62" t="s">
        <v>900</v>
      </c>
      <c r="D533" s="63">
        <v>44936</v>
      </c>
      <c r="E533" s="63">
        <v>47848</v>
      </c>
      <c r="F533" s="62" t="s">
        <v>1959</v>
      </c>
      <c r="G533" s="62" t="s">
        <v>794</v>
      </c>
      <c r="H533" s="62" t="s">
        <v>895</v>
      </c>
      <c r="I533" s="62" t="s">
        <v>2443</v>
      </c>
      <c r="J533" s="62" t="s">
        <v>314</v>
      </c>
      <c r="K533" s="62" t="s">
        <v>315</v>
      </c>
      <c r="L533" s="62" t="s">
        <v>2421</v>
      </c>
      <c r="M533" s="66" t="s">
        <v>1969</v>
      </c>
    </row>
    <row r="534" spans="1:13" x14ac:dyDescent="0.3">
      <c r="A534" s="61" t="s">
        <v>2047</v>
      </c>
      <c r="B534" s="62" t="s">
        <v>899</v>
      </c>
      <c r="C534" s="62" t="s">
        <v>900</v>
      </c>
      <c r="D534" s="63">
        <v>44936</v>
      </c>
      <c r="E534" s="63">
        <v>47848</v>
      </c>
      <c r="F534" s="62" t="s">
        <v>1959</v>
      </c>
      <c r="G534" s="62" t="s">
        <v>585</v>
      </c>
      <c r="H534" s="62" t="s">
        <v>895</v>
      </c>
      <c r="I534" s="62" t="s">
        <v>2443</v>
      </c>
      <c r="J534" s="62" t="s">
        <v>314</v>
      </c>
      <c r="K534" s="62" t="s">
        <v>315</v>
      </c>
      <c r="L534" s="62" t="s">
        <v>2421</v>
      </c>
      <c r="M534" s="66" t="s">
        <v>1969</v>
      </c>
    </row>
    <row r="535" spans="1:13" x14ac:dyDescent="0.3">
      <c r="A535" s="61" t="s">
        <v>2047</v>
      </c>
      <c r="B535" s="62" t="s">
        <v>899</v>
      </c>
      <c r="C535" s="62" t="s">
        <v>900</v>
      </c>
      <c r="D535" s="63">
        <v>44936</v>
      </c>
      <c r="E535" s="63">
        <v>47848</v>
      </c>
      <c r="F535" s="62" t="s">
        <v>1959</v>
      </c>
      <c r="G535" s="62" t="s">
        <v>612</v>
      </c>
      <c r="H535" s="62" t="s">
        <v>895</v>
      </c>
      <c r="I535" s="62" t="s">
        <v>2443</v>
      </c>
      <c r="J535" s="62" t="s">
        <v>314</v>
      </c>
      <c r="K535" s="62" t="s">
        <v>315</v>
      </c>
      <c r="L535" s="62" t="s">
        <v>2421</v>
      </c>
      <c r="M535" s="66" t="s">
        <v>1969</v>
      </c>
    </row>
    <row r="536" spans="1:13" x14ac:dyDescent="0.3">
      <c r="A536" s="61" t="s">
        <v>2047</v>
      </c>
      <c r="B536" s="62" t="s">
        <v>899</v>
      </c>
      <c r="C536" s="62" t="s">
        <v>900</v>
      </c>
      <c r="D536" s="63">
        <v>44936</v>
      </c>
      <c r="E536" s="63">
        <v>47848</v>
      </c>
      <c r="F536" s="62" t="s">
        <v>1959</v>
      </c>
      <c r="G536" s="62" t="s">
        <v>670</v>
      </c>
      <c r="H536" s="62" t="s">
        <v>895</v>
      </c>
      <c r="I536" s="62" t="s">
        <v>2443</v>
      </c>
      <c r="J536" s="62" t="s">
        <v>314</v>
      </c>
      <c r="K536" s="62" t="s">
        <v>315</v>
      </c>
      <c r="L536" s="62" t="s">
        <v>2421</v>
      </c>
      <c r="M536" s="66" t="s">
        <v>1969</v>
      </c>
    </row>
    <row r="537" spans="1:13" x14ac:dyDescent="0.3">
      <c r="A537" s="61" t="s">
        <v>2047</v>
      </c>
      <c r="B537" s="62" t="s">
        <v>899</v>
      </c>
      <c r="C537" s="62" t="s">
        <v>900</v>
      </c>
      <c r="D537" s="63">
        <v>44936</v>
      </c>
      <c r="E537" s="63">
        <v>47848</v>
      </c>
      <c r="F537" s="62" t="s">
        <v>1942</v>
      </c>
      <c r="G537" s="62" t="s">
        <v>757</v>
      </c>
      <c r="H537" s="62" t="s">
        <v>895</v>
      </c>
      <c r="I537" s="62" t="s">
        <v>2443</v>
      </c>
      <c r="J537" s="62" t="s">
        <v>314</v>
      </c>
      <c r="K537" s="62" t="s">
        <v>315</v>
      </c>
      <c r="L537" s="62" t="s">
        <v>2421</v>
      </c>
      <c r="M537" s="66" t="s">
        <v>1969</v>
      </c>
    </row>
    <row r="538" spans="1:13" x14ac:dyDescent="0.3">
      <c r="A538" s="61" t="s">
        <v>2047</v>
      </c>
      <c r="B538" s="62" t="s">
        <v>899</v>
      </c>
      <c r="C538" s="62" t="s">
        <v>900</v>
      </c>
      <c r="D538" s="63">
        <v>44936</v>
      </c>
      <c r="E538" s="63">
        <v>47848</v>
      </c>
      <c r="F538" s="62" t="s">
        <v>1942</v>
      </c>
      <c r="G538" s="62" t="s">
        <v>897</v>
      </c>
      <c r="H538" s="62" t="s">
        <v>895</v>
      </c>
      <c r="I538" s="62" t="s">
        <v>2443</v>
      </c>
      <c r="J538" s="62" t="s">
        <v>314</v>
      </c>
      <c r="K538" s="62" t="s">
        <v>315</v>
      </c>
      <c r="L538" s="62" t="s">
        <v>2421</v>
      </c>
      <c r="M538" s="66" t="s">
        <v>1969</v>
      </c>
    </row>
    <row r="539" spans="1:13" x14ac:dyDescent="0.3">
      <c r="A539" s="61" t="s">
        <v>2047</v>
      </c>
      <c r="B539" s="62" t="s">
        <v>899</v>
      </c>
      <c r="C539" s="62" t="s">
        <v>900</v>
      </c>
      <c r="D539" s="63">
        <v>44936</v>
      </c>
      <c r="E539" s="63">
        <v>47848</v>
      </c>
      <c r="F539" s="62" t="s">
        <v>1942</v>
      </c>
      <c r="G539" s="62" t="s">
        <v>898</v>
      </c>
      <c r="H539" s="62" t="s">
        <v>895</v>
      </c>
      <c r="I539" s="62" t="s">
        <v>2443</v>
      </c>
      <c r="J539" s="62" t="s">
        <v>314</v>
      </c>
      <c r="K539" s="62" t="s">
        <v>315</v>
      </c>
      <c r="L539" s="62" t="s">
        <v>2421</v>
      </c>
      <c r="M539" s="66" t="s">
        <v>1969</v>
      </c>
    </row>
    <row r="540" spans="1:13" x14ac:dyDescent="0.3">
      <c r="A540" s="61" t="s">
        <v>2047</v>
      </c>
      <c r="B540" s="62" t="s">
        <v>899</v>
      </c>
      <c r="C540" s="62" t="s">
        <v>900</v>
      </c>
      <c r="D540" s="63">
        <v>44936</v>
      </c>
      <c r="E540" s="63">
        <v>47848</v>
      </c>
      <c r="F540" s="62" t="s">
        <v>1930</v>
      </c>
      <c r="G540" s="62" t="s">
        <v>721</v>
      </c>
      <c r="H540" s="62" t="s">
        <v>895</v>
      </c>
      <c r="I540" s="62" t="s">
        <v>2443</v>
      </c>
      <c r="J540" s="62" t="s">
        <v>314</v>
      </c>
      <c r="K540" s="62" t="s">
        <v>315</v>
      </c>
      <c r="L540" s="62" t="s">
        <v>2421</v>
      </c>
      <c r="M540" s="66" t="s">
        <v>1969</v>
      </c>
    </row>
    <row r="541" spans="1:13" x14ac:dyDescent="0.3">
      <c r="A541" s="61" t="s">
        <v>2047</v>
      </c>
      <c r="B541" s="62" t="s">
        <v>899</v>
      </c>
      <c r="C541" s="62" t="s">
        <v>900</v>
      </c>
      <c r="D541" s="63">
        <v>44936</v>
      </c>
      <c r="E541" s="63">
        <v>47848</v>
      </c>
      <c r="F541" s="62" t="s">
        <v>1930</v>
      </c>
      <c r="G541" s="62" t="s">
        <v>453</v>
      </c>
      <c r="H541" s="62" t="s">
        <v>895</v>
      </c>
      <c r="I541" s="62" t="s">
        <v>2443</v>
      </c>
      <c r="J541" s="62" t="s">
        <v>314</v>
      </c>
      <c r="K541" s="62" t="s">
        <v>315</v>
      </c>
      <c r="L541" s="62" t="s">
        <v>2421</v>
      </c>
      <c r="M541" s="66" t="s">
        <v>1969</v>
      </c>
    </row>
    <row r="542" spans="1:13" x14ac:dyDescent="0.3">
      <c r="A542" s="61" t="s">
        <v>2047</v>
      </c>
      <c r="B542" s="62" t="s">
        <v>899</v>
      </c>
      <c r="C542" s="62" t="s">
        <v>900</v>
      </c>
      <c r="D542" s="63">
        <v>44936</v>
      </c>
      <c r="E542" s="63">
        <v>47848</v>
      </c>
      <c r="F542" s="62" t="s">
        <v>1945</v>
      </c>
      <c r="G542" s="62" t="s">
        <v>400</v>
      </c>
      <c r="H542" s="62" t="s">
        <v>895</v>
      </c>
      <c r="I542" s="62" t="s">
        <v>2443</v>
      </c>
      <c r="J542" s="62" t="s">
        <v>314</v>
      </c>
      <c r="K542" s="62" t="s">
        <v>315</v>
      </c>
      <c r="L542" s="62" t="s">
        <v>2421</v>
      </c>
      <c r="M542" s="66" t="s">
        <v>1969</v>
      </c>
    </row>
    <row r="543" spans="1:13" x14ac:dyDescent="0.3">
      <c r="A543" s="61" t="s">
        <v>2047</v>
      </c>
      <c r="B543" s="62" t="s">
        <v>899</v>
      </c>
      <c r="C543" s="62" t="s">
        <v>900</v>
      </c>
      <c r="D543" s="63">
        <v>44936</v>
      </c>
      <c r="E543" s="63">
        <v>47848</v>
      </c>
      <c r="F543" s="62" t="s">
        <v>1945</v>
      </c>
      <c r="G543" s="62" t="s">
        <v>555</v>
      </c>
      <c r="H543" s="62" t="s">
        <v>895</v>
      </c>
      <c r="I543" s="62" t="s">
        <v>2443</v>
      </c>
      <c r="J543" s="62" t="s">
        <v>314</v>
      </c>
      <c r="K543" s="62" t="s">
        <v>315</v>
      </c>
      <c r="L543" s="62" t="s">
        <v>2421</v>
      </c>
      <c r="M543" s="66" t="s">
        <v>1969</v>
      </c>
    </row>
    <row r="544" spans="1:13" x14ac:dyDescent="0.3">
      <c r="A544" s="61" t="s">
        <v>2047</v>
      </c>
      <c r="B544" s="62" t="s">
        <v>899</v>
      </c>
      <c r="C544" s="62" t="s">
        <v>900</v>
      </c>
      <c r="D544" s="63">
        <v>44936</v>
      </c>
      <c r="E544" s="63">
        <v>47848</v>
      </c>
      <c r="F544" s="62" t="s">
        <v>1931</v>
      </c>
      <c r="G544" s="62" t="s">
        <v>281</v>
      </c>
      <c r="H544" s="62" t="s">
        <v>895</v>
      </c>
      <c r="I544" s="62" t="s">
        <v>2443</v>
      </c>
      <c r="J544" s="62" t="s">
        <v>314</v>
      </c>
      <c r="K544" s="62" t="s">
        <v>315</v>
      </c>
      <c r="L544" s="62" t="s">
        <v>2421</v>
      </c>
      <c r="M544" s="66" t="s">
        <v>1969</v>
      </c>
    </row>
    <row r="545" spans="1:13" x14ac:dyDescent="0.3">
      <c r="A545" s="61" t="s">
        <v>2047</v>
      </c>
      <c r="B545" s="62" t="s">
        <v>899</v>
      </c>
      <c r="C545" s="62" t="s">
        <v>900</v>
      </c>
      <c r="D545" s="63">
        <v>44936</v>
      </c>
      <c r="E545" s="63">
        <v>47848</v>
      </c>
      <c r="F545" s="62" t="s">
        <v>282</v>
      </c>
      <c r="G545" s="62" t="s">
        <v>283</v>
      </c>
      <c r="H545" s="62" t="s">
        <v>895</v>
      </c>
      <c r="I545" s="62" t="s">
        <v>2443</v>
      </c>
      <c r="J545" s="62" t="s">
        <v>314</v>
      </c>
      <c r="K545" s="62" t="s">
        <v>315</v>
      </c>
      <c r="L545" s="62" t="s">
        <v>2421</v>
      </c>
      <c r="M545" s="66" t="s">
        <v>1969</v>
      </c>
    </row>
    <row r="546" spans="1:13" x14ac:dyDescent="0.3">
      <c r="A546" s="61" t="s">
        <v>2047</v>
      </c>
      <c r="B546" s="62" t="s">
        <v>899</v>
      </c>
      <c r="C546" s="62" t="s">
        <v>900</v>
      </c>
      <c r="D546" s="63">
        <v>44936</v>
      </c>
      <c r="E546" s="63">
        <v>47848</v>
      </c>
      <c r="F546" s="62" t="s">
        <v>1921</v>
      </c>
      <c r="G546" s="62" t="s">
        <v>487</v>
      </c>
      <c r="H546" s="62" t="s">
        <v>895</v>
      </c>
      <c r="I546" s="62" t="s">
        <v>2443</v>
      </c>
      <c r="J546" s="62" t="s">
        <v>314</v>
      </c>
      <c r="K546" s="62" t="s">
        <v>315</v>
      </c>
      <c r="L546" s="62" t="s">
        <v>2421</v>
      </c>
      <c r="M546" s="66" t="s">
        <v>1969</v>
      </c>
    </row>
    <row r="547" spans="1:13" x14ac:dyDescent="0.3">
      <c r="A547" s="61" t="s">
        <v>2047</v>
      </c>
      <c r="B547" s="62" t="s">
        <v>899</v>
      </c>
      <c r="C547" s="62" t="s">
        <v>900</v>
      </c>
      <c r="D547" s="63">
        <v>44936</v>
      </c>
      <c r="E547" s="63">
        <v>47848</v>
      </c>
      <c r="F547" s="62" t="s">
        <v>348</v>
      </c>
      <c r="G547" s="62" t="s">
        <v>348</v>
      </c>
      <c r="H547" s="62" t="s">
        <v>895</v>
      </c>
      <c r="I547" s="62" t="s">
        <v>2443</v>
      </c>
      <c r="J547" s="62" t="s">
        <v>314</v>
      </c>
      <c r="K547" s="62" t="s">
        <v>315</v>
      </c>
      <c r="L547" s="62" t="s">
        <v>2421</v>
      </c>
      <c r="M547" s="66" t="s">
        <v>1969</v>
      </c>
    </row>
    <row r="548" spans="1:13" x14ac:dyDescent="0.3">
      <c r="A548" s="61" t="s">
        <v>2047</v>
      </c>
      <c r="B548" s="62" t="s">
        <v>899</v>
      </c>
      <c r="C548" s="62" t="s">
        <v>900</v>
      </c>
      <c r="D548" s="63">
        <v>44936</v>
      </c>
      <c r="E548" s="63">
        <v>47848</v>
      </c>
      <c r="F548" s="62" t="s">
        <v>1934</v>
      </c>
      <c r="G548" s="62" t="s">
        <v>477</v>
      </c>
      <c r="H548" s="62" t="s">
        <v>895</v>
      </c>
      <c r="I548" s="62" t="s">
        <v>2443</v>
      </c>
      <c r="J548" s="62" t="s">
        <v>314</v>
      </c>
      <c r="K548" s="62" t="s">
        <v>315</v>
      </c>
      <c r="L548" s="62" t="s">
        <v>2421</v>
      </c>
      <c r="M548" s="66" t="s">
        <v>1969</v>
      </c>
    </row>
    <row r="549" spans="1:13" x14ac:dyDescent="0.3">
      <c r="A549" s="61" t="s">
        <v>2047</v>
      </c>
      <c r="B549" s="62" t="s">
        <v>899</v>
      </c>
      <c r="C549" s="62" t="s">
        <v>900</v>
      </c>
      <c r="D549" s="63">
        <v>44936</v>
      </c>
      <c r="E549" s="63">
        <v>47848</v>
      </c>
      <c r="F549" s="62" t="s">
        <v>1939</v>
      </c>
      <c r="G549" s="62" t="s">
        <v>539</v>
      </c>
      <c r="H549" s="62" t="s">
        <v>895</v>
      </c>
      <c r="I549" s="62" t="s">
        <v>2443</v>
      </c>
      <c r="J549" s="62" t="s">
        <v>314</v>
      </c>
      <c r="K549" s="62" t="s">
        <v>315</v>
      </c>
      <c r="L549" s="62" t="s">
        <v>2421</v>
      </c>
      <c r="M549" s="66" t="s">
        <v>1969</v>
      </c>
    </row>
    <row r="550" spans="1:13" x14ac:dyDescent="0.3">
      <c r="A550" s="61" t="s">
        <v>2047</v>
      </c>
      <c r="B550" s="62" t="s">
        <v>899</v>
      </c>
      <c r="C550" s="62" t="s">
        <v>900</v>
      </c>
      <c r="D550" s="63">
        <v>44936</v>
      </c>
      <c r="E550" s="63">
        <v>47848</v>
      </c>
      <c r="F550" s="62" t="s">
        <v>1958</v>
      </c>
      <c r="G550" s="62" t="s">
        <v>328</v>
      </c>
      <c r="H550" s="62" t="s">
        <v>895</v>
      </c>
      <c r="I550" s="62" t="s">
        <v>2443</v>
      </c>
      <c r="J550" s="62" t="s">
        <v>314</v>
      </c>
      <c r="K550" s="62" t="s">
        <v>315</v>
      </c>
      <c r="L550" s="62" t="s">
        <v>2421</v>
      </c>
      <c r="M550" s="66" t="s">
        <v>1969</v>
      </c>
    </row>
    <row r="551" spans="1:13" x14ac:dyDescent="0.3">
      <c r="A551" s="61" t="s">
        <v>2047</v>
      </c>
      <c r="B551" s="62" t="s">
        <v>899</v>
      </c>
      <c r="C551" s="62" t="s">
        <v>900</v>
      </c>
      <c r="D551" s="63">
        <v>44936</v>
      </c>
      <c r="E551" s="63">
        <v>47848</v>
      </c>
      <c r="F551" s="62" t="s">
        <v>1961</v>
      </c>
      <c r="G551" s="62" t="s">
        <v>634</v>
      </c>
      <c r="H551" s="62" t="s">
        <v>895</v>
      </c>
      <c r="I551" s="62" t="s">
        <v>2443</v>
      </c>
      <c r="J551" s="62" t="s">
        <v>314</v>
      </c>
      <c r="K551" s="62" t="s">
        <v>315</v>
      </c>
      <c r="L551" s="62" t="s">
        <v>2421</v>
      </c>
      <c r="M551" s="66" t="s">
        <v>1969</v>
      </c>
    </row>
    <row r="552" spans="1:13" x14ac:dyDescent="0.3">
      <c r="A552" s="61" t="s">
        <v>2047</v>
      </c>
      <c r="B552" s="62" t="s">
        <v>899</v>
      </c>
      <c r="C552" s="62" t="s">
        <v>900</v>
      </c>
      <c r="D552" s="63">
        <v>44936</v>
      </c>
      <c r="E552" s="63">
        <v>47848</v>
      </c>
      <c r="F552" s="62" t="s">
        <v>1941</v>
      </c>
      <c r="G552" s="62" t="s">
        <v>325</v>
      </c>
      <c r="H552" s="62" t="s">
        <v>895</v>
      </c>
      <c r="I552" s="62" t="s">
        <v>2443</v>
      </c>
      <c r="J552" s="62" t="s">
        <v>314</v>
      </c>
      <c r="K552" s="62" t="s">
        <v>315</v>
      </c>
      <c r="L552" s="62" t="s">
        <v>2421</v>
      </c>
      <c r="M552" s="66" t="s">
        <v>1969</v>
      </c>
    </row>
    <row r="553" spans="1:13" x14ac:dyDescent="0.3">
      <c r="A553" s="61" t="s">
        <v>2047</v>
      </c>
      <c r="B553" s="62" t="s">
        <v>899</v>
      </c>
      <c r="C553" s="62" t="s">
        <v>900</v>
      </c>
      <c r="D553" s="63">
        <v>44936</v>
      </c>
      <c r="E553" s="63">
        <v>47848</v>
      </c>
      <c r="F553" s="62" t="s">
        <v>1936</v>
      </c>
      <c r="G553" s="62" t="s">
        <v>411</v>
      </c>
      <c r="H553" s="62" t="s">
        <v>895</v>
      </c>
      <c r="I553" s="62" t="s">
        <v>2443</v>
      </c>
      <c r="J553" s="62" t="s">
        <v>314</v>
      </c>
      <c r="K553" s="62" t="s">
        <v>315</v>
      </c>
      <c r="L553" s="62" t="s">
        <v>2421</v>
      </c>
      <c r="M553" s="66" t="s">
        <v>1969</v>
      </c>
    </row>
    <row r="554" spans="1:13" x14ac:dyDescent="0.3">
      <c r="A554" s="61" t="s">
        <v>2047</v>
      </c>
      <c r="B554" s="62" t="s">
        <v>899</v>
      </c>
      <c r="C554" s="62" t="s">
        <v>900</v>
      </c>
      <c r="D554" s="63">
        <v>44936</v>
      </c>
      <c r="E554" s="63">
        <v>47848</v>
      </c>
      <c r="F554" s="62" t="s">
        <v>287</v>
      </c>
      <c r="G554" s="62" t="s">
        <v>396</v>
      </c>
      <c r="H554" s="62" t="s">
        <v>895</v>
      </c>
      <c r="I554" s="62" t="s">
        <v>2443</v>
      </c>
      <c r="J554" s="62" t="s">
        <v>314</v>
      </c>
      <c r="K554" s="62" t="s">
        <v>315</v>
      </c>
      <c r="L554" s="62" t="s">
        <v>2421</v>
      </c>
      <c r="M554" s="66" t="s">
        <v>1969</v>
      </c>
    </row>
    <row r="555" spans="1:13" x14ac:dyDescent="0.3">
      <c r="A555" s="61" t="s">
        <v>2048</v>
      </c>
      <c r="B555" s="62" t="s">
        <v>901</v>
      </c>
      <c r="C555" s="62" t="s">
        <v>902</v>
      </c>
      <c r="D555" s="63">
        <v>44967</v>
      </c>
      <c r="E555" s="63">
        <v>46063</v>
      </c>
      <c r="F555" s="62" t="s">
        <v>1959</v>
      </c>
      <c r="G555" s="62" t="s">
        <v>466</v>
      </c>
      <c r="H555" s="62" t="s">
        <v>2425</v>
      </c>
      <c r="I555" s="62" t="s">
        <v>424</v>
      </c>
      <c r="J555" s="62" t="s">
        <v>719</v>
      </c>
      <c r="K555" s="62" t="s">
        <v>465</v>
      </c>
      <c r="L555" s="62" t="s">
        <v>2421</v>
      </c>
      <c r="M555" s="66" t="s">
        <v>1964</v>
      </c>
    </row>
    <row r="556" spans="1:13" x14ac:dyDescent="0.3">
      <c r="A556" s="61" t="s">
        <v>2048</v>
      </c>
      <c r="B556" s="62" t="s">
        <v>901</v>
      </c>
      <c r="C556" s="62" t="s">
        <v>902</v>
      </c>
      <c r="D556" s="63">
        <v>44967</v>
      </c>
      <c r="E556" s="63">
        <v>46063</v>
      </c>
      <c r="F556" s="62" t="s">
        <v>1959</v>
      </c>
      <c r="G556" s="62" t="s">
        <v>582</v>
      </c>
      <c r="H556" s="62" t="s">
        <v>2425</v>
      </c>
      <c r="I556" s="62" t="s">
        <v>424</v>
      </c>
      <c r="J556" s="62" t="s">
        <v>719</v>
      </c>
      <c r="K556" s="62" t="s">
        <v>465</v>
      </c>
      <c r="L556" s="62" t="s">
        <v>2421</v>
      </c>
      <c r="M556" s="66" t="s">
        <v>1964</v>
      </c>
    </row>
    <row r="557" spans="1:13" x14ac:dyDescent="0.3">
      <c r="A557" s="61" t="s">
        <v>2048</v>
      </c>
      <c r="B557" s="62" t="s">
        <v>901</v>
      </c>
      <c r="C557" s="62" t="s">
        <v>902</v>
      </c>
      <c r="D557" s="63">
        <v>44967</v>
      </c>
      <c r="E557" s="63">
        <v>46063</v>
      </c>
      <c r="F557" s="62" t="s">
        <v>1959</v>
      </c>
      <c r="G557" s="62" t="s">
        <v>679</v>
      </c>
      <c r="H557" s="62" t="s">
        <v>2425</v>
      </c>
      <c r="I557" s="62" t="s">
        <v>424</v>
      </c>
      <c r="J557" s="62" t="s">
        <v>719</v>
      </c>
      <c r="K557" s="62" t="s">
        <v>465</v>
      </c>
      <c r="L557" s="62" t="s">
        <v>2421</v>
      </c>
      <c r="M557" s="66" t="s">
        <v>1964</v>
      </c>
    </row>
    <row r="558" spans="1:13" x14ac:dyDescent="0.3">
      <c r="A558" s="61" t="s">
        <v>2048</v>
      </c>
      <c r="B558" s="62" t="s">
        <v>901</v>
      </c>
      <c r="C558" s="62" t="s">
        <v>902</v>
      </c>
      <c r="D558" s="63">
        <v>44967</v>
      </c>
      <c r="E558" s="63">
        <v>46063</v>
      </c>
      <c r="F558" s="62" t="s">
        <v>1959</v>
      </c>
      <c r="G558" s="62" t="s">
        <v>583</v>
      </c>
      <c r="H558" s="62" t="s">
        <v>2425</v>
      </c>
      <c r="I558" s="62" t="s">
        <v>424</v>
      </c>
      <c r="J558" s="62" t="s">
        <v>719</v>
      </c>
      <c r="K558" s="62" t="s">
        <v>465</v>
      </c>
      <c r="L558" s="62" t="s">
        <v>2421</v>
      </c>
      <c r="M558" s="66" t="s">
        <v>1964</v>
      </c>
    </row>
    <row r="559" spans="1:13" x14ac:dyDescent="0.3">
      <c r="A559" s="61" t="s">
        <v>2048</v>
      </c>
      <c r="B559" s="62" t="s">
        <v>901</v>
      </c>
      <c r="C559" s="62" t="s">
        <v>902</v>
      </c>
      <c r="D559" s="63">
        <v>44967</v>
      </c>
      <c r="E559" s="63">
        <v>46063</v>
      </c>
      <c r="F559" s="62" t="s">
        <v>1959</v>
      </c>
      <c r="G559" s="62" t="s">
        <v>794</v>
      </c>
      <c r="H559" s="62" t="s">
        <v>2425</v>
      </c>
      <c r="I559" s="62" t="s">
        <v>424</v>
      </c>
      <c r="J559" s="62" t="s">
        <v>719</v>
      </c>
      <c r="K559" s="62" t="s">
        <v>465</v>
      </c>
      <c r="L559" s="62" t="s">
        <v>2421</v>
      </c>
      <c r="M559" s="66" t="s">
        <v>1964</v>
      </c>
    </row>
    <row r="560" spans="1:13" x14ac:dyDescent="0.3">
      <c r="A560" s="61" t="s">
        <v>2048</v>
      </c>
      <c r="B560" s="62" t="s">
        <v>901</v>
      </c>
      <c r="C560" s="62" t="s">
        <v>902</v>
      </c>
      <c r="D560" s="63">
        <v>44967</v>
      </c>
      <c r="E560" s="63">
        <v>46063</v>
      </c>
      <c r="F560" s="62" t="s">
        <v>1959</v>
      </c>
      <c r="G560" s="62" t="s">
        <v>586</v>
      </c>
      <c r="H560" s="62" t="s">
        <v>2425</v>
      </c>
      <c r="I560" s="62" t="s">
        <v>424</v>
      </c>
      <c r="J560" s="62" t="s">
        <v>719</v>
      </c>
      <c r="K560" s="62" t="s">
        <v>465</v>
      </c>
      <c r="L560" s="62" t="s">
        <v>2421</v>
      </c>
      <c r="M560" s="66" t="s">
        <v>1964</v>
      </c>
    </row>
    <row r="561" spans="1:13" x14ac:dyDescent="0.3">
      <c r="A561" s="61" t="s">
        <v>2048</v>
      </c>
      <c r="B561" s="62" t="s">
        <v>901</v>
      </c>
      <c r="C561" s="62" t="s">
        <v>902</v>
      </c>
      <c r="D561" s="63">
        <v>44967</v>
      </c>
      <c r="E561" s="63">
        <v>46063</v>
      </c>
      <c r="F561" s="62" t="s">
        <v>1959</v>
      </c>
      <c r="G561" s="62" t="s">
        <v>587</v>
      </c>
      <c r="H561" s="62" t="s">
        <v>2425</v>
      </c>
      <c r="I561" s="62" t="s">
        <v>424</v>
      </c>
      <c r="J561" s="62" t="s">
        <v>719</v>
      </c>
      <c r="K561" s="62" t="s">
        <v>465</v>
      </c>
      <c r="L561" s="62" t="s">
        <v>2421</v>
      </c>
      <c r="M561" s="66" t="s">
        <v>1964</v>
      </c>
    </row>
    <row r="562" spans="1:13" x14ac:dyDescent="0.3">
      <c r="A562" s="61" t="s">
        <v>2048</v>
      </c>
      <c r="B562" s="62" t="s">
        <v>901</v>
      </c>
      <c r="C562" s="62" t="s">
        <v>902</v>
      </c>
      <c r="D562" s="63">
        <v>44967</v>
      </c>
      <c r="E562" s="63">
        <v>46063</v>
      </c>
      <c r="F562" s="62" t="s">
        <v>1959</v>
      </c>
      <c r="G562" s="62" t="s">
        <v>805</v>
      </c>
      <c r="H562" s="62" t="s">
        <v>2425</v>
      </c>
      <c r="I562" s="62" t="s">
        <v>424</v>
      </c>
      <c r="J562" s="62" t="s">
        <v>719</v>
      </c>
      <c r="K562" s="62" t="s">
        <v>465</v>
      </c>
      <c r="L562" s="62" t="s">
        <v>2421</v>
      </c>
      <c r="M562" s="66" t="s">
        <v>1964</v>
      </c>
    </row>
    <row r="563" spans="1:13" x14ac:dyDescent="0.3">
      <c r="A563" s="61" t="s">
        <v>2048</v>
      </c>
      <c r="B563" s="62" t="s">
        <v>901</v>
      </c>
      <c r="C563" s="62" t="s">
        <v>902</v>
      </c>
      <c r="D563" s="63">
        <v>44967</v>
      </c>
      <c r="E563" s="63">
        <v>46063</v>
      </c>
      <c r="F563" s="62" t="s">
        <v>1959</v>
      </c>
      <c r="G563" s="62" t="s">
        <v>795</v>
      </c>
      <c r="H563" s="62" t="s">
        <v>2425</v>
      </c>
      <c r="I563" s="62" t="s">
        <v>424</v>
      </c>
      <c r="J563" s="62" t="s">
        <v>719</v>
      </c>
      <c r="K563" s="62" t="s">
        <v>465</v>
      </c>
      <c r="L563" s="62" t="s">
        <v>2421</v>
      </c>
      <c r="M563" s="66" t="s">
        <v>1964</v>
      </c>
    </row>
    <row r="564" spans="1:13" x14ac:dyDescent="0.3">
      <c r="A564" s="61" t="s">
        <v>2048</v>
      </c>
      <c r="B564" s="62" t="s">
        <v>901</v>
      </c>
      <c r="C564" s="62" t="s">
        <v>902</v>
      </c>
      <c r="D564" s="63">
        <v>44967</v>
      </c>
      <c r="E564" s="63">
        <v>46063</v>
      </c>
      <c r="F564" s="62" t="s">
        <v>1959</v>
      </c>
      <c r="G564" s="62" t="s">
        <v>475</v>
      </c>
      <c r="H564" s="62" t="s">
        <v>2425</v>
      </c>
      <c r="I564" s="62" t="s">
        <v>424</v>
      </c>
      <c r="J564" s="62" t="s">
        <v>719</v>
      </c>
      <c r="K564" s="62" t="s">
        <v>465</v>
      </c>
      <c r="L564" s="62" t="s">
        <v>2421</v>
      </c>
      <c r="M564" s="66" t="s">
        <v>1964</v>
      </c>
    </row>
    <row r="565" spans="1:13" x14ac:dyDescent="0.3">
      <c r="A565" s="61" t="s">
        <v>2048</v>
      </c>
      <c r="B565" s="62" t="s">
        <v>901</v>
      </c>
      <c r="C565" s="62" t="s">
        <v>902</v>
      </c>
      <c r="D565" s="63">
        <v>44967</v>
      </c>
      <c r="E565" s="63">
        <v>46063</v>
      </c>
      <c r="F565" s="62" t="s">
        <v>1959</v>
      </c>
      <c r="G565" s="62" t="s">
        <v>578</v>
      </c>
      <c r="H565" s="62" t="s">
        <v>2425</v>
      </c>
      <c r="I565" s="62" t="s">
        <v>424</v>
      </c>
      <c r="J565" s="62" t="s">
        <v>719</v>
      </c>
      <c r="K565" s="62" t="s">
        <v>465</v>
      </c>
      <c r="L565" s="62" t="s">
        <v>2421</v>
      </c>
      <c r="M565" s="66" t="s">
        <v>1964</v>
      </c>
    </row>
    <row r="566" spans="1:13" x14ac:dyDescent="0.3">
      <c r="A566" s="61" t="s">
        <v>2048</v>
      </c>
      <c r="B566" s="62" t="s">
        <v>901</v>
      </c>
      <c r="C566" s="62" t="s">
        <v>902</v>
      </c>
      <c r="D566" s="63">
        <v>44967</v>
      </c>
      <c r="E566" s="63">
        <v>46063</v>
      </c>
      <c r="F566" s="62" t="s">
        <v>1959</v>
      </c>
      <c r="G566" s="62" t="s">
        <v>809</v>
      </c>
      <c r="H566" s="62" t="s">
        <v>2425</v>
      </c>
      <c r="I566" s="62" t="s">
        <v>424</v>
      </c>
      <c r="J566" s="62" t="s">
        <v>719</v>
      </c>
      <c r="K566" s="62" t="s">
        <v>465</v>
      </c>
      <c r="L566" s="62" t="s">
        <v>2421</v>
      </c>
      <c r="M566" s="66" t="s">
        <v>1964</v>
      </c>
    </row>
    <row r="567" spans="1:13" x14ac:dyDescent="0.3">
      <c r="A567" s="61" t="s">
        <v>2048</v>
      </c>
      <c r="B567" s="62" t="s">
        <v>901</v>
      </c>
      <c r="C567" s="62" t="s">
        <v>902</v>
      </c>
      <c r="D567" s="63">
        <v>44967</v>
      </c>
      <c r="E567" s="63">
        <v>46063</v>
      </c>
      <c r="F567" s="62" t="s">
        <v>1936</v>
      </c>
      <c r="G567" s="62" t="s">
        <v>411</v>
      </c>
      <c r="H567" s="62" t="s">
        <v>2425</v>
      </c>
      <c r="I567" s="62" t="s">
        <v>424</v>
      </c>
      <c r="J567" s="62" t="s">
        <v>719</v>
      </c>
      <c r="K567" s="62" t="s">
        <v>465</v>
      </c>
      <c r="L567" s="62" t="s">
        <v>2421</v>
      </c>
      <c r="M567" s="66" t="s">
        <v>1964</v>
      </c>
    </row>
    <row r="568" spans="1:13" x14ac:dyDescent="0.3">
      <c r="A568" s="61" t="s">
        <v>2048</v>
      </c>
      <c r="B568" s="62" t="s">
        <v>901</v>
      </c>
      <c r="C568" s="62" t="s">
        <v>902</v>
      </c>
      <c r="D568" s="63">
        <v>44967</v>
      </c>
      <c r="E568" s="63">
        <v>46063</v>
      </c>
      <c r="F568" s="62" t="s">
        <v>1945</v>
      </c>
      <c r="G568" s="62" t="s">
        <v>400</v>
      </c>
      <c r="H568" s="62" t="s">
        <v>2425</v>
      </c>
      <c r="I568" s="62" t="s">
        <v>424</v>
      </c>
      <c r="J568" s="62" t="s">
        <v>719</v>
      </c>
      <c r="K568" s="62" t="s">
        <v>465</v>
      </c>
      <c r="L568" s="62" t="s">
        <v>2421</v>
      </c>
      <c r="M568" s="66" t="s">
        <v>1964</v>
      </c>
    </row>
    <row r="569" spans="1:13" x14ac:dyDescent="0.3">
      <c r="A569" s="61" t="s">
        <v>2049</v>
      </c>
      <c r="B569" s="62" t="s">
        <v>903</v>
      </c>
      <c r="C569" s="62" t="s">
        <v>904</v>
      </c>
      <c r="D569" s="63">
        <v>45012</v>
      </c>
      <c r="E569" s="63">
        <v>46108</v>
      </c>
      <c r="F569" s="62" t="s">
        <v>350</v>
      </c>
      <c r="G569" s="62" t="s">
        <v>304</v>
      </c>
      <c r="H569" s="62" t="s">
        <v>905</v>
      </c>
      <c r="I569" s="62" t="s">
        <v>424</v>
      </c>
      <c r="J569" s="62" t="s">
        <v>906</v>
      </c>
      <c r="K569" s="62" t="s">
        <v>347</v>
      </c>
      <c r="L569" s="62" t="s">
        <v>2421</v>
      </c>
      <c r="M569" s="66" t="s">
        <v>1965</v>
      </c>
    </row>
    <row r="570" spans="1:13" x14ac:dyDescent="0.3">
      <c r="A570" s="61" t="s">
        <v>2050</v>
      </c>
      <c r="B570" s="62" t="s">
        <v>907</v>
      </c>
      <c r="C570" s="62" t="s">
        <v>2450</v>
      </c>
      <c r="D570" s="63">
        <v>44942</v>
      </c>
      <c r="E570" s="63">
        <v>46038</v>
      </c>
      <c r="F570" s="62" t="s">
        <v>1931</v>
      </c>
      <c r="G570" s="62" t="s">
        <v>281</v>
      </c>
      <c r="H570" s="62" t="s">
        <v>373</v>
      </c>
      <c r="I570" s="62" t="s">
        <v>825</v>
      </c>
      <c r="J570" s="62" t="s">
        <v>644</v>
      </c>
      <c r="K570" s="62" t="s">
        <v>371</v>
      </c>
      <c r="L570" s="62" t="s">
        <v>2421</v>
      </c>
      <c r="M570" s="66" t="s">
        <v>1972</v>
      </c>
    </row>
    <row r="571" spans="1:13" x14ac:dyDescent="0.3">
      <c r="A571" s="61" t="s">
        <v>2050</v>
      </c>
      <c r="B571" s="62" t="s">
        <v>907</v>
      </c>
      <c r="C571" s="62" t="s">
        <v>2450</v>
      </c>
      <c r="D571" s="63">
        <v>44942</v>
      </c>
      <c r="E571" s="63">
        <v>46038</v>
      </c>
      <c r="F571" s="62" t="s">
        <v>1931</v>
      </c>
      <c r="G571" s="62" t="s">
        <v>344</v>
      </c>
      <c r="H571" s="62" t="s">
        <v>373</v>
      </c>
      <c r="I571" s="62" t="s">
        <v>825</v>
      </c>
      <c r="J571" s="62" t="s">
        <v>644</v>
      </c>
      <c r="K571" s="62" t="s">
        <v>371</v>
      </c>
      <c r="L571" s="62" t="s">
        <v>2421</v>
      </c>
      <c r="M571" s="66" t="s">
        <v>1972</v>
      </c>
    </row>
    <row r="572" spans="1:13" x14ac:dyDescent="0.3">
      <c r="A572" s="61" t="s">
        <v>2050</v>
      </c>
      <c r="B572" s="62" t="s">
        <v>907</v>
      </c>
      <c r="C572" s="62" t="s">
        <v>2450</v>
      </c>
      <c r="D572" s="63">
        <v>44942</v>
      </c>
      <c r="E572" s="63">
        <v>46038</v>
      </c>
      <c r="F572" s="62" t="s">
        <v>1916</v>
      </c>
      <c r="G572" s="62" t="s">
        <v>630</v>
      </c>
      <c r="H572" s="62" t="s">
        <v>373</v>
      </c>
      <c r="I572" s="62" t="s">
        <v>825</v>
      </c>
      <c r="J572" s="62" t="s">
        <v>644</v>
      </c>
      <c r="K572" s="62" t="s">
        <v>371</v>
      </c>
      <c r="L572" s="62" t="s">
        <v>2421</v>
      </c>
      <c r="M572" s="66" t="s">
        <v>1972</v>
      </c>
    </row>
    <row r="573" spans="1:13" x14ac:dyDescent="0.3">
      <c r="A573" s="61" t="s">
        <v>2050</v>
      </c>
      <c r="B573" s="62" t="s">
        <v>907</v>
      </c>
      <c r="C573" s="62" t="s">
        <v>2450</v>
      </c>
      <c r="D573" s="63">
        <v>44942</v>
      </c>
      <c r="E573" s="63">
        <v>46038</v>
      </c>
      <c r="F573" s="62" t="s">
        <v>1941</v>
      </c>
      <c r="G573" s="62" t="s">
        <v>325</v>
      </c>
      <c r="H573" s="62" t="s">
        <v>373</v>
      </c>
      <c r="I573" s="62" t="s">
        <v>825</v>
      </c>
      <c r="J573" s="62" t="s">
        <v>644</v>
      </c>
      <c r="K573" s="62" t="s">
        <v>371</v>
      </c>
      <c r="L573" s="62" t="s">
        <v>2421</v>
      </c>
      <c r="M573" s="66" t="s">
        <v>1972</v>
      </c>
    </row>
    <row r="574" spans="1:13" x14ac:dyDescent="0.3">
      <c r="A574" s="61" t="s">
        <v>2050</v>
      </c>
      <c r="B574" s="62" t="s">
        <v>907</v>
      </c>
      <c r="C574" s="62" t="s">
        <v>2450</v>
      </c>
      <c r="D574" s="63">
        <v>44942</v>
      </c>
      <c r="E574" s="63">
        <v>46038</v>
      </c>
      <c r="F574" s="62" t="s">
        <v>1945</v>
      </c>
      <c r="G574" s="62" t="s">
        <v>400</v>
      </c>
      <c r="H574" s="62" t="s">
        <v>373</v>
      </c>
      <c r="I574" s="62" t="s">
        <v>825</v>
      </c>
      <c r="J574" s="62" t="s">
        <v>644</v>
      </c>
      <c r="K574" s="62" t="s">
        <v>371</v>
      </c>
      <c r="L574" s="62" t="s">
        <v>2421</v>
      </c>
      <c r="M574" s="66" t="s">
        <v>1972</v>
      </c>
    </row>
    <row r="575" spans="1:13" x14ac:dyDescent="0.3">
      <c r="A575" s="61" t="s">
        <v>2051</v>
      </c>
      <c r="B575" s="62" t="s">
        <v>908</v>
      </c>
      <c r="C575" s="62" t="s">
        <v>610</v>
      </c>
      <c r="D575" s="63">
        <v>44858</v>
      </c>
      <c r="E575" s="63">
        <v>46136</v>
      </c>
      <c r="F575" s="62" t="s">
        <v>350</v>
      </c>
      <c r="G575" s="62" t="s">
        <v>304</v>
      </c>
      <c r="H575" s="62" t="s">
        <v>373</v>
      </c>
      <c r="I575" s="62" t="s">
        <v>424</v>
      </c>
      <c r="J575" s="62" t="s">
        <v>909</v>
      </c>
      <c r="K575" s="62" t="s">
        <v>637</v>
      </c>
      <c r="L575" s="62" t="s">
        <v>2421</v>
      </c>
      <c r="M575" s="66" t="s">
        <v>1968</v>
      </c>
    </row>
    <row r="576" spans="1:13" x14ac:dyDescent="0.3">
      <c r="A576" s="61" t="s">
        <v>2052</v>
      </c>
      <c r="B576" s="62" t="s">
        <v>914</v>
      </c>
      <c r="C576" s="62" t="s">
        <v>915</v>
      </c>
      <c r="D576" s="63">
        <v>44936</v>
      </c>
      <c r="E576" s="63">
        <v>47848</v>
      </c>
      <c r="F576" s="62" t="s">
        <v>1959</v>
      </c>
      <c r="G576" s="62" t="s">
        <v>666</v>
      </c>
      <c r="H576" s="62" t="s">
        <v>895</v>
      </c>
      <c r="I576" s="62" t="s">
        <v>424</v>
      </c>
      <c r="J576" s="62" t="s">
        <v>916</v>
      </c>
      <c r="K576" s="62" t="s">
        <v>315</v>
      </c>
      <c r="L576" s="62" t="s">
        <v>2421</v>
      </c>
      <c r="M576" s="66" t="s">
        <v>1976</v>
      </c>
    </row>
    <row r="577" spans="1:13" x14ac:dyDescent="0.3">
      <c r="A577" s="61" t="s">
        <v>2052</v>
      </c>
      <c r="B577" s="62" t="s">
        <v>914</v>
      </c>
      <c r="C577" s="62" t="s">
        <v>915</v>
      </c>
      <c r="D577" s="63">
        <v>44936</v>
      </c>
      <c r="E577" s="63">
        <v>47848</v>
      </c>
      <c r="F577" s="62" t="s">
        <v>1959</v>
      </c>
      <c r="G577" s="62" t="s">
        <v>584</v>
      </c>
      <c r="H577" s="62" t="s">
        <v>895</v>
      </c>
      <c r="I577" s="62" t="s">
        <v>424</v>
      </c>
      <c r="J577" s="62" t="s">
        <v>916</v>
      </c>
      <c r="K577" s="62" t="s">
        <v>315</v>
      </c>
      <c r="L577" s="62" t="s">
        <v>2421</v>
      </c>
      <c r="M577" s="66" t="s">
        <v>1976</v>
      </c>
    </row>
    <row r="578" spans="1:13" x14ac:dyDescent="0.3">
      <c r="A578" s="61" t="s">
        <v>2052</v>
      </c>
      <c r="B578" s="62" t="s">
        <v>914</v>
      </c>
      <c r="C578" s="62" t="s">
        <v>915</v>
      </c>
      <c r="D578" s="63">
        <v>44936</v>
      </c>
      <c r="E578" s="63">
        <v>47848</v>
      </c>
      <c r="F578" s="62" t="s">
        <v>1959</v>
      </c>
      <c r="G578" s="62" t="s">
        <v>794</v>
      </c>
      <c r="H578" s="62" t="s">
        <v>895</v>
      </c>
      <c r="I578" s="62" t="s">
        <v>424</v>
      </c>
      <c r="J578" s="62" t="s">
        <v>916</v>
      </c>
      <c r="K578" s="62" t="s">
        <v>315</v>
      </c>
      <c r="L578" s="62" t="s">
        <v>2421</v>
      </c>
      <c r="M578" s="66" t="s">
        <v>1976</v>
      </c>
    </row>
    <row r="579" spans="1:13" x14ac:dyDescent="0.3">
      <c r="A579" s="61" t="s">
        <v>2052</v>
      </c>
      <c r="B579" s="62" t="s">
        <v>914</v>
      </c>
      <c r="C579" s="62" t="s">
        <v>915</v>
      </c>
      <c r="D579" s="63">
        <v>44936</v>
      </c>
      <c r="E579" s="63">
        <v>47848</v>
      </c>
      <c r="F579" s="62" t="s">
        <v>1959</v>
      </c>
      <c r="G579" s="62" t="s">
        <v>585</v>
      </c>
      <c r="H579" s="62" t="s">
        <v>895</v>
      </c>
      <c r="I579" s="62" t="s">
        <v>424</v>
      </c>
      <c r="J579" s="62" t="s">
        <v>916</v>
      </c>
      <c r="K579" s="62" t="s">
        <v>315</v>
      </c>
      <c r="L579" s="62" t="s">
        <v>2421</v>
      </c>
      <c r="M579" s="66" t="s">
        <v>1976</v>
      </c>
    </row>
    <row r="580" spans="1:13" x14ac:dyDescent="0.3">
      <c r="A580" s="61" t="s">
        <v>2052</v>
      </c>
      <c r="B580" s="62" t="s">
        <v>914</v>
      </c>
      <c r="C580" s="62" t="s">
        <v>915</v>
      </c>
      <c r="D580" s="63">
        <v>44936</v>
      </c>
      <c r="E580" s="63">
        <v>47848</v>
      </c>
      <c r="F580" s="62" t="s">
        <v>1959</v>
      </c>
      <c r="G580" s="62" t="s">
        <v>612</v>
      </c>
      <c r="H580" s="62" t="s">
        <v>895</v>
      </c>
      <c r="I580" s="62" t="s">
        <v>424</v>
      </c>
      <c r="J580" s="62" t="s">
        <v>916</v>
      </c>
      <c r="K580" s="62" t="s">
        <v>315</v>
      </c>
      <c r="L580" s="62" t="s">
        <v>2421</v>
      </c>
      <c r="M580" s="66" t="s">
        <v>1976</v>
      </c>
    </row>
    <row r="581" spans="1:13" x14ac:dyDescent="0.3">
      <c r="A581" s="61" t="s">
        <v>2052</v>
      </c>
      <c r="B581" s="62" t="s">
        <v>914</v>
      </c>
      <c r="C581" s="62" t="s">
        <v>915</v>
      </c>
      <c r="D581" s="63">
        <v>44936</v>
      </c>
      <c r="E581" s="63">
        <v>47848</v>
      </c>
      <c r="F581" s="62" t="s">
        <v>1959</v>
      </c>
      <c r="G581" s="62" t="s">
        <v>670</v>
      </c>
      <c r="H581" s="62" t="s">
        <v>895</v>
      </c>
      <c r="I581" s="62" t="s">
        <v>424</v>
      </c>
      <c r="J581" s="62" t="s">
        <v>916</v>
      </c>
      <c r="K581" s="62" t="s">
        <v>315</v>
      </c>
      <c r="L581" s="62" t="s">
        <v>2421</v>
      </c>
      <c r="M581" s="66" t="s">
        <v>1976</v>
      </c>
    </row>
    <row r="582" spans="1:13" x14ac:dyDescent="0.3">
      <c r="A582" s="61" t="s">
        <v>2052</v>
      </c>
      <c r="B582" s="62" t="s">
        <v>914</v>
      </c>
      <c r="C582" s="62" t="s">
        <v>915</v>
      </c>
      <c r="D582" s="63">
        <v>44936</v>
      </c>
      <c r="E582" s="63">
        <v>47848</v>
      </c>
      <c r="F582" s="62" t="s">
        <v>1942</v>
      </c>
      <c r="G582" s="62" t="s">
        <v>757</v>
      </c>
      <c r="H582" s="62" t="s">
        <v>895</v>
      </c>
      <c r="I582" s="62" t="s">
        <v>424</v>
      </c>
      <c r="J582" s="62" t="s">
        <v>916</v>
      </c>
      <c r="K582" s="62" t="s">
        <v>315</v>
      </c>
      <c r="L582" s="62" t="s">
        <v>2421</v>
      </c>
      <c r="M582" s="66" t="s">
        <v>1976</v>
      </c>
    </row>
    <row r="583" spans="1:13" x14ac:dyDescent="0.3">
      <c r="A583" s="61" t="s">
        <v>2052</v>
      </c>
      <c r="B583" s="62" t="s">
        <v>914</v>
      </c>
      <c r="C583" s="62" t="s">
        <v>915</v>
      </c>
      <c r="D583" s="63">
        <v>44936</v>
      </c>
      <c r="E583" s="63">
        <v>47848</v>
      </c>
      <c r="F583" s="62" t="s">
        <v>1942</v>
      </c>
      <c r="G583" s="62" t="s">
        <v>897</v>
      </c>
      <c r="H583" s="62" t="s">
        <v>895</v>
      </c>
      <c r="I583" s="62" t="s">
        <v>424</v>
      </c>
      <c r="J583" s="62" t="s">
        <v>916</v>
      </c>
      <c r="K583" s="62" t="s">
        <v>315</v>
      </c>
      <c r="L583" s="62" t="s">
        <v>2421</v>
      </c>
      <c r="M583" s="66" t="s">
        <v>1976</v>
      </c>
    </row>
    <row r="584" spans="1:13" x14ac:dyDescent="0.3">
      <c r="A584" s="61" t="s">
        <v>2052</v>
      </c>
      <c r="B584" s="62" t="s">
        <v>914</v>
      </c>
      <c r="C584" s="62" t="s">
        <v>915</v>
      </c>
      <c r="D584" s="63">
        <v>44936</v>
      </c>
      <c r="E584" s="63">
        <v>47848</v>
      </c>
      <c r="F584" s="62" t="s">
        <v>1942</v>
      </c>
      <c r="G584" s="62" t="s">
        <v>898</v>
      </c>
      <c r="H584" s="62" t="s">
        <v>895</v>
      </c>
      <c r="I584" s="62" t="s">
        <v>424</v>
      </c>
      <c r="J584" s="62" t="s">
        <v>916</v>
      </c>
      <c r="K584" s="62" t="s">
        <v>315</v>
      </c>
      <c r="L584" s="62" t="s">
        <v>2421</v>
      </c>
      <c r="M584" s="66" t="s">
        <v>1976</v>
      </c>
    </row>
    <row r="585" spans="1:13" x14ac:dyDescent="0.3">
      <c r="A585" s="61" t="s">
        <v>2052</v>
      </c>
      <c r="B585" s="62" t="s">
        <v>914</v>
      </c>
      <c r="C585" s="62" t="s">
        <v>915</v>
      </c>
      <c r="D585" s="63">
        <v>44936</v>
      </c>
      <c r="E585" s="63">
        <v>47848</v>
      </c>
      <c r="F585" s="62" t="s">
        <v>1930</v>
      </c>
      <c r="G585" s="62" t="s">
        <v>721</v>
      </c>
      <c r="H585" s="62" t="s">
        <v>895</v>
      </c>
      <c r="I585" s="62" t="s">
        <v>424</v>
      </c>
      <c r="J585" s="62" t="s">
        <v>916</v>
      </c>
      <c r="K585" s="62" t="s">
        <v>315</v>
      </c>
      <c r="L585" s="62" t="s">
        <v>2421</v>
      </c>
      <c r="M585" s="66" t="s">
        <v>1976</v>
      </c>
    </row>
    <row r="586" spans="1:13" x14ac:dyDescent="0.3">
      <c r="A586" s="61" t="s">
        <v>2052</v>
      </c>
      <c r="B586" s="62" t="s">
        <v>914</v>
      </c>
      <c r="C586" s="62" t="s">
        <v>915</v>
      </c>
      <c r="D586" s="63">
        <v>44936</v>
      </c>
      <c r="E586" s="63">
        <v>47848</v>
      </c>
      <c r="F586" s="62" t="s">
        <v>1930</v>
      </c>
      <c r="G586" s="62" t="s">
        <v>453</v>
      </c>
      <c r="H586" s="62" t="s">
        <v>895</v>
      </c>
      <c r="I586" s="62" t="s">
        <v>424</v>
      </c>
      <c r="J586" s="62" t="s">
        <v>916</v>
      </c>
      <c r="K586" s="62" t="s">
        <v>315</v>
      </c>
      <c r="L586" s="62" t="s">
        <v>2421</v>
      </c>
      <c r="M586" s="66" t="s">
        <v>1976</v>
      </c>
    </row>
    <row r="587" spans="1:13" x14ac:dyDescent="0.3">
      <c r="A587" s="61" t="s">
        <v>2052</v>
      </c>
      <c r="B587" s="62" t="s">
        <v>914</v>
      </c>
      <c r="C587" s="62" t="s">
        <v>915</v>
      </c>
      <c r="D587" s="63">
        <v>44936</v>
      </c>
      <c r="E587" s="63">
        <v>47848</v>
      </c>
      <c r="F587" s="62" t="s">
        <v>1945</v>
      </c>
      <c r="G587" s="62" t="s">
        <v>400</v>
      </c>
      <c r="H587" s="62" t="s">
        <v>895</v>
      </c>
      <c r="I587" s="62" t="s">
        <v>424</v>
      </c>
      <c r="J587" s="62" t="s">
        <v>916</v>
      </c>
      <c r="K587" s="62" t="s">
        <v>315</v>
      </c>
      <c r="L587" s="62" t="s">
        <v>2421</v>
      </c>
      <c r="M587" s="66" t="s">
        <v>1976</v>
      </c>
    </row>
    <row r="588" spans="1:13" x14ac:dyDescent="0.3">
      <c r="A588" s="61" t="s">
        <v>2052</v>
      </c>
      <c r="B588" s="62" t="s">
        <v>914</v>
      </c>
      <c r="C588" s="62" t="s">
        <v>915</v>
      </c>
      <c r="D588" s="63">
        <v>44936</v>
      </c>
      <c r="E588" s="63">
        <v>47848</v>
      </c>
      <c r="F588" s="62" t="s">
        <v>1945</v>
      </c>
      <c r="G588" s="62" t="s">
        <v>555</v>
      </c>
      <c r="H588" s="62" t="s">
        <v>895</v>
      </c>
      <c r="I588" s="62" t="s">
        <v>424</v>
      </c>
      <c r="J588" s="62" t="s">
        <v>916</v>
      </c>
      <c r="K588" s="62" t="s">
        <v>315</v>
      </c>
      <c r="L588" s="62" t="s">
        <v>2421</v>
      </c>
      <c r="M588" s="66" t="s">
        <v>1976</v>
      </c>
    </row>
    <row r="589" spans="1:13" x14ac:dyDescent="0.3">
      <c r="A589" s="61" t="s">
        <v>2052</v>
      </c>
      <c r="B589" s="62" t="s">
        <v>914</v>
      </c>
      <c r="C589" s="62" t="s">
        <v>915</v>
      </c>
      <c r="D589" s="63">
        <v>44936</v>
      </c>
      <c r="E589" s="63">
        <v>47848</v>
      </c>
      <c r="F589" s="62" t="s">
        <v>1931</v>
      </c>
      <c r="G589" s="62" t="s">
        <v>281</v>
      </c>
      <c r="H589" s="62" t="s">
        <v>895</v>
      </c>
      <c r="I589" s="62" t="s">
        <v>424</v>
      </c>
      <c r="J589" s="62" t="s">
        <v>916</v>
      </c>
      <c r="K589" s="62" t="s">
        <v>315</v>
      </c>
      <c r="L589" s="62" t="s">
        <v>2421</v>
      </c>
      <c r="M589" s="66" t="s">
        <v>1976</v>
      </c>
    </row>
    <row r="590" spans="1:13" x14ac:dyDescent="0.3">
      <c r="A590" s="61" t="s">
        <v>2052</v>
      </c>
      <c r="B590" s="62" t="s">
        <v>914</v>
      </c>
      <c r="C590" s="62" t="s">
        <v>915</v>
      </c>
      <c r="D590" s="63">
        <v>44936</v>
      </c>
      <c r="E590" s="63">
        <v>47848</v>
      </c>
      <c r="F590" s="62" t="s">
        <v>282</v>
      </c>
      <c r="G590" s="62" t="s">
        <v>283</v>
      </c>
      <c r="H590" s="62" t="s">
        <v>895</v>
      </c>
      <c r="I590" s="62" t="s">
        <v>424</v>
      </c>
      <c r="J590" s="62" t="s">
        <v>916</v>
      </c>
      <c r="K590" s="62" t="s">
        <v>315</v>
      </c>
      <c r="L590" s="62" t="s">
        <v>2421</v>
      </c>
      <c r="M590" s="66" t="s">
        <v>1976</v>
      </c>
    </row>
    <row r="591" spans="1:13" x14ac:dyDescent="0.3">
      <c r="A591" s="61" t="s">
        <v>2052</v>
      </c>
      <c r="B591" s="62" t="s">
        <v>914</v>
      </c>
      <c r="C591" s="62" t="s">
        <v>915</v>
      </c>
      <c r="D591" s="63">
        <v>44936</v>
      </c>
      <c r="E591" s="63">
        <v>47848</v>
      </c>
      <c r="F591" s="62" t="s">
        <v>1921</v>
      </c>
      <c r="G591" s="62" t="s">
        <v>487</v>
      </c>
      <c r="H591" s="62" t="s">
        <v>895</v>
      </c>
      <c r="I591" s="62" t="s">
        <v>424</v>
      </c>
      <c r="J591" s="62" t="s">
        <v>916</v>
      </c>
      <c r="K591" s="62" t="s">
        <v>315</v>
      </c>
      <c r="L591" s="62" t="s">
        <v>2421</v>
      </c>
      <c r="M591" s="66" t="s">
        <v>1976</v>
      </c>
    </row>
    <row r="592" spans="1:13" x14ac:dyDescent="0.3">
      <c r="A592" s="61" t="s">
        <v>2052</v>
      </c>
      <c r="B592" s="62" t="s">
        <v>914</v>
      </c>
      <c r="C592" s="62" t="s">
        <v>915</v>
      </c>
      <c r="D592" s="63">
        <v>44936</v>
      </c>
      <c r="E592" s="63">
        <v>47848</v>
      </c>
      <c r="F592" s="62" t="s">
        <v>348</v>
      </c>
      <c r="G592" s="62" t="s">
        <v>348</v>
      </c>
      <c r="H592" s="62" t="s">
        <v>895</v>
      </c>
      <c r="I592" s="62" t="s">
        <v>424</v>
      </c>
      <c r="J592" s="62" t="s">
        <v>916</v>
      </c>
      <c r="K592" s="62" t="s">
        <v>315</v>
      </c>
      <c r="L592" s="62" t="s">
        <v>2421</v>
      </c>
      <c r="M592" s="66" t="s">
        <v>1976</v>
      </c>
    </row>
    <row r="593" spans="1:13" x14ac:dyDescent="0.3">
      <c r="A593" s="61" t="s">
        <v>2052</v>
      </c>
      <c r="B593" s="62" t="s">
        <v>914</v>
      </c>
      <c r="C593" s="62" t="s">
        <v>915</v>
      </c>
      <c r="D593" s="63">
        <v>44936</v>
      </c>
      <c r="E593" s="63">
        <v>47848</v>
      </c>
      <c r="F593" s="62" t="s">
        <v>1934</v>
      </c>
      <c r="G593" s="62" t="s">
        <v>477</v>
      </c>
      <c r="H593" s="62" t="s">
        <v>895</v>
      </c>
      <c r="I593" s="62" t="s">
        <v>424</v>
      </c>
      <c r="J593" s="62" t="s">
        <v>916</v>
      </c>
      <c r="K593" s="62" t="s">
        <v>315</v>
      </c>
      <c r="L593" s="62" t="s">
        <v>2421</v>
      </c>
      <c r="M593" s="66" t="s">
        <v>1976</v>
      </c>
    </row>
    <row r="594" spans="1:13" x14ac:dyDescent="0.3">
      <c r="A594" s="61" t="s">
        <v>2052</v>
      </c>
      <c r="B594" s="62" t="s">
        <v>914</v>
      </c>
      <c r="C594" s="62" t="s">
        <v>915</v>
      </c>
      <c r="D594" s="63">
        <v>44936</v>
      </c>
      <c r="E594" s="63">
        <v>47848</v>
      </c>
      <c r="F594" s="62" t="s">
        <v>1939</v>
      </c>
      <c r="G594" s="62" t="s">
        <v>539</v>
      </c>
      <c r="H594" s="62" t="s">
        <v>895</v>
      </c>
      <c r="I594" s="62" t="s">
        <v>424</v>
      </c>
      <c r="J594" s="62" t="s">
        <v>916</v>
      </c>
      <c r="K594" s="62" t="s">
        <v>315</v>
      </c>
      <c r="L594" s="62" t="s">
        <v>2421</v>
      </c>
      <c r="M594" s="66" t="s">
        <v>1976</v>
      </c>
    </row>
    <row r="595" spans="1:13" x14ac:dyDescent="0.3">
      <c r="A595" s="61" t="s">
        <v>2052</v>
      </c>
      <c r="B595" s="62" t="s">
        <v>914</v>
      </c>
      <c r="C595" s="62" t="s">
        <v>915</v>
      </c>
      <c r="D595" s="63">
        <v>44936</v>
      </c>
      <c r="E595" s="63">
        <v>47848</v>
      </c>
      <c r="F595" s="62" t="s">
        <v>1958</v>
      </c>
      <c r="G595" s="62" t="s">
        <v>328</v>
      </c>
      <c r="H595" s="62" t="s">
        <v>895</v>
      </c>
      <c r="I595" s="62" t="s">
        <v>424</v>
      </c>
      <c r="J595" s="62" t="s">
        <v>916</v>
      </c>
      <c r="K595" s="62" t="s">
        <v>315</v>
      </c>
      <c r="L595" s="62" t="s">
        <v>2421</v>
      </c>
      <c r="M595" s="66" t="s">
        <v>1976</v>
      </c>
    </row>
    <row r="596" spans="1:13" x14ac:dyDescent="0.3">
      <c r="A596" s="61" t="s">
        <v>2052</v>
      </c>
      <c r="B596" s="62" t="s">
        <v>914</v>
      </c>
      <c r="C596" s="62" t="s">
        <v>915</v>
      </c>
      <c r="D596" s="63">
        <v>44936</v>
      </c>
      <c r="E596" s="63">
        <v>47848</v>
      </c>
      <c r="F596" s="62" t="s">
        <v>1961</v>
      </c>
      <c r="G596" s="62" t="s">
        <v>634</v>
      </c>
      <c r="H596" s="62" t="s">
        <v>895</v>
      </c>
      <c r="I596" s="62" t="s">
        <v>424</v>
      </c>
      <c r="J596" s="62" t="s">
        <v>916</v>
      </c>
      <c r="K596" s="62" t="s">
        <v>315</v>
      </c>
      <c r="L596" s="62" t="s">
        <v>2421</v>
      </c>
      <c r="M596" s="66" t="s">
        <v>1976</v>
      </c>
    </row>
    <row r="597" spans="1:13" x14ac:dyDescent="0.3">
      <c r="A597" s="61" t="s">
        <v>2052</v>
      </c>
      <c r="B597" s="62" t="s">
        <v>914</v>
      </c>
      <c r="C597" s="62" t="s">
        <v>915</v>
      </c>
      <c r="D597" s="63">
        <v>44936</v>
      </c>
      <c r="E597" s="63">
        <v>47848</v>
      </c>
      <c r="F597" s="62" t="s">
        <v>1941</v>
      </c>
      <c r="G597" s="62" t="s">
        <v>325</v>
      </c>
      <c r="H597" s="62" t="s">
        <v>895</v>
      </c>
      <c r="I597" s="62" t="s">
        <v>424</v>
      </c>
      <c r="J597" s="62" t="s">
        <v>916</v>
      </c>
      <c r="K597" s="62" t="s">
        <v>315</v>
      </c>
      <c r="L597" s="62" t="s">
        <v>2421</v>
      </c>
      <c r="M597" s="66" t="s">
        <v>1976</v>
      </c>
    </row>
    <row r="598" spans="1:13" x14ac:dyDescent="0.3">
      <c r="A598" s="61" t="s">
        <v>2052</v>
      </c>
      <c r="B598" s="62" t="s">
        <v>914</v>
      </c>
      <c r="C598" s="62" t="s">
        <v>915</v>
      </c>
      <c r="D598" s="63">
        <v>44936</v>
      </c>
      <c r="E598" s="63">
        <v>47848</v>
      </c>
      <c r="F598" s="62" t="s">
        <v>1936</v>
      </c>
      <c r="G598" s="62" t="s">
        <v>411</v>
      </c>
      <c r="H598" s="62" t="s">
        <v>895</v>
      </c>
      <c r="I598" s="62" t="s">
        <v>424</v>
      </c>
      <c r="J598" s="62" t="s">
        <v>916</v>
      </c>
      <c r="K598" s="62" t="s">
        <v>315</v>
      </c>
      <c r="L598" s="62" t="s">
        <v>2421</v>
      </c>
      <c r="M598" s="66" t="s">
        <v>1976</v>
      </c>
    </row>
    <row r="599" spans="1:13" x14ac:dyDescent="0.3">
      <c r="A599" s="61" t="s">
        <v>2052</v>
      </c>
      <c r="B599" s="62" t="s">
        <v>914</v>
      </c>
      <c r="C599" s="62" t="s">
        <v>915</v>
      </c>
      <c r="D599" s="63">
        <v>44936</v>
      </c>
      <c r="E599" s="63">
        <v>47848</v>
      </c>
      <c r="F599" s="62" t="s">
        <v>287</v>
      </c>
      <c r="G599" s="62" t="s">
        <v>396</v>
      </c>
      <c r="H599" s="62" t="s">
        <v>895</v>
      </c>
      <c r="I599" s="62" t="s">
        <v>424</v>
      </c>
      <c r="J599" s="62" t="s">
        <v>916</v>
      </c>
      <c r="K599" s="62" t="s">
        <v>315</v>
      </c>
      <c r="L599" s="62" t="s">
        <v>2421</v>
      </c>
      <c r="M599" s="66" t="s">
        <v>1976</v>
      </c>
    </row>
    <row r="600" spans="1:13" x14ac:dyDescent="0.3">
      <c r="A600" s="61" t="s">
        <v>2053</v>
      </c>
      <c r="B600" s="62" t="s">
        <v>917</v>
      </c>
      <c r="C600" s="62" t="s">
        <v>918</v>
      </c>
      <c r="D600" s="63">
        <v>44950</v>
      </c>
      <c r="E600" s="63">
        <v>46387</v>
      </c>
      <c r="F600" s="62" t="s">
        <v>1930</v>
      </c>
      <c r="G600" s="62" t="s">
        <v>510</v>
      </c>
      <c r="H600" s="62" t="s">
        <v>664</v>
      </c>
      <c r="I600" s="62" t="s">
        <v>825</v>
      </c>
      <c r="J600" s="62" t="s">
        <v>378</v>
      </c>
      <c r="K600" s="62" t="s">
        <v>371</v>
      </c>
      <c r="L600" s="62" t="s">
        <v>2421</v>
      </c>
      <c r="M600" s="66" t="s">
        <v>1986</v>
      </c>
    </row>
    <row r="601" spans="1:13" x14ac:dyDescent="0.3">
      <c r="A601" s="61" t="s">
        <v>2053</v>
      </c>
      <c r="B601" s="62" t="s">
        <v>917</v>
      </c>
      <c r="C601" s="62" t="s">
        <v>918</v>
      </c>
      <c r="D601" s="63">
        <v>44950</v>
      </c>
      <c r="E601" s="63">
        <v>46387</v>
      </c>
      <c r="F601" s="62" t="s">
        <v>1930</v>
      </c>
      <c r="G601" s="62" t="s">
        <v>695</v>
      </c>
      <c r="H601" s="62" t="s">
        <v>664</v>
      </c>
      <c r="I601" s="62" t="s">
        <v>825</v>
      </c>
      <c r="J601" s="62" t="s">
        <v>378</v>
      </c>
      <c r="K601" s="62" t="s">
        <v>371</v>
      </c>
      <c r="L601" s="62" t="s">
        <v>2421</v>
      </c>
      <c r="M601" s="66" t="s">
        <v>1986</v>
      </c>
    </row>
    <row r="602" spans="1:13" x14ac:dyDescent="0.3">
      <c r="A602" s="61" t="s">
        <v>2053</v>
      </c>
      <c r="B602" s="62" t="s">
        <v>917</v>
      </c>
      <c r="C602" s="62" t="s">
        <v>918</v>
      </c>
      <c r="D602" s="63">
        <v>44950</v>
      </c>
      <c r="E602" s="63">
        <v>46387</v>
      </c>
      <c r="F602" s="62" t="s">
        <v>1930</v>
      </c>
      <c r="G602" s="62" t="s">
        <v>919</v>
      </c>
      <c r="H602" s="62" t="s">
        <v>664</v>
      </c>
      <c r="I602" s="62" t="s">
        <v>825</v>
      </c>
      <c r="J602" s="62" t="s">
        <v>378</v>
      </c>
      <c r="K602" s="62" t="s">
        <v>371</v>
      </c>
      <c r="L602" s="62" t="s">
        <v>2421</v>
      </c>
      <c r="M602" s="66" t="s">
        <v>1986</v>
      </c>
    </row>
    <row r="603" spans="1:13" x14ac:dyDescent="0.3">
      <c r="A603" s="61" t="s">
        <v>2053</v>
      </c>
      <c r="B603" s="62" t="s">
        <v>917</v>
      </c>
      <c r="C603" s="62" t="s">
        <v>918</v>
      </c>
      <c r="D603" s="63">
        <v>44950</v>
      </c>
      <c r="E603" s="63">
        <v>46387</v>
      </c>
      <c r="F603" s="62" t="s">
        <v>1930</v>
      </c>
      <c r="G603" s="62" t="s">
        <v>516</v>
      </c>
      <c r="H603" s="62" t="s">
        <v>664</v>
      </c>
      <c r="I603" s="62" t="s">
        <v>825</v>
      </c>
      <c r="J603" s="62" t="s">
        <v>378</v>
      </c>
      <c r="K603" s="62" t="s">
        <v>371</v>
      </c>
      <c r="L603" s="62" t="s">
        <v>2421</v>
      </c>
      <c r="M603" s="66" t="s">
        <v>1986</v>
      </c>
    </row>
    <row r="604" spans="1:13" x14ac:dyDescent="0.3">
      <c r="A604" s="61" t="s">
        <v>2053</v>
      </c>
      <c r="B604" s="62" t="s">
        <v>917</v>
      </c>
      <c r="C604" s="62" t="s">
        <v>918</v>
      </c>
      <c r="D604" s="63">
        <v>44950</v>
      </c>
      <c r="E604" s="63">
        <v>46387</v>
      </c>
      <c r="F604" s="62" t="s">
        <v>1930</v>
      </c>
      <c r="G604" s="62" t="s">
        <v>518</v>
      </c>
      <c r="H604" s="62" t="s">
        <v>664</v>
      </c>
      <c r="I604" s="62" t="s">
        <v>825</v>
      </c>
      <c r="J604" s="62" t="s">
        <v>378</v>
      </c>
      <c r="K604" s="62" t="s">
        <v>371</v>
      </c>
      <c r="L604" s="62" t="s">
        <v>2421</v>
      </c>
      <c r="M604" s="66" t="s">
        <v>1986</v>
      </c>
    </row>
    <row r="605" spans="1:13" x14ac:dyDescent="0.3">
      <c r="A605" s="61" t="s">
        <v>2053</v>
      </c>
      <c r="B605" s="62" t="s">
        <v>917</v>
      </c>
      <c r="C605" s="62" t="s">
        <v>918</v>
      </c>
      <c r="D605" s="63">
        <v>44950</v>
      </c>
      <c r="E605" s="63">
        <v>46387</v>
      </c>
      <c r="F605" s="62" t="s">
        <v>1930</v>
      </c>
      <c r="G605" s="62" t="s">
        <v>920</v>
      </c>
      <c r="H605" s="62" t="s">
        <v>664</v>
      </c>
      <c r="I605" s="62" t="s">
        <v>825</v>
      </c>
      <c r="J605" s="62" t="s">
        <v>378</v>
      </c>
      <c r="K605" s="62" t="s">
        <v>371</v>
      </c>
      <c r="L605" s="62" t="s">
        <v>2421</v>
      </c>
      <c r="M605" s="66" t="s">
        <v>1986</v>
      </c>
    </row>
    <row r="606" spans="1:13" x14ac:dyDescent="0.3">
      <c r="A606" s="61" t="s">
        <v>2053</v>
      </c>
      <c r="B606" s="62" t="s">
        <v>917</v>
      </c>
      <c r="C606" s="62" t="s">
        <v>918</v>
      </c>
      <c r="D606" s="63">
        <v>44950</v>
      </c>
      <c r="E606" s="63">
        <v>46387</v>
      </c>
      <c r="F606" s="62" t="s">
        <v>348</v>
      </c>
      <c r="G606" s="62" t="s">
        <v>348</v>
      </c>
      <c r="H606" s="62" t="s">
        <v>664</v>
      </c>
      <c r="I606" s="62" t="s">
        <v>825</v>
      </c>
      <c r="J606" s="62" t="s">
        <v>378</v>
      </c>
      <c r="K606" s="62" t="s">
        <v>371</v>
      </c>
      <c r="L606" s="62" t="s">
        <v>2421</v>
      </c>
      <c r="M606" s="66" t="s">
        <v>1986</v>
      </c>
    </row>
    <row r="607" spans="1:13" x14ac:dyDescent="0.3">
      <c r="A607" s="61" t="s">
        <v>2053</v>
      </c>
      <c r="B607" s="62" t="s">
        <v>917</v>
      </c>
      <c r="C607" s="62" t="s">
        <v>918</v>
      </c>
      <c r="D607" s="63">
        <v>44950</v>
      </c>
      <c r="E607" s="63">
        <v>46387</v>
      </c>
      <c r="F607" s="62" t="s">
        <v>1933</v>
      </c>
      <c r="G607" s="62" t="s">
        <v>921</v>
      </c>
      <c r="H607" s="62" t="s">
        <v>664</v>
      </c>
      <c r="I607" s="62" t="s">
        <v>825</v>
      </c>
      <c r="J607" s="62" t="s">
        <v>378</v>
      </c>
      <c r="K607" s="62" t="s">
        <v>371</v>
      </c>
      <c r="L607" s="62" t="s">
        <v>2421</v>
      </c>
      <c r="M607" s="66" t="s">
        <v>1986</v>
      </c>
    </row>
    <row r="608" spans="1:13" x14ac:dyDescent="0.3">
      <c r="A608" s="61" t="s">
        <v>2054</v>
      </c>
      <c r="B608" s="62" t="s">
        <v>922</v>
      </c>
      <c r="C608" s="62" t="s">
        <v>923</v>
      </c>
      <c r="D608" s="63">
        <v>44943</v>
      </c>
      <c r="E608" s="63">
        <v>46216</v>
      </c>
      <c r="F608" s="62" t="s">
        <v>1921</v>
      </c>
      <c r="G608" s="62" t="s">
        <v>559</v>
      </c>
      <c r="H608" s="62" t="s">
        <v>373</v>
      </c>
      <c r="I608" s="62" t="s">
        <v>2443</v>
      </c>
      <c r="J608" s="62" t="s">
        <v>640</v>
      </c>
      <c r="K608" s="62" t="s">
        <v>417</v>
      </c>
      <c r="L608" s="62" t="s">
        <v>2421</v>
      </c>
      <c r="M608" s="66" t="s">
        <v>1965</v>
      </c>
    </row>
    <row r="609" spans="1:13" x14ac:dyDescent="0.3">
      <c r="A609" s="61" t="s">
        <v>2054</v>
      </c>
      <c r="B609" s="62" t="s">
        <v>922</v>
      </c>
      <c r="C609" s="62" t="s">
        <v>923</v>
      </c>
      <c r="D609" s="63">
        <v>44943</v>
      </c>
      <c r="E609" s="63">
        <v>46216</v>
      </c>
      <c r="F609" s="62" t="s">
        <v>1921</v>
      </c>
      <c r="G609" s="62" t="s">
        <v>487</v>
      </c>
      <c r="H609" s="62" t="s">
        <v>373</v>
      </c>
      <c r="I609" s="62" t="s">
        <v>2443</v>
      </c>
      <c r="J609" s="62" t="s">
        <v>640</v>
      </c>
      <c r="K609" s="62" t="s">
        <v>417</v>
      </c>
      <c r="L609" s="62" t="s">
        <v>2421</v>
      </c>
      <c r="M609" s="66" t="s">
        <v>1965</v>
      </c>
    </row>
    <row r="610" spans="1:13" x14ac:dyDescent="0.3">
      <c r="A610" s="61" t="s">
        <v>2054</v>
      </c>
      <c r="B610" s="62" t="s">
        <v>922</v>
      </c>
      <c r="C610" s="62" t="s">
        <v>923</v>
      </c>
      <c r="D610" s="63">
        <v>44943</v>
      </c>
      <c r="E610" s="63">
        <v>46216</v>
      </c>
      <c r="F610" s="62" t="s">
        <v>1921</v>
      </c>
      <c r="G610" s="62" t="s">
        <v>560</v>
      </c>
      <c r="H610" s="62" t="s">
        <v>373</v>
      </c>
      <c r="I610" s="62" t="s">
        <v>2443</v>
      </c>
      <c r="J610" s="62" t="s">
        <v>640</v>
      </c>
      <c r="K610" s="62" t="s">
        <v>417</v>
      </c>
      <c r="L610" s="62" t="s">
        <v>2421</v>
      </c>
      <c r="M610" s="66" t="s">
        <v>1965</v>
      </c>
    </row>
    <row r="611" spans="1:13" x14ac:dyDescent="0.3">
      <c r="A611" s="61" t="s">
        <v>2054</v>
      </c>
      <c r="B611" s="62" t="s">
        <v>922</v>
      </c>
      <c r="C611" s="62" t="s">
        <v>923</v>
      </c>
      <c r="D611" s="63">
        <v>44943</v>
      </c>
      <c r="E611" s="63">
        <v>46216</v>
      </c>
      <c r="F611" s="62" t="s">
        <v>1922</v>
      </c>
      <c r="G611" s="62" t="s">
        <v>349</v>
      </c>
      <c r="H611" s="62" t="s">
        <v>373</v>
      </c>
      <c r="I611" s="62" t="s">
        <v>2443</v>
      </c>
      <c r="J611" s="62" t="s">
        <v>640</v>
      </c>
      <c r="K611" s="62" t="s">
        <v>417</v>
      </c>
      <c r="L611" s="62" t="s">
        <v>2421</v>
      </c>
      <c r="M611" s="66" t="s">
        <v>1965</v>
      </c>
    </row>
    <row r="612" spans="1:13" x14ac:dyDescent="0.3">
      <c r="A612" s="61" t="s">
        <v>2054</v>
      </c>
      <c r="B612" s="62" t="s">
        <v>922</v>
      </c>
      <c r="C612" s="62" t="s">
        <v>923</v>
      </c>
      <c r="D612" s="63">
        <v>44943</v>
      </c>
      <c r="E612" s="63">
        <v>46216</v>
      </c>
      <c r="F612" s="62" t="s">
        <v>1922</v>
      </c>
      <c r="G612" s="62" t="s">
        <v>387</v>
      </c>
      <c r="H612" s="62" t="s">
        <v>373</v>
      </c>
      <c r="I612" s="62" t="s">
        <v>2443</v>
      </c>
      <c r="J612" s="62" t="s">
        <v>640</v>
      </c>
      <c r="K612" s="62" t="s">
        <v>417</v>
      </c>
      <c r="L612" s="62" t="s">
        <v>2421</v>
      </c>
      <c r="M612" s="66" t="s">
        <v>1965</v>
      </c>
    </row>
    <row r="613" spans="1:13" x14ac:dyDescent="0.3">
      <c r="A613" s="61" t="s">
        <v>2054</v>
      </c>
      <c r="B613" s="62" t="s">
        <v>922</v>
      </c>
      <c r="C613" s="62" t="s">
        <v>923</v>
      </c>
      <c r="D613" s="63">
        <v>44943</v>
      </c>
      <c r="E613" s="63">
        <v>46216</v>
      </c>
      <c r="F613" s="62" t="s">
        <v>1922</v>
      </c>
      <c r="G613" s="62" t="s">
        <v>553</v>
      </c>
      <c r="H613" s="62" t="s">
        <v>373</v>
      </c>
      <c r="I613" s="62" t="s">
        <v>2443</v>
      </c>
      <c r="J613" s="62" t="s">
        <v>640</v>
      </c>
      <c r="K613" s="62" t="s">
        <v>417</v>
      </c>
      <c r="L613" s="62" t="s">
        <v>2421</v>
      </c>
      <c r="M613" s="66" t="s">
        <v>1965</v>
      </c>
    </row>
    <row r="614" spans="1:13" x14ac:dyDescent="0.3">
      <c r="A614" s="61" t="s">
        <v>2054</v>
      </c>
      <c r="B614" s="62" t="s">
        <v>922</v>
      </c>
      <c r="C614" s="62" t="s">
        <v>923</v>
      </c>
      <c r="D614" s="63">
        <v>44943</v>
      </c>
      <c r="E614" s="63">
        <v>46216</v>
      </c>
      <c r="F614" s="62" t="s">
        <v>1931</v>
      </c>
      <c r="G614" s="62" t="s">
        <v>281</v>
      </c>
      <c r="H614" s="62" t="s">
        <v>373</v>
      </c>
      <c r="I614" s="62" t="s">
        <v>2443</v>
      </c>
      <c r="J614" s="62" t="s">
        <v>640</v>
      </c>
      <c r="K614" s="62" t="s">
        <v>417</v>
      </c>
      <c r="L614" s="62" t="s">
        <v>2421</v>
      </c>
      <c r="M614" s="66" t="s">
        <v>1965</v>
      </c>
    </row>
    <row r="615" spans="1:13" x14ac:dyDescent="0.3">
      <c r="A615" s="61" t="s">
        <v>2054</v>
      </c>
      <c r="B615" s="62" t="s">
        <v>922</v>
      </c>
      <c r="C615" s="62" t="s">
        <v>923</v>
      </c>
      <c r="D615" s="63">
        <v>44943</v>
      </c>
      <c r="E615" s="63">
        <v>46216</v>
      </c>
      <c r="F615" s="62" t="s">
        <v>1931</v>
      </c>
      <c r="G615" s="62" t="s">
        <v>344</v>
      </c>
      <c r="H615" s="62" t="s">
        <v>373</v>
      </c>
      <c r="I615" s="62" t="s">
        <v>2443</v>
      </c>
      <c r="J615" s="62" t="s">
        <v>640</v>
      </c>
      <c r="K615" s="62" t="s">
        <v>417</v>
      </c>
      <c r="L615" s="62" t="s">
        <v>2421</v>
      </c>
      <c r="M615" s="66" t="s">
        <v>1965</v>
      </c>
    </row>
    <row r="616" spans="1:13" x14ac:dyDescent="0.3">
      <c r="A616" s="61" t="s">
        <v>2054</v>
      </c>
      <c r="B616" s="62" t="s">
        <v>922</v>
      </c>
      <c r="C616" s="62" t="s">
        <v>923</v>
      </c>
      <c r="D616" s="63">
        <v>44943</v>
      </c>
      <c r="E616" s="63">
        <v>46216</v>
      </c>
      <c r="F616" s="62" t="s">
        <v>280</v>
      </c>
      <c r="G616" s="62" t="s">
        <v>280</v>
      </c>
      <c r="H616" s="62" t="s">
        <v>373</v>
      </c>
      <c r="I616" s="62" t="s">
        <v>2443</v>
      </c>
      <c r="J616" s="62" t="s">
        <v>640</v>
      </c>
      <c r="K616" s="62" t="s">
        <v>417</v>
      </c>
      <c r="L616" s="62" t="s">
        <v>2421</v>
      </c>
      <c r="M616" s="66" t="s">
        <v>1965</v>
      </c>
    </row>
    <row r="617" spans="1:13" x14ac:dyDescent="0.3">
      <c r="A617" s="61" t="s">
        <v>2054</v>
      </c>
      <c r="B617" s="62" t="s">
        <v>922</v>
      </c>
      <c r="C617" s="62" t="s">
        <v>923</v>
      </c>
      <c r="D617" s="63">
        <v>44943</v>
      </c>
      <c r="E617" s="63">
        <v>46216</v>
      </c>
      <c r="F617" s="62" t="s">
        <v>280</v>
      </c>
      <c r="G617" s="62" t="s">
        <v>409</v>
      </c>
      <c r="H617" s="62" t="s">
        <v>373</v>
      </c>
      <c r="I617" s="62" t="s">
        <v>2443</v>
      </c>
      <c r="J617" s="62" t="s">
        <v>640</v>
      </c>
      <c r="K617" s="62" t="s">
        <v>417</v>
      </c>
      <c r="L617" s="62" t="s">
        <v>2421</v>
      </c>
      <c r="M617" s="66" t="s">
        <v>1965</v>
      </c>
    </row>
    <row r="618" spans="1:13" x14ac:dyDescent="0.3">
      <c r="A618" s="61" t="s">
        <v>2054</v>
      </c>
      <c r="B618" s="62" t="s">
        <v>922</v>
      </c>
      <c r="C618" s="62" t="s">
        <v>923</v>
      </c>
      <c r="D618" s="63">
        <v>44943</v>
      </c>
      <c r="E618" s="63">
        <v>46216</v>
      </c>
      <c r="F618" s="62" t="s">
        <v>282</v>
      </c>
      <c r="G618" s="62" t="s">
        <v>283</v>
      </c>
      <c r="H618" s="62" t="s">
        <v>373</v>
      </c>
      <c r="I618" s="62" t="s">
        <v>2443</v>
      </c>
      <c r="J618" s="62" t="s">
        <v>640</v>
      </c>
      <c r="K618" s="62" t="s">
        <v>417</v>
      </c>
      <c r="L618" s="62" t="s">
        <v>2421</v>
      </c>
      <c r="M618" s="66" t="s">
        <v>1965</v>
      </c>
    </row>
    <row r="619" spans="1:13" x14ac:dyDescent="0.3">
      <c r="A619" s="61" t="s">
        <v>2054</v>
      </c>
      <c r="B619" s="62" t="s">
        <v>922</v>
      </c>
      <c r="C619" s="62" t="s">
        <v>923</v>
      </c>
      <c r="D619" s="63">
        <v>44943</v>
      </c>
      <c r="E619" s="63">
        <v>46216</v>
      </c>
      <c r="F619" s="62" t="s">
        <v>348</v>
      </c>
      <c r="G619" s="62" t="s">
        <v>348</v>
      </c>
      <c r="H619" s="62" t="s">
        <v>373</v>
      </c>
      <c r="I619" s="62" t="s">
        <v>2443</v>
      </c>
      <c r="J619" s="62" t="s">
        <v>640</v>
      </c>
      <c r="K619" s="62" t="s">
        <v>417</v>
      </c>
      <c r="L619" s="62" t="s">
        <v>2421</v>
      </c>
      <c r="M619" s="66" t="s">
        <v>1965</v>
      </c>
    </row>
    <row r="620" spans="1:13" x14ac:dyDescent="0.3">
      <c r="A620" s="61" t="s">
        <v>2054</v>
      </c>
      <c r="B620" s="62" t="s">
        <v>922</v>
      </c>
      <c r="C620" s="62" t="s">
        <v>923</v>
      </c>
      <c r="D620" s="63">
        <v>44943</v>
      </c>
      <c r="E620" s="63">
        <v>46216</v>
      </c>
      <c r="F620" s="62" t="s">
        <v>1937</v>
      </c>
      <c r="G620" s="62" t="s">
        <v>566</v>
      </c>
      <c r="H620" s="62" t="s">
        <v>373</v>
      </c>
      <c r="I620" s="62" t="s">
        <v>2443</v>
      </c>
      <c r="J620" s="62" t="s">
        <v>640</v>
      </c>
      <c r="K620" s="62" t="s">
        <v>417</v>
      </c>
      <c r="L620" s="62" t="s">
        <v>2421</v>
      </c>
      <c r="M620" s="66" t="s">
        <v>1965</v>
      </c>
    </row>
    <row r="621" spans="1:13" x14ac:dyDescent="0.3">
      <c r="A621" s="61" t="s">
        <v>2055</v>
      </c>
      <c r="B621" s="62" t="s">
        <v>924</v>
      </c>
      <c r="C621" s="62" t="s">
        <v>925</v>
      </c>
      <c r="D621" s="63">
        <v>44958</v>
      </c>
      <c r="E621" s="63">
        <v>46053</v>
      </c>
      <c r="F621" s="62" t="s">
        <v>350</v>
      </c>
      <c r="G621" s="62" t="s">
        <v>304</v>
      </c>
      <c r="H621" s="62" t="s">
        <v>2453</v>
      </c>
      <c r="I621" s="62" t="s">
        <v>424</v>
      </c>
      <c r="J621" s="62" t="s">
        <v>909</v>
      </c>
      <c r="K621" s="62" t="s">
        <v>637</v>
      </c>
      <c r="L621" s="62" t="s">
        <v>2421</v>
      </c>
      <c r="M621" s="66" t="s">
        <v>1983</v>
      </c>
    </row>
    <row r="622" spans="1:13" x14ac:dyDescent="0.3">
      <c r="A622" s="61" t="s">
        <v>2056</v>
      </c>
      <c r="B622" s="62" t="s">
        <v>936</v>
      </c>
      <c r="C622" s="62" t="s">
        <v>937</v>
      </c>
      <c r="D622" s="63">
        <v>44941</v>
      </c>
      <c r="E622" s="63">
        <v>46036</v>
      </c>
      <c r="F622" s="62" t="s">
        <v>287</v>
      </c>
      <c r="G622" s="62" t="s">
        <v>396</v>
      </c>
      <c r="H622" s="62" t="s">
        <v>373</v>
      </c>
      <c r="I622" s="62" t="s">
        <v>2443</v>
      </c>
      <c r="J622" s="62" t="s">
        <v>2424</v>
      </c>
      <c r="K622" s="62" t="s">
        <v>426</v>
      </c>
      <c r="L622" s="62" t="s">
        <v>2421</v>
      </c>
      <c r="M622" s="66" t="s">
        <v>1972</v>
      </c>
    </row>
    <row r="623" spans="1:13" x14ac:dyDescent="0.3">
      <c r="A623" s="61" t="s">
        <v>2056</v>
      </c>
      <c r="B623" s="62" t="s">
        <v>936</v>
      </c>
      <c r="C623" s="62" t="s">
        <v>937</v>
      </c>
      <c r="D623" s="63">
        <v>44941</v>
      </c>
      <c r="E623" s="63">
        <v>46036</v>
      </c>
      <c r="F623" s="62" t="s">
        <v>1945</v>
      </c>
      <c r="G623" s="62" t="s">
        <v>400</v>
      </c>
      <c r="H623" s="62" t="s">
        <v>373</v>
      </c>
      <c r="I623" s="62" t="s">
        <v>2443</v>
      </c>
      <c r="J623" s="62" t="s">
        <v>2424</v>
      </c>
      <c r="K623" s="62" t="s">
        <v>426</v>
      </c>
      <c r="L623" s="62" t="s">
        <v>2421</v>
      </c>
      <c r="M623" s="66" t="s">
        <v>1972</v>
      </c>
    </row>
    <row r="624" spans="1:13" x14ac:dyDescent="0.3">
      <c r="A624" s="61" t="s">
        <v>2057</v>
      </c>
      <c r="B624" s="62" t="s">
        <v>942</v>
      </c>
      <c r="C624" s="62" t="s">
        <v>943</v>
      </c>
      <c r="D624" s="63">
        <v>44958</v>
      </c>
      <c r="E624" s="63">
        <v>46783</v>
      </c>
      <c r="F624" s="62" t="s">
        <v>350</v>
      </c>
      <c r="G624" s="62" t="s">
        <v>304</v>
      </c>
      <c r="H624" s="62" t="s">
        <v>941</v>
      </c>
      <c r="I624" s="62" t="s">
        <v>825</v>
      </c>
      <c r="J624" s="62" t="s">
        <v>644</v>
      </c>
      <c r="K624" s="62" t="s">
        <v>371</v>
      </c>
      <c r="L624" s="62" t="s">
        <v>2421</v>
      </c>
      <c r="M624" s="66" t="s">
        <v>1986</v>
      </c>
    </row>
    <row r="625" spans="1:13" x14ac:dyDescent="0.3">
      <c r="A625" s="61" t="s">
        <v>2058</v>
      </c>
      <c r="B625" s="62" t="s">
        <v>944</v>
      </c>
      <c r="C625" s="62" t="s">
        <v>945</v>
      </c>
      <c r="D625" s="63">
        <v>44756</v>
      </c>
      <c r="E625" s="63">
        <v>46598</v>
      </c>
      <c r="F625" s="62" t="s">
        <v>350</v>
      </c>
      <c r="G625" s="62" t="s">
        <v>350</v>
      </c>
      <c r="H625" s="62" t="s">
        <v>601</v>
      </c>
      <c r="I625" s="62" t="s">
        <v>457</v>
      </c>
      <c r="J625" s="62" t="s">
        <v>855</v>
      </c>
      <c r="K625" s="62" t="s">
        <v>465</v>
      </c>
      <c r="L625" s="62" t="s">
        <v>2421</v>
      </c>
      <c r="M625" s="66" t="s">
        <v>1972</v>
      </c>
    </row>
    <row r="626" spans="1:13" x14ac:dyDescent="0.3">
      <c r="A626" s="61" t="s">
        <v>2059</v>
      </c>
      <c r="B626" s="62" t="s">
        <v>951</v>
      </c>
      <c r="C626" s="62" t="s">
        <v>952</v>
      </c>
      <c r="D626" s="63">
        <v>44835</v>
      </c>
      <c r="E626" s="63">
        <v>46477</v>
      </c>
      <c r="F626" s="62" t="s">
        <v>289</v>
      </c>
      <c r="G626" s="62" t="s">
        <v>574</v>
      </c>
      <c r="H626" s="62" t="s">
        <v>542</v>
      </c>
      <c r="I626" s="62" t="s">
        <v>356</v>
      </c>
      <c r="J626" s="62" t="s">
        <v>552</v>
      </c>
      <c r="K626" s="62" t="s">
        <v>371</v>
      </c>
      <c r="L626" s="62" t="s">
        <v>2421</v>
      </c>
      <c r="M626" s="66" t="s">
        <v>1972</v>
      </c>
    </row>
    <row r="627" spans="1:13" x14ac:dyDescent="0.3">
      <c r="A627" s="61" t="s">
        <v>2059</v>
      </c>
      <c r="B627" s="62" t="s">
        <v>951</v>
      </c>
      <c r="C627" s="62" t="s">
        <v>952</v>
      </c>
      <c r="D627" s="63">
        <v>44835</v>
      </c>
      <c r="E627" s="63">
        <v>46477</v>
      </c>
      <c r="F627" s="62" t="s">
        <v>289</v>
      </c>
      <c r="G627" s="62" t="s">
        <v>575</v>
      </c>
      <c r="H627" s="62" t="s">
        <v>542</v>
      </c>
      <c r="I627" s="62" t="s">
        <v>356</v>
      </c>
      <c r="J627" s="62" t="s">
        <v>552</v>
      </c>
      <c r="K627" s="62" t="s">
        <v>371</v>
      </c>
      <c r="L627" s="62" t="s">
        <v>2421</v>
      </c>
      <c r="M627" s="66" t="s">
        <v>1972</v>
      </c>
    </row>
    <row r="628" spans="1:13" x14ac:dyDescent="0.3">
      <c r="A628" s="61" t="s">
        <v>2059</v>
      </c>
      <c r="B628" s="62" t="s">
        <v>951</v>
      </c>
      <c r="C628" s="62" t="s">
        <v>952</v>
      </c>
      <c r="D628" s="63">
        <v>44835</v>
      </c>
      <c r="E628" s="63">
        <v>46477</v>
      </c>
      <c r="F628" s="62" t="s">
        <v>289</v>
      </c>
      <c r="G628" s="62" t="s">
        <v>953</v>
      </c>
      <c r="H628" s="62" t="s">
        <v>542</v>
      </c>
      <c r="I628" s="62" t="s">
        <v>356</v>
      </c>
      <c r="J628" s="62" t="s">
        <v>552</v>
      </c>
      <c r="K628" s="62" t="s">
        <v>371</v>
      </c>
      <c r="L628" s="62" t="s">
        <v>2421</v>
      </c>
      <c r="M628" s="66" t="s">
        <v>1972</v>
      </c>
    </row>
    <row r="629" spans="1:13" x14ac:dyDescent="0.3">
      <c r="A629" s="61" t="s">
        <v>2059</v>
      </c>
      <c r="B629" s="62" t="s">
        <v>951</v>
      </c>
      <c r="C629" s="62" t="s">
        <v>952</v>
      </c>
      <c r="D629" s="63">
        <v>44835</v>
      </c>
      <c r="E629" s="63">
        <v>46477</v>
      </c>
      <c r="F629" s="62" t="s">
        <v>289</v>
      </c>
      <c r="G629" s="62" t="s">
        <v>831</v>
      </c>
      <c r="H629" s="62" t="s">
        <v>542</v>
      </c>
      <c r="I629" s="62" t="s">
        <v>356</v>
      </c>
      <c r="J629" s="62" t="s">
        <v>552</v>
      </c>
      <c r="K629" s="62" t="s">
        <v>371</v>
      </c>
      <c r="L629" s="62" t="s">
        <v>2421</v>
      </c>
      <c r="M629" s="66" t="s">
        <v>1972</v>
      </c>
    </row>
    <row r="630" spans="1:13" x14ac:dyDescent="0.3">
      <c r="A630" s="61" t="s">
        <v>2059</v>
      </c>
      <c r="B630" s="62" t="s">
        <v>951</v>
      </c>
      <c r="C630" s="62" t="s">
        <v>952</v>
      </c>
      <c r="D630" s="63">
        <v>44835</v>
      </c>
      <c r="E630" s="63">
        <v>46477</v>
      </c>
      <c r="F630" s="62" t="s">
        <v>289</v>
      </c>
      <c r="G630" s="62" t="s">
        <v>594</v>
      </c>
      <c r="H630" s="62" t="s">
        <v>542</v>
      </c>
      <c r="I630" s="62" t="s">
        <v>356</v>
      </c>
      <c r="J630" s="62" t="s">
        <v>552</v>
      </c>
      <c r="K630" s="62" t="s">
        <v>371</v>
      </c>
      <c r="L630" s="62" t="s">
        <v>2421</v>
      </c>
      <c r="M630" s="66" t="s">
        <v>1972</v>
      </c>
    </row>
    <row r="631" spans="1:13" x14ac:dyDescent="0.3">
      <c r="A631" s="61" t="s">
        <v>2059</v>
      </c>
      <c r="B631" s="62" t="s">
        <v>951</v>
      </c>
      <c r="C631" s="62" t="s">
        <v>952</v>
      </c>
      <c r="D631" s="63">
        <v>44835</v>
      </c>
      <c r="E631" s="63">
        <v>46477</v>
      </c>
      <c r="F631" s="62" t="s">
        <v>289</v>
      </c>
      <c r="G631" s="62" t="s">
        <v>595</v>
      </c>
      <c r="H631" s="62" t="s">
        <v>542</v>
      </c>
      <c r="I631" s="62" t="s">
        <v>356</v>
      </c>
      <c r="J631" s="62" t="s">
        <v>552</v>
      </c>
      <c r="K631" s="62" t="s">
        <v>371</v>
      </c>
      <c r="L631" s="62" t="s">
        <v>2421</v>
      </c>
      <c r="M631" s="66" t="s">
        <v>1972</v>
      </c>
    </row>
    <row r="632" spans="1:13" x14ac:dyDescent="0.3">
      <c r="A632" s="61" t="s">
        <v>2059</v>
      </c>
      <c r="B632" s="62" t="s">
        <v>951</v>
      </c>
      <c r="C632" s="62" t="s">
        <v>952</v>
      </c>
      <c r="D632" s="63">
        <v>44835</v>
      </c>
      <c r="E632" s="63">
        <v>46477</v>
      </c>
      <c r="F632" s="62" t="s">
        <v>289</v>
      </c>
      <c r="G632" s="62" t="s">
        <v>576</v>
      </c>
      <c r="H632" s="62" t="s">
        <v>542</v>
      </c>
      <c r="I632" s="62" t="s">
        <v>356</v>
      </c>
      <c r="J632" s="62" t="s">
        <v>552</v>
      </c>
      <c r="K632" s="62" t="s">
        <v>371</v>
      </c>
      <c r="L632" s="62" t="s">
        <v>2421</v>
      </c>
      <c r="M632" s="66" t="s">
        <v>1972</v>
      </c>
    </row>
    <row r="633" spans="1:13" x14ac:dyDescent="0.3">
      <c r="A633" s="61" t="s">
        <v>2059</v>
      </c>
      <c r="B633" s="62" t="s">
        <v>951</v>
      </c>
      <c r="C633" s="62" t="s">
        <v>952</v>
      </c>
      <c r="D633" s="63">
        <v>44835</v>
      </c>
      <c r="E633" s="63">
        <v>46477</v>
      </c>
      <c r="F633" s="62" t="s">
        <v>282</v>
      </c>
      <c r="G633" s="62" t="s">
        <v>470</v>
      </c>
      <c r="H633" s="62" t="s">
        <v>542</v>
      </c>
      <c r="I633" s="62" t="s">
        <v>356</v>
      </c>
      <c r="J633" s="62" t="s">
        <v>552</v>
      </c>
      <c r="K633" s="62" t="s">
        <v>371</v>
      </c>
      <c r="L633" s="62" t="s">
        <v>2421</v>
      </c>
      <c r="M633" s="66" t="s">
        <v>1972</v>
      </c>
    </row>
    <row r="634" spans="1:13" x14ac:dyDescent="0.3">
      <c r="A634" s="61" t="s">
        <v>2059</v>
      </c>
      <c r="B634" s="62" t="s">
        <v>951</v>
      </c>
      <c r="C634" s="62" t="s">
        <v>952</v>
      </c>
      <c r="D634" s="63">
        <v>44835</v>
      </c>
      <c r="E634" s="63">
        <v>46477</v>
      </c>
      <c r="F634" s="62" t="s">
        <v>282</v>
      </c>
      <c r="G634" s="62" t="s">
        <v>472</v>
      </c>
      <c r="H634" s="62" t="s">
        <v>542</v>
      </c>
      <c r="I634" s="62" t="s">
        <v>356</v>
      </c>
      <c r="J634" s="62" t="s">
        <v>552</v>
      </c>
      <c r="K634" s="62" t="s">
        <v>371</v>
      </c>
      <c r="L634" s="62" t="s">
        <v>2421</v>
      </c>
      <c r="M634" s="66" t="s">
        <v>1972</v>
      </c>
    </row>
    <row r="635" spans="1:13" x14ac:dyDescent="0.3">
      <c r="A635" s="61" t="s">
        <v>2059</v>
      </c>
      <c r="B635" s="62" t="s">
        <v>951</v>
      </c>
      <c r="C635" s="62" t="s">
        <v>952</v>
      </c>
      <c r="D635" s="63">
        <v>44835</v>
      </c>
      <c r="E635" s="63">
        <v>46477</v>
      </c>
      <c r="F635" s="62" t="s">
        <v>282</v>
      </c>
      <c r="G635" s="62" t="s">
        <v>833</v>
      </c>
      <c r="H635" s="62" t="s">
        <v>542</v>
      </c>
      <c r="I635" s="62" t="s">
        <v>356</v>
      </c>
      <c r="J635" s="62" t="s">
        <v>552</v>
      </c>
      <c r="K635" s="62" t="s">
        <v>371</v>
      </c>
      <c r="L635" s="62" t="s">
        <v>2421</v>
      </c>
      <c r="M635" s="66" t="s">
        <v>1972</v>
      </c>
    </row>
    <row r="636" spans="1:13" x14ac:dyDescent="0.3">
      <c r="A636" s="61" t="s">
        <v>2059</v>
      </c>
      <c r="B636" s="62" t="s">
        <v>951</v>
      </c>
      <c r="C636" s="62" t="s">
        <v>952</v>
      </c>
      <c r="D636" s="63">
        <v>44835</v>
      </c>
      <c r="E636" s="63">
        <v>46477</v>
      </c>
      <c r="F636" s="62" t="s">
        <v>282</v>
      </c>
      <c r="G636" s="62" t="s">
        <v>473</v>
      </c>
      <c r="H636" s="62" t="s">
        <v>542</v>
      </c>
      <c r="I636" s="62" t="s">
        <v>356</v>
      </c>
      <c r="J636" s="62" t="s">
        <v>552</v>
      </c>
      <c r="K636" s="62" t="s">
        <v>371</v>
      </c>
      <c r="L636" s="62" t="s">
        <v>2421</v>
      </c>
      <c r="M636" s="66" t="s">
        <v>1972</v>
      </c>
    </row>
    <row r="637" spans="1:13" x14ac:dyDescent="0.3">
      <c r="A637" s="61" t="s">
        <v>2059</v>
      </c>
      <c r="B637" s="62" t="s">
        <v>951</v>
      </c>
      <c r="C637" s="62" t="s">
        <v>952</v>
      </c>
      <c r="D637" s="63">
        <v>44835</v>
      </c>
      <c r="E637" s="63">
        <v>46477</v>
      </c>
      <c r="F637" s="62" t="s">
        <v>282</v>
      </c>
      <c r="G637" s="62" t="s">
        <v>577</v>
      </c>
      <c r="H637" s="62" t="s">
        <v>542</v>
      </c>
      <c r="I637" s="62" t="s">
        <v>356</v>
      </c>
      <c r="J637" s="62" t="s">
        <v>552</v>
      </c>
      <c r="K637" s="62" t="s">
        <v>371</v>
      </c>
      <c r="L637" s="62" t="s">
        <v>2421</v>
      </c>
      <c r="M637" s="66" t="s">
        <v>1972</v>
      </c>
    </row>
    <row r="638" spans="1:13" x14ac:dyDescent="0.3">
      <c r="A638" s="61" t="s">
        <v>2059</v>
      </c>
      <c r="B638" s="62" t="s">
        <v>951</v>
      </c>
      <c r="C638" s="62" t="s">
        <v>952</v>
      </c>
      <c r="D638" s="63">
        <v>44835</v>
      </c>
      <c r="E638" s="63">
        <v>46477</v>
      </c>
      <c r="F638" s="62" t="s">
        <v>282</v>
      </c>
      <c r="G638" s="62" t="s">
        <v>834</v>
      </c>
      <c r="H638" s="62" t="s">
        <v>542</v>
      </c>
      <c r="I638" s="62" t="s">
        <v>356</v>
      </c>
      <c r="J638" s="62" t="s">
        <v>552</v>
      </c>
      <c r="K638" s="62" t="s">
        <v>371</v>
      </c>
      <c r="L638" s="62" t="s">
        <v>2421</v>
      </c>
      <c r="M638" s="66" t="s">
        <v>1972</v>
      </c>
    </row>
    <row r="639" spans="1:13" x14ac:dyDescent="0.3">
      <c r="A639" s="61" t="s">
        <v>2059</v>
      </c>
      <c r="B639" s="62" t="s">
        <v>951</v>
      </c>
      <c r="C639" s="62" t="s">
        <v>952</v>
      </c>
      <c r="D639" s="63">
        <v>44835</v>
      </c>
      <c r="E639" s="63">
        <v>46477</v>
      </c>
      <c r="F639" s="62" t="s">
        <v>1930</v>
      </c>
      <c r="G639" s="62" t="s">
        <v>415</v>
      </c>
      <c r="H639" s="62" t="s">
        <v>542</v>
      </c>
      <c r="I639" s="62" t="s">
        <v>356</v>
      </c>
      <c r="J639" s="62" t="s">
        <v>552</v>
      </c>
      <c r="K639" s="62" t="s">
        <v>371</v>
      </c>
      <c r="L639" s="62" t="s">
        <v>2421</v>
      </c>
      <c r="M639" s="66" t="s">
        <v>1972</v>
      </c>
    </row>
    <row r="640" spans="1:13" x14ac:dyDescent="0.3">
      <c r="A640" s="61" t="s">
        <v>2059</v>
      </c>
      <c r="B640" s="62" t="s">
        <v>951</v>
      </c>
      <c r="C640" s="62" t="s">
        <v>952</v>
      </c>
      <c r="D640" s="63">
        <v>44835</v>
      </c>
      <c r="E640" s="63">
        <v>46477</v>
      </c>
      <c r="F640" s="62" t="s">
        <v>1930</v>
      </c>
      <c r="G640" s="62" t="s">
        <v>418</v>
      </c>
      <c r="H640" s="62" t="s">
        <v>542</v>
      </c>
      <c r="I640" s="62" t="s">
        <v>356</v>
      </c>
      <c r="J640" s="62" t="s">
        <v>552</v>
      </c>
      <c r="K640" s="62" t="s">
        <v>371</v>
      </c>
      <c r="L640" s="62" t="s">
        <v>2421</v>
      </c>
      <c r="M640" s="66" t="s">
        <v>1972</v>
      </c>
    </row>
    <row r="641" spans="1:13" x14ac:dyDescent="0.3">
      <c r="A641" s="61" t="s">
        <v>2059</v>
      </c>
      <c r="B641" s="62" t="s">
        <v>951</v>
      </c>
      <c r="C641" s="62" t="s">
        <v>952</v>
      </c>
      <c r="D641" s="63">
        <v>44835</v>
      </c>
      <c r="E641" s="63">
        <v>46477</v>
      </c>
      <c r="F641" s="62" t="s">
        <v>1930</v>
      </c>
      <c r="G641" s="62" t="s">
        <v>419</v>
      </c>
      <c r="H641" s="62" t="s">
        <v>542</v>
      </c>
      <c r="I641" s="62" t="s">
        <v>356</v>
      </c>
      <c r="J641" s="62" t="s">
        <v>552</v>
      </c>
      <c r="K641" s="62" t="s">
        <v>371</v>
      </c>
      <c r="L641" s="62" t="s">
        <v>2421</v>
      </c>
      <c r="M641" s="66" t="s">
        <v>1972</v>
      </c>
    </row>
    <row r="642" spans="1:13" x14ac:dyDescent="0.3">
      <c r="A642" s="61" t="s">
        <v>2059</v>
      </c>
      <c r="B642" s="62" t="s">
        <v>951</v>
      </c>
      <c r="C642" s="62" t="s">
        <v>952</v>
      </c>
      <c r="D642" s="63">
        <v>44835</v>
      </c>
      <c r="E642" s="63">
        <v>46477</v>
      </c>
      <c r="F642" s="62" t="s">
        <v>1930</v>
      </c>
      <c r="G642" s="62" t="s">
        <v>420</v>
      </c>
      <c r="H642" s="62" t="s">
        <v>542</v>
      </c>
      <c r="I642" s="62" t="s">
        <v>356</v>
      </c>
      <c r="J642" s="62" t="s">
        <v>552</v>
      </c>
      <c r="K642" s="62" t="s">
        <v>371</v>
      </c>
      <c r="L642" s="62" t="s">
        <v>2421</v>
      </c>
      <c r="M642" s="66" t="s">
        <v>1972</v>
      </c>
    </row>
    <row r="643" spans="1:13" x14ac:dyDescent="0.3">
      <c r="A643" s="61" t="s">
        <v>2059</v>
      </c>
      <c r="B643" s="62" t="s">
        <v>951</v>
      </c>
      <c r="C643" s="62" t="s">
        <v>952</v>
      </c>
      <c r="D643" s="63">
        <v>44835</v>
      </c>
      <c r="E643" s="63">
        <v>46477</v>
      </c>
      <c r="F643" s="62" t="s">
        <v>1930</v>
      </c>
      <c r="G643" s="62" t="s">
        <v>421</v>
      </c>
      <c r="H643" s="62" t="s">
        <v>542</v>
      </c>
      <c r="I643" s="62" t="s">
        <v>356</v>
      </c>
      <c r="J643" s="62" t="s">
        <v>552</v>
      </c>
      <c r="K643" s="62" t="s">
        <v>371</v>
      </c>
      <c r="L643" s="62" t="s">
        <v>2421</v>
      </c>
      <c r="M643" s="66" t="s">
        <v>1972</v>
      </c>
    </row>
    <row r="644" spans="1:13" x14ac:dyDescent="0.3">
      <c r="A644" s="61" t="s">
        <v>2059</v>
      </c>
      <c r="B644" s="62" t="s">
        <v>951</v>
      </c>
      <c r="C644" s="62" t="s">
        <v>952</v>
      </c>
      <c r="D644" s="63">
        <v>44835</v>
      </c>
      <c r="E644" s="63">
        <v>46477</v>
      </c>
      <c r="F644" s="62" t="s">
        <v>1930</v>
      </c>
      <c r="G644" s="62" t="s">
        <v>422</v>
      </c>
      <c r="H644" s="62" t="s">
        <v>542</v>
      </c>
      <c r="I644" s="62" t="s">
        <v>356</v>
      </c>
      <c r="J644" s="62" t="s">
        <v>552</v>
      </c>
      <c r="K644" s="62" t="s">
        <v>371</v>
      </c>
      <c r="L644" s="62" t="s">
        <v>2421</v>
      </c>
      <c r="M644" s="66" t="s">
        <v>1972</v>
      </c>
    </row>
    <row r="645" spans="1:13" x14ac:dyDescent="0.3">
      <c r="A645" s="61" t="s">
        <v>2060</v>
      </c>
      <c r="B645" s="62" t="s">
        <v>954</v>
      </c>
      <c r="C645" s="62" t="s">
        <v>955</v>
      </c>
      <c r="D645" s="63">
        <v>44617</v>
      </c>
      <c r="E645" s="63">
        <v>46077</v>
      </c>
      <c r="F645" s="62" t="s">
        <v>350</v>
      </c>
      <c r="G645" s="62" t="s">
        <v>350</v>
      </c>
      <c r="H645" s="62" t="s">
        <v>782</v>
      </c>
      <c r="I645" s="62" t="s">
        <v>457</v>
      </c>
      <c r="J645" s="62" t="s">
        <v>949</v>
      </c>
      <c r="K645" s="62" t="s">
        <v>309</v>
      </c>
      <c r="L645" s="62" t="s">
        <v>2421</v>
      </c>
      <c r="M645" s="66" t="s">
        <v>1971</v>
      </c>
    </row>
    <row r="646" spans="1:13" x14ac:dyDescent="0.3">
      <c r="A646" s="61" t="s">
        <v>2060</v>
      </c>
      <c r="B646" s="62" t="s">
        <v>954</v>
      </c>
      <c r="C646" s="62" t="s">
        <v>955</v>
      </c>
      <c r="D646" s="63">
        <v>44617</v>
      </c>
      <c r="E646" s="63">
        <v>46077</v>
      </c>
      <c r="F646" s="62" t="s">
        <v>350</v>
      </c>
      <c r="G646" s="62" t="s">
        <v>350</v>
      </c>
      <c r="H646" s="62" t="s">
        <v>601</v>
      </c>
      <c r="I646" s="62" t="s">
        <v>457</v>
      </c>
      <c r="J646" s="62" t="s">
        <v>949</v>
      </c>
      <c r="K646" s="62" t="s">
        <v>309</v>
      </c>
      <c r="L646" s="62" t="s">
        <v>2421</v>
      </c>
      <c r="M646" s="66" t="s">
        <v>1971</v>
      </c>
    </row>
    <row r="647" spans="1:13" x14ac:dyDescent="0.3">
      <c r="A647" s="61" t="s">
        <v>2061</v>
      </c>
      <c r="B647" s="62" t="s">
        <v>958</v>
      </c>
      <c r="C647" s="62" t="s">
        <v>959</v>
      </c>
      <c r="D647" s="63">
        <v>44941</v>
      </c>
      <c r="E647" s="63">
        <v>46402</v>
      </c>
      <c r="F647" s="62" t="s">
        <v>1940</v>
      </c>
      <c r="G647" s="62" t="s">
        <v>622</v>
      </c>
      <c r="H647" s="62" t="s">
        <v>373</v>
      </c>
      <c r="I647" s="62" t="s">
        <v>424</v>
      </c>
      <c r="J647" s="62" t="s">
        <v>960</v>
      </c>
      <c r="K647" s="62" t="s">
        <v>358</v>
      </c>
      <c r="L647" s="62" t="s">
        <v>2421</v>
      </c>
      <c r="M647" s="66" t="s">
        <v>1968</v>
      </c>
    </row>
    <row r="648" spans="1:13" x14ac:dyDescent="0.3">
      <c r="A648" s="61" t="s">
        <v>2061</v>
      </c>
      <c r="B648" s="62" t="s">
        <v>958</v>
      </c>
      <c r="C648" s="62" t="s">
        <v>959</v>
      </c>
      <c r="D648" s="63">
        <v>44941</v>
      </c>
      <c r="E648" s="63">
        <v>46402</v>
      </c>
      <c r="F648" s="62" t="s">
        <v>1940</v>
      </c>
      <c r="G648" s="62" t="s">
        <v>561</v>
      </c>
      <c r="H648" s="62" t="s">
        <v>373</v>
      </c>
      <c r="I648" s="62" t="s">
        <v>424</v>
      </c>
      <c r="J648" s="62" t="s">
        <v>960</v>
      </c>
      <c r="K648" s="62" t="s">
        <v>358</v>
      </c>
      <c r="L648" s="62" t="s">
        <v>2421</v>
      </c>
      <c r="M648" s="66" t="s">
        <v>1968</v>
      </c>
    </row>
    <row r="649" spans="1:13" x14ac:dyDescent="0.3">
      <c r="A649" s="61" t="s">
        <v>2061</v>
      </c>
      <c r="B649" s="62" t="s">
        <v>958</v>
      </c>
      <c r="C649" s="62" t="s">
        <v>959</v>
      </c>
      <c r="D649" s="63">
        <v>44941</v>
      </c>
      <c r="E649" s="63">
        <v>46402</v>
      </c>
      <c r="F649" s="62" t="s">
        <v>1940</v>
      </c>
      <c r="G649" s="62" t="s">
        <v>623</v>
      </c>
      <c r="H649" s="62" t="s">
        <v>373</v>
      </c>
      <c r="I649" s="62" t="s">
        <v>424</v>
      </c>
      <c r="J649" s="62" t="s">
        <v>960</v>
      </c>
      <c r="K649" s="62" t="s">
        <v>358</v>
      </c>
      <c r="L649" s="62" t="s">
        <v>2421</v>
      </c>
      <c r="M649" s="66" t="s">
        <v>1968</v>
      </c>
    </row>
    <row r="650" spans="1:13" x14ac:dyDescent="0.3">
      <c r="A650" s="61" t="s">
        <v>2061</v>
      </c>
      <c r="B650" s="62" t="s">
        <v>958</v>
      </c>
      <c r="C650" s="62" t="s">
        <v>959</v>
      </c>
      <c r="D650" s="63">
        <v>44941</v>
      </c>
      <c r="E650" s="63">
        <v>46402</v>
      </c>
      <c r="F650" s="62" t="s">
        <v>1940</v>
      </c>
      <c r="G650" s="62" t="s">
        <v>451</v>
      </c>
      <c r="H650" s="62" t="s">
        <v>373</v>
      </c>
      <c r="I650" s="62" t="s">
        <v>424</v>
      </c>
      <c r="J650" s="62" t="s">
        <v>960</v>
      </c>
      <c r="K650" s="62" t="s">
        <v>358</v>
      </c>
      <c r="L650" s="62" t="s">
        <v>2421</v>
      </c>
      <c r="M650" s="66" t="s">
        <v>1968</v>
      </c>
    </row>
    <row r="651" spans="1:13" x14ac:dyDescent="0.3">
      <c r="A651" s="61" t="s">
        <v>2062</v>
      </c>
      <c r="B651" s="62" t="s">
        <v>966</v>
      </c>
      <c r="C651" s="62" t="s">
        <v>967</v>
      </c>
      <c r="D651" s="63">
        <v>44883</v>
      </c>
      <c r="E651" s="63">
        <v>48538</v>
      </c>
      <c r="F651" s="62" t="s">
        <v>350</v>
      </c>
      <c r="G651" s="62" t="s">
        <v>350</v>
      </c>
      <c r="H651" s="62" t="s">
        <v>968</v>
      </c>
      <c r="I651" s="62" t="s">
        <v>354</v>
      </c>
      <c r="J651" s="62" t="s">
        <v>969</v>
      </c>
      <c r="K651" s="62" t="s">
        <v>744</v>
      </c>
      <c r="L651" s="62" t="s">
        <v>2421</v>
      </c>
      <c r="M651" s="66" t="s">
        <v>1971</v>
      </c>
    </row>
    <row r="652" spans="1:13" x14ac:dyDescent="0.3">
      <c r="A652" s="61" t="s">
        <v>2063</v>
      </c>
      <c r="B652" s="62" t="s">
        <v>970</v>
      </c>
      <c r="C652" s="62"/>
      <c r="D652" s="63">
        <v>44682</v>
      </c>
      <c r="E652" s="63">
        <v>46112</v>
      </c>
      <c r="F652" s="62" t="s">
        <v>350</v>
      </c>
      <c r="G652" s="62" t="s">
        <v>350</v>
      </c>
      <c r="H652" s="62" t="s">
        <v>645</v>
      </c>
      <c r="I652" s="62" t="s">
        <v>356</v>
      </c>
      <c r="J652" s="62" t="s">
        <v>370</v>
      </c>
      <c r="K652" s="62" t="s">
        <v>371</v>
      </c>
      <c r="L652" s="62" t="s">
        <v>2421</v>
      </c>
      <c r="M652" s="66" t="s">
        <v>1978</v>
      </c>
    </row>
    <row r="653" spans="1:13" x14ac:dyDescent="0.3">
      <c r="A653" s="61" t="s">
        <v>2064</v>
      </c>
      <c r="B653" s="62" t="s">
        <v>972</v>
      </c>
      <c r="C653" s="62" t="s">
        <v>973</v>
      </c>
      <c r="D653" s="63">
        <v>45061</v>
      </c>
      <c r="E653" s="63">
        <v>46142</v>
      </c>
      <c r="F653" s="62" t="s">
        <v>350</v>
      </c>
      <c r="G653" s="62" t="s">
        <v>350</v>
      </c>
      <c r="H653" s="62" t="s">
        <v>645</v>
      </c>
      <c r="I653" s="62" t="s">
        <v>825</v>
      </c>
      <c r="J653" s="62" t="s">
        <v>370</v>
      </c>
      <c r="K653" s="62" t="s">
        <v>371</v>
      </c>
      <c r="L653" s="62" t="s">
        <v>2421</v>
      </c>
      <c r="M653" s="66" t="s">
        <v>1972</v>
      </c>
    </row>
    <row r="654" spans="1:13" x14ac:dyDescent="0.3">
      <c r="A654" s="61" t="s">
        <v>2065</v>
      </c>
      <c r="B654" s="62" t="s">
        <v>974</v>
      </c>
      <c r="C654" s="62" t="s">
        <v>975</v>
      </c>
      <c r="D654" s="63">
        <v>45147</v>
      </c>
      <c r="E654" s="63">
        <v>46427</v>
      </c>
      <c r="F654" s="62" t="s">
        <v>1921</v>
      </c>
      <c r="G654" s="62" t="s">
        <v>304</v>
      </c>
      <c r="H654" s="62" t="s">
        <v>468</v>
      </c>
      <c r="I654" s="62" t="s">
        <v>424</v>
      </c>
      <c r="J654" s="62" t="s">
        <v>370</v>
      </c>
      <c r="K654" s="62" t="s">
        <v>371</v>
      </c>
      <c r="L654" s="62" t="s">
        <v>2421</v>
      </c>
      <c r="M654" s="66" t="s">
        <v>1989</v>
      </c>
    </row>
    <row r="655" spans="1:13" x14ac:dyDescent="0.3">
      <c r="A655" s="61" t="s">
        <v>2065</v>
      </c>
      <c r="B655" s="62" t="s">
        <v>974</v>
      </c>
      <c r="C655" s="62" t="s">
        <v>975</v>
      </c>
      <c r="D655" s="63">
        <v>45147</v>
      </c>
      <c r="E655" s="63">
        <v>46427</v>
      </c>
      <c r="F655" s="62" t="s">
        <v>1922</v>
      </c>
      <c r="G655" s="62" t="s">
        <v>304</v>
      </c>
      <c r="H655" s="62" t="s">
        <v>468</v>
      </c>
      <c r="I655" s="62" t="s">
        <v>424</v>
      </c>
      <c r="J655" s="62" t="s">
        <v>370</v>
      </c>
      <c r="K655" s="62" t="s">
        <v>371</v>
      </c>
      <c r="L655" s="62" t="s">
        <v>2421</v>
      </c>
      <c r="M655" s="66" t="s">
        <v>1989</v>
      </c>
    </row>
    <row r="656" spans="1:13" x14ac:dyDescent="0.3">
      <c r="A656" s="61" t="s">
        <v>2065</v>
      </c>
      <c r="B656" s="62" t="s">
        <v>974</v>
      </c>
      <c r="C656" s="62" t="s">
        <v>975</v>
      </c>
      <c r="D656" s="63">
        <v>45147</v>
      </c>
      <c r="E656" s="63">
        <v>46427</v>
      </c>
      <c r="F656" s="62" t="s">
        <v>1936</v>
      </c>
      <c r="G656" s="62" t="s">
        <v>304</v>
      </c>
      <c r="H656" s="62" t="s">
        <v>468</v>
      </c>
      <c r="I656" s="62" t="s">
        <v>424</v>
      </c>
      <c r="J656" s="62" t="s">
        <v>370</v>
      </c>
      <c r="K656" s="62" t="s">
        <v>371</v>
      </c>
      <c r="L656" s="62" t="s">
        <v>2421</v>
      </c>
      <c r="M656" s="66" t="s">
        <v>1989</v>
      </c>
    </row>
    <row r="657" spans="1:13" x14ac:dyDescent="0.3">
      <c r="A657" s="61" t="s">
        <v>2065</v>
      </c>
      <c r="B657" s="62" t="s">
        <v>974</v>
      </c>
      <c r="C657" s="62" t="s">
        <v>975</v>
      </c>
      <c r="D657" s="63">
        <v>45147</v>
      </c>
      <c r="E657" s="63">
        <v>46427</v>
      </c>
      <c r="F657" s="62" t="s">
        <v>287</v>
      </c>
      <c r="G657" s="62" t="s">
        <v>304</v>
      </c>
      <c r="H657" s="62" t="s">
        <v>468</v>
      </c>
      <c r="I657" s="62" t="s">
        <v>424</v>
      </c>
      <c r="J657" s="62" t="s">
        <v>370</v>
      </c>
      <c r="K657" s="62" t="s">
        <v>371</v>
      </c>
      <c r="L657" s="62" t="s">
        <v>2421</v>
      </c>
      <c r="M657" s="66" t="s">
        <v>1989</v>
      </c>
    </row>
    <row r="658" spans="1:13" x14ac:dyDescent="0.3">
      <c r="A658" s="61" t="s">
        <v>2066</v>
      </c>
      <c r="B658" s="62" t="s">
        <v>976</v>
      </c>
      <c r="C658" s="62" t="s">
        <v>977</v>
      </c>
      <c r="D658" s="63">
        <v>45149</v>
      </c>
      <c r="E658" s="63">
        <v>46064</v>
      </c>
      <c r="F658" s="62" t="s">
        <v>350</v>
      </c>
      <c r="G658" s="62" t="s">
        <v>350</v>
      </c>
      <c r="H658" s="62" t="s">
        <v>468</v>
      </c>
      <c r="I658" s="62" t="s">
        <v>424</v>
      </c>
      <c r="J658" s="62" t="s">
        <v>639</v>
      </c>
      <c r="K658" s="62" t="s">
        <v>371</v>
      </c>
      <c r="L658" s="62" t="s">
        <v>2421</v>
      </c>
      <c r="M658" s="66" t="s">
        <v>1970</v>
      </c>
    </row>
    <row r="659" spans="1:13" x14ac:dyDescent="0.3">
      <c r="A659" s="61" t="s">
        <v>2067</v>
      </c>
      <c r="B659" s="62" t="s">
        <v>978</v>
      </c>
      <c r="C659" s="62" t="s">
        <v>979</v>
      </c>
      <c r="D659" s="63">
        <v>45082</v>
      </c>
      <c r="E659" s="63">
        <v>48735</v>
      </c>
      <c r="F659" s="62" t="s">
        <v>350</v>
      </c>
      <c r="G659" s="62" t="s">
        <v>350</v>
      </c>
      <c r="H659" s="62" t="s">
        <v>980</v>
      </c>
      <c r="I659" s="62" t="s">
        <v>1518</v>
      </c>
      <c r="J659" s="62" t="s">
        <v>743</v>
      </c>
      <c r="K659" s="62" t="s">
        <v>744</v>
      </c>
      <c r="L659" s="62" t="s">
        <v>2421</v>
      </c>
      <c r="M659" s="66" t="s">
        <v>1971</v>
      </c>
    </row>
    <row r="660" spans="1:13" x14ac:dyDescent="0.3">
      <c r="A660" s="61" t="s">
        <v>2068</v>
      </c>
      <c r="B660" s="62" t="s">
        <v>981</v>
      </c>
      <c r="C660" s="62" t="s">
        <v>982</v>
      </c>
      <c r="D660" s="63">
        <v>45131</v>
      </c>
      <c r="E660" s="63">
        <v>47090</v>
      </c>
      <c r="F660" s="62" t="s">
        <v>1941</v>
      </c>
      <c r="G660" s="62" t="s">
        <v>304</v>
      </c>
      <c r="H660" s="62" t="s">
        <v>983</v>
      </c>
      <c r="I660" s="62" t="s">
        <v>1518</v>
      </c>
      <c r="J660" s="62" t="s">
        <v>684</v>
      </c>
      <c r="K660" s="62" t="s">
        <v>459</v>
      </c>
      <c r="L660" s="62" t="s">
        <v>2421</v>
      </c>
      <c r="M660" s="66" t="s">
        <v>1971</v>
      </c>
    </row>
    <row r="661" spans="1:13" x14ac:dyDescent="0.3">
      <c r="A661" s="61" t="s">
        <v>2069</v>
      </c>
      <c r="B661" s="62" t="s">
        <v>986</v>
      </c>
      <c r="C661" s="62" t="s">
        <v>987</v>
      </c>
      <c r="D661" s="63">
        <v>45154</v>
      </c>
      <c r="E661" s="63">
        <v>46320</v>
      </c>
      <c r="F661" s="62" t="s">
        <v>287</v>
      </c>
      <c r="G661" s="62" t="s">
        <v>589</v>
      </c>
      <c r="H661" s="62" t="s">
        <v>468</v>
      </c>
      <c r="I661" s="62" t="s">
        <v>424</v>
      </c>
      <c r="J661" s="62" t="s">
        <v>551</v>
      </c>
      <c r="K661" s="62" t="s">
        <v>428</v>
      </c>
      <c r="L661" s="62" t="s">
        <v>2421</v>
      </c>
      <c r="M661" s="66" t="s">
        <v>1970</v>
      </c>
    </row>
    <row r="662" spans="1:13" x14ac:dyDescent="0.3">
      <c r="A662" s="61" t="s">
        <v>2069</v>
      </c>
      <c r="B662" s="62" t="s">
        <v>986</v>
      </c>
      <c r="C662" s="62" t="s">
        <v>987</v>
      </c>
      <c r="D662" s="63">
        <v>45154</v>
      </c>
      <c r="E662" s="63">
        <v>46320</v>
      </c>
      <c r="F662" s="62" t="s">
        <v>287</v>
      </c>
      <c r="G662" s="62" t="s">
        <v>396</v>
      </c>
      <c r="H662" s="62" t="s">
        <v>468</v>
      </c>
      <c r="I662" s="62" t="s">
        <v>424</v>
      </c>
      <c r="J662" s="62" t="s">
        <v>551</v>
      </c>
      <c r="K662" s="62" t="s">
        <v>428</v>
      </c>
      <c r="L662" s="62" t="s">
        <v>2421</v>
      </c>
      <c r="M662" s="66" t="s">
        <v>1970</v>
      </c>
    </row>
    <row r="663" spans="1:13" x14ac:dyDescent="0.3">
      <c r="A663" s="61" t="s">
        <v>2070</v>
      </c>
      <c r="B663" s="62" t="s">
        <v>988</v>
      </c>
      <c r="C663" s="62" t="s">
        <v>989</v>
      </c>
      <c r="D663" s="63">
        <v>45108</v>
      </c>
      <c r="E663" s="63">
        <v>46203</v>
      </c>
      <c r="F663" s="62" t="s">
        <v>1944</v>
      </c>
      <c r="G663" s="62" t="s">
        <v>990</v>
      </c>
      <c r="H663" s="62" t="s">
        <v>2454</v>
      </c>
      <c r="I663" s="62" t="s">
        <v>1518</v>
      </c>
      <c r="J663" s="62" t="s">
        <v>991</v>
      </c>
      <c r="K663" s="62" t="s">
        <v>426</v>
      </c>
      <c r="L663" s="62" t="s">
        <v>2421</v>
      </c>
      <c r="M663" s="66" t="s">
        <v>1971</v>
      </c>
    </row>
    <row r="664" spans="1:13" x14ac:dyDescent="0.3">
      <c r="A664" s="61" t="s">
        <v>2070</v>
      </c>
      <c r="B664" s="62" t="s">
        <v>988</v>
      </c>
      <c r="C664" s="62" t="s">
        <v>989</v>
      </c>
      <c r="D664" s="63">
        <v>45108</v>
      </c>
      <c r="E664" s="63">
        <v>46203</v>
      </c>
      <c r="F664" s="62" t="s">
        <v>1944</v>
      </c>
      <c r="G664" s="62" t="s">
        <v>992</v>
      </c>
      <c r="H664" s="62" t="s">
        <v>2454</v>
      </c>
      <c r="I664" s="62" t="s">
        <v>1518</v>
      </c>
      <c r="J664" s="62" t="s">
        <v>991</v>
      </c>
      <c r="K664" s="62" t="s">
        <v>426</v>
      </c>
      <c r="L664" s="62" t="s">
        <v>2421</v>
      </c>
      <c r="M664" s="66" t="s">
        <v>1971</v>
      </c>
    </row>
    <row r="665" spans="1:13" x14ac:dyDescent="0.3">
      <c r="A665" s="61" t="s">
        <v>2070</v>
      </c>
      <c r="B665" s="62" t="s">
        <v>988</v>
      </c>
      <c r="C665" s="62" t="s">
        <v>989</v>
      </c>
      <c r="D665" s="63">
        <v>45108</v>
      </c>
      <c r="E665" s="63">
        <v>46203</v>
      </c>
      <c r="F665" s="62" t="s">
        <v>1944</v>
      </c>
      <c r="G665" s="62" t="s">
        <v>518</v>
      </c>
      <c r="H665" s="62" t="s">
        <v>2454</v>
      </c>
      <c r="I665" s="62" t="s">
        <v>1518</v>
      </c>
      <c r="J665" s="62" t="s">
        <v>991</v>
      </c>
      <c r="K665" s="62" t="s">
        <v>426</v>
      </c>
      <c r="L665" s="62" t="s">
        <v>2421</v>
      </c>
      <c r="M665" s="66" t="s">
        <v>1971</v>
      </c>
    </row>
    <row r="666" spans="1:13" x14ac:dyDescent="0.3">
      <c r="A666" s="61" t="s">
        <v>2070</v>
      </c>
      <c r="B666" s="62" t="s">
        <v>988</v>
      </c>
      <c r="C666" s="62" t="s">
        <v>989</v>
      </c>
      <c r="D666" s="63">
        <v>45108</v>
      </c>
      <c r="E666" s="63">
        <v>46203</v>
      </c>
      <c r="F666" s="62" t="s">
        <v>1944</v>
      </c>
      <c r="G666" s="62" t="s">
        <v>726</v>
      </c>
      <c r="H666" s="62" t="s">
        <v>2454</v>
      </c>
      <c r="I666" s="62" t="s">
        <v>1518</v>
      </c>
      <c r="J666" s="62" t="s">
        <v>991</v>
      </c>
      <c r="K666" s="62" t="s">
        <v>426</v>
      </c>
      <c r="L666" s="62" t="s">
        <v>2421</v>
      </c>
      <c r="M666" s="66" t="s">
        <v>1971</v>
      </c>
    </row>
    <row r="667" spans="1:13" x14ac:dyDescent="0.3">
      <c r="A667" s="61" t="s">
        <v>2070</v>
      </c>
      <c r="B667" s="62" t="s">
        <v>988</v>
      </c>
      <c r="C667" s="62" t="s">
        <v>989</v>
      </c>
      <c r="D667" s="63">
        <v>45108</v>
      </c>
      <c r="E667" s="63">
        <v>46203</v>
      </c>
      <c r="F667" s="62" t="s">
        <v>1944</v>
      </c>
      <c r="G667" s="62" t="s">
        <v>681</v>
      </c>
      <c r="H667" s="62" t="s">
        <v>2454</v>
      </c>
      <c r="I667" s="62" t="s">
        <v>1518</v>
      </c>
      <c r="J667" s="62" t="s">
        <v>991</v>
      </c>
      <c r="K667" s="62" t="s">
        <v>426</v>
      </c>
      <c r="L667" s="62" t="s">
        <v>2421</v>
      </c>
      <c r="M667" s="66" t="s">
        <v>1971</v>
      </c>
    </row>
    <row r="668" spans="1:13" x14ac:dyDescent="0.3">
      <c r="A668" s="61" t="s">
        <v>2070</v>
      </c>
      <c r="B668" s="62" t="s">
        <v>988</v>
      </c>
      <c r="C668" s="62" t="s">
        <v>989</v>
      </c>
      <c r="D668" s="63">
        <v>45108</v>
      </c>
      <c r="E668" s="63">
        <v>46203</v>
      </c>
      <c r="F668" s="62" t="s">
        <v>1944</v>
      </c>
      <c r="G668" s="62" t="s">
        <v>990</v>
      </c>
      <c r="H668" s="62" t="s">
        <v>993</v>
      </c>
      <c r="I668" s="62" t="s">
        <v>1518</v>
      </c>
      <c r="J668" s="62" t="s">
        <v>991</v>
      </c>
      <c r="K668" s="62" t="s">
        <v>426</v>
      </c>
      <c r="L668" s="62" t="s">
        <v>2421</v>
      </c>
      <c r="M668" s="66" t="s">
        <v>1971</v>
      </c>
    </row>
    <row r="669" spans="1:13" x14ac:dyDescent="0.3">
      <c r="A669" s="61" t="s">
        <v>2070</v>
      </c>
      <c r="B669" s="62" t="s">
        <v>988</v>
      </c>
      <c r="C669" s="62" t="s">
        <v>989</v>
      </c>
      <c r="D669" s="63">
        <v>45108</v>
      </c>
      <c r="E669" s="63">
        <v>46203</v>
      </c>
      <c r="F669" s="62" t="s">
        <v>1944</v>
      </c>
      <c r="G669" s="62" t="s">
        <v>992</v>
      </c>
      <c r="H669" s="62" t="s">
        <v>993</v>
      </c>
      <c r="I669" s="62" t="s">
        <v>1518</v>
      </c>
      <c r="J669" s="62" t="s">
        <v>991</v>
      </c>
      <c r="K669" s="62" t="s">
        <v>426</v>
      </c>
      <c r="L669" s="62" t="s">
        <v>2421</v>
      </c>
      <c r="M669" s="66" t="s">
        <v>1971</v>
      </c>
    </row>
    <row r="670" spans="1:13" x14ac:dyDescent="0.3">
      <c r="A670" s="61" t="s">
        <v>2070</v>
      </c>
      <c r="B670" s="62" t="s">
        <v>988</v>
      </c>
      <c r="C670" s="62" t="s">
        <v>989</v>
      </c>
      <c r="D670" s="63">
        <v>45108</v>
      </c>
      <c r="E670" s="63">
        <v>46203</v>
      </c>
      <c r="F670" s="62" t="s">
        <v>1944</v>
      </c>
      <c r="G670" s="62" t="s">
        <v>518</v>
      </c>
      <c r="H670" s="62" t="s">
        <v>993</v>
      </c>
      <c r="I670" s="62" t="s">
        <v>1518</v>
      </c>
      <c r="J670" s="62" t="s">
        <v>991</v>
      </c>
      <c r="K670" s="62" t="s">
        <v>426</v>
      </c>
      <c r="L670" s="62" t="s">
        <v>2421</v>
      </c>
      <c r="M670" s="66" t="s">
        <v>1971</v>
      </c>
    </row>
    <row r="671" spans="1:13" x14ac:dyDescent="0.3">
      <c r="A671" s="61" t="s">
        <v>2070</v>
      </c>
      <c r="B671" s="62" t="s">
        <v>988</v>
      </c>
      <c r="C671" s="62" t="s">
        <v>989</v>
      </c>
      <c r="D671" s="63">
        <v>45108</v>
      </c>
      <c r="E671" s="63">
        <v>46203</v>
      </c>
      <c r="F671" s="62" t="s">
        <v>1944</v>
      </c>
      <c r="G671" s="62" t="s">
        <v>726</v>
      </c>
      <c r="H671" s="62" t="s">
        <v>993</v>
      </c>
      <c r="I671" s="62" t="s">
        <v>1518</v>
      </c>
      <c r="J671" s="62" t="s">
        <v>991</v>
      </c>
      <c r="K671" s="62" t="s">
        <v>426</v>
      </c>
      <c r="L671" s="62" t="s">
        <v>2421</v>
      </c>
      <c r="M671" s="66" t="s">
        <v>1971</v>
      </c>
    </row>
    <row r="672" spans="1:13" x14ac:dyDescent="0.3">
      <c r="A672" s="61" t="s">
        <v>2070</v>
      </c>
      <c r="B672" s="62" t="s">
        <v>988</v>
      </c>
      <c r="C672" s="62" t="s">
        <v>989</v>
      </c>
      <c r="D672" s="63">
        <v>45108</v>
      </c>
      <c r="E672" s="63">
        <v>46203</v>
      </c>
      <c r="F672" s="62" t="s">
        <v>1944</v>
      </c>
      <c r="G672" s="62" t="s">
        <v>681</v>
      </c>
      <c r="H672" s="62" t="s">
        <v>993</v>
      </c>
      <c r="I672" s="62" t="s">
        <v>1518</v>
      </c>
      <c r="J672" s="62" t="s">
        <v>991</v>
      </c>
      <c r="K672" s="62" t="s">
        <v>426</v>
      </c>
      <c r="L672" s="62" t="s">
        <v>2421</v>
      </c>
      <c r="M672" s="66" t="s">
        <v>1971</v>
      </c>
    </row>
    <row r="673" spans="1:13" x14ac:dyDescent="0.3">
      <c r="A673" s="61" t="s">
        <v>2071</v>
      </c>
      <c r="B673" s="62" t="s">
        <v>1000</v>
      </c>
      <c r="C673" s="62" t="s">
        <v>1001</v>
      </c>
      <c r="D673" s="63">
        <v>45148</v>
      </c>
      <c r="E673" s="63">
        <v>46032</v>
      </c>
      <c r="F673" s="62" t="s">
        <v>282</v>
      </c>
      <c r="G673" s="62" t="s">
        <v>304</v>
      </c>
      <c r="H673" s="62" t="s">
        <v>468</v>
      </c>
      <c r="I673" s="62" t="s">
        <v>424</v>
      </c>
      <c r="J673" s="62" t="s">
        <v>896</v>
      </c>
      <c r="K673" s="62" t="s">
        <v>428</v>
      </c>
      <c r="L673" s="62" t="s">
        <v>2421</v>
      </c>
      <c r="M673" s="66" t="s">
        <v>1970</v>
      </c>
    </row>
    <row r="674" spans="1:13" x14ac:dyDescent="0.3">
      <c r="A674" s="61" t="s">
        <v>2071</v>
      </c>
      <c r="B674" s="62" t="s">
        <v>1000</v>
      </c>
      <c r="C674" s="62" t="s">
        <v>1001</v>
      </c>
      <c r="D674" s="63">
        <v>45148</v>
      </c>
      <c r="E674" s="63">
        <v>46032</v>
      </c>
      <c r="F674" s="62" t="s">
        <v>1935</v>
      </c>
      <c r="G674" s="62" t="s">
        <v>304</v>
      </c>
      <c r="H674" s="62" t="s">
        <v>468</v>
      </c>
      <c r="I674" s="62" t="s">
        <v>424</v>
      </c>
      <c r="J674" s="62" t="s">
        <v>896</v>
      </c>
      <c r="K674" s="62" t="s">
        <v>428</v>
      </c>
      <c r="L674" s="62" t="s">
        <v>2421</v>
      </c>
      <c r="M674" s="66" t="s">
        <v>1970</v>
      </c>
    </row>
    <row r="675" spans="1:13" x14ac:dyDescent="0.3">
      <c r="A675" s="61" t="s">
        <v>2071</v>
      </c>
      <c r="B675" s="62" t="s">
        <v>1000</v>
      </c>
      <c r="C675" s="62" t="s">
        <v>1001</v>
      </c>
      <c r="D675" s="63">
        <v>45148</v>
      </c>
      <c r="E675" s="63">
        <v>46032</v>
      </c>
      <c r="F675" s="62" t="s">
        <v>286</v>
      </c>
      <c r="G675" s="62" t="s">
        <v>304</v>
      </c>
      <c r="H675" s="62" t="s">
        <v>468</v>
      </c>
      <c r="I675" s="62" t="s">
        <v>424</v>
      </c>
      <c r="J675" s="62" t="s">
        <v>896</v>
      </c>
      <c r="K675" s="62" t="s">
        <v>428</v>
      </c>
      <c r="L675" s="62" t="s">
        <v>2421</v>
      </c>
      <c r="M675" s="66" t="s">
        <v>1970</v>
      </c>
    </row>
    <row r="676" spans="1:13" x14ac:dyDescent="0.3">
      <c r="A676" s="61" t="s">
        <v>2071</v>
      </c>
      <c r="B676" s="62" t="s">
        <v>1000</v>
      </c>
      <c r="C676" s="62" t="s">
        <v>1001</v>
      </c>
      <c r="D676" s="63">
        <v>45148</v>
      </c>
      <c r="E676" s="63">
        <v>46032</v>
      </c>
      <c r="F676" s="62" t="s">
        <v>1930</v>
      </c>
      <c r="G676" s="62" t="s">
        <v>304</v>
      </c>
      <c r="H676" s="62" t="s">
        <v>468</v>
      </c>
      <c r="I676" s="62" t="s">
        <v>424</v>
      </c>
      <c r="J676" s="62" t="s">
        <v>896</v>
      </c>
      <c r="K676" s="62" t="s">
        <v>428</v>
      </c>
      <c r="L676" s="62" t="s">
        <v>2421</v>
      </c>
      <c r="M676" s="66" t="s">
        <v>1970</v>
      </c>
    </row>
    <row r="677" spans="1:13" x14ac:dyDescent="0.3">
      <c r="A677" s="61" t="s">
        <v>2071</v>
      </c>
      <c r="B677" s="62" t="s">
        <v>1000</v>
      </c>
      <c r="C677" s="62" t="s">
        <v>1001</v>
      </c>
      <c r="D677" s="63">
        <v>45148</v>
      </c>
      <c r="E677" s="63">
        <v>46032</v>
      </c>
      <c r="F677" s="62" t="s">
        <v>1959</v>
      </c>
      <c r="G677" s="62" t="s">
        <v>304</v>
      </c>
      <c r="H677" s="62" t="s">
        <v>468</v>
      </c>
      <c r="I677" s="62" t="s">
        <v>424</v>
      </c>
      <c r="J677" s="62" t="s">
        <v>896</v>
      </c>
      <c r="K677" s="62" t="s">
        <v>428</v>
      </c>
      <c r="L677" s="62" t="s">
        <v>2421</v>
      </c>
      <c r="M677" s="66" t="s">
        <v>1970</v>
      </c>
    </row>
    <row r="678" spans="1:13" x14ac:dyDescent="0.3">
      <c r="A678" s="61" t="s">
        <v>2071</v>
      </c>
      <c r="B678" s="62" t="s">
        <v>1000</v>
      </c>
      <c r="C678" s="62" t="s">
        <v>1001</v>
      </c>
      <c r="D678" s="63">
        <v>45148</v>
      </c>
      <c r="E678" s="63">
        <v>46032</v>
      </c>
      <c r="F678" s="62" t="s">
        <v>1936</v>
      </c>
      <c r="G678" s="62" t="s">
        <v>304</v>
      </c>
      <c r="H678" s="62" t="s">
        <v>468</v>
      </c>
      <c r="I678" s="62" t="s">
        <v>424</v>
      </c>
      <c r="J678" s="62" t="s">
        <v>896</v>
      </c>
      <c r="K678" s="62" t="s">
        <v>428</v>
      </c>
      <c r="L678" s="62" t="s">
        <v>2421</v>
      </c>
      <c r="M678" s="66" t="s">
        <v>1970</v>
      </c>
    </row>
    <row r="679" spans="1:13" x14ac:dyDescent="0.3">
      <c r="A679" s="61" t="s">
        <v>2071</v>
      </c>
      <c r="B679" s="62" t="s">
        <v>1000</v>
      </c>
      <c r="C679" s="62" t="s">
        <v>1001</v>
      </c>
      <c r="D679" s="63">
        <v>45148</v>
      </c>
      <c r="E679" s="63">
        <v>46032</v>
      </c>
      <c r="F679" s="62" t="s">
        <v>282</v>
      </c>
      <c r="G679" s="62" t="s">
        <v>304</v>
      </c>
      <c r="H679" s="62" t="s">
        <v>2455</v>
      </c>
      <c r="I679" s="62" t="s">
        <v>424</v>
      </c>
      <c r="J679" s="62" t="s">
        <v>896</v>
      </c>
      <c r="K679" s="62" t="s">
        <v>428</v>
      </c>
      <c r="L679" s="62" t="s">
        <v>2421</v>
      </c>
      <c r="M679" s="66" t="s">
        <v>1970</v>
      </c>
    </row>
    <row r="680" spans="1:13" x14ac:dyDescent="0.3">
      <c r="A680" s="61" t="s">
        <v>2071</v>
      </c>
      <c r="B680" s="62" t="s">
        <v>1000</v>
      </c>
      <c r="C680" s="62" t="s">
        <v>1001</v>
      </c>
      <c r="D680" s="63">
        <v>45148</v>
      </c>
      <c r="E680" s="63">
        <v>46032</v>
      </c>
      <c r="F680" s="62" t="s">
        <v>1935</v>
      </c>
      <c r="G680" s="62" t="s">
        <v>304</v>
      </c>
      <c r="H680" s="62" t="s">
        <v>2455</v>
      </c>
      <c r="I680" s="62" t="s">
        <v>424</v>
      </c>
      <c r="J680" s="62" t="s">
        <v>896</v>
      </c>
      <c r="K680" s="62" t="s">
        <v>428</v>
      </c>
      <c r="L680" s="62" t="s">
        <v>2421</v>
      </c>
      <c r="M680" s="66" t="s">
        <v>1970</v>
      </c>
    </row>
    <row r="681" spans="1:13" x14ac:dyDescent="0.3">
      <c r="A681" s="61" t="s">
        <v>2071</v>
      </c>
      <c r="B681" s="62" t="s">
        <v>1000</v>
      </c>
      <c r="C681" s="62" t="s">
        <v>1001</v>
      </c>
      <c r="D681" s="63">
        <v>45148</v>
      </c>
      <c r="E681" s="63">
        <v>46032</v>
      </c>
      <c r="F681" s="62" t="s">
        <v>286</v>
      </c>
      <c r="G681" s="62" t="s">
        <v>304</v>
      </c>
      <c r="H681" s="62" t="s">
        <v>2455</v>
      </c>
      <c r="I681" s="62" t="s">
        <v>424</v>
      </c>
      <c r="J681" s="62" t="s">
        <v>896</v>
      </c>
      <c r="K681" s="62" t="s">
        <v>428</v>
      </c>
      <c r="L681" s="62" t="s">
        <v>2421</v>
      </c>
      <c r="M681" s="66" t="s">
        <v>1970</v>
      </c>
    </row>
    <row r="682" spans="1:13" x14ac:dyDescent="0.3">
      <c r="A682" s="61" t="s">
        <v>2071</v>
      </c>
      <c r="B682" s="62" t="s">
        <v>1000</v>
      </c>
      <c r="C682" s="62" t="s">
        <v>1001</v>
      </c>
      <c r="D682" s="63">
        <v>45148</v>
      </c>
      <c r="E682" s="63">
        <v>46032</v>
      </c>
      <c r="F682" s="62" t="s">
        <v>1930</v>
      </c>
      <c r="G682" s="62" t="s">
        <v>304</v>
      </c>
      <c r="H682" s="62" t="s">
        <v>2455</v>
      </c>
      <c r="I682" s="62" t="s">
        <v>424</v>
      </c>
      <c r="J682" s="62" t="s">
        <v>896</v>
      </c>
      <c r="K682" s="62" t="s">
        <v>428</v>
      </c>
      <c r="L682" s="62" t="s">
        <v>2421</v>
      </c>
      <c r="M682" s="66" t="s">
        <v>1970</v>
      </c>
    </row>
    <row r="683" spans="1:13" x14ac:dyDescent="0.3">
      <c r="A683" s="61" t="s">
        <v>2071</v>
      </c>
      <c r="B683" s="62" t="s">
        <v>1000</v>
      </c>
      <c r="C683" s="62" t="s">
        <v>1001</v>
      </c>
      <c r="D683" s="63">
        <v>45148</v>
      </c>
      <c r="E683" s="63">
        <v>46032</v>
      </c>
      <c r="F683" s="62" t="s">
        <v>1959</v>
      </c>
      <c r="G683" s="62" t="s">
        <v>304</v>
      </c>
      <c r="H683" s="62" t="s">
        <v>2455</v>
      </c>
      <c r="I683" s="62" t="s">
        <v>424</v>
      </c>
      <c r="J683" s="62" t="s">
        <v>896</v>
      </c>
      <c r="K683" s="62" t="s">
        <v>428</v>
      </c>
      <c r="L683" s="62" t="s">
        <v>2421</v>
      </c>
      <c r="M683" s="66" t="s">
        <v>1970</v>
      </c>
    </row>
    <row r="684" spans="1:13" x14ac:dyDescent="0.3">
      <c r="A684" s="61" t="s">
        <v>2071</v>
      </c>
      <c r="B684" s="62" t="s">
        <v>1000</v>
      </c>
      <c r="C684" s="62" t="s">
        <v>1001</v>
      </c>
      <c r="D684" s="63">
        <v>45148</v>
      </c>
      <c r="E684" s="63">
        <v>46032</v>
      </c>
      <c r="F684" s="62" t="s">
        <v>1936</v>
      </c>
      <c r="G684" s="62" t="s">
        <v>304</v>
      </c>
      <c r="H684" s="62" t="s">
        <v>2455</v>
      </c>
      <c r="I684" s="62" t="s">
        <v>424</v>
      </c>
      <c r="J684" s="62" t="s">
        <v>896</v>
      </c>
      <c r="K684" s="62" t="s">
        <v>428</v>
      </c>
      <c r="L684" s="62" t="s">
        <v>2421</v>
      </c>
      <c r="M684" s="66" t="s">
        <v>1970</v>
      </c>
    </row>
    <row r="685" spans="1:13" x14ac:dyDescent="0.3">
      <c r="A685" s="61" t="s">
        <v>2072</v>
      </c>
      <c r="B685" s="62" t="s">
        <v>1002</v>
      </c>
      <c r="C685" s="62" t="s">
        <v>1003</v>
      </c>
      <c r="D685" s="63">
        <v>44972</v>
      </c>
      <c r="E685" s="63">
        <v>46433</v>
      </c>
      <c r="F685" s="62" t="s">
        <v>1916</v>
      </c>
      <c r="G685" s="62" t="s">
        <v>304</v>
      </c>
      <c r="H685" s="62" t="s">
        <v>373</v>
      </c>
      <c r="I685" s="62" t="s">
        <v>1518</v>
      </c>
      <c r="J685" s="62" t="s">
        <v>458</v>
      </c>
      <c r="K685" s="62" t="s">
        <v>459</v>
      </c>
      <c r="L685" s="62" t="s">
        <v>2421</v>
      </c>
      <c r="M685" s="66" t="s">
        <v>1971</v>
      </c>
    </row>
    <row r="686" spans="1:13" x14ac:dyDescent="0.3">
      <c r="A686" s="61" t="s">
        <v>2072</v>
      </c>
      <c r="B686" s="62" t="s">
        <v>1002</v>
      </c>
      <c r="C686" s="62" t="s">
        <v>1003</v>
      </c>
      <c r="D686" s="63">
        <v>44972</v>
      </c>
      <c r="E686" s="63">
        <v>46433</v>
      </c>
      <c r="F686" s="62" t="s">
        <v>1934</v>
      </c>
      <c r="G686" s="62" t="s">
        <v>304</v>
      </c>
      <c r="H686" s="62" t="s">
        <v>373</v>
      </c>
      <c r="I686" s="62" t="s">
        <v>1518</v>
      </c>
      <c r="J686" s="62" t="s">
        <v>458</v>
      </c>
      <c r="K686" s="62" t="s">
        <v>459</v>
      </c>
      <c r="L686" s="62" t="s">
        <v>2421</v>
      </c>
      <c r="M686" s="66" t="s">
        <v>1971</v>
      </c>
    </row>
    <row r="687" spans="1:13" x14ac:dyDescent="0.3">
      <c r="A687" s="61" t="s">
        <v>2072</v>
      </c>
      <c r="B687" s="62" t="s">
        <v>1002</v>
      </c>
      <c r="C687" s="62" t="s">
        <v>1003</v>
      </c>
      <c r="D687" s="63">
        <v>44972</v>
      </c>
      <c r="E687" s="63">
        <v>46433</v>
      </c>
      <c r="F687" s="62" t="s">
        <v>1958</v>
      </c>
      <c r="G687" s="62" t="s">
        <v>304</v>
      </c>
      <c r="H687" s="62" t="s">
        <v>373</v>
      </c>
      <c r="I687" s="62" t="s">
        <v>1518</v>
      </c>
      <c r="J687" s="62" t="s">
        <v>458</v>
      </c>
      <c r="K687" s="62" t="s">
        <v>459</v>
      </c>
      <c r="L687" s="62" t="s">
        <v>2421</v>
      </c>
      <c r="M687" s="66" t="s">
        <v>1971</v>
      </c>
    </row>
    <row r="688" spans="1:13" x14ac:dyDescent="0.3">
      <c r="A688" s="61" t="s">
        <v>2072</v>
      </c>
      <c r="B688" s="62" t="s">
        <v>1002</v>
      </c>
      <c r="C688" s="62" t="s">
        <v>1003</v>
      </c>
      <c r="D688" s="63">
        <v>44972</v>
      </c>
      <c r="E688" s="63">
        <v>46433</v>
      </c>
      <c r="F688" s="62" t="s">
        <v>1938</v>
      </c>
      <c r="G688" s="62" t="s">
        <v>304</v>
      </c>
      <c r="H688" s="62" t="s">
        <v>373</v>
      </c>
      <c r="I688" s="62" t="s">
        <v>1518</v>
      </c>
      <c r="J688" s="62" t="s">
        <v>458</v>
      </c>
      <c r="K688" s="62" t="s">
        <v>459</v>
      </c>
      <c r="L688" s="62" t="s">
        <v>2421</v>
      </c>
      <c r="M688" s="66" t="s">
        <v>1971</v>
      </c>
    </row>
    <row r="689" spans="1:13" x14ac:dyDescent="0.3">
      <c r="A689" s="61" t="s">
        <v>2072</v>
      </c>
      <c r="B689" s="62" t="s">
        <v>1002</v>
      </c>
      <c r="C689" s="62" t="s">
        <v>1003</v>
      </c>
      <c r="D689" s="63">
        <v>44972</v>
      </c>
      <c r="E689" s="63">
        <v>46433</v>
      </c>
      <c r="F689" s="62" t="s">
        <v>1963</v>
      </c>
      <c r="G689" s="62" t="s">
        <v>304</v>
      </c>
      <c r="H689" s="62" t="s">
        <v>373</v>
      </c>
      <c r="I689" s="62" t="s">
        <v>1518</v>
      </c>
      <c r="J689" s="62" t="s">
        <v>458</v>
      </c>
      <c r="K689" s="62" t="s">
        <v>459</v>
      </c>
      <c r="L689" s="62" t="s">
        <v>2421</v>
      </c>
      <c r="M689" s="66" t="s">
        <v>1971</v>
      </c>
    </row>
    <row r="690" spans="1:13" x14ac:dyDescent="0.3">
      <c r="A690" s="61" t="s">
        <v>2073</v>
      </c>
      <c r="B690" s="62" t="s">
        <v>1004</v>
      </c>
      <c r="C690" s="62" t="s">
        <v>1005</v>
      </c>
      <c r="D690" s="63">
        <v>45170</v>
      </c>
      <c r="E690" s="63">
        <v>46568</v>
      </c>
      <c r="F690" s="62" t="s">
        <v>1931</v>
      </c>
      <c r="G690" s="62" t="s">
        <v>281</v>
      </c>
      <c r="H690" s="62" t="s">
        <v>549</v>
      </c>
      <c r="I690" s="62" t="s">
        <v>1518</v>
      </c>
      <c r="J690" s="62" t="s">
        <v>755</v>
      </c>
      <c r="K690" s="62" t="s">
        <v>365</v>
      </c>
      <c r="L690" s="62" t="s">
        <v>2421</v>
      </c>
      <c r="M690" s="66" t="s">
        <v>1971</v>
      </c>
    </row>
    <row r="691" spans="1:13" x14ac:dyDescent="0.3">
      <c r="A691" s="61" t="s">
        <v>2074</v>
      </c>
      <c r="B691" s="62" t="s">
        <v>1006</v>
      </c>
      <c r="C691" s="62" t="s">
        <v>1007</v>
      </c>
      <c r="D691" s="63">
        <v>45121</v>
      </c>
      <c r="E691" s="63">
        <v>48774</v>
      </c>
      <c r="F691" s="62" t="s">
        <v>350</v>
      </c>
      <c r="G691" s="62" t="s">
        <v>304</v>
      </c>
      <c r="H691" s="62" t="s">
        <v>980</v>
      </c>
      <c r="I691" s="62" t="s">
        <v>1518</v>
      </c>
      <c r="J691" s="62" t="s">
        <v>684</v>
      </c>
      <c r="K691" s="62" t="s">
        <v>459</v>
      </c>
      <c r="L691" s="62" t="s">
        <v>2421</v>
      </c>
      <c r="M691" s="66" t="s">
        <v>1971</v>
      </c>
    </row>
    <row r="692" spans="1:13" x14ac:dyDescent="0.3">
      <c r="A692" s="61" t="s">
        <v>2075</v>
      </c>
      <c r="B692" s="62" t="s">
        <v>1008</v>
      </c>
      <c r="C692" s="62" t="s">
        <v>1009</v>
      </c>
      <c r="D692" s="63">
        <v>45148</v>
      </c>
      <c r="E692" s="63">
        <v>46793</v>
      </c>
      <c r="F692" s="62" t="s">
        <v>1945</v>
      </c>
      <c r="G692" s="62" t="s">
        <v>400</v>
      </c>
      <c r="H692" s="62" t="s">
        <v>468</v>
      </c>
      <c r="I692" s="62" t="s">
        <v>825</v>
      </c>
      <c r="J692" s="62" t="s">
        <v>2424</v>
      </c>
      <c r="K692" s="62" t="s">
        <v>426</v>
      </c>
      <c r="L692" s="62" t="s">
        <v>2421</v>
      </c>
      <c r="M692" s="66" t="s">
        <v>1976</v>
      </c>
    </row>
    <row r="693" spans="1:13" x14ac:dyDescent="0.3">
      <c r="A693" s="61" t="s">
        <v>2076</v>
      </c>
      <c r="B693" s="62" t="s">
        <v>1010</v>
      </c>
      <c r="C693" s="62" t="s">
        <v>1011</v>
      </c>
      <c r="D693" s="63">
        <v>45159</v>
      </c>
      <c r="E693" s="63">
        <v>46439</v>
      </c>
      <c r="F693" s="62" t="s">
        <v>1959</v>
      </c>
      <c r="G693" s="62" t="s">
        <v>578</v>
      </c>
      <c r="H693" s="62" t="s">
        <v>468</v>
      </c>
      <c r="I693" s="62" t="s">
        <v>424</v>
      </c>
      <c r="J693" s="62" t="s">
        <v>940</v>
      </c>
      <c r="K693" s="62" t="s">
        <v>571</v>
      </c>
      <c r="L693" s="62" t="s">
        <v>2421</v>
      </c>
      <c r="M693" s="66" t="s">
        <v>1966</v>
      </c>
    </row>
    <row r="694" spans="1:13" x14ac:dyDescent="0.3">
      <c r="A694" s="61" t="s">
        <v>2077</v>
      </c>
      <c r="B694" s="62" t="s">
        <v>1012</v>
      </c>
      <c r="C694" s="62" t="s">
        <v>1013</v>
      </c>
      <c r="D694" s="63">
        <v>45141</v>
      </c>
      <c r="E694" s="63">
        <v>46421</v>
      </c>
      <c r="F694" s="62" t="s">
        <v>1922</v>
      </c>
      <c r="G694" s="62" t="s">
        <v>304</v>
      </c>
      <c r="H694" s="62" t="s">
        <v>468</v>
      </c>
      <c r="I694" s="62" t="s">
        <v>825</v>
      </c>
      <c r="J694" s="62" t="s">
        <v>370</v>
      </c>
      <c r="K694" s="62" t="s">
        <v>371</v>
      </c>
      <c r="L694" s="62" t="s">
        <v>2421</v>
      </c>
      <c r="M694" s="66" t="s">
        <v>1978</v>
      </c>
    </row>
    <row r="695" spans="1:13" x14ac:dyDescent="0.3">
      <c r="A695" s="61" t="s">
        <v>2077</v>
      </c>
      <c r="B695" s="62" t="s">
        <v>1012</v>
      </c>
      <c r="C695" s="62" t="s">
        <v>1013</v>
      </c>
      <c r="D695" s="63">
        <v>45141</v>
      </c>
      <c r="E695" s="63">
        <v>46421</v>
      </c>
      <c r="F695" s="62" t="s">
        <v>1959</v>
      </c>
      <c r="G695" s="62" t="s">
        <v>304</v>
      </c>
      <c r="H695" s="62" t="s">
        <v>468</v>
      </c>
      <c r="I695" s="62" t="s">
        <v>825</v>
      </c>
      <c r="J695" s="62" t="s">
        <v>370</v>
      </c>
      <c r="K695" s="62" t="s">
        <v>371</v>
      </c>
      <c r="L695" s="62" t="s">
        <v>2421</v>
      </c>
      <c r="M695" s="66" t="s">
        <v>1978</v>
      </c>
    </row>
    <row r="696" spans="1:13" x14ac:dyDescent="0.3">
      <c r="A696" s="61" t="s">
        <v>2077</v>
      </c>
      <c r="B696" s="62" t="s">
        <v>1012</v>
      </c>
      <c r="C696" s="62" t="s">
        <v>1013</v>
      </c>
      <c r="D696" s="63">
        <v>45141</v>
      </c>
      <c r="E696" s="63">
        <v>46421</v>
      </c>
      <c r="F696" s="62" t="s">
        <v>287</v>
      </c>
      <c r="G696" s="62" t="s">
        <v>304</v>
      </c>
      <c r="H696" s="62" t="s">
        <v>468</v>
      </c>
      <c r="I696" s="62" t="s">
        <v>825</v>
      </c>
      <c r="J696" s="62" t="s">
        <v>370</v>
      </c>
      <c r="K696" s="62" t="s">
        <v>371</v>
      </c>
      <c r="L696" s="62" t="s">
        <v>2421</v>
      </c>
      <c r="M696" s="66" t="s">
        <v>1978</v>
      </c>
    </row>
    <row r="697" spans="1:13" x14ac:dyDescent="0.3">
      <c r="A697" s="61" t="s">
        <v>2078</v>
      </c>
      <c r="B697" s="62" t="s">
        <v>1015</v>
      </c>
      <c r="C697" s="62" t="s">
        <v>1016</v>
      </c>
      <c r="D697" s="63">
        <v>45121</v>
      </c>
      <c r="E697" s="63">
        <v>48774</v>
      </c>
      <c r="F697" s="62" t="s">
        <v>350</v>
      </c>
      <c r="G697" s="62" t="s">
        <v>350</v>
      </c>
      <c r="H697" s="62" t="s">
        <v>432</v>
      </c>
      <c r="I697" s="62" t="s">
        <v>1518</v>
      </c>
      <c r="J697" s="62" t="s">
        <v>684</v>
      </c>
      <c r="K697" s="62" t="s">
        <v>459</v>
      </c>
      <c r="L697" s="62" t="s">
        <v>2421</v>
      </c>
      <c r="M697" s="66" t="s">
        <v>1971</v>
      </c>
    </row>
    <row r="698" spans="1:13" x14ac:dyDescent="0.3">
      <c r="A698" s="61" t="s">
        <v>2079</v>
      </c>
      <c r="B698" s="62" t="s">
        <v>1017</v>
      </c>
      <c r="C698" s="62" t="s">
        <v>1018</v>
      </c>
      <c r="D698" s="63">
        <v>45218</v>
      </c>
      <c r="E698" s="63">
        <v>46130</v>
      </c>
      <c r="F698" s="62" t="s">
        <v>1959</v>
      </c>
      <c r="G698" s="62" t="s">
        <v>304</v>
      </c>
      <c r="H698" s="62" t="s">
        <v>468</v>
      </c>
      <c r="I698" s="62" t="s">
        <v>424</v>
      </c>
      <c r="J698" s="62" t="s">
        <v>416</v>
      </c>
      <c r="K698" s="62" t="s">
        <v>417</v>
      </c>
      <c r="L698" s="62" t="s">
        <v>2421</v>
      </c>
      <c r="M698" s="66" t="s">
        <v>2021</v>
      </c>
    </row>
    <row r="699" spans="1:13" x14ac:dyDescent="0.3">
      <c r="A699" s="61" t="s">
        <v>2079</v>
      </c>
      <c r="B699" s="62" t="s">
        <v>1017</v>
      </c>
      <c r="C699" s="62" t="s">
        <v>1018</v>
      </c>
      <c r="D699" s="63">
        <v>45218</v>
      </c>
      <c r="E699" s="63">
        <v>46130</v>
      </c>
      <c r="F699" s="62" t="s">
        <v>1936</v>
      </c>
      <c r="G699" s="62" t="s">
        <v>304</v>
      </c>
      <c r="H699" s="62" t="s">
        <v>468</v>
      </c>
      <c r="I699" s="62" t="s">
        <v>424</v>
      </c>
      <c r="J699" s="62" t="s">
        <v>416</v>
      </c>
      <c r="K699" s="62" t="s">
        <v>417</v>
      </c>
      <c r="L699" s="62" t="s">
        <v>2421</v>
      </c>
      <c r="M699" s="66" t="s">
        <v>2021</v>
      </c>
    </row>
    <row r="700" spans="1:13" x14ac:dyDescent="0.3">
      <c r="A700" s="61" t="s">
        <v>2079</v>
      </c>
      <c r="B700" s="62" t="s">
        <v>1017</v>
      </c>
      <c r="C700" s="62" t="s">
        <v>1018</v>
      </c>
      <c r="D700" s="63">
        <v>45218</v>
      </c>
      <c r="E700" s="63">
        <v>46130</v>
      </c>
      <c r="F700" s="62" t="s">
        <v>287</v>
      </c>
      <c r="G700" s="62" t="s">
        <v>304</v>
      </c>
      <c r="H700" s="62" t="s">
        <v>468</v>
      </c>
      <c r="I700" s="62" t="s">
        <v>424</v>
      </c>
      <c r="J700" s="62" t="s">
        <v>416</v>
      </c>
      <c r="K700" s="62" t="s">
        <v>417</v>
      </c>
      <c r="L700" s="62" t="s">
        <v>2421</v>
      </c>
      <c r="M700" s="66" t="s">
        <v>2021</v>
      </c>
    </row>
    <row r="701" spans="1:13" x14ac:dyDescent="0.3">
      <c r="A701" s="61" t="s">
        <v>2079</v>
      </c>
      <c r="B701" s="62" t="s">
        <v>1017</v>
      </c>
      <c r="C701" s="62" t="s">
        <v>1018</v>
      </c>
      <c r="D701" s="63">
        <v>45218</v>
      </c>
      <c r="E701" s="63">
        <v>46130</v>
      </c>
      <c r="F701" s="62" t="s">
        <v>1945</v>
      </c>
      <c r="G701" s="62" t="s">
        <v>304</v>
      </c>
      <c r="H701" s="62" t="s">
        <v>468</v>
      </c>
      <c r="I701" s="62" t="s">
        <v>424</v>
      </c>
      <c r="J701" s="62" t="s">
        <v>416</v>
      </c>
      <c r="K701" s="62" t="s">
        <v>417</v>
      </c>
      <c r="L701" s="62" t="s">
        <v>2421</v>
      </c>
      <c r="M701" s="66" t="s">
        <v>2021</v>
      </c>
    </row>
    <row r="702" spans="1:13" x14ac:dyDescent="0.3">
      <c r="A702" s="61" t="s">
        <v>2080</v>
      </c>
      <c r="B702" s="62" t="s">
        <v>1019</v>
      </c>
      <c r="C702" s="62" t="s">
        <v>1020</v>
      </c>
      <c r="D702" s="63">
        <v>45177</v>
      </c>
      <c r="E702" s="63">
        <v>46273</v>
      </c>
      <c r="F702" s="62" t="s">
        <v>1922</v>
      </c>
      <c r="G702" s="62" t="s">
        <v>349</v>
      </c>
      <c r="H702" s="62" t="s">
        <v>468</v>
      </c>
      <c r="I702" s="62" t="s">
        <v>424</v>
      </c>
      <c r="J702" s="62" t="s">
        <v>639</v>
      </c>
      <c r="K702" s="62" t="s">
        <v>371</v>
      </c>
      <c r="L702" s="62" t="s">
        <v>2421</v>
      </c>
      <c r="M702" s="66" t="s">
        <v>1970</v>
      </c>
    </row>
    <row r="703" spans="1:13" x14ac:dyDescent="0.3">
      <c r="A703" s="61" t="s">
        <v>2080</v>
      </c>
      <c r="B703" s="62" t="s">
        <v>1019</v>
      </c>
      <c r="C703" s="62" t="s">
        <v>1020</v>
      </c>
      <c r="D703" s="63">
        <v>45177</v>
      </c>
      <c r="E703" s="63">
        <v>46273</v>
      </c>
      <c r="F703" s="62" t="s">
        <v>1922</v>
      </c>
      <c r="G703" s="62" t="s">
        <v>387</v>
      </c>
      <c r="H703" s="62" t="s">
        <v>468</v>
      </c>
      <c r="I703" s="62" t="s">
        <v>424</v>
      </c>
      <c r="J703" s="62" t="s">
        <v>639</v>
      </c>
      <c r="K703" s="62" t="s">
        <v>371</v>
      </c>
      <c r="L703" s="62" t="s">
        <v>2421</v>
      </c>
      <c r="M703" s="66" t="s">
        <v>1970</v>
      </c>
    </row>
    <row r="704" spans="1:13" x14ac:dyDescent="0.3">
      <c r="A704" s="61" t="s">
        <v>2080</v>
      </c>
      <c r="B704" s="62" t="s">
        <v>1019</v>
      </c>
      <c r="C704" s="62" t="s">
        <v>1020</v>
      </c>
      <c r="D704" s="63">
        <v>45177</v>
      </c>
      <c r="E704" s="63">
        <v>46273</v>
      </c>
      <c r="F704" s="62" t="s">
        <v>287</v>
      </c>
      <c r="G704" s="62" t="s">
        <v>396</v>
      </c>
      <c r="H704" s="62" t="s">
        <v>468</v>
      </c>
      <c r="I704" s="62" t="s">
        <v>424</v>
      </c>
      <c r="J704" s="62" t="s">
        <v>639</v>
      </c>
      <c r="K704" s="62" t="s">
        <v>371</v>
      </c>
      <c r="L704" s="62" t="s">
        <v>2421</v>
      </c>
      <c r="M704" s="66" t="s">
        <v>1970</v>
      </c>
    </row>
    <row r="705" spans="1:13" x14ac:dyDescent="0.3">
      <c r="A705" s="61" t="s">
        <v>2080</v>
      </c>
      <c r="B705" s="62" t="s">
        <v>1019</v>
      </c>
      <c r="C705" s="62" t="s">
        <v>1020</v>
      </c>
      <c r="D705" s="63">
        <v>45177</v>
      </c>
      <c r="E705" s="63">
        <v>46273</v>
      </c>
      <c r="F705" s="62" t="s">
        <v>1945</v>
      </c>
      <c r="G705" s="62" t="s">
        <v>400</v>
      </c>
      <c r="H705" s="62" t="s">
        <v>468</v>
      </c>
      <c r="I705" s="62" t="s">
        <v>424</v>
      </c>
      <c r="J705" s="62" t="s">
        <v>639</v>
      </c>
      <c r="K705" s="62" t="s">
        <v>371</v>
      </c>
      <c r="L705" s="62" t="s">
        <v>2421</v>
      </c>
      <c r="M705" s="66" t="s">
        <v>1970</v>
      </c>
    </row>
    <row r="706" spans="1:13" x14ac:dyDescent="0.3">
      <c r="A706" s="61" t="s">
        <v>2081</v>
      </c>
      <c r="B706" s="62" t="s">
        <v>1022</v>
      </c>
      <c r="C706" s="62" t="s">
        <v>1023</v>
      </c>
      <c r="D706" s="63">
        <v>45219</v>
      </c>
      <c r="E706" s="63">
        <v>46132</v>
      </c>
      <c r="F706" s="62" t="s">
        <v>1936</v>
      </c>
      <c r="G706" s="62" t="s">
        <v>411</v>
      </c>
      <c r="H706" s="62" t="s">
        <v>468</v>
      </c>
      <c r="I706" s="62" t="s">
        <v>424</v>
      </c>
      <c r="J706" s="62" t="s">
        <v>842</v>
      </c>
      <c r="K706" s="62" t="s">
        <v>375</v>
      </c>
      <c r="L706" s="62" t="s">
        <v>2421</v>
      </c>
      <c r="M706" s="66" t="s">
        <v>1968</v>
      </c>
    </row>
    <row r="707" spans="1:13" x14ac:dyDescent="0.3">
      <c r="A707" s="61" t="s">
        <v>2081</v>
      </c>
      <c r="B707" s="62" t="s">
        <v>1022</v>
      </c>
      <c r="C707" s="62" t="s">
        <v>1023</v>
      </c>
      <c r="D707" s="63">
        <v>45219</v>
      </c>
      <c r="E707" s="63">
        <v>46132</v>
      </c>
      <c r="F707" s="62" t="s">
        <v>1936</v>
      </c>
      <c r="G707" s="62" t="s">
        <v>605</v>
      </c>
      <c r="H707" s="62" t="s">
        <v>468</v>
      </c>
      <c r="I707" s="62" t="s">
        <v>424</v>
      </c>
      <c r="J707" s="62" t="s">
        <v>842</v>
      </c>
      <c r="K707" s="62" t="s">
        <v>375</v>
      </c>
      <c r="L707" s="62" t="s">
        <v>2421</v>
      </c>
      <c r="M707" s="66" t="s">
        <v>1968</v>
      </c>
    </row>
    <row r="708" spans="1:13" x14ac:dyDescent="0.3">
      <c r="A708" s="61" t="s">
        <v>2082</v>
      </c>
      <c r="B708" s="62" t="s">
        <v>1024</v>
      </c>
      <c r="C708" s="62" t="s">
        <v>1025</v>
      </c>
      <c r="D708" s="63">
        <v>45200</v>
      </c>
      <c r="E708" s="63">
        <v>46295</v>
      </c>
      <c r="F708" s="62" t="s">
        <v>350</v>
      </c>
      <c r="G708" s="62" t="s">
        <v>350</v>
      </c>
      <c r="H708" s="62" t="s">
        <v>1026</v>
      </c>
      <c r="I708" s="62" t="s">
        <v>1518</v>
      </c>
      <c r="J708" s="62" t="s">
        <v>684</v>
      </c>
      <c r="K708" s="62" t="s">
        <v>459</v>
      </c>
      <c r="L708" s="62" t="s">
        <v>2421</v>
      </c>
      <c r="M708" s="66" t="s">
        <v>1971</v>
      </c>
    </row>
    <row r="709" spans="1:13" x14ac:dyDescent="0.3">
      <c r="A709" s="61" t="s">
        <v>2083</v>
      </c>
      <c r="B709" s="62" t="s">
        <v>1027</v>
      </c>
      <c r="C709" s="62" t="s">
        <v>1028</v>
      </c>
      <c r="D709" s="63">
        <v>45229</v>
      </c>
      <c r="E709" s="63">
        <v>46873</v>
      </c>
      <c r="F709" s="62" t="s">
        <v>1930</v>
      </c>
      <c r="G709" s="62" t="s">
        <v>721</v>
      </c>
      <c r="H709" s="62" t="s">
        <v>468</v>
      </c>
      <c r="I709" s="62" t="s">
        <v>424</v>
      </c>
      <c r="J709" s="62" t="s">
        <v>579</v>
      </c>
      <c r="K709" s="62" t="s">
        <v>428</v>
      </c>
      <c r="L709" s="62" t="s">
        <v>2421</v>
      </c>
      <c r="M709" s="66" t="s">
        <v>1970</v>
      </c>
    </row>
    <row r="710" spans="1:13" x14ac:dyDescent="0.3">
      <c r="A710" s="61" t="s">
        <v>2083</v>
      </c>
      <c r="B710" s="62" t="s">
        <v>1027</v>
      </c>
      <c r="C710" s="62" t="s">
        <v>1028</v>
      </c>
      <c r="D710" s="63">
        <v>45229</v>
      </c>
      <c r="E710" s="63">
        <v>46873</v>
      </c>
      <c r="F710" s="62" t="s">
        <v>1930</v>
      </c>
      <c r="G710" s="62" t="s">
        <v>723</v>
      </c>
      <c r="H710" s="62" t="s">
        <v>468</v>
      </c>
      <c r="I710" s="62" t="s">
        <v>424</v>
      </c>
      <c r="J710" s="62" t="s">
        <v>579</v>
      </c>
      <c r="K710" s="62" t="s">
        <v>428</v>
      </c>
      <c r="L710" s="62" t="s">
        <v>2421</v>
      </c>
      <c r="M710" s="66" t="s">
        <v>1970</v>
      </c>
    </row>
    <row r="711" spans="1:13" x14ac:dyDescent="0.3">
      <c r="A711" s="61" t="s">
        <v>2083</v>
      </c>
      <c r="B711" s="62" t="s">
        <v>1027</v>
      </c>
      <c r="C711" s="62" t="s">
        <v>1028</v>
      </c>
      <c r="D711" s="63">
        <v>45229</v>
      </c>
      <c r="E711" s="63">
        <v>46873</v>
      </c>
      <c r="F711" s="62" t="s">
        <v>1930</v>
      </c>
      <c r="G711" s="62" t="s">
        <v>546</v>
      </c>
      <c r="H711" s="62" t="s">
        <v>468</v>
      </c>
      <c r="I711" s="62" t="s">
        <v>424</v>
      </c>
      <c r="J711" s="62" t="s">
        <v>579</v>
      </c>
      <c r="K711" s="62" t="s">
        <v>428</v>
      </c>
      <c r="L711" s="62" t="s">
        <v>2421</v>
      </c>
      <c r="M711" s="66" t="s">
        <v>1970</v>
      </c>
    </row>
    <row r="712" spans="1:13" x14ac:dyDescent="0.3">
      <c r="A712" s="61" t="s">
        <v>2083</v>
      </c>
      <c r="B712" s="62" t="s">
        <v>1027</v>
      </c>
      <c r="C712" s="62" t="s">
        <v>1028</v>
      </c>
      <c r="D712" s="63">
        <v>45229</v>
      </c>
      <c r="E712" s="63">
        <v>46873</v>
      </c>
      <c r="F712" s="62" t="s">
        <v>1921</v>
      </c>
      <c r="G712" s="62" t="s">
        <v>559</v>
      </c>
      <c r="H712" s="62" t="s">
        <v>468</v>
      </c>
      <c r="I712" s="62" t="s">
        <v>424</v>
      </c>
      <c r="J712" s="62" t="s">
        <v>579</v>
      </c>
      <c r="K712" s="62" t="s">
        <v>428</v>
      </c>
      <c r="L712" s="62" t="s">
        <v>2421</v>
      </c>
      <c r="M712" s="66" t="s">
        <v>1970</v>
      </c>
    </row>
    <row r="713" spans="1:13" x14ac:dyDescent="0.3">
      <c r="A713" s="61" t="s">
        <v>2083</v>
      </c>
      <c r="B713" s="62" t="s">
        <v>1027</v>
      </c>
      <c r="C713" s="62" t="s">
        <v>1028</v>
      </c>
      <c r="D713" s="63">
        <v>45229</v>
      </c>
      <c r="E713" s="63">
        <v>46873</v>
      </c>
      <c r="F713" s="62" t="s">
        <v>1921</v>
      </c>
      <c r="G713" s="62" t="s">
        <v>487</v>
      </c>
      <c r="H713" s="62" t="s">
        <v>468</v>
      </c>
      <c r="I713" s="62" t="s">
        <v>424</v>
      </c>
      <c r="J713" s="62" t="s">
        <v>579</v>
      </c>
      <c r="K713" s="62" t="s">
        <v>428</v>
      </c>
      <c r="L713" s="62" t="s">
        <v>2421</v>
      </c>
      <c r="M713" s="66" t="s">
        <v>1970</v>
      </c>
    </row>
    <row r="714" spans="1:13" x14ac:dyDescent="0.3">
      <c r="A714" s="61" t="s">
        <v>2083</v>
      </c>
      <c r="B714" s="62" t="s">
        <v>1027</v>
      </c>
      <c r="C714" s="62" t="s">
        <v>1028</v>
      </c>
      <c r="D714" s="63">
        <v>45229</v>
      </c>
      <c r="E714" s="63">
        <v>46873</v>
      </c>
      <c r="F714" s="62" t="s">
        <v>1922</v>
      </c>
      <c r="G714" s="62" t="s">
        <v>349</v>
      </c>
      <c r="H714" s="62" t="s">
        <v>468</v>
      </c>
      <c r="I714" s="62" t="s">
        <v>424</v>
      </c>
      <c r="J714" s="62" t="s">
        <v>579</v>
      </c>
      <c r="K714" s="62" t="s">
        <v>428</v>
      </c>
      <c r="L714" s="62" t="s">
        <v>2421</v>
      </c>
      <c r="M714" s="66" t="s">
        <v>1970</v>
      </c>
    </row>
    <row r="715" spans="1:13" x14ac:dyDescent="0.3">
      <c r="A715" s="61" t="s">
        <v>2083</v>
      </c>
      <c r="B715" s="62" t="s">
        <v>1027</v>
      </c>
      <c r="C715" s="62" t="s">
        <v>1028</v>
      </c>
      <c r="D715" s="63">
        <v>45229</v>
      </c>
      <c r="E715" s="63">
        <v>46873</v>
      </c>
      <c r="F715" s="62" t="s">
        <v>1922</v>
      </c>
      <c r="G715" s="62" t="s">
        <v>553</v>
      </c>
      <c r="H715" s="62" t="s">
        <v>468</v>
      </c>
      <c r="I715" s="62" t="s">
        <v>424</v>
      </c>
      <c r="J715" s="62" t="s">
        <v>579</v>
      </c>
      <c r="K715" s="62" t="s">
        <v>428</v>
      </c>
      <c r="L715" s="62" t="s">
        <v>2421</v>
      </c>
      <c r="M715" s="66" t="s">
        <v>1970</v>
      </c>
    </row>
    <row r="716" spans="1:13" x14ac:dyDescent="0.3">
      <c r="A716" s="61" t="s">
        <v>2083</v>
      </c>
      <c r="B716" s="62" t="s">
        <v>1027</v>
      </c>
      <c r="C716" s="62" t="s">
        <v>1028</v>
      </c>
      <c r="D716" s="63">
        <v>45229</v>
      </c>
      <c r="E716" s="63">
        <v>46873</v>
      </c>
      <c r="F716" s="62" t="s">
        <v>1936</v>
      </c>
      <c r="G716" s="62" t="s">
        <v>730</v>
      </c>
      <c r="H716" s="62" t="s">
        <v>468</v>
      </c>
      <c r="I716" s="62" t="s">
        <v>424</v>
      </c>
      <c r="J716" s="62" t="s">
        <v>579</v>
      </c>
      <c r="K716" s="62" t="s">
        <v>428</v>
      </c>
      <c r="L716" s="62" t="s">
        <v>2421</v>
      </c>
      <c r="M716" s="66" t="s">
        <v>1970</v>
      </c>
    </row>
    <row r="717" spans="1:13" x14ac:dyDescent="0.3">
      <c r="A717" s="61" t="s">
        <v>2083</v>
      </c>
      <c r="B717" s="62" t="s">
        <v>1027</v>
      </c>
      <c r="C717" s="62" t="s">
        <v>1028</v>
      </c>
      <c r="D717" s="63">
        <v>45229</v>
      </c>
      <c r="E717" s="63">
        <v>46873</v>
      </c>
      <c r="F717" s="62" t="s">
        <v>1936</v>
      </c>
      <c r="G717" s="62" t="s">
        <v>547</v>
      </c>
      <c r="H717" s="62" t="s">
        <v>468</v>
      </c>
      <c r="I717" s="62" t="s">
        <v>424</v>
      </c>
      <c r="J717" s="62" t="s">
        <v>579</v>
      </c>
      <c r="K717" s="62" t="s">
        <v>428</v>
      </c>
      <c r="L717" s="62" t="s">
        <v>2421</v>
      </c>
      <c r="M717" s="66" t="s">
        <v>1970</v>
      </c>
    </row>
    <row r="718" spans="1:13" x14ac:dyDescent="0.3">
      <c r="A718" s="61" t="s">
        <v>2083</v>
      </c>
      <c r="B718" s="62" t="s">
        <v>1027</v>
      </c>
      <c r="C718" s="62" t="s">
        <v>1028</v>
      </c>
      <c r="D718" s="63">
        <v>45229</v>
      </c>
      <c r="E718" s="63">
        <v>46873</v>
      </c>
      <c r="F718" s="62" t="s">
        <v>287</v>
      </c>
      <c r="G718" s="62" t="s">
        <v>390</v>
      </c>
      <c r="H718" s="62" t="s">
        <v>468</v>
      </c>
      <c r="I718" s="62" t="s">
        <v>424</v>
      </c>
      <c r="J718" s="62" t="s">
        <v>579</v>
      </c>
      <c r="K718" s="62" t="s">
        <v>428</v>
      </c>
      <c r="L718" s="62" t="s">
        <v>2421</v>
      </c>
      <c r="M718" s="66" t="s">
        <v>1970</v>
      </c>
    </row>
    <row r="719" spans="1:13" x14ac:dyDescent="0.3">
      <c r="A719" s="61" t="s">
        <v>2083</v>
      </c>
      <c r="B719" s="62" t="s">
        <v>1027</v>
      </c>
      <c r="C719" s="62" t="s">
        <v>1028</v>
      </c>
      <c r="D719" s="63">
        <v>45229</v>
      </c>
      <c r="E719" s="63">
        <v>46873</v>
      </c>
      <c r="F719" s="62" t="s">
        <v>287</v>
      </c>
      <c r="G719" s="62" t="s">
        <v>554</v>
      </c>
      <c r="H719" s="62" t="s">
        <v>468</v>
      </c>
      <c r="I719" s="62" t="s">
        <v>424</v>
      </c>
      <c r="J719" s="62" t="s">
        <v>579</v>
      </c>
      <c r="K719" s="62" t="s">
        <v>428</v>
      </c>
      <c r="L719" s="62" t="s">
        <v>2421</v>
      </c>
      <c r="M719" s="66" t="s">
        <v>1970</v>
      </c>
    </row>
    <row r="720" spans="1:13" x14ac:dyDescent="0.3">
      <c r="A720" s="61" t="s">
        <v>2456</v>
      </c>
      <c r="B720" s="62" t="s">
        <v>2457</v>
      </c>
      <c r="C720" s="62" t="s">
        <v>2458</v>
      </c>
      <c r="D720" s="63">
        <v>45170</v>
      </c>
      <c r="E720" s="63">
        <v>46265</v>
      </c>
      <c r="F720" s="62" t="s">
        <v>350</v>
      </c>
      <c r="G720" s="62" t="s">
        <v>304</v>
      </c>
      <c r="H720" s="62" t="s">
        <v>2447</v>
      </c>
      <c r="I720" s="62" t="s">
        <v>424</v>
      </c>
      <c r="J720" s="62" t="s">
        <v>603</v>
      </c>
      <c r="K720" s="62" t="s">
        <v>371</v>
      </c>
      <c r="L720" s="62" t="s">
        <v>2421</v>
      </c>
      <c r="M720" s="66" t="s">
        <v>1970</v>
      </c>
    </row>
    <row r="721" spans="1:13" x14ac:dyDescent="0.3">
      <c r="A721" s="61" t="s">
        <v>2084</v>
      </c>
      <c r="B721" s="62" t="s">
        <v>1029</v>
      </c>
      <c r="C721" s="62" t="s">
        <v>1030</v>
      </c>
      <c r="D721" s="63">
        <v>45236</v>
      </c>
      <c r="E721" s="63">
        <v>46209</v>
      </c>
      <c r="F721" s="62" t="s">
        <v>350</v>
      </c>
      <c r="G721" s="62" t="s">
        <v>304</v>
      </c>
      <c r="H721" s="62" t="s">
        <v>468</v>
      </c>
      <c r="I721" s="62" t="s">
        <v>424</v>
      </c>
      <c r="J721" s="62" t="s">
        <v>639</v>
      </c>
      <c r="K721" s="62" t="s">
        <v>371</v>
      </c>
      <c r="L721" s="62" t="s">
        <v>2421</v>
      </c>
      <c r="M721" s="66" t="s">
        <v>1970</v>
      </c>
    </row>
    <row r="722" spans="1:13" x14ac:dyDescent="0.3">
      <c r="A722" s="61" t="s">
        <v>2085</v>
      </c>
      <c r="B722" s="62" t="s">
        <v>1031</v>
      </c>
      <c r="C722" s="62" t="s">
        <v>1032</v>
      </c>
      <c r="D722" s="63">
        <v>45078</v>
      </c>
      <c r="E722" s="63">
        <v>46174</v>
      </c>
      <c r="F722" s="62" t="s">
        <v>1958</v>
      </c>
      <c r="G722" s="62" t="s">
        <v>328</v>
      </c>
      <c r="H722" s="62" t="s">
        <v>373</v>
      </c>
      <c r="I722" s="62" t="s">
        <v>424</v>
      </c>
      <c r="J722" s="62" t="s">
        <v>896</v>
      </c>
      <c r="K722" s="62" t="s">
        <v>428</v>
      </c>
      <c r="L722" s="62" t="s">
        <v>2421</v>
      </c>
      <c r="M722" s="66" t="s">
        <v>2021</v>
      </c>
    </row>
    <row r="723" spans="1:13" x14ac:dyDescent="0.3">
      <c r="A723" s="61" t="s">
        <v>2085</v>
      </c>
      <c r="B723" s="62" t="s">
        <v>1031</v>
      </c>
      <c r="C723" s="62" t="s">
        <v>1032</v>
      </c>
      <c r="D723" s="63">
        <v>45078</v>
      </c>
      <c r="E723" s="63">
        <v>46174</v>
      </c>
      <c r="F723" s="62" t="s">
        <v>1958</v>
      </c>
      <c r="G723" s="62" t="s">
        <v>329</v>
      </c>
      <c r="H723" s="62" t="s">
        <v>373</v>
      </c>
      <c r="I723" s="62" t="s">
        <v>424</v>
      </c>
      <c r="J723" s="62" t="s">
        <v>896</v>
      </c>
      <c r="K723" s="62" t="s">
        <v>428</v>
      </c>
      <c r="L723" s="62" t="s">
        <v>2421</v>
      </c>
      <c r="M723" s="66" t="s">
        <v>2021</v>
      </c>
    </row>
    <row r="724" spans="1:13" x14ac:dyDescent="0.3">
      <c r="A724" s="61" t="s">
        <v>2085</v>
      </c>
      <c r="B724" s="62" t="s">
        <v>1031</v>
      </c>
      <c r="C724" s="62" t="s">
        <v>1032</v>
      </c>
      <c r="D724" s="63">
        <v>45078</v>
      </c>
      <c r="E724" s="63">
        <v>46174</v>
      </c>
      <c r="F724" s="62" t="s">
        <v>1958</v>
      </c>
      <c r="G724" s="62" t="s">
        <v>330</v>
      </c>
      <c r="H724" s="62" t="s">
        <v>373</v>
      </c>
      <c r="I724" s="62" t="s">
        <v>424</v>
      </c>
      <c r="J724" s="62" t="s">
        <v>896</v>
      </c>
      <c r="K724" s="62" t="s">
        <v>428</v>
      </c>
      <c r="L724" s="62" t="s">
        <v>2421</v>
      </c>
      <c r="M724" s="66" t="s">
        <v>2021</v>
      </c>
    </row>
    <row r="725" spans="1:13" x14ac:dyDescent="0.3">
      <c r="A725" s="61" t="s">
        <v>2085</v>
      </c>
      <c r="B725" s="62" t="s">
        <v>1031</v>
      </c>
      <c r="C725" s="62" t="s">
        <v>1032</v>
      </c>
      <c r="D725" s="63">
        <v>45078</v>
      </c>
      <c r="E725" s="63">
        <v>46174</v>
      </c>
      <c r="F725" s="62" t="s">
        <v>1958</v>
      </c>
      <c r="G725" s="62" t="s">
        <v>332</v>
      </c>
      <c r="H725" s="62" t="s">
        <v>373</v>
      </c>
      <c r="I725" s="62" t="s">
        <v>424</v>
      </c>
      <c r="J725" s="62" t="s">
        <v>896</v>
      </c>
      <c r="K725" s="62" t="s">
        <v>428</v>
      </c>
      <c r="L725" s="62" t="s">
        <v>2421</v>
      </c>
      <c r="M725" s="66" t="s">
        <v>2021</v>
      </c>
    </row>
    <row r="726" spans="1:13" x14ac:dyDescent="0.3">
      <c r="A726" s="61" t="s">
        <v>2085</v>
      </c>
      <c r="B726" s="62" t="s">
        <v>1031</v>
      </c>
      <c r="C726" s="62" t="s">
        <v>1032</v>
      </c>
      <c r="D726" s="63">
        <v>45078</v>
      </c>
      <c r="E726" s="63">
        <v>46174</v>
      </c>
      <c r="F726" s="62" t="s">
        <v>1958</v>
      </c>
      <c r="G726" s="62" t="s">
        <v>333</v>
      </c>
      <c r="H726" s="62" t="s">
        <v>373</v>
      </c>
      <c r="I726" s="62" t="s">
        <v>424</v>
      </c>
      <c r="J726" s="62" t="s">
        <v>896</v>
      </c>
      <c r="K726" s="62" t="s">
        <v>428</v>
      </c>
      <c r="L726" s="62" t="s">
        <v>2421</v>
      </c>
      <c r="M726" s="66" t="s">
        <v>2021</v>
      </c>
    </row>
    <row r="727" spans="1:13" x14ac:dyDescent="0.3">
      <c r="A727" s="61" t="s">
        <v>2085</v>
      </c>
      <c r="B727" s="62" t="s">
        <v>1031</v>
      </c>
      <c r="C727" s="62" t="s">
        <v>1032</v>
      </c>
      <c r="D727" s="63">
        <v>45078</v>
      </c>
      <c r="E727" s="63">
        <v>46174</v>
      </c>
      <c r="F727" s="62" t="s">
        <v>1958</v>
      </c>
      <c r="G727" s="62" t="s">
        <v>334</v>
      </c>
      <c r="H727" s="62" t="s">
        <v>373</v>
      </c>
      <c r="I727" s="62" t="s">
        <v>424</v>
      </c>
      <c r="J727" s="62" t="s">
        <v>896</v>
      </c>
      <c r="K727" s="62" t="s">
        <v>428</v>
      </c>
      <c r="L727" s="62" t="s">
        <v>2421</v>
      </c>
      <c r="M727" s="66" t="s">
        <v>2021</v>
      </c>
    </row>
    <row r="728" spans="1:13" x14ac:dyDescent="0.3">
      <c r="A728" s="61" t="s">
        <v>2085</v>
      </c>
      <c r="B728" s="62" t="s">
        <v>1031</v>
      </c>
      <c r="C728" s="62" t="s">
        <v>1032</v>
      </c>
      <c r="D728" s="63">
        <v>45078</v>
      </c>
      <c r="E728" s="63">
        <v>46174</v>
      </c>
      <c r="F728" s="62" t="s">
        <v>1958</v>
      </c>
      <c r="G728" s="62" t="s">
        <v>335</v>
      </c>
      <c r="H728" s="62" t="s">
        <v>373</v>
      </c>
      <c r="I728" s="62" t="s">
        <v>424</v>
      </c>
      <c r="J728" s="62" t="s">
        <v>896</v>
      </c>
      <c r="K728" s="62" t="s">
        <v>428</v>
      </c>
      <c r="L728" s="62" t="s">
        <v>2421</v>
      </c>
      <c r="M728" s="66" t="s">
        <v>2021</v>
      </c>
    </row>
    <row r="729" spans="1:13" x14ac:dyDescent="0.3">
      <c r="A729" s="61" t="s">
        <v>2086</v>
      </c>
      <c r="B729" s="62" t="s">
        <v>1033</v>
      </c>
      <c r="C729" s="62" t="s">
        <v>1034</v>
      </c>
      <c r="D729" s="63">
        <v>45294</v>
      </c>
      <c r="E729" s="63">
        <v>46873</v>
      </c>
      <c r="F729" s="62" t="s">
        <v>1930</v>
      </c>
      <c r="G729" s="62" t="s">
        <v>721</v>
      </c>
      <c r="H729" s="62" t="s">
        <v>468</v>
      </c>
      <c r="I729" s="62" t="s">
        <v>424</v>
      </c>
      <c r="J729" s="62" t="s">
        <v>579</v>
      </c>
      <c r="K729" s="62" t="s">
        <v>428</v>
      </c>
      <c r="L729" s="62" t="s">
        <v>2421</v>
      </c>
      <c r="M729" s="66" t="s">
        <v>1970</v>
      </c>
    </row>
    <row r="730" spans="1:13" x14ac:dyDescent="0.3">
      <c r="A730" s="61" t="s">
        <v>2086</v>
      </c>
      <c r="B730" s="62" t="s">
        <v>1033</v>
      </c>
      <c r="C730" s="62" t="s">
        <v>1034</v>
      </c>
      <c r="D730" s="63">
        <v>45294</v>
      </c>
      <c r="E730" s="63">
        <v>46873</v>
      </c>
      <c r="F730" s="62" t="s">
        <v>1930</v>
      </c>
      <c r="G730" s="62" t="s">
        <v>723</v>
      </c>
      <c r="H730" s="62" t="s">
        <v>468</v>
      </c>
      <c r="I730" s="62" t="s">
        <v>424</v>
      </c>
      <c r="J730" s="62" t="s">
        <v>579</v>
      </c>
      <c r="K730" s="62" t="s">
        <v>428</v>
      </c>
      <c r="L730" s="62" t="s">
        <v>2421</v>
      </c>
      <c r="M730" s="66" t="s">
        <v>1970</v>
      </c>
    </row>
    <row r="731" spans="1:13" x14ac:dyDescent="0.3">
      <c r="A731" s="61" t="s">
        <v>2086</v>
      </c>
      <c r="B731" s="62" t="s">
        <v>1033</v>
      </c>
      <c r="C731" s="62" t="s">
        <v>1034</v>
      </c>
      <c r="D731" s="63">
        <v>45294</v>
      </c>
      <c r="E731" s="63">
        <v>46873</v>
      </c>
      <c r="F731" s="62" t="s">
        <v>1930</v>
      </c>
      <c r="G731" s="62" t="s">
        <v>546</v>
      </c>
      <c r="H731" s="62" t="s">
        <v>468</v>
      </c>
      <c r="I731" s="62" t="s">
        <v>424</v>
      </c>
      <c r="J731" s="62" t="s">
        <v>579</v>
      </c>
      <c r="K731" s="62" t="s">
        <v>428</v>
      </c>
      <c r="L731" s="62" t="s">
        <v>2421</v>
      </c>
      <c r="M731" s="66" t="s">
        <v>1970</v>
      </c>
    </row>
    <row r="732" spans="1:13" x14ac:dyDescent="0.3">
      <c r="A732" s="61" t="s">
        <v>2086</v>
      </c>
      <c r="B732" s="62" t="s">
        <v>1033</v>
      </c>
      <c r="C732" s="62" t="s">
        <v>1034</v>
      </c>
      <c r="D732" s="63">
        <v>45294</v>
      </c>
      <c r="E732" s="63">
        <v>46873</v>
      </c>
      <c r="F732" s="62" t="s">
        <v>1921</v>
      </c>
      <c r="G732" s="62" t="s">
        <v>559</v>
      </c>
      <c r="H732" s="62" t="s">
        <v>468</v>
      </c>
      <c r="I732" s="62" t="s">
        <v>424</v>
      </c>
      <c r="J732" s="62" t="s">
        <v>579</v>
      </c>
      <c r="K732" s="62" t="s">
        <v>428</v>
      </c>
      <c r="L732" s="62" t="s">
        <v>2421</v>
      </c>
      <c r="M732" s="66" t="s">
        <v>1970</v>
      </c>
    </row>
    <row r="733" spans="1:13" x14ac:dyDescent="0.3">
      <c r="A733" s="61" t="s">
        <v>2086</v>
      </c>
      <c r="B733" s="62" t="s">
        <v>1033</v>
      </c>
      <c r="C733" s="62" t="s">
        <v>1034</v>
      </c>
      <c r="D733" s="63">
        <v>45294</v>
      </c>
      <c r="E733" s="63">
        <v>46873</v>
      </c>
      <c r="F733" s="62" t="s">
        <v>1921</v>
      </c>
      <c r="G733" s="62" t="s">
        <v>487</v>
      </c>
      <c r="H733" s="62" t="s">
        <v>468</v>
      </c>
      <c r="I733" s="62" t="s">
        <v>424</v>
      </c>
      <c r="J733" s="62" t="s">
        <v>579</v>
      </c>
      <c r="K733" s="62" t="s">
        <v>428</v>
      </c>
      <c r="L733" s="62" t="s">
        <v>2421</v>
      </c>
      <c r="M733" s="66" t="s">
        <v>1970</v>
      </c>
    </row>
    <row r="734" spans="1:13" x14ac:dyDescent="0.3">
      <c r="A734" s="61" t="s">
        <v>2086</v>
      </c>
      <c r="B734" s="62" t="s">
        <v>1033</v>
      </c>
      <c r="C734" s="62" t="s">
        <v>1034</v>
      </c>
      <c r="D734" s="63">
        <v>45294</v>
      </c>
      <c r="E734" s="63">
        <v>46873</v>
      </c>
      <c r="F734" s="62" t="s">
        <v>1922</v>
      </c>
      <c r="G734" s="62" t="s">
        <v>349</v>
      </c>
      <c r="H734" s="62" t="s">
        <v>468</v>
      </c>
      <c r="I734" s="62" t="s">
        <v>424</v>
      </c>
      <c r="J734" s="62" t="s">
        <v>579</v>
      </c>
      <c r="K734" s="62" t="s">
        <v>428</v>
      </c>
      <c r="L734" s="62" t="s">
        <v>2421</v>
      </c>
      <c r="M734" s="66" t="s">
        <v>1970</v>
      </c>
    </row>
    <row r="735" spans="1:13" x14ac:dyDescent="0.3">
      <c r="A735" s="61" t="s">
        <v>2086</v>
      </c>
      <c r="B735" s="62" t="s">
        <v>1033</v>
      </c>
      <c r="C735" s="62" t="s">
        <v>1034</v>
      </c>
      <c r="D735" s="63">
        <v>45294</v>
      </c>
      <c r="E735" s="63">
        <v>46873</v>
      </c>
      <c r="F735" s="62" t="s">
        <v>1922</v>
      </c>
      <c r="G735" s="62" t="s">
        <v>553</v>
      </c>
      <c r="H735" s="62" t="s">
        <v>468</v>
      </c>
      <c r="I735" s="62" t="s">
        <v>424</v>
      </c>
      <c r="J735" s="62" t="s">
        <v>579</v>
      </c>
      <c r="K735" s="62" t="s">
        <v>428</v>
      </c>
      <c r="L735" s="62" t="s">
        <v>2421</v>
      </c>
      <c r="M735" s="66" t="s">
        <v>1970</v>
      </c>
    </row>
    <row r="736" spans="1:13" x14ac:dyDescent="0.3">
      <c r="A736" s="61" t="s">
        <v>2086</v>
      </c>
      <c r="B736" s="62" t="s">
        <v>1033</v>
      </c>
      <c r="C736" s="62" t="s">
        <v>1034</v>
      </c>
      <c r="D736" s="63">
        <v>45294</v>
      </c>
      <c r="E736" s="63">
        <v>46873</v>
      </c>
      <c r="F736" s="62" t="s">
        <v>1936</v>
      </c>
      <c r="G736" s="62" t="s">
        <v>730</v>
      </c>
      <c r="H736" s="62" t="s">
        <v>468</v>
      </c>
      <c r="I736" s="62" t="s">
        <v>424</v>
      </c>
      <c r="J736" s="62" t="s">
        <v>579</v>
      </c>
      <c r="K736" s="62" t="s">
        <v>428</v>
      </c>
      <c r="L736" s="62" t="s">
        <v>2421</v>
      </c>
      <c r="M736" s="66" t="s">
        <v>1970</v>
      </c>
    </row>
    <row r="737" spans="1:13" x14ac:dyDescent="0.3">
      <c r="A737" s="61" t="s">
        <v>2086</v>
      </c>
      <c r="B737" s="62" t="s">
        <v>1033</v>
      </c>
      <c r="C737" s="62" t="s">
        <v>1034</v>
      </c>
      <c r="D737" s="63">
        <v>45294</v>
      </c>
      <c r="E737" s="63">
        <v>46873</v>
      </c>
      <c r="F737" s="62" t="s">
        <v>1936</v>
      </c>
      <c r="G737" s="62" t="s">
        <v>547</v>
      </c>
      <c r="H737" s="62" t="s">
        <v>468</v>
      </c>
      <c r="I737" s="62" t="s">
        <v>424</v>
      </c>
      <c r="J737" s="62" t="s">
        <v>579</v>
      </c>
      <c r="K737" s="62" t="s">
        <v>428</v>
      </c>
      <c r="L737" s="62" t="s">
        <v>2421</v>
      </c>
      <c r="M737" s="66" t="s">
        <v>1970</v>
      </c>
    </row>
    <row r="738" spans="1:13" x14ac:dyDescent="0.3">
      <c r="A738" s="61" t="s">
        <v>2086</v>
      </c>
      <c r="B738" s="62" t="s">
        <v>1033</v>
      </c>
      <c r="C738" s="62" t="s">
        <v>1034</v>
      </c>
      <c r="D738" s="63">
        <v>45294</v>
      </c>
      <c r="E738" s="63">
        <v>46873</v>
      </c>
      <c r="F738" s="62" t="s">
        <v>287</v>
      </c>
      <c r="G738" s="62" t="s">
        <v>390</v>
      </c>
      <c r="H738" s="62" t="s">
        <v>468</v>
      </c>
      <c r="I738" s="62" t="s">
        <v>424</v>
      </c>
      <c r="J738" s="62" t="s">
        <v>579</v>
      </c>
      <c r="K738" s="62" t="s">
        <v>428</v>
      </c>
      <c r="L738" s="62" t="s">
        <v>2421</v>
      </c>
      <c r="M738" s="66" t="s">
        <v>1970</v>
      </c>
    </row>
    <row r="739" spans="1:13" x14ac:dyDescent="0.3">
      <c r="A739" s="61" t="s">
        <v>2086</v>
      </c>
      <c r="B739" s="62" t="s">
        <v>1033</v>
      </c>
      <c r="C739" s="62" t="s">
        <v>1034</v>
      </c>
      <c r="D739" s="63">
        <v>45294</v>
      </c>
      <c r="E739" s="63">
        <v>46873</v>
      </c>
      <c r="F739" s="62" t="s">
        <v>287</v>
      </c>
      <c r="G739" s="62" t="s">
        <v>554</v>
      </c>
      <c r="H739" s="62" t="s">
        <v>468</v>
      </c>
      <c r="I739" s="62" t="s">
        <v>424</v>
      </c>
      <c r="J739" s="62" t="s">
        <v>579</v>
      </c>
      <c r="K739" s="62" t="s">
        <v>428</v>
      </c>
      <c r="L739" s="62" t="s">
        <v>2421</v>
      </c>
      <c r="M739" s="66" t="s">
        <v>1970</v>
      </c>
    </row>
    <row r="740" spans="1:13" x14ac:dyDescent="0.3">
      <c r="A740" s="61" t="s">
        <v>2087</v>
      </c>
      <c r="B740" s="62" t="s">
        <v>2459</v>
      </c>
      <c r="C740" s="62" t="s">
        <v>1035</v>
      </c>
      <c r="D740" s="63">
        <v>45139</v>
      </c>
      <c r="E740" s="63">
        <v>46081</v>
      </c>
      <c r="F740" s="62" t="s">
        <v>350</v>
      </c>
      <c r="G740" s="62" t="s">
        <v>304</v>
      </c>
      <c r="H740" s="62" t="s">
        <v>373</v>
      </c>
      <c r="I740" s="62" t="s">
        <v>424</v>
      </c>
      <c r="J740" s="62" t="s">
        <v>671</v>
      </c>
      <c r="K740" s="62" t="s">
        <v>426</v>
      </c>
      <c r="L740" s="62" t="s">
        <v>2421</v>
      </c>
      <c r="M740" s="66" t="s">
        <v>1972</v>
      </c>
    </row>
    <row r="741" spans="1:13" x14ac:dyDescent="0.3">
      <c r="A741" s="61" t="s">
        <v>2088</v>
      </c>
      <c r="B741" s="62" t="s">
        <v>1036</v>
      </c>
      <c r="C741" s="62" t="s">
        <v>1037</v>
      </c>
      <c r="D741" s="63">
        <v>45366</v>
      </c>
      <c r="E741" s="63">
        <v>46460</v>
      </c>
      <c r="F741" s="62" t="s">
        <v>1945</v>
      </c>
      <c r="G741" s="62" t="s">
        <v>1038</v>
      </c>
      <c r="H741" s="62" t="s">
        <v>2460</v>
      </c>
      <c r="I741" s="62" t="s">
        <v>1518</v>
      </c>
      <c r="J741" s="62" t="s">
        <v>1039</v>
      </c>
      <c r="K741" s="62" t="s">
        <v>465</v>
      </c>
      <c r="L741" s="62" t="s">
        <v>2421</v>
      </c>
      <c r="M741" s="66" t="s">
        <v>1971</v>
      </c>
    </row>
    <row r="742" spans="1:13" x14ac:dyDescent="0.3">
      <c r="A742" s="61" t="s">
        <v>2088</v>
      </c>
      <c r="B742" s="62" t="s">
        <v>1036</v>
      </c>
      <c r="C742" s="62" t="s">
        <v>1037</v>
      </c>
      <c r="D742" s="63">
        <v>45366</v>
      </c>
      <c r="E742" s="63">
        <v>46460</v>
      </c>
      <c r="F742" s="62" t="s">
        <v>1945</v>
      </c>
      <c r="G742" s="62" t="s">
        <v>450</v>
      </c>
      <c r="H742" s="62" t="s">
        <v>2460</v>
      </c>
      <c r="I742" s="62" t="s">
        <v>1518</v>
      </c>
      <c r="J742" s="62" t="s">
        <v>1039</v>
      </c>
      <c r="K742" s="62" t="s">
        <v>465</v>
      </c>
      <c r="L742" s="62" t="s">
        <v>2421</v>
      </c>
      <c r="M742" s="66" t="s">
        <v>1971</v>
      </c>
    </row>
    <row r="743" spans="1:13" x14ac:dyDescent="0.3">
      <c r="A743" s="61" t="s">
        <v>2088</v>
      </c>
      <c r="B743" s="62" t="s">
        <v>1036</v>
      </c>
      <c r="C743" s="62" t="s">
        <v>1037</v>
      </c>
      <c r="D743" s="63">
        <v>45366</v>
      </c>
      <c r="E743" s="63">
        <v>46460</v>
      </c>
      <c r="F743" s="62" t="s">
        <v>1945</v>
      </c>
      <c r="G743" s="62" t="s">
        <v>404</v>
      </c>
      <c r="H743" s="62" t="s">
        <v>2460</v>
      </c>
      <c r="I743" s="62" t="s">
        <v>1518</v>
      </c>
      <c r="J743" s="62" t="s">
        <v>1039</v>
      </c>
      <c r="K743" s="62" t="s">
        <v>465</v>
      </c>
      <c r="L743" s="62" t="s">
        <v>2421</v>
      </c>
      <c r="M743" s="66" t="s">
        <v>1971</v>
      </c>
    </row>
    <row r="744" spans="1:13" x14ac:dyDescent="0.3">
      <c r="A744" s="61" t="s">
        <v>2088</v>
      </c>
      <c r="B744" s="62" t="s">
        <v>1036</v>
      </c>
      <c r="C744" s="62" t="s">
        <v>1037</v>
      </c>
      <c r="D744" s="63">
        <v>45366</v>
      </c>
      <c r="E744" s="63">
        <v>46460</v>
      </c>
      <c r="F744" s="62" t="s">
        <v>1945</v>
      </c>
      <c r="G744" s="62" t="s">
        <v>1038</v>
      </c>
      <c r="H744" s="62" t="s">
        <v>2462</v>
      </c>
      <c r="I744" s="62" t="s">
        <v>1518</v>
      </c>
      <c r="J744" s="62" t="s">
        <v>1039</v>
      </c>
      <c r="K744" s="62" t="s">
        <v>465</v>
      </c>
      <c r="L744" s="62" t="s">
        <v>2421</v>
      </c>
      <c r="M744" s="66" t="s">
        <v>1971</v>
      </c>
    </row>
    <row r="745" spans="1:13" x14ac:dyDescent="0.3">
      <c r="A745" s="61" t="s">
        <v>2088</v>
      </c>
      <c r="B745" s="62" t="s">
        <v>1036</v>
      </c>
      <c r="C745" s="62" t="s">
        <v>1037</v>
      </c>
      <c r="D745" s="63">
        <v>45366</v>
      </c>
      <c r="E745" s="63">
        <v>46460</v>
      </c>
      <c r="F745" s="62" t="s">
        <v>1945</v>
      </c>
      <c r="G745" s="62" t="s">
        <v>450</v>
      </c>
      <c r="H745" s="62" t="s">
        <v>2462</v>
      </c>
      <c r="I745" s="62" t="s">
        <v>1518</v>
      </c>
      <c r="J745" s="62" t="s">
        <v>1039</v>
      </c>
      <c r="K745" s="62" t="s">
        <v>465</v>
      </c>
      <c r="L745" s="62" t="s">
        <v>2421</v>
      </c>
      <c r="M745" s="66" t="s">
        <v>1971</v>
      </c>
    </row>
    <row r="746" spans="1:13" x14ac:dyDescent="0.3">
      <c r="A746" s="61" t="s">
        <v>2088</v>
      </c>
      <c r="B746" s="62" t="s">
        <v>1036</v>
      </c>
      <c r="C746" s="62" t="s">
        <v>1037</v>
      </c>
      <c r="D746" s="63">
        <v>45366</v>
      </c>
      <c r="E746" s="63">
        <v>46460</v>
      </c>
      <c r="F746" s="62" t="s">
        <v>1945</v>
      </c>
      <c r="G746" s="62" t="s">
        <v>404</v>
      </c>
      <c r="H746" s="62" t="s">
        <v>2462</v>
      </c>
      <c r="I746" s="62" t="s">
        <v>1518</v>
      </c>
      <c r="J746" s="62" t="s">
        <v>1039</v>
      </c>
      <c r="K746" s="62" t="s">
        <v>465</v>
      </c>
      <c r="L746" s="62" t="s">
        <v>2421</v>
      </c>
      <c r="M746" s="66" t="s">
        <v>1971</v>
      </c>
    </row>
    <row r="747" spans="1:13" x14ac:dyDescent="0.3">
      <c r="A747" s="61" t="s">
        <v>2088</v>
      </c>
      <c r="B747" s="62" t="s">
        <v>1036</v>
      </c>
      <c r="C747" s="62" t="s">
        <v>1037</v>
      </c>
      <c r="D747" s="63">
        <v>45366</v>
      </c>
      <c r="E747" s="63">
        <v>46460</v>
      </c>
      <c r="F747" s="62" t="s">
        <v>1945</v>
      </c>
      <c r="G747" s="62" t="s">
        <v>1038</v>
      </c>
      <c r="H747" s="62" t="s">
        <v>1040</v>
      </c>
      <c r="I747" s="62" t="s">
        <v>1518</v>
      </c>
      <c r="J747" s="62" t="s">
        <v>1039</v>
      </c>
      <c r="K747" s="62" t="s">
        <v>465</v>
      </c>
      <c r="L747" s="62" t="s">
        <v>2421</v>
      </c>
      <c r="M747" s="66" t="s">
        <v>1971</v>
      </c>
    </row>
    <row r="748" spans="1:13" x14ac:dyDescent="0.3">
      <c r="A748" s="61" t="s">
        <v>2088</v>
      </c>
      <c r="B748" s="62" t="s">
        <v>1036</v>
      </c>
      <c r="C748" s="62" t="s">
        <v>1037</v>
      </c>
      <c r="D748" s="63">
        <v>45366</v>
      </c>
      <c r="E748" s="63">
        <v>46460</v>
      </c>
      <c r="F748" s="62" t="s">
        <v>1945</v>
      </c>
      <c r="G748" s="62" t="s">
        <v>450</v>
      </c>
      <c r="H748" s="62" t="s">
        <v>1040</v>
      </c>
      <c r="I748" s="62" t="s">
        <v>1518</v>
      </c>
      <c r="J748" s="62" t="s">
        <v>1039</v>
      </c>
      <c r="K748" s="62" t="s">
        <v>465</v>
      </c>
      <c r="L748" s="62" t="s">
        <v>2421</v>
      </c>
      <c r="M748" s="66" t="s">
        <v>1971</v>
      </c>
    </row>
    <row r="749" spans="1:13" x14ac:dyDescent="0.3">
      <c r="A749" s="61" t="s">
        <v>2088</v>
      </c>
      <c r="B749" s="62" t="s">
        <v>1036</v>
      </c>
      <c r="C749" s="62" t="s">
        <v>1037</v>
      </c>
      <c r="D749" s="63">
        <v>45366</v>
      </c>
      <c r="E749" s="63">
        <v>46460</v>
      </c>
      <c r="F749" s="62" t="s">
        <v>1945</v>
      </c>
      <c r="G749" s="62" t="s">
        <v>404</v>
      </c>
      <c r="H749" s="62" t="s">
        <v>1040</v>
      </c>
      <c r="I749" s="62" t="s">
        <v>1518</v>
      </c>
      <c r="J749" s="62" t="s">
        <v>1039</v>
      </c>
      <c r="K749" s="62" t="s">
        <v>465</v>
      </c>
      <c r="L749" s="62" t="s">
        <v>2421</v>
      </c>
      <c r="M749" s="66" t="s">
        <v>1971</v>
      </c>
    </row>
    <row r="750" spans="1:13" x14ac:dyDescent="0.3">
      <c r="A750" s="61" t="s">
        <v>2088</v>
      </c>
      <c r="B750" s="62" t="s">
        <v>1036</v>
      </c>
      <c r="C750" s="62" t="s">
        <v>1037</v>
      </c>
      <c r="D750" s="63">
        <v>45366</v>
      </c>
      <c r="E750" s="63">
        <v>46460</v>
      </c>
      <c r="F750" s="62" t="s">
        <v>1945</v>
      </c>
      <c r="G750" s="62" t="s">
        <v>1038</v>
      </c>
      <c r="H750" s="62" t="s">
        <v>2463</v>
      </c>
      <c r="I750" s="62" t="s">
        <v>1518</v>
      </c>
      <c r="J750" s="62" t="s">
        <v>1039</v>
      </c>
      <c r="K750" s="62" t="s">
        <v>465</v>
      </c>
      <c r="L750" s="62" t="s">
        <v>2421</v>
      </c>
      <c r="M750" s="66" t="s">
        <v>1971</v>
      </c>
    </row>
    <row r="751" spans="1:13" x14ac:dyDescent="0.3">
      <c r="A751" s="61" t="s">
        <v>2088</v>
      </c>
      <c r="B751" s="62" t="s">
        <v>1036</v>
      </c>
      <c r="C751" s="62" t="s">
        <v>1037</v>
      </c>
      <c r="D751" s="63">
        <v>45366</v>
      </c>
      <c r="E751" s="63">
        <v>46460</v>
      </c>
      <c r="F751" s="62" t="s">
        <v>1945</v>
      </c>
      <c r="G751" s="62" t="s">
        <v>450</v>
      </c>
      <c r="H751" s="62" t="s">
        <v>2463</v>
      </c>
      <c r="I751" s="62" t="s">
        <v>1518</v>
      </c>
      <c r="J751" s="62" t="s">
        <v>1039</v>
      </c>
      <c r="K751" s="62" t="s">
        <v>465</v>
      </c>
      <c r="L751" s="62" t="s">
        <v>2421</v>
      </c>
      <c r="M751" s="66" t="s">
        <v>1971</v>
      </c>
    </row>
    <row r="752" spans="1:13" x14ac:dyDescent="0.3">
      <c r="A752" s="61" t="s">
        <v>2088</v>
      </c>
      <c r="B752" s="62" t="s">
        <v>1036</v>
      </c>
      <c r="C752" s="62" t="s">
        <v>1037</v>
      </c>
      <c r="D752" s="63">
        <v>45366</v>
      </c>
      <c r="E752" s="63">
        <v>46460</v>
      </c>
      <c r="F752" s="62" t="s">
        <v>1945</v>
      </c>
      <c r="G752" s="62" t="s">
        <v>404</v>
      </c>
      <c r="H752" s="62" t="s">
        <v>2463</v>
      </c>
      <c r="I752" s="62" t="s">
        <v>1518</v>
      </c>
      <c r="J752" s="62" t="s">
        <v>1039</v>
      </c>
      <c r="K752" s="62" t="s">
        <v>465</v>
      </c>
      <c r="L752" s="62" t="s">
        <v>2421</v>
      </c>
      <c r="M752" s="66" t="s">
        <v>1971</v>
      </c>
    </row>
    <row r="753" spans="1:13" x14ac:dyDescent="0.3">
      <c r="A753" s="61" t="s">
        <v>2088</v>
      </c>
      <c r="B753" s="62" t="s">
        <v>1036</v>
      </c>
      <c r="C753" s="62" t="s">
        <v>1037</v>
      </c>
      <c r="D753" s="63">
        <v>45366</v>
      </c>
      <c r="E753" s="63">
        <v>46460</v>
      </c>
      <c r="F753" s="62" t="s">
        <v>1945</v>
      </c>
      <c r="G753" s="62" t="s">
        <v>1038</v>
      </c>
      <c r="H753" s="62" t="s">
        <v>2464</v>
      </c>
      <c r="I753" s="62" t="s">
        <v>1518</v>
      </c>
      <c r="J753" s="62" t="s">
        <v>1039</v>
      </c>
      <c r="K753" s="62" t="s">
        <v>465</v>
      </c>
      <c r="L753" s="62" t="s">
        <v>2421</v>
      </c>
      <c r="M753" s="66" t="s">
        <v>1971</v>
      </c>
    </row>
    <row r="754" spans="1:13" x14ac:dyDescent="0.3">
      <c r="A754" s="61" t="s">
        <v>2088</v>
      </c>
      <c r="B754" s="62" t="s">
        <v>1036</v>
      </c>
      <c r="C754" s="62" t="s">
        <v>1037</v>
      </c>
      <c r="D754" s="63">
        <v>45366</v>
      </c>
      <c r="E754" s="63">
        <v>46460</v>
      </c>
      <c r="F754" s="62" t="s">
        <v>1945</v>
      </c>
      <c r="G754" s="62" t="s">
        <v>450</v>
      </c>
      <c r="H754" s="62" t="s">
        <v>2464</v>
      </c>
      <c r="I754" s="62" t="s">
        <v>1518</v>
      </c>
      <c r="J754" s="62" t="s">
        <v>1039</v>
      </c>
      <c r="K754" s="62" t="s">
        <v>465</v>
      </c>
      <c r="L754" s="62" t="s">
        <v>2421</v>
      </c>
      <c r="M754" s="66" t="s">
        <v>1971</v>
      </c>
    </row>
    <row r="755" spans="1:13" x14ac:dyDescent="0.3">
      <c r="A755" s="61" t="s">
        <v>2088</v>
      </c>
      <c r="B755" s="62" t="s">
        <v>1036</v>
      </c>
      <c r="C755" s="62" t="s">
        <v>1037</v>
      </c>
      <c r="D755" s="63">
        <v>45366</v>
      </c>
      <c r="E755" s="63">
        <v>46460</v>
      </c>
      <c r="F755" s="62" t="s">
        <v>1945</v>
      </c>
      <c r="G755" s="62" t="s">
        <v>404</v>
      </c>
      <c r="H755" s="62" t="s">
        <v>2464</v>
      </c>
      <c r="I755" s="62" t="s">
        <v>1518</v>
      </c>
      <c r="J755" s="62" t="s">
        <v>1039</v>
      </c>
      <c r="K755" s="62" t="s">
        <v>465</v>
      </c>
      <c r="L755" s="62" t="s">
        <v>2421</v>
      </c>
      <c r="M755" s="66" t="s">
        <v>1971</v>
      </c>
    </row>
    <row r="756" spans="1:13" x14ac:dyDescent="0.3">
      <c r="A756" s="61" t="s">
        <v>2089</v>
      </c>
      <c r="B756" s="62" t="s">
        <v>1041</v>
      </c>
      <c r="C756" s="62" t="s">
        <v>1042</v>
      </c>
      <c r="D756" s="63">
        <v>44942</v>
      </c>
      <c r="E756" s="63">
        <v>46038</v>
      </c>
      <c r="F756" s="62" t="s">
        <v>1959</v>
      </c>
      <c r="G756" s="62" t="s">
        <v>466</v>
      </c>
      <c r="H756" s="62" t="s">
        <v>1043</v>
      </c>
      <c r="I756" s="62" t="s">
        <v>825</v>
      </c>
      <c r="J756" s="62" t="s">
        <v>644</v>
      </c>
      <c r="K756" s="62" t="s">
        <v>371</v>
      </c>
      <c r="L756" s="62" t="s">
        <v>2421</v>
      </c>
      <c r="M756" s="66" t="s">
        <v>1972</v>
      </c>
    </row>
    <row r="757" spans="1:13" x14ac:dyDescent="0.3">
      <c r="A757" s="61" t="s">
        <v>2089</v>
      </c>
      <c r="B757" s="62" t="s">
        <v>1041</v>
      </c>
      <c r="C757" s="62" t="s">
        <v>1042</v>
      </c>
      <c r="D757" s="63">
        <v>44942</v>
      </c>
      <c r="E757" s="63">
        <v>46038</v>
      </c>
      <c r="F757" s="62" t="s">
        <v>1959</v>
      </c>
      <c r="G757" s="62" t="s">
        <v>808</v>
      </c>
      <c r="H757" s="62" t="s">
        <v>1043</v>
      </c>
      <c r="I757" s="62" t="s">
        <v>825</v>
      </c>
      <c r="J757" s="62" t="s">
        <v>644</v>
      </c>
      <c r="K757" s="62" t="s">
        <v>371</v>
      </c>
      <c r="L757" s="62" t="s">
        <v>2421</v>
      </c>
      <c r="M757" s="66" t="s">
        <v>1972</v>
      </c>
    </row>
    <row r="758" spans="1:13" x14ac:dyDescent="0.3">
      <c r="A758" s="61" t="s">
        <v>2089</v>
      </c>
      <c r="B758" s="62" t="s">
        <v>1041</v>
      </c>
      <c r="C758" s="62" t="s">
        <v>1042</v>
      </c>
      <c r="D758" s="63">
        <v>44942</v>
      </c>
      <c r="E758" s="63">
        <v>46038</v>
      </c>
      <c r="F758" s="62" t="s">
        <v>1945</v>
      </c>
      <c r="G758" s="62" t="s">
        <v>403</v>
      </c>
      <c r="H758" s="62" t="s">
        <v>1043</v>
      </c>
      <c r="I758" s="62" t="s">
        <v>825</v>
      </c>
      <c r="J758" s="62" t="s">
        <v>644</v>
      </c>
      <c r="K758" s="62" t="s">
        <v>371</v>
      </c>
      <c r="L758" s="62" t="s">
        <v>2421</v>
      </c>
      <c r="M758" s="66" t="s">
        <v>1972</v>
      </c>
    </row>
    <row r="759" spans="1:13" x14ac:dyDescent="0.3">
      <c r="A759" s="61" t="s">
        <v>2089</v>
      </c>
      <c r="B759" s="62" t="s">
        <v>1041</v>
      </c>
      <c r="C759" s="62" t="s">
        <v>1042</v>
      </c>
      <c r="D759" s="63">
        <v>44942</v>
      </c>
      <c r="E759" s="63">
        <v>46038</v>
      </c>
      <c r="F759" s="62" t="s">
        <v>1959</v>
      </c>
      <c r="G759" s="62" t="s">
        <v>466</v>
      </c>
      <c r="H759" s="62" t="s">
        <v>373</v>
      </c>
      <c r="I759" s="62" t="s">
        <v>825</v>
      </c>
      <c r="J759" s="62" t="s">
        <v>644</v>
      </c>
      <c r="K759" s="62" t="s">
        <v>371</v>
      </c>
      <c r="L759" s="62" t="s">
        <v>2421</v>
      </c>
      <c r="M759" s="66" t="s">
        <v>1972</v>
      </c>
    </row>
    <row r="760" spans="1:13" x14ac:dyDescent="0.3">
      <c r="A760" s="61" t="s">
        <v>2089</v>
      </c>
      <c r="B760" s="62" t="s">
        <v>1041</v>
      </c>
      <c r="C760" s="62" t="s">
        <v>1042</v>
      </c>
      <c r="D760" s="63">
        <v>44942</v>
      </c>
      <c r="E760" s="63">
        <v>46038</v>
      </c>
      <c r="F760" s="62" t="s">
        <v>1959</v>
      </c>
      <c r="G760" s="62" t="s">
        <v>808</v>
      </c>
      <c r="H760" s="62" t="s">
        <v>373</v>
      </c>
      <c r="I760" s="62" t="s">
        <v>825</v>
      </c>
      <c r="J760" s="62" t="s">
        <v>644</v>
      </c>
      <c r="K760" s="62" t="s">
        <v>371</v>
      </c>
      <c r="L760" s="62" t="s">
        <v>2421</v>
      </c>
      <c r="M760" s="66" t="s">
        <v>1972</v>
      </c>
    </row>
    <row r="761" spans="1:13" x14ac:dyDescent="0.3">
      <c r="A761" s="61" t="s">
        <v>2089</v>
      </c>
      <c r="B761" s="62" t="s">
        <v>1041</v>
      </c>
      <c r="C761" s="62" t="s">
        <v>1042</v>
      </c>
      <c r="D761" s="63">
        <v>44942</v>
      </c>
      <c r="E761" s="63">
        <v>46038</v>
      </c>
      <c r="F761" s="62" t="s">
        <v>1945</v>
      </c>
      <c r="G761" s="62" t="s">
        <v>403</v>
      </c>
      <c r="H761" s="62" t="s">
        <v>373</v>
      </c>
      <c r="I761" s="62" t="s">
        <v>825</v>
      </c>
      <c r="J761" s="62" t="s">
        <v>644</v>
      </c>
      <c r="K761" s="62" t="s">
        <v>371</v>
      </c>
      <c r="L761" s="62" t="s">
        <v>2421</v>
      </c>
      <c r="M761" s="66" t="s">
        <v>1972</v>
      </c>
    </row>
    <row r="762" spans="1:13" x14ac:dyDescent="0.3">
      <c r="A762" s="61" t="s">
        <v>2090</v>
      </c>
      <c r="B762" s="62" t="s">
        <v>1044</v>
      </c>
      <c r="C762" s="62" t="s">
        <v>1045</v>
      </c>
      <c r="D762" s="63">
        <v>45288</v>
      </c>
      <c r="E762" s="63">
        <v>46689</v>
      </c>
      <c r="F762" s="62" t="s">
        <v>350</v>
      </c>
      <c r="G762" s="62" t="s">
        <v>350</v>
      </c>
      <c r="H762" s="62" t="s">
        <v>305</v>
      </c>
      <c r="I762" s="62" t="s">
        <v>1518</v>
      </c>
      <c r="J762" s="62" t="s">
        <v>949</v>
      </c>
      <c r="K762" s="62" t="s">
        <v>309</v>
      </c>
      <c r="L762" s="62" t="s">
        <v>2421</v>
      </c>
      <c r="M762" s="66" t="s">
        <v>1971</v>
      </c>
    </row>
    <row r="763" spans="1:13" x14ac:dyDescent="0.3">
      <c r="A763" s="61" t="s">
        <v>2091</v>
      </c>
      <c r="B763" s="62" t="s">
        <v>1046</v>
      </c>
      <c r="C763" s="62" t="s">
        <v>1047</v>
      </c>
      <c r="D763" s="63">
        <v>45243</v>
      </c>
      <c r="E763" s="63">
        <v>46216</v>
      </c>
      <c r="F763" s="62" t="s">
        <v>348</v>
      </c>
      <c r="G763" s="62" t="s">
        <v>348</v>
      </c>
      <c r="H763" s="62" t="s">
        <v>468</v>
      </c>
      <c r="I763" s="62" t="s">
        <v>424</v>
      </c>
      <c r="J763" s="62" t="s">
        <v>971</v>
      </c>
      <c r="K763" s="62" t="s">
        <v>358</v>
      </c>
      <c r="L763" s="62" t="s">
        <v>2421</v>
      </c>
      <c r="M763" s="66" t="s">
        <v>1975</v>
      </c>
    </row>
    <row r="764" spans="1:13" x14ac:dyDescent="0.3">
      <c r="A764" s="61" t="s">
        <v>2092</v>
      </c>
      <c r="B764" s="62" t="s">
        <v>1048</v>
      </c>
      <c r="C764" s="62" t="s">
        <v>1049</v>
      </c>
      <c r="D764" s="63">
        <v>45293</v>
      </c>
      <c r="E764" s="63">
        <v>46216</v>
      </c>
      <c r="F764" s="62" t="s">
        <v>348</v>
      </c>
      <c r="G764" s="62" t="s">
        <v>348</v>
      </c>
      <c r="H764" s="62" t="s">
        <v>468</v>
      </c>
      <c r="I764" s="62" t="s">
        <v>424</v>
      </c>
      <c r="J764" s="62" t="s">
        <v>971</v>
      </c>
      <c r="K764" s="62" t="s">
        <v>358</v>
      </c>
      <c r="L764" s="62" t="s">
        <v>2421</v>
      </c>
      <c r="M764" s="66" t="s">
        <v>1975</v>
      </c>
    </row>
    <row r="765" spans="1:13" x14ac:dyDescent="0.3">
      <c r="A765" s="61" t="s">
        <v>2093</v>
      </c>
      <c r="B765" s="62" t="s">
        <v>1050</v>
      </c>
      <c r="C765" s="62" t="s">
        <v>1051</v>
      </c>
      <c r="D765" s="63">
        <v>44927</v>
      </c>
      <c r="E765" s="63">
        <v>46023</v>
      </c>
      <c r="F765" s="62" t="s">
        <v>282</v>
      </c>
      <c r="G765" s="62" t="s">
        <v>304</v>
      </c>
      <c r="H765" s="62" t="s">
        <v>373</v>
      </c>
      <c r="I765" s="62" t="s">
        <v>424</v>
      </c>
      <c r="J765" s="62" t="s">
        <v>551</v>
      </c>
      <c r="K765" s="62" t="s">
        <v>428</v>
      </c>
      <c r="L765" s="62" t="s">
        <v>2421</v>
      </c>
      <c r="M765" s="66" t="s">
        <v>2021</v>
      </c>
    </row>
    <row r="766" spans="1:13" x14ac:dyDescent="0.3">
      <c r="A766" s="61" t="s">
        <v>2093</v>
      </c>
      <c r="B766" s="62" t="s">
        <v>1050</v>
      </c>
      <c r="C766" s="62" t="s">
        <v>1051</v>
      </c>
      <c r="D766" s="63">
        <v>44927</v>
      </c>
      <c r="E766" s="63">
        <v>46023</v>
      </c>
      <c r="F766" s="62" t="s">
        <v>289</v>
      </c>
      <c r="G766" s="62" t="s">
        <v>304</v>
      </c>
      <c r="H766" s="62" t="s">
        <v>373</v>
      </c>
      <c r="I766" s="62" t="s">
        <v>424</v>
      </c>
      <c r="J766" s="62" t="s">
        <v>551</v>
      </c>
      <c r="K766" s="62" t="s">
        <v>428</v>
      </c>
      <c r="L766" s="62" t="s">
        <v>2421</v>
      </c>
      <c r="M766" s="66" t="s">
        <v>2021</v>
      </c>
    </row>
    <row r="767" spans="1:13" x14ac:dyDescent="0.3">
      <c r="A767" s="61" t="s">
        <v>2093</v>
      </c>
      <c r="B767" s="62" t="s">
        <v>1050</v>
      </c>
      <c r="C767" s="62" t="s">
        <v>1051</v>
      </c>
      <c r="D767" s="63">
        <v>44927</v>
      </c>
      <c r="E767" s="63">
        <v>46023</v>
      </c>
      <c r="F767" s="62" t="s">
        <v>1941</v>
      </c>
      <c r="G767" s="62" t="s">
        <v>304</v>
      </c>
      <c r="H767" s="62" t="s">
        <v>373</v>
      </c>
      <c r="I767" s="62" t="s">
        <v>424</v>
      </c>
      <c r="J767" s="62" t="s">
        <v>551</v>
      </c>
      <c r="K767" s="62" t="s">
        <v>428</v>
      </c>
      <c r="L767" s="62" t="s">
        <v>2421</v>
      </c>
      <c r="M767" s="66" t="s">
        <v>2021</v>
      </c>
    </row>
    <row r="768" spans="1:13" x14ac:dyDescent="0.3">
      <c r="A768" s="61" t="s">
        <v>2093</v>
      </c>
      <c r="B768" s="62" t="s">
        <v>1050</v>
      </c>
      <c r="C768" s="62" t="s">
        <v>1051</v>
      </c>
      <c r="D768" s="63">
        <v>44927</v>
      </c>
      <c r="E768" s="63">
        <v>46023</v>
      </c>
      <c r="F768" s="62" t="s">
        <v>1945</v>
      </c>
      <c r="G768" s="62" t="s">
        <v>304</v>
      </c>
      <c r="H768" s="62" t="s">
        <v>373</v>
      </c>
      <c r="I768" s="62" t="s">
        <v>424</v>
      </c>
      <c r="J768" s="62" t="s">
        <v>551</v>
      </c>
      <c r="K768" s="62" t="s">
        <v>428</v>
      </c>
      <c r="L768" s="62" t="s">
        <v>2421</v>
      </c>
      <c r="M768" s="66" t="s">
        <v>2021</v>
      </c>
    </row>
    <row r="769" spans="1:13" x14ac:dyDescent="0.3">
      <c r="A769" s="61" t="s">
        <v>2094</v>
      </c>
      <c r="B769" s="62" t="s">
        <v>1052</v>
      </c>
      <c r="C769" s="62" t="s">
        <v>1053</v>
      </c>
      <c r="D769" s="63">
        <v>45253</v>
      </c>
      <c r="E769" s="63">
        <v>46349</v>
      </c>
      <c r="F769" s="62" t="s">
        <v>1959</v>
      </c>
      <c r="G769" s="62" t="s">
        <v>466</v>
      </c>
      <c r="H769" s="62" t="s">
        <v>468</v>
      </c>
      <c r="I769" s="62" t="s">
        <v>424</v>
      </c>
      <c r="J769" s="62" t="s">
        <v>579</v>
      </c>
      <c r="K769" s="62" t="s">
        <v>428</v>
      </c>
      <c r="L769" s="62" t="s">
        <v>2421</v>
      </c>
      <c r="M769" s="66" t="s">
        <v>2021</v>
      </c>
    </row>
    <row r="770" spans="1:13" x14ac:dyDescent="0.3">
      <c r="A770" s="61" t="s">
        <v>2094</v>
      </c>
      <c r="B770" s="62" t="s">
        <v>1052</v>
      </c>
      <c r="C770" s="62" t="s">
        <v>1053</v>
      </c>
      <c r="D770" s="63">
        <v>45253</v>
      </c>
      <c r="E770" s="63">
        <v>46349</v>
      </c>
      <c r="F770" s="62" t="s">
        <v>1959</v>
      </c>
      <c r="G770" s="62" t="s">
        <v>583</v>
      </c>
      <c r="H770" s="62" t="s">
        <v>468</v>
      </c>
      <c r="I770" s="62" t="s">
        <v>424</v>
      </c>
      <c r="J770" s="62" t="s">
        <v>579</v>
      </c>
      <c r="K770" s="62" t="s">
        <v>428</v>
      </c>
      <c r="L770" s="62" t="s">
        <v>2421</v>
      </c>
      <c r="M770" s="66" t="s">
        <v>2021</v>
      </c>
    </row>
    <row r="771" spans="1:13" x14ac:dyDescent="0.3">
      <c r="A771" s="61" t="s">
        <v>2094</v>
      </c>
      <c r="B771" s="62" t="s">
        <v>1052</v>
      </c>
      <c r="C771" s="62" t="s">
        <v>1053</v>
      </c>
      <c r="D771" s="63">
        <v>45253</v>
      </c>
      <c r="E771" s="63">
        <v>46349</v>
      </c>
      <c r="F771" s="62" t="s">
        <v>1959</v>
      </c>
      <c r="G771" s="62" t="s">
        <v>795</v>
      </c>
      <c r="H771" s="62" t="s">
        <v>468</v>
      </c>
      <c r="I771" s="62" t="s">
        <v>424</v>
      </c>
      <c r="J771" s="62" t="s">
        <v>579</v>
      </c>
      <c r="K771" s="62" t="s">
        <v>428</v>
      </c>
      <c r="L771" s="62" t="s">
        <v>2421</v>
      </c>
      <c r="M771" s="66" t="s">
        <v>2021</v>
      </c>
    </row>
    <row r="772" spans="1:13" x14ac:dyDescent="0.3">
      <c r="A772" s="61" t="s">
        <v>2094</v>
      </c>
      <c r="B772" s="62" t="s">
        <v>1052</v>
      </c>
      <c r="C772" s="62" t="s">
        <v>1053</v>
      </c>
      <c r="D772" s="63">
        <v>45253</v>
      </c>
      <c r="E772" s="63">
        <v>46349</v>
      </c>
      <c r="F772" s="62" t="s">
        <v>1959</v>
      </c>
      <c r="G772" s="62" t="s">
        <v>808</v>
      </c>
      <c r="H772" s="62" t="s">
        <v>468</v>
      </c>
      <c r="I772" s="62" t="s">
        <v>424</v>
      </c>
      <c r="J772" s="62" t="s">
        <v>579</v>
      </c>
      <c r="K772" s="62" t="s">
        <v>428</v>
      </c>
      <c r="L772" s="62" t="s">
        <v>2421</v>
      </c>
      <c r="M772" s="66" t="s">
        <v>2021</v>
      </c>
    </row>
    <row r="773" spans="1:13" x14ac:dyDescent="0.3">
      <c r="A773" s="61" t="s">
        <v>2094</v>
      </c>
      <c r="B773" s="62" t="s">
        <v>1052</v>
      </c>
      <c r="C773" s="62" t="s">
        <v>1053</v>
      </c>
      <c r="D773" s="63">
        <v>45253</v>
      </c>
      <c r="E773" s="63">
        <v>46349</v>
      </c>
      <c r="F773" s="62" t="s">
        <v>1945</v>
      </c>
      <c r="G773" s="62" t="s">
        <v>402</v>
      </c>
      <c r="H773" s="62" t="s">
        <v>468</v>
      </c>
      <c r="I773" s="62" t="s">
        <v>424</v>
      </c>
      <c r="J773" s="62" t="s">
        <v>579</v>
      </c>
      <c r="K773" s="62" t="s">
        <v>428</v>
      </c>
      <c r="L773" s="62" t="s">
        <v>2421</v>
      </c>
      <c r="M773" s="66" t="s">
        <v>2021</v>
      </c>
    </row>
    <row r="774" spans="1:13" x14ac:dyDescent="0.3">
      <c r="A774" s="61" t="s">
        <v>2094</v>
      </c>
      <c r="B774" s="62" t="s">
        <v>1052</v>
      </c>
      <c r="C774" s="62" t="s">
        <v>1053</v>
      </c>
      <c r="D774" s="63">
        <v>45253</v>
      </c>
      <c r="E774" s="63">
        <v>46349</v>
      </c>
      <c r="F774" s="62" t="s">
        <v>1945</v>
      </c>
      <c r="G774" s="62" t="s">
        <v>403</v>
      </c>
      <c r="H774" s="62" t="s">
        <v>468</v>
      </c>
      <c r="I774" s="62" t="s">
        <v>424</v>
      </c>
      <c r="J774" s="62" t="s">
        <v>579</v>
      </c>
      <c r="K774" s="62" t="s">
        <v>428</v>
      </c>
      <c r="L774" s="62" t="s">
        <v>2421</v>
      </c>
      <c r="M774" s="66" t="s">
        <v>2021</v>
      </c>
    </row>
    <row r="775" spans="1:13" x14ac:dyDescent="0.3">
      <c r="A775" s="61" t="s">
        <v>2094</v>
      </c>
      <c r="B775" s="62" t="s">
        <v>1052</v>
      </c>
      <c r="C775" s="62" t="s">
        <v>1053</v>
      </c>
      <c r="D775" s="63">
        <v>45253</v>
      </c>
      <c r="E775" s="63">
        <v>46349</v>
      </c>
      <c r="F775" s="62" t="s">
        <v>1945</v>
      </c>
      <c r="G775" s="62" t="s">
        <v>404</v>
      </c>
      <c r="H775" s="62" t="s">
        <v>468</v>
      </c>
      <c r="I775" s="62" t="s">
        <v>424</v>
      </c>
      <c r="J775" s="62" t="s">
        <v>579</v>
      </c>
      <c r="K775" s="62" t="s">
        <v>428</v>
      </c>
      <c r="L775" s="62" t="s">
        <v>2421</v>
      </c>
      <c r="M775" s="66" t="s">
        <v>2021</v>
      </c>
    </row>
    <row r="776" spans="1:13" x14ac:dyDescent="0.3">
      <c r="A776" s="61" t="s">
        <v>2095</v>
      </c>
      <c r="B776" s="62" t="s">
        <v>1054</v>
      </c>
      <c r="C776" s="62" t="s">
        <v>1055</v>
      </c>
      <c r="D776" s="63">
        <v>45293</v>
      </c>
      <c r="E776" s="63">
        <v>46348</v>
      </c>
      <c r="F776" s="62" t="s">
        <v>1959</v>
      </c>
      <c r="G776" s="62" t="s">
        <v>466</v>
      </c>
      <c r="H776" s="62" t="s">
        <v>468</v>
      </c>
      <c r="I776" s="62" t="s">
        <v>424</v>
      </c>
      <c r="J776" s="62" t="s">
        <v>579</v>
      </c>
      <c r="K776" s="62" t="s">
        <v>428</v>
      </c>
      <c r="L776" s="62" t="s">
        <v>2421</v>
      </c>
      <c r="M776" s="66" t="s">
        <v>2021</v>
      </c>
    </row>
    <row r="777" spans="1:13" x14ac:dyDescent="0.3">
      <c r="A777" s="61" t="s">
        <v>2095</v>
      </c>
      <c r="B777" s="62" t="s">
        <v>1054</v>
      </c>
      <c r="C777" s="62" t="s">
        <v>1055</v>
      </c>
      <c r="D777" s="63">
        <v>45293</v>
      </c>
      <c r="E777" s="63">
        <v>46348</v>
      </c>
      <c r="F777" s="62" t="s">
        <v>1959</v>
      </c>
      <c r="G777" s="62" t="s">
        <v>583</v>
      </c>
      <c r="H777" s="62" t="s">
        <v>468</v>
      </c>
      <c r="I777" s="62" t="s">
        <v>424</v>
      </c>
      <c r="J777" s="62" t="s">
        <v>579</v>
      </c>
      <c r="K777" s="62" t="s">
        <v>428</v>
      </c>
      <c r="L777" s="62" t="s">
        <v>2421</v>
      </c>
      <c r="M777" s="66" t="s">
        <v>2021</v>
      </c>
    </row>
    <row r="778" spans="1:13" x14ac:dyDescent="0.3">
      <c r="A778" s="61" t="s">
        <v>2095</v>
      </c>
      <c r="B778" s="62" t="s">
        <v>1054</v>
      </c>
      <c r="C778" s="62" t="s">
        <v>1055</v>
      </c>
      <c r="D778" s="63">
        <v>45293</v>
      </c>
      <c r="E778" s="63">
        <v>46348</v>
      </c>
      <c r="F778" s="62" t="s">
        <v>1959</v>
      </c>
      <c r="G778" s="62" t="s">
        <v>795</v>
      </c>
      <c r="H778" s="62" t="s">
        <v>468</v>
      </c>
      <c r="I778" s="62" t="s">
        <v>424</v>
      </c>
      <c r="J778" s="62" t="s">
        <v>579</v>
      </c>
      <c r="K778" s="62" t="s">
        <v>428</v>
      </c>
      <c r="L778" s="62" t="s">
        <v>2421</v>
      </c>
      <c r="M778" s="66" t="s">
        <v>2021</v>
      </c>
    </row>
    <row r="779" spans="1:13" x14ac:dyDescent="0.3">
      <c r="A779" s="61" t="s">
        <v>2095</v>
      </c>
      <c r="B779" s="62" t="s">
        <v>1054</v>
      </c>
      <c r="C779" s="62" t="s">
        <v>1055</v>
      </c>
      <c r="D779" s="63">
        <v>45293</v>
      </c>
      <c r="E779" s="63">
        <v>46348</v>
      </c>
      <c r="F779" s="62" t="s">
        <v>1959</v>
      </c>
      <c r="G779" s="62" t="s">
        <v>808</v>
      </c>
      <c r="H779" s="62" t="s">
        <v>468</v>
      </c>
      <c r="I779" s="62" t="s">
        <v>424</v>
      </c>
      <c r="J779" s="62" t="s">
        <v>579</v>
      </c>
      <c r="K779" s="62" t="s">
        <v>428</v>
      </c>
      <c r="L779" s="62" t="s">
        <v>2421</v>
      </c>
      <c r="M779" s="66" t="s">
        <v>2021</v>
      </c>
    </row>
    <row r="780" spans="1:13" x14ac:dyDescent="0.3">
      <c r="A780" s="61" t="s">
        <v>2095</v>
      </c>
      <c r="B780" s="62" t="s">
        <v>1054</v>
      </c>
      <c r="C780" s="62" t="s">
        <v>1055</v>
      </c>
      <c r="D780" s="63">
        <v>45293</v>
      </c>
      <c r="E780" s="63">
        <v>46348</v>
      </c>
      <c r="F780" s="62" t="s">
        <v>1945</v>
      </c>
      <c r="G780" s="62" t="s">
        <v>402</v>
      </c>
      <c r="H780" s="62" t="s">
        <v>468</v>
      </c>
      <c r="I780" s="62" t="s">
        <v>424</v>
      </c>
      <c r="J780" s="62" t="s">
        <v>579</v>
      </c>
      <c r="K780" s="62" t="s">
        <v>428</v>
      </c>
      <c r="L780" s="62" t="s">
        <v>2421</v>
      </c>
      <c r="M780" s="66" t="s">
        <v>2021</v>
      </c>
    </row>
    <row r="781" spans="1:13" x14ac:dyDescent="0.3">
      <c r="A781" s="61" t="s">
        <v>2095</v>
      </c>
      <c r="B781" s="62" t="s">
        <v>1054</v>
      </c>
      <c r="C781" s="62" t="s">
        <v>1055</v>
      </c>
      <c r="D781" s="63">
        <v>45293</v>
      </c>
      <c r="E781" s="63">
        <v>46348</v>
      </c>
      <c r="F781" s="62" t="s">
        <v>1945</v>
      </c>
      <c r="G781" s="62" t="s">
        <v>403</v>
      </c>
      <c r="H781" s="62" t="s">
        <v>468</v>
      </c>
      <c r="I781" s="62" t="s">
        <v>424</v>
      </c>
      <c r="J781" s="62" t="s">
        <v>579</v>
      </c>
      <c r="K781" s="62" t="s">
        <v>428</v>
      </c>
      <c r="L781" s="62" t="s">
        <v>2421</v>
      </c>
      <c r="M781" s="66" t="s">
        <v>2021</v>
      </c>
    </row>
    <row r="782" spans="1:13" x14ac:dyDescent="0.3">
      <c r="A782" s="61" t="s">
        <v>2095</v>
      </c>
      <c r="B782" s="62" t="s">
        <v>1054</v>
      </c>
      <c r="C782" s="62" t="s">
        <v>1055</v>
      </c>
      <c r="D782" s="63">
        <v>45293</v>
      </c>
      <c r="E782" s="63">
        <v>46348</v>
      </c>
      <c r="F782" s="62" t="s">
        <v>1945</v>
      </c>
      <c r="G782" s="62" t="s">
        <v>404</v>
      </c>
      <c r="H782" s="62" t="s">
        <v>468</v>
      </c>
      <c r="I782" s="62" t="s">
        <v>424</v>
      </c>
      <c r="J782" s="62" t="s">
        <v>579</v>
      </c>
      <c r="K782" s="62" t="s">
        <v>428</v>
      </c>
      <c r="L782" s="62" t="s">
        <v>2421</v>
      </c>
      <c r="M782" s="66" t="s">
        <v>2021</v>
      </c>
    </row>
    <row r="783" spans="1:13" x14ac:dyDescent="0.3">
      <c r="A783" s="61" t="s">
        <v>2096</v>
      </c>
      <c r="B783" s="62" t="s">
        <v>1056</v>
      </c>
      <c r="C783" s="62" t="s">
        <v>1055</v>
      </c>
      <c r="D783" s="63">
        <v>45659</v>
      </c>
      <c r="E783" s="63">
        <v>46349</v>
      </c>
      <c r="F783" s="62" t="s">
        <v>1959</v>
      </c>
      <c r="G783" s="62" t="s">
        <v>466</v>
      </c>
      <c r="H783" s="62" t="s">
        <v>468</v>
      </c>
      <c r="I783" s="62" t="s">
        <v>424</v>
      </c>
      <c r="J783" s="62" t="s">
        <v>579</v>
      </c>
      <c r="K783" s="62" t="s">
        <v>428</v>
      </c>
      <c r="L783" s="62" t="s">
        <v>2421</v>
      </c>
      <c r="M783" s="66" t="s">
        <v>2021</v>
      </c>
    </row>
    <row r="784" spans="1:13" x14ac:dyDescent="0.3">
      <c r="A784" s="61" t="s">
        <v>2096</v>
      </c>
      <c r="B784" s="62" t="s">
        <v>1056</v>
      </c>
      <c r="C784" s="62" t="s">
        <v>1055</v>
      </c>
      <c r="D784" s="63">
        <v>45659</v>
      </c>
      <c r="E784" s="63">
        <v>46349</v>
      </c>
      <c r="F784" s="62" t="s">
        <v>1959</v>
      </c>
      <c r="G784" s="62" t="s">
        <v>583</v>
      </c>
      <c r="H784" s="62" t="s">
        <v>468</v>
      </c>
      <c r="I784" s="62" t="s">
        <v>424</v>
      </c>
      <c r="J784" s="62" t="s">
        <v>579</v>
      </c>
      <c r="K784" s="62" t="s">
        <v>428</v>
      </c>
      <c r="L784" s="62" t="s">
        <v>2421</v>
      </c>
      <c r="M784" s="66" t="s">
        <v>2021</v>
      </c>
    </row>
    <row r="785" spans="1:13" x14ac:dyDescent="0.3">
      <c r="A785" s="61" t="s">
        <v>2096</v>
      </c>
      <c r="B785" s="62" t="s">
        <v>1056</v>
      </c>
      <c r="C785" s="62" t="s">
        <v>1055</v>
      </c>
      <c r="D785" s="63">
        <v>45659</v>
      </c>
      <c r="E785" s="63">
        <v>46349</v>
      </c>
      <c r="F785" s="62" t="s">
        <v>1959</v>
      </c>
      <c r="G785" s="62" t="s">
        <v>795</v>
      </c>
      <c r="H785" s="62" t="s">
        <v>468</v>
      </c>
      <c r="I785" s="62" t="s">
        <v>424</v>
      </c>
      <c r="J785" s="62" t="s">
        <v>579</v>
      </c>
      <c r="K785" s="62" t="s">
        <v>428</v>
      </c>
      <c r="L785" s="62" t="s">
        <v>2421</v>
      </c>
      <c r="M785" s="66" t="s">
        <v>2021</v>
      </c>
    </row>
    <row r="786" spans="1:13" x14ac:dyDescent="0.3">
      <c r="A786" s="61" t="s">
        <v>2096</v>
      </c>
      <c r="B786" s="62" t="s">
        <v>1056</v>
      </c>
      <c r="C786" s="62" t="s">
        <v>1055</v>
      </c>
      <c r="D786" s="63">
        <v>45659</v>
      </c>
      <c r="E786" s="63">
        <v>46349</v>
      </c>
      <c r="F786" s="62" t="s">
        <v>1959</v>
      </c>
      <c r="G786" s="62" t="s">
        <v>808</v>
      </c>
      <c r="H786" s="62" t="s">
        <v>468</v>
      </c>
      <c r="I786" s="62" t="s">
        <v>424</v>
      </c>
      <c r="J786" s="62" t="s">
        <v>579</v>
      </c>
      <c r="K786" s="62" t="s">
        <v>428</v>
      </c>
      <c r="L786" s="62" t="s">
        <v>2421</v>
      </c>
      <c r="M786" s="66" t="s">
        <v>2021</v>
      </c>
    </row>
    <row r="787" spans="1:13" x14ac:dyDescent="0.3">
      <c r="A787" s="61" t="s">
        <v>2096</v>
      </c>
      <c r="B787" s="62" t="s">
        <v>1056</v>
      </c>
      <c r="C787" s="62" t="s">
        <v>1055</v>
      </c>
      <c r="D787" s="63">
        <v>45659</v>
      </c>
      <c r="E787" s="63">
        <v>46349</v>
      </c>
      <c r="F787" s="62" t="s">
        <v>1945</v>
      </c>
      <c r="G787" s="62" t="s">
        <v>402</v>
      </c>
      <c r="H787" s="62" t="s">
        <v>468</v>
      </c>
      <c r="I787" s="62" t="s">
        <v>424</v>
      </c>
      <c r="J787" s="62" t="s">
        <v>579</v>
      </c>
      <c r="K787" s="62" t="s">
        <v>428</v>
      </c>
      <c r="L787" s="62" t="s">
        <v>2421</v>
      </c>
      <c r="M787" s="66" t="s">
        <v>2021</v>
      </c>
    </row>
    <row r="788" spans="1:13" x14ac:dyDescent="0.3">
      <c r="A788" s="61" t="s">
        <v>2096</v>
      </c>
      <c r="B788" s="62" t="s">
        <v>1056</v>
      </c>
      <c r="C788" s="62" t="s">
        <v>1055</v>
      </c>
      <c r="D788" s="63">
        <v>45659</v>
      </c>
      <c r="E788" s="63">
        <v>46349</v>
      </c>
      <c r="F788" s="62" t="s">
        <v>1945</v>
      </c>
      <c r="G788" s="62" t="s">
        <v>403</v>
      </c>
      <c r="H788" s="62" t="s">
        <v>468</v>
      </c>
      <c r="I788" s="62" t="s">
        <v>424</v>
      </c>
      <c r="J788" s="62" t="s">
        <v>579</v>
      </c>
      <c r="K788" s="62" t="s">
        <v>428</v>
      </c>
      <c r="L788" s="62" t="s">
        <v>2421</v>
      </c>
      <c r="M788" s="66" t="s">
        <v>2021</v>
      </c>
    </row>
    <row r="789" spans="1:13" x14ac:dyDescent="0.3">
      <c r="A789" s="61" t="s">
        <v>2096</v>
      </c>
      <c r="B789" s="62" t="s">
        <v>1056</v>
      </c>
      <c r="C789" s="62" t="s">
        <v>1055</v>
      </c>
      <c r="D789" s="63">
        <v>45659</v>
      </c>
      <c r="E789" s="63">
        <v>46349</v>
      </c>
      <c r="F789" s="62" t="s">
        <v>1945</v>
      </c>
      <c r="G789" s="62" t="s">
        <v>404</v>
      </c>
      <c r="H789" s="62" t="s">
        <v>468</v>
      </c>
      <c r="I789" s="62" t="s">
        <v>424</v>
      </c>
      <c r="J789" s="62" t="s">
        <v>579</v>
      </c>
      <c r="K789" s="62" t="s">
        <v>428</v>
      </c>
      <c r="L789" s="62" t="s">
        <v>2421</v>
      </c>
      <c r="M789" s="66" t="s">
        <v>2021</v>
      </c>
    </row>
    <row r="790" spans="1:13" x14ac:dyDescent="0.3">
      <c r="A790" s="61" t="s">
        <v>2097</v>
      </c>
      <c r="B790" s="62" t="s">
        <v>1057</v>
      </c>
      <c r="C790" s="62" t="s">
        <v>1058</v>
      </c>
      <c r="D790" s="63">
        <v>45142</v>
      </c>
      <c r="E790" s="63">
        <v>46237</v>
      </c>
      <c r="F790" s="62" t="s">
        <v>350</v>
      </c>
      <c r="G790" s="62" t="s">
        <v>350</v>
      </c>
      <c r="H790" s="62" t="s">
        <v>2425</v>
      </c>
      <c r="I790" s="62" t="s">
        <v>424</v>
      </c>
      <c r="J790" s="62" t="s">
        <v>374</v>
      </c>
      <c r="K790" s="62" t="s">
        <v>375</v>
      </c>
      <c r="L790" s="62" t="s">
        <v>2421</v>
      </c>
      <c r="M790" s="66" t="s">
        <v>1968</v>
      </c>
    </row>
    <row r="791" spans="1:13" x14ac:dyDescent="0.3">
      <c r="A791" s="61" t="s">
        <v>2098</v>
      </c>
      <c r="B791" s="62" t="s">
        <v>1059</v>
      </c>
      <c r="C791" s="62" t="s">
        <v>1060</v>
      </c>
      <c r="D791" s="63">
        <v>45301</v>
      </c>
      <c r="E791" s="63">
        <v>46507</v>
      </c>
      <c r="F791" s="62" t="s">
        <v>282</v>
      </c>
      <c r="G791" s="62" t="s">
        <v>283</v>
      </c>
      <c r="H791" s="62" t="s">
        <v>813</v>
      </c>
      <c r="I791" s="62" t="s">
        <v>1518</v>
      </c>
      <c r="J791" s="62" t="s">
        <v>812</v>
      </c>
      <c r="K791" s="62" t="s">
        <v>365</v>
      </c>
      <c r="L791" s="62" t="s">
        <v>2421</v>
      </c>
      <c r="M791" s="66" t="s">
        <v>1971</v>
      </c>
    </row>
    <row r="792" spans="1:13" x14ac:dyDescent="0.3">
      <c r="A792" s="61" t="s">
        <v>2098</v>
      </c>
      <c r="B792" s="62" t="s">
        <v>1059</v>
      </c>
      <c r="C792" s="62" t="s">
        <v>1060</v>
      </c>
      <c r="D792" s="63">
        <v>45301</v>
      </c>
      <c r="E792" s="63">
        <v>46507</v>
      </c>
      <c r="F792" s="62" t="s">
        <v>348</v>
      </c>
      <c r="G792" s="62" t="s">
        <v>348</v>
      </c>
      <c r="H792" s="62" t="s">
        <v>813</v>
      </c>
      <c r="I792" s="62" t="s">
        <v>1518</v>
      </c>
      <c r="J792" s="62" t="s">
        <v>812</v>
      </c>
      <c r="K792" s="62" t="s">
        <v>365</v>
      </c>
      <c r="L792" s="62" t="s">
        <v>2421</v>
      </c>
      <c r="M792" s="66" t="s">
        <v>1971</v>
      </c>
    </row>
    <row r="793" spans="1:13" x14ac:dyDescent="0.3">
      <c r="A793" s="61" t="s">
        <v>2098</v>
      </c>
      <c r="B793" s="62" t="s">
        <v>1059</v>
      </c>
      <c r="C793" s="62" t="s">
        <v>1060</v>
      </c>
      <c r="D793" s="63">
        <v>45301</v>
      </c>
      <c r="E793" s="63">
        <v>46507</v>
      </c>
      <c r="F793" s="62" t="s">
        <v>1922</v>
      </c>
      <c r="G793" s="62" t="s">
        <v>349</v>
      </c>
      <c r="H793" s="62" t="s">
        <v>813</v>
      </c>
      <c r="I793" s="62" t="s">
        <v>1518</v>
      </c>
      <c r="J793" s="62" t="s">
        <v>812</v>
      </c>
      <c r="K793" s="62" t="s">
        <v>365</v>
      </c>
      <c r="L793" s="62" t="s">
        <v>2421</v>
      </c>
      <c r="M793" s="66" t="s">
        <v>1971</v>
      </c>
    </row>
    <row r="794" spans="1:13" x14ac:dyDescent="0.3">
      <c r="A794" s="61" t="s">
        <v>2098</v>
      </c>
      <c r="B794" s="62" t="s">
        <v>1059</v>
      </c>
      <c r="C794" s="62" t="s">
        <v>1060</v>
      </c>
      <c r="D794" s="63">
        <v>45301</v>
      </c>
      <c r="E794" s="63">
        <v>46507</v>
      </c>
      <c r="F794" s="62" t="s">
        <v>1945</v>
      </c>
      <c r="G794" s="62" t="s">
        <v>555</v>
      </c>
      <c r="H794" s="62" t="s">
        <v>813</v>
      </c>
      <c r="I794" s="62" t="s">
        <v>1518</v>
      </c>
      <c r="J794" s="62" t="s">
        <v>812</v>
      </c>
      <c r="K794" s="62" t="s">
        <v>365</v>
      </c>
      <c r="L794" s="62" t="s">
        <v>2421</v>
      </c>
      <c r="M794" s="66" t="s">
        <v>1971</v>
      </c>
    </row>
    <row r="795" spans="1:13" x14ac:dyDescent="0.3">
      <c r="A795" s="61" t="s">
        <v>2099</v>
      </c>
      <c r="B795" s="62" t="s">
        <v>1061</v>
      </c>
      <c r="C795" s="62" t="s">
        <v>1062</v>
      </c>
      <c r="D795" s="63">
        <v>44797</v>
      </c>
      <c r="E795" s="63">
        <v>46257</v>
      </c>
      <c r="F795" s="62" t="s">
        <v>350</v>
      </c>
      <c r="G795" s="62" t="s">
        <v>350</v>
      </c>
      <c r="H795" s="62" t="s">
        <v>1063</v>
      </c>
      <c r="I795" s="62" t="s">
        <v>424</v>
      </c>
      <c r="J795" s="62" t="s">
        <v>644</v>
      </c>
      <c r="K795" s="62" t="s">
        <v>371</v>
      </c>
      <c r="L795" s="62" t="s">
        <v>2421</v>
      </c>
      <c r="M795" s="66" t="s">
        <v>1986</v>
      </c>
    </row>
    <row r="796" spans="1:13" x14ac:dyDescent="0.3">
      <c r="A796" s="61" t="s">
        <v>2100</v>
      </c>
      <c r="B796" s="62" t="s">
        <v>1064</v>
      </c>
      <c r="C796" s="62" t="s">
        <v>1065</v>
      </c>
      <c r="D796" s="63">
        <v>45281</v>
      </c>
      <c r="E796" s="63">
        <v>46752</v>
      </c>
      <c r="F796" s="62" t="s">
        <v>350</v>
      </c>
      <c r="G796" s="62" t="s">
        <v>350</v>
      </c>
      <c r="H796" s="62" t="s">
        <v>361</v>
      </c>
      <c r="I796" s="62" t="s">
        <v>424</v>
      </c>
      <c r="J796" s="62" t="s">
        <v>1066</v>
      </c>
      <c r="K796" s="62" t="s">
        <v>375</v>
      </c>
      <c r="L796" s="62" t="s">
        <v>2421</v>
      </c>
      <c r="M796" s="66" t="s">
        <v>1968</v>
      </c>
    </row>
    <row r="797" spans="1:13" x14ac:dyDescent="0.3">
      <c r="A797" s="61" t="s">
        <v>2101</v>
      </c>
      <c r="B797" s="62" t="s">
        <v>1067</v>
      </c>
      <c r="C797" s="62" t="s">
        <v>1068</v>
      </c>
      <c r="D797" s="63">
        <v>45292</v>
      </c>
      <c r="E797" s="63">
        <v>46752</v>
      </c>
      <c r="F797" s="62" t="s">
        <v>1945</v>
      </c>
      <c r="G797" s="62" t="s">
        <v>555</v>
      </c>
      <c r="H797" s="62" t="s">
        <v>1069</v>
      </c>
      <c r="I797" s="62" t="s">
        <v>1518</v>
      </c>
      <c r="J797" s="62" t="s">
        <v>812</v>
      </c>
      <c r="K797" s="62" t="s">
        <v>365</v>
      </c>
      <c r="L797" s="62" t="s">
        <v>2421</v>
      </c>
      <c r="M797" s="66" t="s">
        <v>1964</v>
      </c>
    </row>
    <row r="798" spans="1:13" x14ac:dyDescent="0.3">
      <c r="A798" s="61" t="s">
        <v>2102</v>
      </c>
      <c r="B798" s="62" t="s">
        <v>1073</v>
      </c>
      <c r="C798" s="62" t="s">
        <v>1074</v>
      </c>
      <c r="D798" s="63">
        <v>44440</v>
      </c>
      <c r="E798" s="63">
        <v>46265</v>
      </c>
      <c r="F798" s="62" t="s">
        <v>350</v>
      </c>
      <c r="G798" s="62" t="s">
        <v>350</v>
      </c>
      <c r="H798" s="62" t="s">
        <v>1075</v>
      </c>
      <c r="I798" s="62" t="s">
        <v>424</v>
      </c>
      <c r="J798" s="62" t="s">
        <v>715</v>
      </c>
      <c r="K798" s="62" t="s">
        <v>347</v>
      </c>
      <c r="L798" s="62" t="s">
        <v>2421</v>
      </c>
      <c r="M798" s="66" t="s">
        <v>1965</v>
      </c>
    </row>
    <row r="799" spans="1:13" x14ac:dyDescent="0.3">
      <c r="A799" s="61" t="s">
        <v>2103</v>
      </c>
      <c r="B799" s="62" t="s">
        <v>1076</v>
      </c>
      <c r="C799" s="62" t="s">
        <v>1077</v>
      </c>
      <c r="D799" s="63">
        <v>45096</v>
      </c>
      <c r="E799" s="63">
        <v>46356</v>
      </c>
      <c r="F799" s="62" t="s">
        <v>350</v>
      </c>
      <c r="G799" s="62" t="s">
        <v>350</v>
      </c>
      <c r="H799" s="62" t="s">
        <v>609</v>
      </c>
      <c r="I799" s="62" t="s">
        <v>825</v>
      </c>
      <c r="J799" s="62" t="s">
        <v>378</v>
      </c>
      <c r="K799" s="62" t="s">
        <v>371</v>
      </c>
      <c r="L799" s="62" t="s">
        <v>2421</v>
      </c>
      <c r="M799" s="66" t="s">
        <v>1972</v>
      </c>
    </row>
    <row r="800" spans="1:13" x14ac:dyDescent="0.3">
      <c r="A800" s="61" t="s">
        <v>2104</v>
      </c>
      <c r="B800" s="62" t="s">
        <v>1078</v>
      </c>
      <c r="C800" s="62" t="s">
        <v>1079</v>
      </c>
      <c r="D800" s="63">
        <v>45323</v>
      </c>
      <c r="E800" s="63">
        <v>46234</v>
      </c>
      <c r="F800" s="62" t="s">
        <v>282</v>
      </c>
      <c r="G800" s="62" t="s">
        <v>1080</v>
      </c>
      <c r="H800" s="62" t="s">
        <v>1081</v>
      </c>
      <c r="I800" s="62" t="s">
        <v>424</v>
      </c>
      <c r="J800" s="62" t="s">
        <v>579</v>
      </c>
      <c r="K800" s="62" t="s">
        <v>428</v>
      </c>
      <c r="L800" s="62" t="s">
        <v>2421</v>
      </c>
      <c r="M800" s="66" t="s">
        <v>2021</v>
      </c>
    </row>
    <row r="801" spans="1:13" x14ac:dyDescent="0.3">
      <c r="A801" s="61" t="s">
        <v>2104</v>
      </c>
      <c r="B801" s="62" t="s">
        <v>1078</v>
      </c>
      <c r="C801" s="62" t="s">
        <v>1079</v>
      </c>
      <c r="D801" s="63">
        <v>45323</v>
      </c>
      <c r="E801" s="63">
        <v>46234</v>
      </c>
      <c r="F801" s="62" t="s">
        <v>282</v>
      </c>
      <c r="G801" s="62" t="s">
        <v>833</v>
      </c>
      <c r="H801" s="62" t="s">
        <v>1081</v>
      </c>
      <c r="I801" s="62" t="s">
        <v>424</v>
      </c>
      <c r="J801" s="62" t="s">
        <v>579</v>
      </c>
      <c r="K801" s="62" t="s">
        <v>428</v>
      </c>
      <c r="L801" s="62" t="s">
        <v>2421</v>
      </c>
      <c r="M801" s="66" t="s">
        <v>2021</v>
      </c>
    </row>
    <row r="802" spans="1:13" x14ac:dyDescent="0.3">
      <c r="A802" s="61" t="s">
        <v>2104</v>
      </c>
      <c r="B802" s="62" t="s">
        <v>1078</v>
      </c>
      <c r="C802" s="62" t="s">
        <v>1079</v>
      </c>
      <c r="D802" s="63">
        <v>45323</v>
      </c>
      <c r="E802" s="63">
        <v>46234</v>
      </c>
      <c r="F802" s="62" t="s">
        <v>282</v>
      </c>
      <c r="G802" s="62" t="s">
        <v>577</v>
      </c>
      <c r="H802" s="62" t="s">
        <v>1081</v>
      </c>
      <c r="I802" s="62" t="s">
        <v>424</v>
      </c>
      <c r="J802" s="62" t="s">
        <v>579</v>
      </c>
      <c r="K802" s="62" t="s">
        <v>428</v>
      </c>
      <c r="L802" s="62" t="s">
        <v>2421</v>
      </c>
      <c r="M802" s="66" t="s">
        <v>2021</v>
      </c>
    </row>
    <row r="803" spans="1:13" x14ac:dyDescent="0.3">
      <c r="A803" s="61" t="s">
        <v>2104</v>
      </c>
      <c r="B803" s="62" t="s">
        <v>1078</v>
      </c>
      <c r="C803" s="62" t="s">
        <v>1079</v>
      </c>
      <c r="D803" s="63">
        <v>45323</v>
      </c>
      <c r="E803" s="63">
        <v>46234</v>
      </c>
      <c r="F803" s="62" t="s">
        <v>282</v>
      </c>
      <c r="G803" s="62" t="s">
        <v>1080</v>
      </c>
      <c r="H803" s="62" t="s">
        <v>802</v>
      </c>
      <c r="I803" s="62" t="s">
        <v>424</v>
      </c>
      <c r="J803" s="62" t="s">
        <v>579</v>
      </c>
      <c r="K803" s="62" t="s">
        <v>428</v>
      </c>
      <c r="L803" s="62" t="s">
        <v>2421</v>
      </c>
      <c r="M803" s="66" t="s">
        <v>2021</v>
      </c>
    </row>
    <row r="804" spans="1:13" x14ac:dyDescent="0.3">
      <c r="A804" s="61" t="s">
        <v>2104</v>
      </c>
      <c r="B804" s="62" t="s">
        <v>1078</v>
      </c>
      <c r="C804" s="62" t="s">
        <v>1079</v>
      </c>
      <c r="D804" s="63">
        <v>45323</v>
      </c>
      <c r="E804" s="63">
        <v>46234</v>
      </c>
      <c r="F804" s="62" t="s">
        <v>282</v>
      </c>
      <c r="G804" s="62" t="s">
        <v>833</v>
      </c>
      <c r="H804" s="62" t="s">
        <v>802</v>
      </c>
      <c r="I804" s="62" t="s">
        <v>424</v>
      </c>
      <c r="J804" s="62" t="s">
        <v>579</v>
      </c>
      <c r="K804" s="62" t="s">
        <v>428</v>
      </c>
      <c r="L804" s="62" t="s">
        <v>2421</v>
      </c>
      <c r="M804" s="66" t="s">
        <v>2021</v>
      </c>
    </row>
    <row r="805" spans="1:13" x14ac:dyDescent="0.3">
      <c r="A805" s="61" t="s">
        <v>2104</v>
      </c>
      <c r="B805" s="62" t="s">
        <v>1078</v>
      </c>
      <c r="C805" s="62" t="s">
        <v>1079</v>
      </c>
      <c r="D805" s="63">
        <v>45323</v>
      </c>
      <c r="E805" s="63">
        <v>46234</v>
      </c>
      <c r="F805" s="62" t="s">
        <v>282</v>
      </c>
      <c r="G805" s="62" t="s">
        <v>577</v>
      </c>
      <c r="H805" s="62" t="s">
        <v>802</v>
      </c>
      <c r="I805" s="62" t="s">
        <v>424</v>
      </c>
      <c r="J805" s="62" t="s">
        <v>579</v>
      </c>
      <c r="K805" s="62" t="s">
        <v>428</v>
      </c>
      <c r="L805" s="62" t="s">
        <v>2421</v>
      </c>
      <c r="M805" s="66" t="s">
        <v>2021</v>
      </c>
    </row>
    <row r="806" spans="1:13" x14ac:dyDescent="0.3">
      <c r="A806" s="61" t="s">
        <v>2104</v>
      </c>
      <c r="B806" s="62" t="s">
        <v>1078</v>
      </c>
      <c r="C806" s="62" t="s">
        <v>1079</v>
      </c>
      <c r="D806" s="63">
        <v>45323</v>
      </c>
      <c r="E806" s="63">
        <v>46234</v>
      </c>
      <c r="F806" s="62" t="s">
        <v>282</v>
      </c>
      <c r="G806" s="62" t="s">
        <v>1080</v>
      </c>
      <c r="H806" s="62" t="s">
        <v>1082</v>
      </c>
      <c r="I806" s="62" t="s">
        <v>424</v>
      </c>
      <c r="J806" s="62" t="s">
        <v>579</v>
      </c>
      <c r="K806" s="62" t="s">
        <v>428</v>
      </c>
      <c r="L806" s="62" t="s">
        <v>2421</v>
      </c>
      <c r="M806" s="66" t="s">
        <v>2021</v>
      </c>
    </row>
    <row r="807" spans="1:13" x14ac:dyDescent="0.3">
      <c r="A807" s="61" t="s">
        <v>2104</v>
      </c>
      <c r="B807" s="62" t="s">
        <v>1078</v>
      </c>
      <c r="C807" s="62" t="s">
        <v>1079</v>
      </c>
      <c r="D807" s="63">
        <v>45323</v>
      </c>
      <c r="E807" s="63">
        <v>46234</v>
      </c>
      <c r="F807" s="62" t="s">
        <v>282</v>
      </c>
      <c r="G807" s="62" t="s">
        <v>833</v>
      </c>
      <c r="H807" s="62" t="s">
        <v>1082</v>
      </c>
      <c r="I807" s="62" t="s">
        <v>424</v>
      </c>
      <c r="J807" s="62" t="s">
        <v>579</v>
      </c>
      <c r="K807" s="62" t="s">
        <v>428</v>
      </c>
      <c r="L807" s="62" t="s">
        <v>2421</v>
      </c>
      <c r="M807" s="66" t="s">
        <v>2021</v>
      </c>
    </row>
    <row r="808" spans="1:13" x14ac:dyDescent="0.3">
      <c r="A808" s="61" t="s">
        <v>2104</v>
      </c>
      <c r="B808" s="62" t="s">
        <v>1078</v>
      </c>
      <c r="C808" s="62" t="s">
        <v>1079</v>
      </c>
      <c r="D808" s="63">
        <v>45323</v>
      </c>
      <c r="E808" s="63">
        <v>46234</v>
      </c>
      <c r="F808" s="62" t="s">
        <v>282</v>
      </c>
      <c r="G808" s="62" t="s">
        <v>577</v>
      </c>
      <c r="H808" s="62" t="s">
        <v>1082</v>
      </c>
      <c r="I808" s="62" t="s">
        <v>424</v>
      </c>
      <c r="J808" s="62" t="s">
        <v>579</v>
      </c>
      <c r="K808" s="62" t="s">
        <v>428</v>
      </c>
      <c r="L808" s="62" t="s">
        <v>2421</v>
      </c>
      <c r="M808" s="66" t="s">
        <v>2021</v>
      </c>
    </row>
    <row r="809" spans="1:13" x14ac:dyDescent="0.3">
      <c r="A809" s="61" t="s">
        <v>2105</v>
      </c>
      <c r="B809" s="62" t="s">
        <v>1084</v>
      </c>
      <c r="C809" s="62" t="s">
        <v>1085</v>
      </c>
      <c r="D809" s="63">
        <v>45226</v>
      </c>
      <c r="E809" s="63">
        <v>46870</v>
      </c>
      <c r="F809" s="62" t="s">
        <v>350</v>
      </c>
      <c r="G809" s="62" t="s">
        <v>350</v>
      </c>
      <c r="H809" s="62" t="s">
        <v>468</v>
      </c>
      <c r="I809" s="62" t="s">
        <v>2443</v>
      </c>
      <c r="J809" s="62" t="s">
        <v>671</v>
      </c>
      <c r="K809" s="62" t="s">
        <v>426</v>
      </c>
      <c r="L809" s="62" t="s">
        <v>2421</v>
      </c>
      <c r="M809" s="66" t="s">
        <v>1984</v>
      </c>
    </row>
    <row r="810" spans="1:13" x14ac:dyDescent="0.3">
      <c r="A810" s="61" t="s">
        <v>2106</v>
      </c>
      <c r="B810" s="62" t="s">
        <v>1086</v>
      </c>
      <c r="C810" s="62" t="s">
        <v>1087</v>
      </c>
      <c r="D810" s="63">
        <v>45323</v>
      </c>
      <c r="E810" s="63">
        <v>47149</v>
      </c>
      <c r="F810" s="62" t="s">
        <v>350</v>
      </c>
      <c r="G810" s="62" t="s">
        <v>350</v>
      </c>
      <c r="H810" s="62" t="s">
        <v>549</v>
      </c>
      <c r="I810" s="62" t="s">
        <v>1518</v>
      </c>
      <c r="J810" s="62" t="s">
        <v>684</v>
      </c>
      <c r="K810" s="62" t="s">
        <v>459</v>
      </c>
      <c r="L810" s="62" t="s">
        <v>2421</v>
      </c>
      <c r="M810" s="66" t="s">
        <v>1971</v>
      </c>
    </row>
    <row r="811" spans="1:13" x14ac:dyDescent="0.3">
      <c r="A811" s="61" t="s">
        <v>2107</v>
      </c>
      <c r="B811" s="62" t="s">
        <v>1089</v>
      </c>
      <c r="C811" s="62" t="s">
        <v>1090</v>
      </c>
      <c r="D811" s="63">
        <v>45279</v>
      </c>
      <c r="E811" s="63">
        <v>46812</v>
      </c>
      <c r="F811" s="62" t="s">
        <v>350</v>
      </c>
      <c r="G811" s="62" t="s">
        <v>304</v>
      </c>
      <c r="H811" s="62" t="s">
        <v>609</v>
      </c>
      <c r="I811" s="62" t="s">
        <v>2465</v>
      </c>
      <c r="J811" s="62" t="s">
        <v>1091</v>
      </c>
      <c r="K811" s="62" t="s">
        <v>375</v>
      </c>
      <c r="L811" s="62" t="s">
        <v>2421</v>
      </c>
      <c r="M811" s="66" t="s">
        <v>1967</v>
      </c>
    </row>
    <row r="812" spans="1:13" x14ac:dyDescent="0.3">
      <c r="A812" s="61" t="s">
        <v>2108</v>
      </c>
      <c r="B812" s="62" t="s">
        <v>1092</v>
      </c>
      <c r="C812" s="62" t="s">
        <v>1093</v>
      </c>
      <c r="D812" s="63">
        <v>43488</v>
      </c>
      <c r="E812" s="63">
        <v>46044</v>
      </c>
      <c r="F812" s="62" t="s">
        <v>1930</v>
      </c>
      <c r="G812" s="62" t="s">
        <v>723</v>
      </c>
      <c r="H812" s="62" t="s">
        <v>2466</v>
      </c>
      <c r="I812" s="62" t="s">
        <v>509</v>
      </c>
      <c r="J812" s="62" t="s">
        <v>374</v>
      </c>
      <c r="K812" s="62" t="s">
        <v>375</v>
      </c>
      <c r="L812" s="62" t="s">
        <v>2421</v>
      </c>
      <c r="M812" s="66" t="s">
        <v>1967</v>
      </c>
    </row>
    <row r="813" spans="1:13" x14ac:dyDescent="0.3">
      <c r="A813" s="61" t="s">
        <v>2108</v>
      </c>
      <c r="B813" s="62" t="s">
        <v>1092</v>
      </c>
      <c r="C813" s="62" t="s">
        <v>1093</v>
      </c>
      <c r="D813" s="63">
        <v>43488</v>
      </c>
      <c r="E813" s="63">
        <v>46044</v>
      </c>
      <c r="F813" s="62" t="s">
        <v>1930</v>
      </c>
      <c r="G813" s="62" t="s">
        <v>723</v>
      </c>
      <c r="H813" s="62" t="s">
        <v>1094</v>
      </c>
      <c r="I813" s="62" t="s">
        <v>509</v>
      </c>
      <c r="J813" s="62" t="s">
        <v>374</v>
      </c>
      <c r="K813" s="62" t="s">
        <v>375</v>
      </c>
      <c r="L813" s="62" t="s">
        <v>2421</v>
      </c>
      <c r="M813" s="66" t="s">
        <v>1967</v>
      </c>
    </row>
    <row r="814" spans="1:13" x14ac:dyDescent="0.3">
      <c r="A814" s="61" t="s">
        <v>2108</v>
      </c>
      <c r="B814" s="62" t="s">
        <v>1092</v>
      </c>
      <c r="C814" s="62" t="s">
        <v>1093</v>
      </c>
      <c r="D814" s="63">
        <v>43488</v>
      </c>
      <c r="E814" s="63">
        <v>46044</v>
      </c>
      <c r="F814" s="62" t="s">
        <v>1930</v>
      </c>
      <c r="G814" s="62" t="s">
        <v>723</v>
      </c>
      <c r="H814" s="62" t="s">
        <v>1095</v>
      </c>
      <c r="I814" s="62" t="s">
        <v>509</v>
      </c>
      <c r="J814" s="62" t="s">
        <v>374</v>
      </c>
      <c r="K814" s="62" t="s">
        <v>375</v>
      </c>
      <c r="L814" s="62" t="s">
        <v>2421</v>
      </c>
      <c r="M814" s="66" t="s">
        <v>1967</v>
      </c>
    </row>
    <row r="815" spans="1:13" x14ac:dyDescent="0.3">
      <c r="A815" s="61" t="s">
        <v>2108</v>
      </c>
      <c r="B815" s="62" t="s">
        <v>1092</v>
      </c>
      <c r="C815" s="62" t="s">
        <v>1093</v>
      </c>
      <c r="D815" s="63">
        <v>43488</v>
      </c>
      <c r="E815" s="63">
        <v>46044</v>
      </c>
      <c r="F815" s="62" t="s">
        <v>1930</v>
      </c>
      <c r="G815" s="62" t="s">
        <v>723</v>
      </c>
      <c r="H815" s="62" t="s">
        <v>2468</v>
      </c>
      <c r="I815" s="62" t="s">
        <v>509</v>
      </c>
      <c r="J815" s="62" t="s">
        <v>374</v>
      </c>
      <c r="K815" s="62" t="s">
        <v>375</v>
      </c>
      <c r="L815" s="62" t="s">
        <v>2421</v>
      </c>
      <c r="M815" s="66" t="s">
        <v>1967</v>
      </c>
    </row>
    <row r="816" spans="1:13" x14ac:dyDescent="0.3">
      <c r="A816" s="61" t="s">
        <v>2108</v>
      </c>
      <c r="B816" s="62" t="s">
        <v>1092</v>
      </c>
      <c r="C816" s="62" t="s">
        <v>1093</v>
      </c>
      <c r="D816" s="63">
        <v>43488</v>
      </c>
      <c r="E816" s="63">
        <v>46044</v>
      </c>
      <c r="F816" s="62" t="s">
        <v>1930</v>
      </c>
      <c r="G816" s="62" t="s">
        <v>723</v>
      </c>
      <c r="H816" s="62" t="s">
        <v>2469</v>
      </c>
      <c r="I816" s="62" t="s">
        <v>509</v>
      </c>
      <c r="J816" s="62" t="s">
        <v>374</v>
      </c>
      <c r="K816" s="62" t="s">
        <v>375</v>
      </c>
      <c r="L816" s="62" t="s">
        <v>2421</v>
      </c>
      <c r="M816" s="66" t="s">
        <v>1967</v>
      </c>
    </row>
    <row r="817" spans="1:13" x14ac:dyDescent="0.3">
      <c r="A817" s="61" t="s">
        <v>2109</v>
      </c>
      <c r="B817" s="62" t="s">
        <v>1096</v>
      </c>
      <c r="C817" s="62" t="s">
        <v>1097</v>
      </c>
      <c r="D817" s="63">
        <v>44950</v>
      </c>
      <c r="E817" s="63">
        <v>46477</v>
      </c>
      <c r="F817" s="62" t="s">
        <v>350</v>
      </c>
      <c r="G817" s="62" t="s">
        <v>304</v>
      </c>
      <c r="H817" s="62" t="s">
        <v>312</v>
      </c>
      <c r="I817" s="62" t="s">
        <v>2443</v>
      </c>
      <c r="J817" s="62" t="s">
        <v>985</v>
      </c>
      <c r="K817" s="62" t="s">
        <v>375</v>
      </c>
      <c r="L817" s="62" t="s">
        <v>2421</v>
      </c>
      <c r="M817" s="66" t="s">
        <v>2021</v>
      </c>
    </row>
    <row r="818" spans="1:13" x14ac:dyDescent="0.3">
      <c r="A818" s="61" t="s">
        <v>2110</v>
      </c>
      <c r="B818" s="62" t="s">
        <v>1098</v>
      </c>
      <c r="C818" s="62" t="s">
        <v>2470</v>
      </c>
      <c r="D818" s="63">
        <v>44993</v>
      </c>
      <c r="E818" s="63">
        <v>47026</v>
      </c>
      <c r="F818" s="62" t="s">
        <v>348</v>
      </c>
      <c r="G818" s="62" t="s">
        <v>304</v>
      </c>
      <c r="H818" s="62" t="s">
        <v>312</v>
      </c>
      <c r="I818" s="62" t="s">
        <v>2443</v>
      </c>
      <c r="J818" s="62" t="s">
        <v>985</v>
      </c>
      <c r="K818" s="62" t="s">
        <v>375</v>
      </c>
      <c r="L818" s="62" t="s">
        <v>2421</v>
      </c>
      <c r="M818" s="66" t="s">
        <v>2021</v>
      </c>
    </row>
    <row r="819" spans="1:13" x14ac:dyDescent="0.3">
      <c r="A819" s="61" t="s">
        <v>2110</v>
      </c>
      <c r="B819" s="62" t="s">
        <v>1098</v>
      </c>
      <c r="C819" s="62" t="s">
        <v>2470</v>
      </c>
      <c r="D819" s="63">
        <v>44993</v>
      </c>
      <c r="E819" s="63">
        <v>47026</v>
      </c>
      <c r="F819" s="62" t="s">
        <v>1930</v>
      </c>
      <c r="G819" s="62" t="s">
        <v>304</v>
      </c>
      <c r="H819" s="62" t="s">
        <v>312</v>
      </c>
      <c r="I819" s="62" t="s">
        <v>2443</v>
      </c>
      <c r="J819" s="62" t="s">
        <v>985</v>
      </c>
      <c r="K819" s="62" t="s">
        <v>375</v>
      </c>
      <c r="L819" s="62" t="s">
        <v>2421</v>
      </c>
      <c r="M819" s="66" t="s">
        <v>2021</v>
      </c>
    </row>
    <row r="820" spans="1:13" x14ac:dyDescent="0.3">
      <c r="A820" s="61" t="s">
        <v>2110</v>
      </c>
      <c r="B820" s="62" t="s">
        <v>1098</v>
      </c>
      <c r="C820" s="62" t="s">
        <v>2470</v>
      </c>
      <c r="D820" s="63">
        <v>44993</v>
      </c>
      <c r="E820" s="63">
        <v>47026</v>
      </c>
      <c r="F820" s="62" t="s">
        <v>1941</v>
      </c>
      <c r="G820" s="62" t="s">
        <v>304</v>
      </c>
      <c r="H820" s="62" t="s">
        <v>312</v>
      </c>
      <c r="I820" s="62" t="s">
        <v>2443</v>
      </c>
      <c r="J820" s="62" t="s">
        <v>985</v>
      </c>
      <c r="K820" s="62" t="s">
        <v>375</v>
      </c>
      <c r="L820" s="62" t="s">
        <v>2421</v>
      </c>
      <c r="M820" s="66" t="s">
        <v>2021</v>
      </c>
    </row>
    <row r="821" spans="1:13" x14ac:dyDescent="0.3">
      <c r="A821" s="61" t="s">
        <v>2110</v>
      </c>
      <c r="B821" s="62" t="s">
        <v>1098</v>
      </c>
      <c r="C821" s="62" t="s">
        <v>2470</v>
      </c>
      <c r="D821" s="63">
        <v>44993</v>
      </c>
      <c r="E821" s="63">
        <v>47026</v>
      </c>
      <c r="F821" s="62" t="s">
        <v>1959</v>
      </c>
      <c r="G821" s="62" t="s">
        <v>304</v>
      </c>
      <c r="H821" s="62" t="s">
        <v>312</v>
      </c>
      <c r="I821" s="62" t="s">
        <v>2443</v>
      </c>
      <c r="J821" s="62" t="s">
        <v>985</v>
      </c>
      <c r="K821" s="62" t="s">
        <v>375</v>
      </c>
      <c r="L821" s="62" t="s">
        <v>2421</v>
      </c>
      <c r="M821" s="66" t="s">
        <v>2021</v>
      </c>
    </row>
    <row r="822" spans="1:13" x14ac:dyDescent="0.3">
      <c r="A822" s="61" t="s">
        <v>2110</v>
      </c>
      <c r="B822" s="62" t="s">
        <v>1098</v>
      </c>
      <c r="C822" s="62" t="s">
        <v>2470</v>
      </c>
      <c r="D822" s="63">
        <v>44993</v>
      </c>
      <c r="E822" s="63">
        <v>47026</v>
      </c>
      <c r="F822" s="62" t="s">
        <v>1936</v>
      </c>
      <c r="G822" s="62" t="s">
        <v>304</v>
      </c>
      <c r="H822" s="62" t="s">
        <v>312</v>
      </c>
      <c r="I822" s="62" t="s">
        <v>2443</v>
      </c>
      <c r="J822" s="62" t="s">
        <v>985</v>
      </c>
      <c r="K822" s="62" t="s">
        <v>375</v>
      </c>
      <c r="L822" s="62" t="s">
        <v>2421</v>
      </c>
      <c r="M822" s="66" t="s">
        <v>2021</v>
      </c>
    </row>
    <row r="823" spans="1:13" x14ac:dyDescent="0.3">
      <c r="A823" s="61" t="s">
        <v>2110</v>
      </c>
      <c r="B823" s="62" t="s">
        <v>1098</v>
      </c>
      <c r="C823" s="62" t="s">
        <v>2470</v>
      </c>
      <c r="D823" s="63">
        <v>44993</v>
      </c>
      <c r="E823" s="63">
        <v>47026</v>
      </c>
      <c r="F823" s="62" t="s">
        <v>287</v>
      </c>
      <c r="G823" s="62" t="s">
        <v>304</v>
      </c>
      <c r="H823" s="62" t="s">
        <v>312</v>
      </c>
      <c r="I823" s="62" t="s">
        <v>2443</v>
      </c>
      <c r="J823" s="62" t="s">
        <v>985</v>
      </c>
      <c r="K823" s="62" t="s">
        <v>375</v>
      </c>
      <c r="L823" s="62" t="s">
        <v>2421</v>
      </c>
      <c r="M823" s="66" t="s">
        <v>2021</v>
      </c>
    </row>
    <row r="824" spans="1:13" x14ac:dyDescent="0.3">
      <c r="A824" s="61" t="s">
        <v>2110</v>
      </c>
      <c r="B824" s="62" t="s">
        <v>1098</v>
      </c>
      <c r="C824" s="62" t="s">
        <v>2470</v>
      </c>
      <c r="D824" s="63">
        <v>44993</v>
      </c>
      <c r="E824" s="63">
        <v>47026</v>
      </c>
      <c r="F824" s="62" t="s">
        <v>1945</v>
      </c>
      <c r="G824" s="62" t="s">
        <v>304</v>
      </c>
      <c r="H824" s="62" t="s">
        <v>312</v>
      </c>
      <c r="I824" s="62" t="s">
        <v>2443</v>
      </c>
      <c r="J824" s="62" t="s">
        <v>985</v>
      </c>
      <c r="K824" s="62" t="s">
        <v>375</v>
      </c>
      <c r="L824" s="62" t="s">
        <v>2421</v>
      </c>
      <c r="M824" s="66" t="s">
        <v>2021</v>
      </c>
    </row>
    <row r="825" spans="1:13" x14ac:dyDescent="0.3">
      <c r="A825" s="61" t="s">
        <v>2111</v>
      </c>
      <c r="B825" s="62" t="s">
        <v>1099</v>
      </c>
      <c r="C825" s="62" t="s">
        <v>1100</v>
      </c>
      <c r="D825" s="63">
        <v>44774</v>
      </c>
      <c r="E825" s="63">
        <v>47118</v>
      </c>
      <c r="F825" s="62" t="s">
        <v>350</v>
      </c>
      <c r="G825" s="62" t="s">
        <v>304</v>
      </c>
      <c r="H825" s="62" t="s">
        <v>821</v>
      </c>
      <c r="I825" s="62" t="s">
        <v>457</v>
      </c>
      <c r="J825" s="62" t="s">
        <v>464</v>
      </c>
      <c r="K825" s="62" t="s">
        <v>465</v>
      </c>
      <c r="L825" s="62" t="s">
        <v>2421</v>
      </c>
      <c r="M825" s="66" t="s">
        <v>1971</v>
      </c>
    </row>
    <row r="826" spans="1:13" x14ac:dyDescent="0.3">
      <c r="A826" s="61" t="s">
        <v>2112</v>
      </c>
      <c r="B826" s="62" t="s">
        <v>1101</v>
      </c>
      <c r="C826" s="62" t="s">
        <v>1102</v>
      </c>
      <c r="D826" s="63">
        <v>45301</v>
      </c>
      <c r="E826" s="63">
        <v>46326</v>
      </c>
      <c r="F826" s="62" t="s">
        <v>350</v>
      </c>
      <c r="G826" s="62" t="s">
        <v>304</v>
      </c>
      <c r="H826" s="62" t="s">
        <v>490</v>
      </c>
      <c r="I826" s="62" t="s">
        <v>1518</v>
      </c>
      <c r="J826" s="62" t="s">
        <v>458</v>
      </c>
      <c r="K826" s="62" t="s">
        <v>459</v>
      </c>
      <c r="L826" s="62" t="s">
        <v>2421</v>
      </c>
      <c r="M826" s="66" t="s">
        <v>1971</v>
      </c>
    </row>
    <row r="827" spans="1:13" x14ac:dyDescent="0.3">
      <c r="A827" s="61" t="s">
        <v>2112</v>
      </c>
      <c r="B827" s="62" t="s">
        <v>1101</v>
      </c>
      <c r="C827" s="62" t="s">
        <v>1102</v>
      </c>
      <c r="D827" s="63">
        <v>45301</v>
      </c>
      <c r="E827" s="63">
        <v>46326</v>
      </c>
      <c r="F827" s="62" t="s">
        <v>1934</v>
      </c>
      <c r="G827" s="62" t="s">
        <v>304</v>
      </c>
      <c r="H827" s="62" t="s">
        <v>490</v>
      </c>
      <c r="I827" s="62" t="s">
        <v>1518</v>
      </c>
      <c r="J827" s="62" t="s">
        <v>458</v>
      </c>
      <c r="K827" s="62" t="s">
        <v>459</v>
      </c>
      <c r="L827" s="62" t="s">
        <v>2421</v>
      </c>
      <c r="M827" s="66" t="s">
        <v>1971</v>
      </c>
    </row>
    <row r="828" spans="1:13" x14ac:dyDescent="0.3">
      <c r="A828" s="61" t="s">
        <v>2112</v>
      </c>
      <c r="B828" s="62" t="s">
        <v>1101</v>
      </c>
      <c r="C828" s="62" t="s">
        <v>1102</v>
      </c>
      <c r="D828" s="63">
        <v>45301</v>
      </c>
      <c r="E828" s="63">
        <v>46326</v>
      </c>
      <c r="F828" s="62" t="s">
        <v>1938</v>
      </c>
      <c r="G828" s="62" t="s">
        <v>304</v>
      </c>
      <c r="H828" s="62" t="s">
        <v>490</v>
      </c>
      <c r="I828" s="62" t="s">
        <v>1518</v>
      </c>
      <c r="J828" s="62" t="s">
        <v>458</v>
      </c>
      <c r="K828" s="62" t="s">
        <v>459</v>
      </c>
      <c r="L828" s="62" t="s">
        <v>2421</v>
      </c>
      <c r="M828" s="66" t="s">
        <v>1971</v>
      </c>
    </row>
    <row r="829" spans="1:13" x14ac:dyDescent="0.3">
      <c r="A829" s="61" t="s">
        <v>2112</v>
      </c>
      <c r="B829" s="62" t="s">
        <v>1101</v>
      </c>
      <c r="C829" s="62" t="s">
        <v>1102</v>
      </c>
      <c r="D829" s="63">
        <v>45301</v>
      </c>
      <c r="E829" s="63">
        <v>46326</v>
      </c>
      <c r="F829" s="62" t="s">
        <v>1941</v>
      </c>
      <c r="G829" s="62" t="s">
        <v>304</v>
      </c>
      <c r="H829" s="62" t="s">
        <v>490</v>
      </c>
      <c r="I829" s="62" t="s">
        <v>1518</v>
      </c>
      <c r="J829" s="62" t="s">
        <v>458</v>
      </c>
      <c r="K829" s="62" t="s">
        <v>459</v>
      </c>
      <c r="L829" s="62" t="s">
        <v>2421</v>
      </c>
      <c r="M829" s="66" t="s">
        <v>1971</v>
      </c>
    </row>
    <row r="830" spans="1:13" x14ac:dyDescent="0.3">
      <c r="A830" s="61" t="s">
        <v>2113</v>
      </c>
      <c r="B830" s="62" t="s">
        <v>1103</v>
      </c>
      <c r="C830" s="62" t="s">
        <v>1104</v>
      </c>
      <c r="D830" s="63">
        <v>44722</v>
      </c>
      <c r="E830" s="63">
        <v>46630</v>
      </c>
      <c r="F830" s="62" t="s">
        <v>350</v>
      </c>
      <c r="G830" s="62" t="s">
        <v>350</v>
      </c>
      <c r="H830" s="62" t="s">
        <v>1105</v>
      </c>
      <c r="I830" s="62" t="s">
        <v>457</v>
      </c>
      <c r="J830" s="62" t="s">
        <v>949</v>
      </c>
      <c r="K830" s="62" t="s">
        <v>309</v>
      </c>
      <c r="L830" s="62" t="s">
        <v>2421</v>
      </c>
      <c r="M830" s="66" t="s">
        <v>1971</v>
      </c>
    </row>
    <row r="831" spans="1:13" x14ac:dyDescent="0.3">
      <c r="A831" s="61" t="s">
        <v>2114</v>
      </c>
      <c r="B831" s="62" t="s">
        <v>1106</v>
      </c>
      <c r="C831" s="62" t="s">
        <v>1107</v>
      </c>
      <c r="D831" s="63">
        <v>45224</v>
      </c>
      <c r="E831" s="63">
        <v>47415</v>
      </c>
      <c r="F831" s="62" t="s">
        <v>1987</v>
      </c>
      <c r="G831" s="62" t="s">
        <v>1108</v>
      </c>
      <c r="H831" s="62" t="s">
        <v>1109</v>
      </c>
      <c r="I831" s="62" t="s">
        <v>1518</v>
      </c>
      <c r="J831" s="62" t="s">
        <v>969</v>
      </c>
      <c r="K831" s="62" t="s">
        <v>744</v>
      </c>
      <c r="L831" s="62" t="s">
        <v>2421</v>
      </c>
      <c r="M831" s="66" t="s">
        <v>1971</v>
      </c>
    </row>
    <row r="832" spans="1:13" x14ac:dyDescent="0.3">
      <c r="A832" s="61" t="s">
        <v>2114</v>
      </c>
      <c r="B832" s="62" t="s">
        <v>1106</v>
      </c>
      <c r="C832" s="62" t="s">
        <v>1107</v>
      </c>
      <c r="D832" s="63">
        <v>45224</v>
      </c>
      <c r="E832" s="63">
        <v>47415</v>
      </c>
      <c r="F832" s="62" t="s">
        <v>1987</v>
      </c>
      <c r="G832" s="62" t="s">
        <v>962</v>
      </c>
      <c r="H832" s="62" t="s">
        <v>1109</v>
      </c>
      <c r="I832" s="62" t="s">
        <v>1518</v>
      </c>
      <c r="J832" s="62" t="s">
        <v>969</v>
      </c>
      <c r="K832" s="62" t="s">
        <v>744</v>
      </c>
      <c r="L832" s="62" t="s">
        <v>2421</v>
      </c>
      <c r="M832" s="66" t="s">
        <v>1971</v>
      </c>
    </row>
    <row r="833" spans="1:13" x14ac:dyDescent="0.3">
      <c r="A833" s="61" t="s">
        <v>2115</v>
      </c>
      <c r="B833" s="62" t="s">
        <v>1112</v>
      </c>
      <c r="C833" s="62" t="s">
        <v>1113</v>
      </c>
      <c r="D833" s="63">
        <v>45161</v>
      </c>
      <c r="E833" s="63">
        <v>46622</v>
      </c>
      <c r="F833" s="62" t="s">
        <v>348</v>
      </c>
      <c r="G833" s="62" t="s">
        <v>304</v>
      </c>
      <c r="H833" s="62" t="s">
        <v>1114</v>
      </c>
      <c r="I833" s="62" t="s">
        <v>825</v>
      </c>
      <c r="J833" s="62" t="s">
        <v>948</v>
      </c>
      <c r="K833" s="62" t="s">
        <v>428</v>
      </c>
      <c r="L833" s="62" t="s">
        <v>2421</v>
      </c>
      <c r="M833" s="66" t="s">
        <v>1965</v>
      </c>
    </row>
    <row r="834" spans="1:13" x14ac:dyDescent="0.3">
      <c r="A834" s="61" t="s">
        <v>2115</v>
      </c>
      <c r="B834" s="62" t="s">
        <v>1112</v>
      </c>
      <c r="C834" s="62" t="s">
        <v>1113</v>
      </c>
      <c r="D834" s="63">
        <v>45161</v>
      </c>
      <c r="E834" s="63">
        <v>46622</v>
      </c>
      <c r="F834" s="62" t="s">
        <v>348</v>
      </c>
      <c r="G834" s="62" t="s">
        <v>304</v>
      </c>
      <c r="H834" s="62" t="s">
        <v>1115</v>
      </c>
      <c r="I834" s="62" t="s">
        <v>825</v>
      </c>
      <c r="J834" s="62" t="s">
        <v>948</v>
      </c>
      <c r="K834" s="62" t="s">
        <v>428</v>
      </c>
      <c r="L834" s="62" t="s">
        <v>2421</v>
      </c>
      <c r="M834" s="66" t="s">
        <v>1965</v>
      </c>
    </row>
    <row r="835" spans="1:13" x14ac:dyDescent="0.3">
      <c r="A835" s="61" t="s">
        <v>2115</v>
      </c>
      <c r="B835" s="62" t="s">
        <v>1112</v>
      </c>
      <c r="C835" s="62" t="s">
        <v>1113</v>
      </c>
      <c r="D835" s="63">
        <v>45161</v>
      </c>
      <c r="E835" s="63">
        <v>46622</v>
      </c>
      <c r="F835" s="62" t="s">
        <v>348</v>
      </c>
      <c r="G835" s="62" t="s">
        <v>304</v>
      </c>
      <c r="H835" s="62" t="s">
        <v>1116</v>
      </c>
      <c r="I835" s="62" t="s">
        <v>825</v>
      </c>
      <c r="J835" s="62" t="s">
        <v>948</v>
      </c>
      <c r="K835" s="62" t="s">
        <v>428</v>
      </c>
      <c r="L835" s="62" t="s">
        <v>2421</v>
      </c>
      <c r="M835" s="66" t="s">
        <v>1965</v>
      </c>
    </row>
    <row r="836" spans="1:13" x14ac:dyDescent="0.3">
      <c r="A836" s="61" t="s">
        <v>2116</v>
      </c>
      <c r="B836" s="62" t="s">
        <v>1117</v>
      </c>
      <c r="C836" s="62" t="s">
        <v>1118</v>
      </c>
      <c r="D836" s="63">
        <v>45328</v>
      </c>
      <c r="E836" s="63">
        <v>46058</v>
      </c>
      <c r="F836" s="62" t="s">
        <v>1937</v>
      </c>
      <c r="G836" s="62" t="s">
        <v>1119</v>
      </c>
      <c r="H836" s="62" t="s">
        <v>685</v>
      </c>
      <c r="I836" s="62" t="s">
        <v>2443</v>
      </c>
      <c r="J836" s="62" t="s">
        <v>374</v>
      </c>
      <c r="K836" s="62" t="s">
        <v>375</v>
      </c>
      <c r="L836" s="62" t="s">
        <v>2421</v>
      </c>
      <c r="M836" s="66" t="s">
        <v>1968</v>
      </c>
    </row>
    <row r="837" spans="1:13" x14ac:dyDescent="0.3">
      <c r="A837" s="61" t="s">
        <v>2116</v>
      </c>
      <c r="B837" s="62" t="s">
        <v>1117</v>
      </c>
      <c r="C837" s="62" t="s">
        <v>1118</v>
      </c>
      <c r="D837" s="63">
        <v>45328</v>
      </c>
      <c r="E837" s="63">
        <v>46058</v>
      </c>
      <c r="F837" s="62" t="s">
        <v>1937</v>
      </c>
      <c r="G837" s="62" t="s">
        <v>1120</v>
      </c>
      <c r="H837" s="62" t="s">
        <v>685</v>
      </c>
      <c r="I837" s="62" t="s">
        <v>2443</v>
      </c>
      <c r="J837" s="62" t="s">
        <v>374</v>
      </c>
      <c r="K837" s="62" t="s">
        <v>375</v>
      </c>
      <c r="L837" s="62" t="s">
        <v>2421</v>
      </c>
      <c r="M837" s="66" t="s">
        <v>1968</v>
      </c>
    </row>
    <row r="838" spans="1:13" x14ac:dyDescent="0.3">
      <c r="A838" s="61" t="s">
        <v>2116</v>
      </c>
      <c r="B838" s="62" t="s">
        <v>1117</v>
      </c>
      <c r="C838" s="62" t="s">
        <v>1118</v>
      </c>
      <c r="D838" s="63">
        <v>45328</v>
      </c>
      <c r="E838" s="63">
        <v>46058</v>
      </c>
      <c r="F838" s="62" t="s">
        <v>1937</v>
      </c>
      <c r="G838" s="62" t="s">
        <v>1121</v>
      </c>
      <c r="H838" s="62" t="s">
        <v>685</v>
      </c>
      <c r="I838" s="62" t="s">
        <v>2443</v>
      </c>
      <c r="J838" s="62" t="s">
        <v>374</v>
      </c>
      <c r="K838" s="62" t="s">
        <v>375</v>
      </c>
      <c r="L838" s="62" t="s">
        <v>2421</v>
      </c>
      <c r="M838" s="66" t="s">
        <v>1968</v>
      </c>
    </row>
    <row r="839" spans="1:13" x14ac:dyDescent="0.3">
      <c r="A839" s="61" t="s">
        <v>2116</v>
      </c>
      <c r="B839" s="62" t="s">
        <v>1117</v>
      </c>
      <c r="C839" s="62" t="s">
        <v>1118</v>
      </c>
      <c r="D839" s="63">
        <v>45328</v>
      </c>
      <c r="E839" s="63">
        <v>46058</v>
      </c>
      <c r="F839" s="62" t="s">
        <v>1937</v>
      </c>
      <c r="G839" s="62" t="s">
        <v>1122</v>
      </c>
      <c r="H839" s="62" t="s">
        <v>685</v>
      </c>
      <c r="I839" s="62" t="s">
        <v>2443</v>
      </c>
      <c r="J839" s="62" t="s">
        <v>374</v>
      </c>
      <c r="K839" s="62" t="s">
        <v>375</v>
      </c>
      <c r="L839" s="62" t="s">
        <v>2421</v>
      </c>
      <c r="M839" s="66" t="s">
        <v>1968</v>
      </c>
    </row>
    <row r="840" spans="1:13" x14ac:dyDescent="0.3">
      <c r="A840" s="61" t="s">
        <v>2116</v>
      </c>
      <c r="B840" s="62" t="s">
        <v>1117</v>
      </c>
      <c r="C840" s="62" t="s">
        <v>1118</v>
      </c>
      <c r="D840" s="63">
        <v>45328</v>
      </c>
      <c r="E840" s="63">
        <v>46058</v>
      </c>
      <c r="F840" s="62" t="s">
        <v>1937</v>
      </c>
      <c r="G840" s="62" t="s">
        <v>699</v>
      </c>
      <c r="H840" s="62" t="s">
        <v>685</v>
      </c>
      <c r="I840" s="62" t="s">
        <v>2443</v>
      </c>
      <c r="J840" s="62" t="s">
        <v>374</v>
      </c>
      <c r="K840" s="62" t="s">
        <v>375</v>
      </c>
      <c r="L840" s="62" t="s">
        <v>2421</v>
      </c>
      <c r="M840" s="66" t="s">
        <v>1968</v>
      </c>
    </row>
    <row r="841" spans="1:13" x14ac:dyDescent="0.3">
      <c r="A841" s="61" t="s">
        <v>2116</v>
      </c>
      <c r="B841" s="62" t="s">
        <v>1117</v>
      </c>
      <c r="C841" s="62" t="s">
        <v>1118</v>
      </c>
      <c r="D841" s="63">
        <v>45328</v>
      </c>
      <c r="E841" s="63">
        <v>46058</v>
      </c>
      <c r="F841" s="62" t="s">
        <v>1937</v>
      </c>
      <c r="G841" s="62" t="s">
        <v>1123</v>
      </c>
      <c r="H841" s="62" t="s">
        <v>685</v>
      </c>
      <c r="I841" s="62" t="s">
        <v>2443</v>
      </c>
      <c r="J841" s="62" t="s">
        <v>374</v>
      </c>
      <c r="K841" s="62" t="s">
        <v>375</v>
      </c>
      <c r="L841" s="62" t="s">
        <v>2421</v>
      </c>
      <c r="M841" s="66" t="s">
        <v>1968</v>
      </c>
    </row>
    <row r="842" spans="1:13" x14ac:dyDescent="0.3">
      <c r="A842" s="61" t="s">
        <v>2116</v>
      </c>
      <c r="B842" s="62" t="s">
        <v>1117</v>
      </c>
      <c r="C842" s="62" t="s">
        <v>1118</v>
      </c>
      <c r="D842" s="63">
        <v>45328</v>
      </c>
      <c r="E842" s="63">
        <v>46058</v>
      </c>
      <c r="F842" s="62" t="s">
        <v>282</v>
      </c>
      <c r="G842" s="62" t="s">
        <v>470</v>
      </c>
      <c r="H842" s="62" t="s">
        <v>685</v>
      </c>
      <c r="I842" s="62" t="s">
        <v>2443</v>
      </c>
      <c r="J842" s="62" t="s">
        <v>374</v>
      </c>
      <c r="K842" s="62" t="s">
        <v>375</v>
      </c>
      <c r="L842" s="62" t="s">
        <v>2421</v>
      </c>
      <c r="M842" s="66" t="s">
        <v>1968</v>
      </c>
    </row>
    <row r="843" spans="1:13" x14ac:dyDescent="0.3">
      <c r="A843" s="61" t="s">
        <v>2116</v>
      </c>
      <c r="B843" s="62" t="s">
        <v>1117</v>
      </c>
      <c r="C843" s="62" t="s">
        <v>1118</v>
      </c>
      <c r="D843" s="63">
        <v>45328</v>
      </c>
      <c r="E843" s="63">
        <v>46058</v>
      </c>
      <c r="F843" s="62" t="s">
        <v>282</v>
      </c>
      <c r="G843" s="62" t="s">
        <v>1080</v>
      </c>
      <c r="H843" s="62" t="s">
        <v>685</v>
      </c>
      <c r="I843" s="62" t="s">
        <v>2443</v>
      </c>
      <c r="J843" s="62" t="s">
        <v>374</v>
      </c>
      <c r="K843" s="62" t="s">
        <v>375</v>
      </c>
      <c r="L843" s="62" t="s">
        <v>2421</v>
      </c>
      <c r="M843" s="66" t="s">
        <v>1968</v>
      </c>
    </row>
    <row r="844" spans="1:13" x14ac:dyDescent="0.3">
      <c r="A844" s="61" t="s">
        <v>2116</v>
      </c>
      <c r="B844" s="62" t="s">
        <v>1117</v>
      </c>
      <c r="C844" s="62" t="s">
        <v>1118</v>
      </c>
      <c r="D844" s="63">
        <v>45328</v>
      </c>
      <c r="E844" s="63">
        <v>46058</v>
      </c>
      <c r="F844" s="62" t="s">
        <v>282</v>
      </c>
      <c r="G844" s="62" t="s">
        <v>473</v>
      </c>
      <c r="H844" s="62" t="s">
        <v>685</v>
      </c>
      <c r="I844" s="62" t="s">
        <v>2443</v>
      </c>
      <c r="J844" s="62" t="s">
        <v>374</v>
      </c>
      <c r="K844" s="62" t="s">
        <v>375</v>
      </c>
      <c r="L844" s="62" t="s">
        <v>2421</v>
      </c>
      <c r="M844" s="66" t="s">
        <v>1968</v>
      </c>
    </row>
    <row r="845" spans="1:13" x14ac:dyDescent="0.3">
      <c r="A845" s="61" t="s">
        <v>2116</v>
      </c>
      <c r="B845" s="62" t="s">
        <v>1117</v>
      </c>
      <c r="C845" s="62" t="s">
        <v>1118</v>
      </c>
      <c r="D845" s="63">
        <v>45328</v>
      </c>
      <c r="E845" s="63">
        <v>46058</v>
      </c>
      <c r="F845" s="62" t="s">
        <v>282</v>
      </c>
      <c r="G845" s="62" t="s">
        <v>1124</v>
      </c>
      <c r="H845" s="62" t="s">
        <v>685</v>
      </c>
      <c r="I845" s="62" t="s">
        <v>2443</v>
      </c>
      <c r="J845" s="62" t="s">
        <v>374</v>
      </c>
      <c r="K845" s="62" t="s">
        <v>375</v>
      </c>
      <c r="L845" s="62" t="s">
        <v>2421</v>
      </c>
      <c r="M845" s="66" t="s">
        <v>1968</v>
      </c>
    </row>
    <row r="846" spans="1:13" x14ac:dyDescent="0.3">
      <c r="A846" s="61" t="s">
        <v>2116</v>
      </c>
      <c r="B846" s="62" t="s">
        <v>1117</v>
      </c>
      <c r="C846" s="62" t="s">
        <v>1118</v>
      </c>
      <c r="D846" s="63">
        <v>45328</v>
      </c>
      <c r="E846" s="63">
        <v>46058</v>
      </c>
      <c r="F846" s="62" t="s">
        <v>282</v>
      </c>
      <c r="G846" s="62" t="s">
        <v>834</v>
      </c>
      <c r="H846" s="62" t="s">
        <v>685</v>
      </c>
      <c r="I846" s="62" t="s">
        <v>2443</v>
      </c>
      <c r="J846" s="62" t="s">
        <v>374</v>
      </c>
      <c r="K846" s="62" t="s">
        <v>375</v>
      </c>
      <c r="L846" s="62" t="s">
        <v>2421</v>
      </c>
      <c r="M846" s="66" t="s">
        <v>1968</v>
      </c>
    </row>
    <row r="847" spans="1:13" x14ac:dyDescent="0.3">
      <c r="A847" s="61" t="s">
        <v>2116</v>
      </c>
      <c r="B847" s="62" t="s">
        <v>1117</v>
      </c>
      <c r="C847" s="62" t="s">
        <v>1118</v>
      </c>
      <c r="D847" s="63">
        <v>45328</v>
      </c>
      <c r="E847" s="63">
        <v>46058</v>
      </c>
      <c r="F847" s="62" t="s">
        <v>1944</v>
      </c>
      <c r="G847" s="62" t="s">
        <v>1125</v>
      </c>
      <c r="H847" s="62" t="s">
        <v>685</v>
      </c>
      <c r="I847" s="62" t="s">
        <v>2443</v>
      </c>
      <c r="J847" s="62" t="s">
        <v>374</v>
      </c>
      <c r="K847" s="62" t="s">
        <v>375</v>
      </c>
      <c r="L847" s="62" t="s">
        <v>2421</v>
      </c>
      <c r="M847" s="66" t="s">
        <v>1968</v>
      </c>
    </row>
    <row r="848" spans="1:13" x14ac:dyDescent="0.3">
      <c r="A848" s="61" t="s">
        <v>2116</v>
      </c>
      <c r="B848" s="62" t="s">
        <v>1117</v>
      </c>
      <c r="C848" s="62" t="s">
        <v>1118</v>
      </c>
      <c r="D848" s="63">
        <v>45328</v>
      </c>
      <c r="E848" s="63">
        <v>46058</v>
      </c>
      <c r="F848" s="62" t="s">
        <v>1944</v>
      </c>
      <c r="G848" s="62" t="s">
        <v>1126</v>
      </c>
      <c r="H848" s="62" t="s">
        <v>685</v>
      </c>
      <c r="I848" s="62" t="s">
        <v>2443</v>
      </c>
      <c r="J848" s="62" t="s">
        <v>374</v>
      </c>
      <c r="K848" s="62" t="s">
        <v>375</v>
      </c>
      <c r="L848" s="62" t="s">
        <v>2421</v>
      </c>
      <c r="M848" s="66" t="s">
        <v>1968</v>
      </c>
    </row>
    <row r="849" spans="1:13" x14ac:dyDescent="0.3">
      <c r="A849" s="61" t="s">
        <v>2116</v>
      </c>
      <c r="B849" s="62" t="s">
        <v>1117</v>
      </c>
      <c r="C849" s="62" t="s">
        <v>1118</v>
      </c>
      <c r="D849" s="63">
        <v>45328</v>
      </c>
      <c r="E849" s="63">
        <v>46058</v>
      </c>
      <c r="F849" s="62" t="s">
        <v>1944</v>
      </c>
      <c r="G849" s="62" t="s">
        <v>1127</v>
      </c>
      <c r="H849" s="62" t="s">
        <v>685</v>
      </c>
      <c r="I849" s="62" t="s">
        <v>2443</v>
      </c>
      <c r="J849" s="62" t="s">
        <v>374</v>
      </c>
      <c r="K849" s="62" t="s">
        <v>375</v>
      </c>
      <c r="L849" s="62" t="s">
        <v>2421</v>
      </c>
      <c r="M849" s="66" t="s">
        <v>1968</v>
      </c>
    </row>
    <row r="850" spans="1:13" x14ac:dyDescent="0.3">
      <c r="A850" s="61" t="s">
        <v>2116</v>
      </c>
      <c r="B850" s="62" t="s">
        <v>1117</v>
      </c>
      <c r="C850" s="62" t="s">
        <v>1118</v>
      </c>
      <c r="D850" s="63">
        <v>45328</v>
      </c>
      <c r="E850" s="63">
        <v>46058</v>
      </c>
      <c r="F850" s="62" t="s">
        <v>1944</v>
      </c>
      <c r="G850" s="62" t="s">
        <v>677</v>
      </c>
      <c r="H850" s="62" t="s">
        <v>685</v>
      </c>
      <c r="I850" s="62" t="s">
        <v>2443</v>
      </c>
      <c r="J850" s="62" t="s">
        <v>374</v>
      </c>
      <c r="K850" s="62" t="s">
        <v>375</v>
      </c>
      <c r="L850" s="62" t="s">
        <v>2421</v>
      </c>
      <c r="M850" s="66" t="s">
        <v>1968</v>
      </c>
    </row>
    <row r="851" spans="1:13" x14ac:dyDescent="0.3">
      <c r="A851" s="61" t="s">
        <v>2116</v>
      </c>
      <c r="B851" s="62" t="s">
        <v>1117</v>
      </c>
      <c r="C851" s="62" t="s">
        <v>1118</v>
      </c>
      <c r="D851" s="63">
        <v>45328</v>
      </c>
      <c r="E851" s="63">
        <v>46058</v>
      </c>
      <c r="F851" s="62" t="s">
        <v>1944</v>
      </c>
      <c r="G851" s="62" t="s">
        <v>725</v>
      </c>
      <c r="H851" s="62" t="s">
        <v>685</v>
      </c>
      <c r="I851" s="62" t="s">
        <v>2443</v>
      </c>
      <c r="J851" s="62" t="s">
        <v>374</v>
      </c>
      <c r="K851" s="62" t="s">
        <v>375</v>
      </c>
      <c r="L851" s="62" t="s">
        <v>2421</v>
      </c>
      <c r="M851" s="66" t="s">
        <v>1968</v>
      </c>
    </row>
    <row r="852" spans="1:13" x14ac:dyDescent="0.3">
      <c r="A852" s="61" t="s">
        <v>2116</v>
      </c>
      <c r="B852" s="62" t="s">
        <v>1117</v>
      </c>
      <c r="C852" s="62" t="s">
        <v>1118</v>
      </c>
      <c r="D852" s="63">
        <v>45328</v>
      </c>
      <c r="E852" s="63">
        <v>46058</v>
      </c>
      <c r="F852" s="62" t="s">
        <v>1941</v>
      </c>
      <c r="G852" s="62" t="s">
        <v>322</v>
      </c>
      <c r="H852" s="62" t="s">
        <v>685</v>
      </c>
      <c r="I852" s="62" t="s">
        <v>2443</v>
      </c>
      <c r="J852" s="62" t="s">
        <v>374</v>
      </c>
      <c r="K852" s="62" t="s">
        <v>375</v>
      </c>
      <c r="L852" s="62" t="s">
        <v>2421</v>
      </c>
      <c r="M852" s="66" t="s">
        <v>1968</v>
      </c>
    </row>
    <row r="853" spans="1:13" x14ac:dyDescent="0.3">
      <c r="A853" s="61" t="s">
        <v>2116</v>
      </c>
      <c r="B853" s="62" t="s">
        <v>1117</v>
      </c>
      <c r="C853" s="62" t="s">
        <v>1118</v>
      </c>
      <c r="D853" s="63">
        <v>45328</v>
      </c>
      <c r="E853" s="63">
        <v>46058</v>
      </c>
      <c r="F853" s="62" t="s">
        <v>1941</v>
      </c>
      <c r="G853" s="62" t="s">
        <v>324</v>
      </c>
      <c r="H853" s="62" t="s">
        <v>685</v>
      </c>
      <c r="I853" s="62" t="s">
        <v>2443</v>
      </c>
      <c r="J853" s="62" t="s">
        <v>374</v>
      </c>
      <c r="K853" s="62" t="s">
        <v>375</v>
      </c>
      <c r="L853" s="62" t="s">
        <v>2421</v>
      </c>
      <c r="M853" s="66" t="s">
        <v>1968</v>
      </c>
    </row>
    <row r="854" spans="1:13" x14ac:dyDescent="0.3">
      <c r="A854" s="61" t="s">
        <v>2116</v>
      </c>
      <c r="B854" s="62" t="s">
        <v>1117</v>
      </c>
      <c r="C854" s="62" t="s">
        <v>1118</v>
      </c>
      <c r="D854" s="63">
        <v>45328</v>
      </c>
      <c r="E854" s="63">
        <v>46058</v>
      </c>
      <c r="F854" s="62" t="s">
        <v>1941</v>
      </c>
      <c r="G854" s="62" t="s">
        <v>398</v>
      </c>
      <c r="H854" s="62" t="s">
        <v>685</v>
      </c>
      <c r="I854" s="62" t="s">
        <v>2443</v>
      </c>
      <c r="J854" s="62" t="s">
        <v>374</v>
      </c>
      <c r="K854" s="62" t="s">
        <v>375</v>
      </c>
      <c r="L854" s="62" t="s">
        <v>2421</v>
      </c>
      <c r="M854" s="66" t="s">
        <v>1968</v>
      </c>
    </row>
    <row r="855" spans="1:13" x14ac:dyDescent="0.3">
      <c r="A855" s="61" t="s">
        <v>2116</v>
      </c>
      <c r="B855" s="62" t="s">
        <v>1117</v>
      </c>
      <c r="C855" s="62" t="s">
        <v>1118</v>
      </c>
      <c r="D855" s="63">
        <v>45328</v>
      </c>
      <c r="E855" s="63">
        <v>46058</v>
      </c>
      <c r="F855" s="62" t="s">
        <v>1941</v>
      </c>
      <c r="G855" s="62" t="s">
        <v>325</v>
      </c>
      <c r="H855" s="62" t="s">
        <v>685</v>
      </c>
      <c r="I855" s="62" t="s">
        <v>2443</v>
      </c>
      <c r="J855" s="62" t="s">
        <v>374</v>
      </c>
      <c r="K855" s="62" t="s">
        <v>375</v>
      </c>
      <c r="L855" s="62" t="s">
        <v>2421</v>
      </c>
      <c r="M855" s="66" t="s">
        <v>1968</v>
      </c>
    </row>
    <row r="856" spans="1:13" x14ac:dyDescent="0.3">
      <c r="A856" s="61" t="s">
        <v>2116</v>
      </c>
      <c r="B856" s="62" t="s">
        <v>1117</v>
      </c>
      <c r="C856" s="62" t="s">
        <v>1118</v>
      </c>
      <c r="D856" s="63">
        <v>45328</v>
      </c>
      <c r="E856" s="63">
        <v>46058</v>
      </c>
      <c r="F856" s="62" t="s">
        <v>1941</v>
      </c>
      <c r="G856" s="62" t="s">
        <v>399</v>
      </c>
      <c r="H856" s="62" t="s">
        <v>685</v>
      </c>
      <c r="I856" s="62" t="s">
        <v>2443</v>
      </c>
      <c r="J856" s="62" t="s">
        <v>374</v>
      </c>
      <c r="K856" s="62" t="s">
        <v>375</v>
      </c>
      <c r="L856" s="62" t="s">
        <v>2421</v>
      </c>
      <c r="M856" s="66" t="s">
        <v>1968</v>
      </c>
    </row>
    <row r="857" spans="1:13" x14ac:dyDescent="0.3">
      <c r="A857" s="61" t="s">
        <v>2116</v>
      </c>
      <c r="B857" s="62" t="s">
        <v>1117</v>
      </c>
      <c r="C857" s="62" t="s">
        <v>1118</v>
      </c>
      <c r="D857" s="63">
        <v>45328</v>
      </c>
      <c r="E857" s="63">
        <v>46058</v>
      </c>
      <c r="F857" s="62" t="s">
        <v>289</v>
      </c>
      <c r="G857" s="62" t="s">
        <v>574</v>
      </c>
      <c r="H857" s="62" t="s">
        <v>685</v>
      </c>
      <c r="I857" s="62" t="s">
        <v>2443</v>
      </c>
      <c r="J857" s="62" t="s">
        <v>374</v>
      </c>
      <c r="K857" s="62" t="s">
        <v>375</v>
      </c>
      <c r="L857" s="62" t="s">
        <v>2421</v>
      </c>
      <c r="M857" s="66" t="s">
        <v>1968</v>
      </c>
    </row>
    <row r="858" spans="1:13" x14ac:dyDescent="0.3">
      <c r="A858" s="61" t="s">
        <v>2116</v>
      </c>
      <c r="B858" s="62" t="s">
        <v>1117</v>
      </c>
      <c r="C858" s="62" t="s">
        <v>1118</v>
      </c>
      <c r="D858" s="63">
        <v>45328</v>
      </c>
      <c r="E858" s="63">
        <v>46058</v>
      </c>
      <c r="F858" s="62" t="s">
        <v>289</v>
      </c>
      <c r="G858" s="62" t="s">
        <v>953</v>
      </c>
      <c r="H858" s="62" t="s">
        <v>685</v>
      </c>
      <c r="I858" s="62" t="s">
        <v>2443</v>
      </c>
      <c r="J858" s="62" t="s">
        <v>374</v>
      </c>
      <c r="K858" s="62" t="s">
        <v>375</v>
      </c>
      <c r="L858" s="62" t="s">
        <v>2421</v>
      </c>
      <c r="M858" s="66" t="s">
        <v>1968</v>
      </c>
    </row>
    <row r="859" spans="1:13" x14ac:dyDescent="0.3">
      <c r="A859" s="61" t="s">
        <v>2116</v>
      </c>
      <c r="B859" s="62" t="s">
        <v>1117</v>
      </c>
      <c r="C859" s="62" t="s">
        <v>1118</v>
      </c>
      <c r="D859" s="63">
        <v>45328</v>
      </c>
      <c r="E859" s="63">
        <v>46058</v>
      </c>
      <c r="F859" s="62" t="s">
        <v>289</v>
      </c>
      <c r="G859" s="62" t="s">
        <v>831</v>
      </c>
      <c r="H859" s="62" t="s">
        <v>685</v>
      </c>
      <c r="I859" s="62" t="s">
        <v>2443</v>
      </c>
      <c r="J859" s="62" t="s">
        <v>374</v>
      </c>
      <c r="K859" s="62" t="s">
        <v>375</v>
      </c>
      <c r="L859" s="62" t="s">
        <v>2421</v>
      </c>
      <c r="M859" s="66" t="s">
        <v>1968</v>
      </c>
    </row>
    <row r="860" spans="1:13" x14ac:dyDescent="0.3">
      <c r="A860" s="61" t="s">
        <v>2116</v>
      </c>
      <c r="B860" s="62" t="s">
        <v>1117</v>
      </c>
      <c r="C860" s="62" t="s">
        <v>1118</v>
      </c>
      <c r="D860" s="63">
        <v>45328</v>
      </c>
      <c r="E860" s="63">
        <v>46058</v>
      </c>
      <c r="F860" s="62" t="s">
        <v>289</v>
      </c>
      <c r="G860" s="62" t="s">
        <v>594</v>
      </c>
      <c r="H860" s="62" t="s">
        <v>685</v>
      </c>
      <c r="I860" s="62" t="s">
        <v>2443</v>
      </c>
      <c r="J860" s="62" t="s">
        <v>374</v>
      </c>
      <c r="K860" s="62" t="s">
        <v>375</v>
      </c>
      <c r="L860" s="62" t="s">
        <v>2421</v>
      </c>
      <c r="M860" s="66" t="s">
        <v>1968</v>
      </c>
    </row>
    <row r="861" spans="1:13" x14ac:dyDescent="0.3">
      <c r="A861" s="61" t="s">
        <v>2116</v>
      </c>
      <c r="B861" s="62" t="s">
        <v>1117</v>
      </c>
      <c r="C861" s="62" t="s">
        <v>1118</v>
      </c>
      <c r="D861" s="63">
        <v>45328</v>
      </c>
      <c r="E861" s="63">
        <v>46058</v>
      </c>
      <c r="F861" s="62" t="s">
        <v>1930</v>
      </c>
      <c r="G861" s="62" t="s">
        <v>572</v>
      </c>
      <c r="H861" s="62" t="s">
        <v>685</v>
      </c>
      <c r="I861" s="62" t="s">
        <v>2443</v>
      </c>
      <c r="J861" s="62" t="s">
        <v>374</v>
      </c>
      <c r="K861" s="62" t="s">
        <v>375</v>
      </c>
      <c r="L861" s="62" t="s">
        <v>2421</v>
      </c>
      <c r="M861" s="66" t="s">
        <v>1968</v>
      </c>
    </row>
    <row r="862" spans="1:13" x14ac:dyDescent="0.3">
      <c r="A862" s="61" t="s">
        <v>2116</v>
      </c>
      <c r="B862" s="62" t="s">
        <v>1117</v>
      </c>
      <c r="C862" s="62" t="s">
        <v>1118</v>
      </c>
      <c r="D862" s="63">
        <v>45328</v>
      </c>
      <c r="E862" s="63">
        <v>46058</v>
      </c>
      <c r="F862" s="62" t="s">
        <v>1930</v>
      </c>
      <c r="G862" s="62" t="s">
        <v>581</v>
      </c>
      <c r="H862" s="62" t="s">
        <v>685</v>
      </c>
      <c r="I862" s="62" t="s">
        <v>2443</v>
      </c>
      <c r="J862" s="62" t="s">
        <v>374</v>
      </c>
      <c r="K862" s="62" t="s">
        <v>375</v>
      </c>
      <c r="L862" s="62" t="s">
        <v>2421</v>
      </c>
      <c r="M862" s="66" t="s">
        <v>1968</v>
      </c>
    </row>
    <row r="863" spans="1:13" x14ac:dyDescent="0.3">
      <c r="A863" s="61" t="s">
        <v>2116</v>
      </c>
      <c r="B863" s="62" t="s">
        <v>1117</v>
      </c>
      <c r="C863" s="62" t="s">
        <v>1118</v>
      </c>
      <c r="D863" s="63">
        <v>45328</v>
      </c>
      <c r="E863" s="63">
        <v>46058</v>
      </c>
      <c r="F863" s="62" t="s">
        <v>1930</v>
      </c>
      <c r="G863" s="62" t="s">
        <v>453</v>
      </c>
      <c r="H863" s="62" t="s">
        <v>685</v>
      </c>
      <c r="I863" s="62" t="s">
        <v>2443</v>
      </c>
      <c r="J863" s="62" t="s">
        <v>374</v>
      </c>
      <c r="K863" s="62" t="s">
        <v>375</v>
      </c>
      <c r="L863" s="62" t="s">
        <v>2421</v>
      </c>
      <c r="M863" s="66" t="s">
        <v>1968</v>
      </c>
    </row>
    <row r="864" spans="1:13" x14ac:dyDescent="0.3">
      <c r="A864" s="61" t="s">
        <v>2116</v>
      </c>
      <c r="B864" s="62" t="s">
        <v>1117</v>
      </c>
      <c r="C864" s="62" t="s">
        <v>1118</v>
      </c>
      <c r="D864" s="63">
        <v>45328</v>
      </c>
      <c r="E864" s="63">
        <v>46058</v>
      </c>
      <c r="F864" s="62" t="s">
        <v>1930</v>
      </c>
      <c r="G864" s="62" t="s">
        <v>545</v>
      </c>
      <c r="H864" s="62" t="s">
        <v>685</v>
      </c>
      <c r="I864" s="62" t="s">
        <v>2443</v>
      </c>
      <c r="J864" s="62" t="s">
        <v>374</v>
      </c>
      <c r="K864" s="62" t="s">
        <v>375</v>
      </c>
      <c r="L864" s="62" t="s">
        <v>2421</v>
      </c>
      <c r="M864" s="66" t="s">
        <v>1968</v>
      </c>
    </row>
    <row r="865" spans="1:13" x14ac:dyDescent="0.3">
      <c r="A865" s="61" t="s">
        <v>2116</v>
      </c>
      <c r="B865" s="62" t="s">
        <v>1117</v>
      </c>
      <c r="C865" s="62" t="s">
        <v>1118</v>
      </c>
      <c r="D865" s="63">
        <v>45328</v>
      </c>
      <c r="E865" s="63">
        <v>46058</v>
      </c>
      <c r="F865" s="62" t="s">
        <v>1934</v>
      </c>
      <c r="G865" s="62" t="s">
        <v>526</v>
      </c>
      <c r="H865" s="62" t="s">
        <v>685</v>
      </c>
      <c r="I865" s="62" t="s">
        <v>2443</v>
      </c>
      <c r="J865" s="62" t="s">
        <v>374</v>
      </c>
      <c r="K865" s="62" t="s">
        <v>375</v>
      </c>
      <c r="L865" s="62" t="s">
        <v>2421</v>
      </c>
      <c r="M865" s="66" t="s">
        <v>1968</v>
      </c>
    </row>
    <row r="866" spans="1:13" x14ac:dyDescent="0.3">
      <c r="A866" s="61" t="s">
        <v>2116</v>
      </c>
      <c r="B866" s="62" t="s">
        <v>1117</v>
      </c>
      <c r="C866" s="62" t="s">
        <v>1118</v>
      </c>
      <c r="D866" s="63">
        <v>45328</v>
      </c>
      <c r="E866" s="63">
        <v>46058</v>
      </c>
      <c r="F866" s="62" t="s">
        <v>1934</v>
      </c>
      <c r="G866" s="62" t="s">
        <v>499</v>
      </c>
      <c r="H866" s="62" t="s">
        <v>685</v>
      </c>
      <c r="I866" s="62" t="s">
        <v>2443</v>
      </c>
      <c r="J866" s="62" t="s">
        <v>374</v>
      </c>
      <c r="K866" s="62" t="s">
        <v>375</v>
      </c>
      <c r="L866" s="62" t="s">
        <v>2421</v>
      </c>
      <c r="M866" s="66" t="s">
        <v>1968</v>
      </c>
    </row>
    <row r="867" spans="1:13" x14ac:dyDescent="0.3">
      <c r="A867" s="61" t="s">
        <v>2116</v>
      </c>
      <c r="B867" s="62" t="s">
        <v>1117</v>
      </c>
      <c r="C867" s="62" t="s">
        <v>1118</v>
      </c>
      <c r="D867" s="63">
        <v>45328</v>
      </c>
      <c r="E867" s="63">
        <v>46058</v>
      </c>
      <c r="F867" s="62" t="s">
        <v>1939</v>
      </c>
      <c r="G867" s="62" t="s">
        <v>1128</v>
      </c>
      <c r="H867" s="62" t="s">
        <v>685</v>
      </c>
      <c r="I867" s="62" t="s">
        <v>2443</v>
      </c>
      <c r="J867" s="62" t="s">
        <v>374</v>
      </c>
      <c r="K867" s="62" t="s">
        <v>375</v>
      </c>
      <c r="L867" s="62" t="s">
        <v>2421</v>
      </c>
      <c r="M867" s="66" t="s">
        <v>1968</v>
      </c>
    </row>
    <row r="868" spans="1:13" x14ac:dyDescent="0.3">
      <c r="A868" s="61" t="s">
        <v>2116</v>
      </c>
      <c r="B868" s="62" t="s">
        <v>1117</v>
      </c>
      <c r="C868" s="62" t="s">
        <v>1118</v>
      </c>
      <c r="D868" s="63">
        <v>45328</v>
      </c>
      <c r="E868" s="63">
        <v>46058</v>
      </c>
      <c r="F868" s="62" t="s">
        <v>1939</v>
      </c>
      <c r="G868" s="62" t="s">
        <v>539</v>
      </c>
      <c r="H868" s="62" t="s">
        <v>685</v>
      </c>
      <c r="I868" s="62" t="s">
        <v>2443</v>
      </c>
      <c r="J868" s="62" t="s">
        <v>374</v>
      </c>
      <c r="K868" s="62" t="s">
        <v>375</v>
      </c>
      <c r="L868" s="62" t="s">
        <v>2421</v>
      </c>
      <c r="M868" s="66" t="s">
        <v>1968</v>
      </c>
    </row>
    <row r="869" spans="1:13" x14ac:dyDescent="0.3">
      <c r="A869" s="61" t="s">
        <v>2116</v>
      </c>
      <c r="B869" s="62" t="s">
        <v>1117</v>
      </c>
      <c r="C869" s="62" t="s">
        <v>1118</v>
      </c>
      <c r="D869" s="63">
        <v>45328</v>
      </c>
      <c r="E869" s="63">
        <v>46058</v>
      </c>
      <c r="F869" s="62" t="s">
        <v>1936</v>
      </c>
      <c r="G869" s="62" t="s">
        <v>797</v>
      </c>
      <c r="H869" s="62" t="s">
        <v>685</v>
      </c>
      <c r="I869" s="62" t="s">
        <v>2443</v>
      </c>
      <c r="J869" s="62" t="s">
        <v>374</v>
      </c>
      <c r="K869" s="62" t="s">
        <v>375</v>
      </c>
      <c r="L869" s="62" t="s">
        <v>2421</v>
      </c>
      <c r="M869" s="66" t="s">
        <v>1968</v>
      </c>
    </row>
    <row r="870" spans="1:13" x14ac:dyDescent="0.3">
      <c r="A870" s="61" t="s">
        <v>2116</v>
      </c>
      <c r="B870" s="62" t="s">
        <v>1117</v>
      </c>
      <c r="C870" s="62" t="s">
        <v>1118</v>
      </c>
      <c r="D870" s="63">
        <v>45328</v>
      </c>
      <c r="E870" s="63">
        <v>46058</v>
      </c>
      <c r="F870" s="62" t="s">
        <v>1936</v>
      </c>
      <c r="G870" s="62" t="s">
        <v>411</v>
      </c>
      <c r="H870" s="62" t="s">
        <v>685</v>
      </c>
      <c r="I870" s="62" t="s">
        <v>2443</v>
      </c>
      <c r="J870" s="62" t="s">
        <v>374</v>
      </c>
      <c r="K870" s="62" t="s">
        <v>375</v>
      </c>
      <c r="L870" s="62" t="s">
        <v>2421</v>
      </c>
      <c r="M870" s="66" t="s">
        <v>1968</v>
      </c>
    </row>
    <row r="871" spans="1:13" x14ac:dyDescent="0.3">
      <c r="A871" s="61" t="s">
        <v>2116</v>
      </c>
      <c r="B871" s="62" t="s">
        <v>1117</v>
      </c>
      <c r="C871" s="62" t="s">
        <v>1118</v>
      </c>
      <c r="D871" s="63">
        <v>45328</v>
      </c>
      <c r="E871" s="63">
        <v>46058</v>
      </c>
      <c r="F871" s="62" t="s">
        <v>287</v>
      </c>
      <c r="G871" s="62" t="s">
        <v>554</v>
      </c>
      <c r="H871" s="62" t="s">
        <v>685</v>
      </c>
      <c r="I871" s="62" t="s">
        <v>2443</v>
      </c>
      <c r="J871" s="62" t="s">
        <v>374</v>
      </c>
      <c r="K871" s="62" t="s">
        <v>375</v>
      </c>
      <c r="L871" s="62" t="s">
        <v>2421</v>
      </c>
      <c r="M871" s="66" t="s">
        <v>1968</v>
      </c>
    </row>
    <row r="872" spans="1:13" x14ac:dyDescent="0.3">
      <c r="A872" s="61" t="s">
        <v>2116</v>
      </c>
      <c r="B872" s="62" t="s">
        <v>1117</v>
      </c>
      <c r="C872" s="62" t="s">
        <v>1118</v>
      </c>
      <c r="D872" s="63">
        <v>45328</v>
      </c>
      <c r="E872" s="63">
        <v>46058</v>
      </c>
      <c r="F872" s="62" t="s">
        <v>287</v>
      </c>
      <c r="G872" s="62" t="s">
        <v>396</v>
      </c>
      <c r="H872" s="62" t="s">
        <v>685</v>
      </c>
      <c r="I872" s="62" t="s">
        <v>2443</v>
      </c>
      <c r="J872" s="62" t="s">
        <v>374</v>
      </c>
      <c r="K872" s="62" t="s">
        <v>375</v>
      </c>
      <c r="L872" s="62" t="s">
        <v>2421</v>
      </c>
      <c r="M872" s="66" t="s">
        <v>1968</v>
      </c>
    </row>
    <row r="873" spans="1:13" x14ac:dyDescent="0.3">
      <c r="A873" s="61" t="s">
        <v>2116</v>
      </c>
      <c r="B873" s="62" t="s">
        <v>1117</v>
      </c>
      <c r="C873" s="62" t="s">
        <v>1118</v>
      </c>
      <c r="D873" s="63">
        <v>45328</v>
      </c>
      <c r="E873" s="63">
        <v>46058</v>
      </c>
      <c r="F873" s="62" t="s">
        <v>348</v>
      </c>
      <c r="G873" s="62" t="s">
        <v>348</v>
      </c>
      <c r="H873" s="62" t="s">
        <v>685</v>
      </c>
      <c r="I873" s="62" t="s">
        <v>2443</v>
      </c>
      <c r="J873" s="62" t="s">
        <v>374</v>
      </c>
      <c r="K873" s="62" t="s">
        <v>375</v>
      </c>
      <c r="L873" s="62" t="s">
        <v>2421</v>
      </c>
      <c r="M873" s="66" t="s">
        <v>1968</v>
      </c>
    </row>
    <row r="874" spans="1:13" x14ac:dyDescent="0.3">
      <c r="A874" s="61" t="s">
        <v>2116</v>
      </c>
      <c r="B874" s="62" t="s">
        <v>1117</v>
      </c>
      <c r="C874" s="62" t="s">
        <v>1118</v>
      </c>
      <c r="D874" s="63">
        <v>45328</v>
      </c>
      <c r="E874" s="63">
        <v>46058</v>
      </c>
      <c r="F874" s="62" t="s">
        <v>1958</v>
      </c>
      <c r="G874" s="62" t="s">
        <v>330</v>
      </c>
      <c r="H874" s="62" t="s">
        <v>685</v>
      </c>
      <c r="I874" s="62" t="s">
        <v>2443</v>
      </c>
      <c r="J874" s="62" t="s">
        <v>374</v>
      </c>
      <c r="K874" s="62" t="s">
        <v>375</v>
      </c>
      <c r="L874" s="62" t="s">
        <v>2421</v>
      </c>
      <c r="M874" s="66" t="s">
        <v>1968</v>
      </c>
    </row>
    <row r="875" spans="1:13" x14ac:dyDescent="0.3">
      <c r="A875" s="61" t="s">
        <v>2116</v>
      </c>
      <c r="B875" s="62" t="s">
        <v>1117</v>
      </c>
      <c r="C875" s="62" t="s">
        <v>1118</v>
      </c>
      <c r="D875" s="63">
        <v>45328</v>
      </c>
      <c r="E875" s="63">
        <v>46058</v>
      </c>
      <c r="F875" s="62" t="s">
        <v>284</v>
      </c>
      <c r="G875" s="62" t="s">
        <v>412</v>
      </c>
      <c r="H875" s="62" t="s">
        <v>685</v>
      </c>
      <c r="I875" s="62" t="s">
        <v>2443</v>
      </c>
      <c r="J875" s="62" t="s">
        <v>374</v>
      </c>
      <c r="K875" s="62" t="s">
        <v>375</v>
      </c>
      <c r="L875" s="62" t="s">
        <v>2421</v>
      </c>
      <c r="M875" s="66" t="s">
        <v>1968</v>
      </c>
    </row>
    <row r="876" spans="1:13" x14ac:dyDescent="0.3">
      <c r="A876" s="61" t="s">
        <v>2116</v>
      </c>
      <c r="B876" s="62" t="s">
        <v>1117</v>
      </c>
      <c r="C876" s="62" t="s">
        <v>1118</v>
      </c>
      <c r="D876" s="63">
        <v>45328</v>
      </c>
      <c r="E876" s="63">
        <v>46058</v>
      </c>
      <c r="F876" s="62" t="s">
        <v>1945</v>
      </c>
      <c r="G876" s="62" t="s">
        <v>401</v>
      </c>
      <c r="H876" s="62" t="s">
        <v>685</v>
      </c>
      <c r="I876" s="62" t="s">
        <v>2443</v>
      </c>
      <c r="J876" s="62" t="s">
        <v>374</v>
      </c>
      <c r="K876" s="62" t="s">
        <v>375</v>
      </c>
      <c r="L876" s="62" t="s">
        <v>2421</v>
      </c>
      <c r="M876" s="66" t="s">
        <v>1968</v>
      </c>
    </row>
    <row r="877" spans="1:13" x14ac:dyDescent="0.3">
      <c r="A877" s="61" t="s">
        <v>2117</v>
      </c>
      <c r="B877" s="62" t="s">
        <v>1129</v>
      </c>
      <c r="C877" s="62" t="s">
        <v>1130</v>
      </c>
      <c r="D877" s="63">
        <v>45245</v>
      </c>
      <c r="E877" s="63">
        <v>46157</v>
      </c>
      <c r="F877" s="62" t="s">
        <v>350</v>
      </c>
      <c r="G877" s="62" t="s">
        <v>304</v>
      </c>
      <c r="H877" s="62" t="s">
        <v>373</v>
      </c>
      <c r="I877" s="62" t="s">
        <v>424</v>
      </c>
      <c r="J877" s="62" t="s">
        <v>961</v>
      </c>
      <c r="K877" s="62" t="s">
        <v>596</v>
      </c>
      <c r="L877" s="62" t="s">
        <v>2421</v>
      </c>
      <c r="M877" s="66" t="s">
        <v>1972</v>
      </c>
    </row>
    <row r="878" spans="1:13" x14ac:dyDescent="0.3">
      <c r="A878" s="61" t="s">
        <v>2118</v>
      </c>
      <c r="B878" s="62" t="s">
        <v>1131</v>
      </c>
      <c r="C878" s="62" t="s">
        <v>1132</v>
      </c>
      <c r="D878" s="63">
        <v>45398</v>
      </c>
      <c r="E878" s="63">
        <v>46676</v>
      </c>
      <c r="F878" s="62" t="s">
        <v>286</v>
      </c>
      <c r="G878" s="62" t="s">
        <v>304</v>
      </c>
      <c r="H878" s="62" t="s">
        <v>2425</v>
      </c>
      <c r="I878" s="62" t="s">
        <v>2443</v>
      </c>
      <c r="J878" s="62" t="s">
        <v>469</v>
      </c>
      <c r="K878" s="62" t="s">
        <v>315</v>
      </c>
      <c r="L878" s="62" t="s">
        <v>2421</v>
      </c>
      <c r="M878" s="66" t="s">
        <v>1969</v>
      </c>
    </row>
    <row r="879" spans="1:13" x14ac:dyDescent="0.3">
      <c r="A879" s="61" t="s">
        <v>2118</v>
      </c>
      <c r="B879" s="62" t="s">
        <v>1131</v>
      </c>
      <c r="C879" s="62" t="s">
        <v>1132</v>
      </c>
      <c r="D879" s="63">
        <v>45398</v>
      </c>
      <c r="E879" s="63">
        <v>46676</v>
      </c>
      <c r="F879" s="62" t="s">
        <v>1944</v>
      </c>
      <c r="G879" s="62" t="s">
        <v>304</v>
      </c>
      <c r="H879" s="62" t="s">
        <v>2425</v>
      </c>
      <c r="I879" s="62" t="s">
        <v>2443</v>
      </c>
      <c r="J879" s="62" t="s">
        <v>469</v>
      </c>
      <c r="K879" s="62" t="s">
        <v>315</v>
      </c>
      <c r="L879" s="62" t="s">
        <v>2421</v>
      </c>
      <c r="M879" s="66" t="s">
        <v>1969</v>
      </c>
    </row>
    <row r="880" spans="1:13" x14ac:dyDescent="0.3">
      <c r="A880" s="61" t="s">
        <v>2118</v>
      </c>
      <c r="B880" s="62" t="s">
        <v>1131</v>
      </c>
      <c r="C880" s="62" t="s">
        <v>1132</v>
      </c>
      <c r="D880" s="63">
        <v>45398</v>
      </c>
      <c r="E880" s="63">
        <v>46676</v>
      </c>
      <c r="F880" s="62" t="s">
        <v>1941</v>
      </c>
      <c r="G880" s="62" t="s">
        <v>304</v>
      </c>
      <c r="H880" s="62" t="s">
        <v>2425</v>
      </c>
      <c r="I880" s="62" t="s">
        <v>2443</v>
      </c>
      <c r="J880" s="62" t="s">
        <v>469</v>
      </c>
      <c r="K880" s="62" t="s">
        <v>315</v>
      </c>
      <c r="L880" s="62" t="s">
        <v>2421</v>
      </c>
      <c r="M880" s="66" t="s">
        <v>1969</v>
      </c>
    </row>
    <row r="881" spans="1:13" x14ac:dyDescent="0.3">
      <c r="A881" s="61" t="s">
        <v>2119</v>
      </c>
      <c r="B881" s="62" t="s">
        <v>1133</v>
      </c>
      <c r="C881" s="62" t="s">
        <v>1134</v>
      </c>
      <c r="D881" s="63">
        <v>45393</v>
      </c>
      <c r="E881" s="63">
        <v>46126</v>
      </c>
      <c r="F881" s="62" t="s">
        <v>286</v>
      </c>
      <c r="G881" s="62" t="s">
        <v>304</v>
      </c>
      <c r="H881" s="62" t="s">
        <v>813</v>
      </c>
      <c r="I881" s="62" t="s">
        <v>424</v>
      </c>
      <c r="J881" s="62" t="s">
        <v>357</v>
      </c>
      <c r="K881" s="62" t="s">
        <v>358</v>
      </c>
      <c r="L881" s="62" t="s">
        <v>2421</v>
      </c>
      <c r="M881" s="66" t="s">
        <v>1971</v>
      </c>
    </row>
    <row r="882" spans="1:13" x14ac:dyDescent="0.3">
      <c r="A882" s="61" t="s">
        <v>2119</v>
      </c>
      <c r="B882" s="62" t="s">
        <v>1133</v>
      </c>
      <c r="C882" s="62" t="s">
        <v>1134</v>
      </c>
      <c r="D882" s="63">
        <v>45393</v>
      </c>
      <c r="E882" s="63">
        <v>46126</v>
      </c>
      <c r="F882" s="62" t="s">
        <v>1943</v>
      </c>
      <c r="G882" s="62" t="s">
        <v>304</v>
      </c>
      <c r="H882" s="62" t="s">
        <v>813</v>
      </c>
      <c r="I882" s="62" t="s">
        <v>424</v>
      </c>
      <c r="J882" s="62" t="s">
        <v>357</v>
      </c>
      <c r="K882" s="62" t="s">
        <v>358</v>
      </c>
      <c r="L882" s="62" t="s">
        <v>2421</v>
      </c>
      <c r="M882" s="66" t="s">
        <v>1971</v>
      </c>
    </row>
    <row r="883" spans="1:13" x14ac:dyDescent="0.3">
      <c r="A883" s="61" t="s">
        <v>2119</v>
      </c>
      <c r="B883" s="62" t="s">
        <v>1133</v>
      </c>
      <c r="C883" s="62" t="s">
        <v>1134</v>
      </c>
      <c r="D883" s="63">
        <v>45393</v>
      </c>
      <c r="E883" s="63">
        <v>46126</v>
      </c>
      <c r="F883" s="62" t="s">
        <v>1939</v>
      </c>
      <c r="G883" s="62" t="s">
        <v>304</v>
      </c>
      <c r="H883" s="62" t="s">
        <v>813</v>
      </c>
      <c r="I883" s="62" t="s">
        <v>424</v>
      </c>
      <c r="J883" s="62" t="s">
        <v>357</v>
      </c>
      <c r="K883" s="62" t="s">
        <v>358</v>
      </c>
      <c r="L883" s="62" t="s">
        <v>2421</v>
      </c>
      <c r="M883" s="66" t="s">
        <v>1971</v>
      </c>
    </row>
    <row r="884" spans="1:13" x14ac:dyDescent="0.3">
      <c r="A884" s="61" t="s">
        <v>2120</v>
      </c>
      <c r="B884" s="62" t="s">
        <v>1136</v>
      </c>
      <c r="C884" s="62" t="s">
        <v>1137</v>
      </c>
      <c r="D884" s="63">
        <v>45139</v>
      </c>
      <c r="E884" s="63">
        <v>46234</v>
      </c>
      <c r="F884" s="62" t="s">
        <v>1959</v>
      </c>
      <c r="G884" s="62" t="s">
        <v>666</v>
      </c>
      <c r="H884" s="62" t="s">
        <v>1138</v>
      </c>
      <c r="I884" s="62" t="s">
        <v>2443</v>
      </c>
      <c r="J884" s="62" t="s">
        <v>314</v>
      </c>
      <c r="K884" s="62" t="s">
        <v>315</v>
      </c>
      <c r="L884" s="62" t="s">
        <v>2421</v>
      </c>
      <c r="M884" s="66" t="s">
        <v>1969</v>
      </c>
    </row>
    <row r="885" spans="1:13" x14ac:dyDescent="0.3">
      <c r="A885" s="61" t="s">
        <v>2120</v>
      </c>
      <c r="B885" s="62" t="s">
        <v>1136</v>
      </c>
      <c r="C885" s="62" t="s">
        <v>1137</v>
      </c>
      <c r="D885" s="63">
        <v>45139</v>
      </c>
      <c r="E885" s="63">
        <v>46234</v>
      </c>
      <c r="F885" s="62" t="s">
        <v>1959</v>
      </c>
      <c r="G885" s="62" t="s">
        <v>807</v>
      </c>
      <c r="H885" s="62" t="s">
        <v>1138</v>
      </c>
      <c r="I885" s="62" t="s">
        <v>2443</v>
      </c>
      <c r="J885" s="62" t="s">
        <v>314</v>
      </c>
      <c r="K885" s="62" t="s">
        <v>315</v>
      </c>
      <c r="L885" s="62" t="s">
        <v>2421</v>
      </c>
      <c r="M885" s="66" t="s">
        <v>1969</v>
      </c>
    </row>
    <row r="886" spans="1:13" x14ac:dyDescent="0.3">
      <c r="A886" s="61" t="s">
        <v>2120</v>
      </c>
      <c r="B886" s="62" t="s">
        <v>1136</v>
      </c>
      <c r="C886" s="62" t="s">
        <v>1137</v>
      </c>
      <c r="D886" s="63">
        <v>45139</v>
      </c>
      <c r="E886" s="63">
        <v>46234</v>
      </c>
      <c r="F886" s="62" t="s">
        <v>1959</v>
      </c>
      <c r="G886" s="62" t="s">
        <v>669</v>
      </c>
      <c r="H886" s="62" t="s">
        <v>1138</v>
      </c>
      <c r="I886" s="62" t="s">
        <v>2443</v>
      </c>
      <c r="J886" s="62" t="s">
        <v>314</v>
      </c>
      <c r="K886" s="62" t="s">
        <v>315</v>
      </c>
      <c r="L886" s="62" t="s">
        <v>2421</v>
      </c>
      <c r="M886" s="66" t="s">
        <v>1969</v>
      </c>
    </row>
    <row r="887" spans="1:13" x14ac:dyDescent="0.3">
      <c r="A887" s="61" t="s">
        <v>2120</v>
      </c>
      <c r="B887" s="62" t="s">
        <v>1136</v>
      </c>
      <c r="C887" s="62" t="s">
        <v>1137</v>
      </c>
      <c r="D887" s="63">
        <v>45139</v>
      </c>
      <c r="E887" s="63">
        <v>46234</v>
      </c>
      <c r="F887" s="62" t="s">
        <v>1959</v>
      </c>
      <c r="G887" s="62" t="s">
        <v>781</v>
      </c>
      <c r="H887" s="62" t="s">
        <v>1138</v>
      </c>
      <c r="I887" s="62" t="s">
        <v>2443</v>
      </c>
      <c r="J887" s="62" t="s">
        <v>314</v>
      </c>
      <c r="K887" s="62" t="s">
        <v>315</v>
      </c>
      <c r="L887" s="62" t="s">
        <v>2421</v>
      </c>
      <c r="M887" s="66" t="s">
        <v>1969</v>
      </c>
    </row>
    <row r="888" spans="1:13" x14ac:dyDescent="0.3">
      <c r="A888" s="61" t="s">
        <v>2121</v>
      </c>
      <c r="B888" s="62" t="s">
        <v>1140</v>
      </c>
      <c r="C888" s="62" t="s">
        <v>1141</v>
      </c>
      <c r="D888" s="63">
        <v>44593</v>
      </c>
      <c r="E888" s="63">
        <v>46419</v>
      </c>
      <c r="F888" s="62" t="s">
        <v>1916</v>
      </c>
      <c r="G888" s="62" t="s">
        <v>304</v>
      </c>
      <c r="H888" s="62" t="s">
        <v>373</v>
      </c>
      <c r="I888" s="62" t="s">
        <v>457</v>
      </c>
      <c r="J888" s="62" t="s">
        <v>458</v>
      </c>
      <c r="K888" s="62" t="s">
        <v>459</v>
      </c>
      <c r="L888" s="62" t="s">
        <v>2421</v>
      </c>
      <c r="M888" s="66" t="s">
        <v>1971</v>
      </c>
    </row>
    <row r="889" spans="1:13" x14ac:dyDescent="0.3">
      <c r="A889" s="61" t="s">
        <v>2121</v>
      </c>
      <c r="B889" s="62" t="s">
        <v>1140</v>
      </c>
      <c r="C889" s="62" t="s">
        <v>1141</v>
      </c>
      <c r="D889" s="63">
        <v>44593</v>
      </c>
      <c r="E889" s="63">
        <v>46419</v>
      </c>
      <c r="F889" s="62" t="s">
        <v>1958</v>
      </c>
      <c r="G889" s="62" t="s">
        <v>304</v>
      </c>
      <c r="H889" s="62" t="s">
        <v>373</v>
      </c>
      <c r="I889" s="62" t="s">
        <v>457</v>
      </c>
      <c r="J889" s="62" t="s">
        <v>458</v>
      </c>
      <c r="K889" s="62" t="s">
        <v>459</v>
      </c>
      <c r="L889" s="62" t="s">
        <v>2421</v>
      </c>
      <c r="M889" s="66" t="s">
        <v>1971</v>
      </c>
    </row>
    <row r="890" spans="1:13" x14ac:dyDescent="0.3">
      <c r="A890" s="61" t="s">
        <v>2122</v>
      </c>
      <c r="B890" s="62" t="s">
        <v>1142</v>
      </c>
      <c r="C890" s="62" t="s">
        <v>1143</v>
      </c>
      <c r="D890" s="63">
        <v>45041</v>
      </c>
      <c r="E890" s="63">
        <v>46102</v>
      </c>
      <c r="F890" s="62" t="s">
        <v>1930</v>
      </c>
      <c r="G890" s="62" t="s">
        <v>304</v>
      </c>
      <c r="H890" s="62" t="s">
        <v>827</v>
      </c>
      <c r="I890" s="62" t="s">
        <v>825</v>
      </c>
      <c r="J890" s="62" t="s">
        <v>579</v>
      </c>
      <c r="K890" s="62" t="s">
        <v>428</v>
      </c>
      <c r="L890" s="62" t="s">
        <v>2421</v>
      </c>
      <c r="M890" s="66" t="s">
        <v>1970</v>
      </c>
    </row>
    <row r="891" spans="1:13" x14ac:dyDescent="0.3">
      <c r="A891" s="61" t="s">
        <v>2122</v>
      </c>
      <c r="B891" s="62" t="s">
        <v>1142</v>
      </c>
      <c r="C891" s="62" t="s">
        <v>1143</v>
      </c>
      <c r="D891" s="63">
        <v>45041</v>
      </c>
      <c r="E891" s="63">
        <v>46102</v>
      </c>
      <c r="F891" s="62" t="s">
        <v>1959</v>
      </c>
      <c r="G891" s="62" t="s">
        <v>304</v>
      </c>
      <c r="H891" s="62" t="s">
        <v>827</v>
      </c>
      <c r="I891" s="62" t="s">
        <v>825</v>
      </c>
      <c r="J891" s="62" t="s">
        <v>579</v>
      </c>
      <c r="K891" s="62" t="s">
        <v>428</v>
      </c>
      <c r="L891" s="62" t="s">
        <v>2421</v>
      </c>
      <c r="M891" s="66" t="s">
        <v>1970</v>
      </c>
    </row>
    <row r="892" spans="1:13" x14ac:dyDescent="0.3">
      <c r="A892" s="61" t="s">
        <v>2122</v>
      </c>
      <c r="B892" s="62" t="s">
        <v>1142</v>
      </c>
      <c r="C892" s="62" t="s">
        <v>1143</v>
      </c>
      <c r="D892" s="63">
        <v>45041</v>
      </c>
      <c r="E892" s="63">
        <v>46102</v>
      </c>
      <c r="F892" s="62" t="s">
        <v>1936</v>
      </c>
      <c r="G892" s="62" t="s">
        <v>304</v>
      </c>
      <c r="H892" s="62" t="s">
        <v>827</v>
      </c>
      <c r="I892" s="62" t="s">
        <v>825</v>
      </c>
      <c r="J892" s="62" t="s">
        <v>579</v>
      </c>
      <c r="K892" s="62" t="s">
        <v>428</v>
      </c>
      <c r="L892" s="62" t="s">
        <v>2421</v>
      </c>
      <c r="M892" s="66" t="s">
        <v>1970</v>
      </c>
    </row>
    <row r="893" spans="1:13" x14ac:dyDescent="0.3">
      <c r="A893" s="61" t="s">
        <v>2122</v>
      </c>
      <c r="B893" s="62" t="s">
        <v>1142</v>
      </c>
      <c r="C893" s="62" t="s">
        <v>1143</v>
      </c>
      <c r="D893" s="63">
        <v>45041</v>
      </c>
      <c r="E893" s="63">
        <v>46102</v>
      </c>
      <c r="F893" s="62" t="s">
        <v>287</v>
      </c>
      <c r="G893" s="62" t="s">
        <v>304</v>
      </c>
      <c r="H893" s="62" t="s">
        <v>827</v>
      </c>
      <c r="I893" s="62" t="s">
        <v>825</v>
      </c>
      <c r="J893" s="62" t="s">
        <v>579</v>
      </c>
      <c r="K893" s="62" t="s">
        <v>428</v>
      </c>
      <c r="L893" s="62" t="s">
        <v>2421</v>
      </c>
      <c r="M893" s="66" t="s">
        <v>1970</v>
      </c>
    </row>
    <row r="894" spans="1:13" x14ac:dyDescent="0.3">
      <c r="A894" s="61" t="s">
        <v>2123</v>
      </c>
      <c r="B894" s="62" t="s">
        <v>1144</v>
      </c>
      <c r="C894" s="62" t="s">
        <v>1145</v>
      </c>
      <c r="D894" s="63">
        <v>45226</v>
      </c>
      <c r="E894" s="63">
        <v>46200</v>
      </c>
      <c r="F894" s="62" t="s">
        <v>350</v>
      </c>
      <c r="G894" s="62" t="s">
        <v>350</v>
      </c>
      <c r="H894" s="62" t="s">
        <v>468</v>
      </c>
      <c r="I894" s="62" t="s">
        <v>825</v>
      </c>
      <c r="J894" s="62" t="s">
        <v>551</v>
      </c>
      <c r="K894" s="62" t="s">
        <v>428</v>
      </c>
      <c r="L894" s="62" t="s">
        <v>2421</v>
      </c>
      <c r="M894" s="66" t="s">
        <v>2021</v>
      </c>
    </row>
    <row r="895" spans="1:13" x14ac:dyDescent="0.3">
      <c r="A895" s="61" t="s">
        <v>2124</v>
      </c>
      <c r="B895" s="62" t="s">
        <v>1146</v>
      </c>
      <c r="C895" s="62" t="s">
        <v>1147</v>
      </c>
      <c r="D895" s="63">
        <v>45245</v>
      </c>
      <c r="E895" s="63">
        <v>46265</v>
      </c>
      <c r="F895" s="62" t="s">
        <v>1922</v>
      </c>
      <c r="G895" s="62" t="s">
        <v>304</v>
      </c>
      <c r="H895" s="62" t="s">
        <v>468</v>
      </c>
      <c r="I895" s="62" t="s">
        <v>2443</v>
      </c>
      <c r="J895" s="62" t="s">
        <v>985</v>
      </c>
      <c r="K895" s="62" t="s">
        <v>375</v>
      </c>
      <c r="L895" s="62" t="s">
        <v>2421</v>
      </c>
      <c r="M895" s="66" t="s">
        <v>2021</v>
      </c>
    </row>
    <row r="896" spans="1:13" x14ac:dyDescent="0.3">
      <c r="A896" s="61" t="s">
        <v>2124</v>
      </c>
      <c r="B896" s="62" t="s">
        <v>1146</v>
      </c>
      <c r="C896" s="62" t="s">
        <v>1147</v>
      </c>
      <c r="D896" s="63">
        <v>45245</v>
      </c>
      <c r="E896" s="63">
        <v>46265</v>
      </c>
      <c r="F896" s="62" t="s">
        <v>1930</v>
      </c>
      <c r="G896" s="62" t="s">
        <v>304</v>
      </c>
      <c r="H896" s="62" t="s">
        <v>468</v>
      </c>
      <c r="I896" s="62" t="s">
        <v>2443</v>
      </c>
      <c r="J896" s="62" t="s">
        <v>985</v>
      </c>
      <c r="K896" s="62" t="s">
        <v>375</v>
      </c>
      <c r="L896" s="62" t="s">
        <v>2421</v>
      </c>
      <c r="M896" s="66" t="s">
        <v>2021</v>
      </c>
    </row>
    <row r="897" spans="1:13" x14ac:dyDescent="0.3">
      <c r="A897" s="61" t="s">
        <v>2124</v>
      </c>
      <c r="B897" s="62" t="s">
        <v>1146</v>
      </c>
      <c r="C897" s="62" t="s">
        <v>1147</v>
      </c>
      <c r="D897" s="63">
        <v>45245</v>
      </c>
      <c r="E897" s="63">
        <v>46265</v>
      </c>
      <c r="F897" s="62" t="s">
        <v>1959</v>
      </c>
      <c r="G897" s="62" t="s">
        <v>304</v>
      </c>
      <c r="H897" s="62" t="s">
        <v>468</v>
      </c>
      <c r="I897" s="62" t="s">
        <v>2443</v>
      </c>
      <c r="J897" s="62" t="s">
        <v>985</v>
      </c>
      <c r="K897" s="62" t="s">
        <v>375</v>
      </c>
      <c r="L897" s="62" t="s">
        <v>2421</v>
      </c>
      <c r="M897" s="66" t="s">
        <v>2021</v>
      </c>
    </row>
    <row r="898" spans="1:13" x14ac:dyDescent="0.3">
      <c r="A898" s="61" t="s">
        <v>2124</v>
      </c>
      <c r="B898" s="62" t="s">
        <v>1146</v>
      </c>
      <c r="C898" s="62" t="s">
        <v>1147</v>
      </c>
      <c r="D898" s="63">
        <v>45245</v>
      </c>
      <c r="E898" s="63">
        <v>46265</v>
      </c>
      <c r="F898" s="62" t="s">
        <v>1936</v>
      </c>
      <c r="G898" s="62" t="s">
        <v>304</v>
      </c>
      <c r="H898" s="62" t="s">
        <v>468</v>
      </c>
      <c r="I898" s="62" t="s">
        <v>2443</v>
      </c>
      <c r="J898" s="62" t="s">
        <v>985</v>
      </c>
      <c r="K898" s="62" t="s">
        <v>375</v>
      </c>
      <c r="L898" s="62" t="s">
        <v>2421</v>
      </c>
      <c r="M898" s="66" t="s">
        <v>2021</v>
      </c>
    </row>
    <row r="899" spans="1:13" x14ac:dyDescent="0.3">
      <c r="A899" s="61" t="s">
        <v>2124</v>
      </c>
      <c r="B899" s="62" t="s">
        <v>1146</v>
      </c>
      <c r="C899" s="62" t="s">
        <v>1147</v>
      </c>
      <c r="D899" s="63">
        <v>45245</v>
      </c>
      <c r="E899" s="63">
        <v>46265</v>
      </c>
      <c r="F899" s="62" t="s">
        <v>287</v>
      </c>
      <c r="G899" s="62" t="s">
        <v>304</v>
      </c>
      <c r="H899" s="62" t="s">
        <v>468</v>
      </c>
      <c r="I899" s="62" t="s">
        <v>2443</v>
      </c>
      <c r="J899" s="62" t="s">
        <v>985</v>
      </c>
      <c r="K899" s="62" t="s">
        <v>375</v>
      </c>
      <c r="L899" s="62" t="s">
        <v>2421</v>
      </c>
      <c r="M899" s="66" t="s">
        <v>2021</v>
      </c>
    </row>
    <row r="900" spans="1:13" x14ac:dyDescent="0.3">
      <c r="A900" s="61" t="s">
        <v>2124</v>
      </c>
      <c r="B900" s="62" t="s">
        <v>1146</v>
      </c>
      <c r="C900" s="62" t="s">
        <v>1147</v>
      </c>
      <c r="D900" s="63">
        <v>45245</v>
      </c>
      <c r="E900" s="63">
        <v>46265</v>
      </c>
      <c r="F900" s="62" t="s">
        <v>1945</v>
      </c>
      <c r="G900" s="62" t="s">
        <v>304</v>
      </c>
      <c r="H900" s="62" t="s">
        <v>468</v>
      </c>
      <c r="I900" s="62" t="s">
        <v>2443</v>
      </c>
      <c r="J900" s="62" t="s">
        <v>985</v>
      </c>
      <c r="K900" s="62" t="s">
        <v>375</v>
      </c>
      <c r="L900" s="62" t="s">
        <v>2421</v>
      </c>
      <c r="M900" s="66" t="s">
        <v>2021</v>
      </c>
    </row>
    <row r="901" spans="1:13" x14ac:dyDescent="0.3">
      <c r="A901" s="61" t="s">
        <v>2124</v>
      </c>
      <c r="B901" s="62" t="s">
        <v>1146</v>
      </c>
      <c r="C901" s="62" t="s">
        <v>1147</v>
      </c>
      <c r="D901" s="63">
        <v>45245</v>
      </c>
      <c r="E901" s="63">
        <v>46265</v>
      </c>
      <c r="F901" s="62" t="s">
        <v>1922</v>
      </c>
      <c r="G901" s="62" t="s">
        <v>304</v>
      </c>
      <c r="H901" s="62" t="s">
        <v>2471</v>
      </c>
      <c r="I901" s="62" t="s">
        <v>2443</v>
      </c>
      <c r="J901" s="62" t="s">
        <v>985</v>
      </c>
      <c r="K901" s="62" t="s">
        <v>375</v>
      </c>
      <c r="L901" s="62" t="s">
        <v>2421</v>
      </c>
      <c r="M901" s="66" t="s">
        <v>2021</v>
      </c>
    </row>
    <row r="902" spans="1:13" x14ac:dyDescent="0.3">
      <c r="A902" s="61" t="s">
        <v>2124</v>
      </c>
      <c r="B902" s="62" t="s">
        <v>1146</v>
      </c>
      <c r="C902" s="62" t="s">
        <v>1147</v>
      </c>
      <c r="D902" s="63">
        <v>45245</v>
      </c>
      <c r="E902" s="63">
        <v>46265</v>
      </c>
      <c r="F902" s="62" t="s">
        <v>1930</v>
      </c>
      <c r="G902" s="62" t="s">
        <v>304</v>
      </c>
      <c r="H902" s="62" t="s">
        <v>2471</v>
      </c>
      <c r="I902" s="62" t="s">
        <v>2443</v>
      </c>
      <c r="J902" s="62" t="s">
        <v>985</v>
      </c>
      <c r="K902" s="62" t="s">
        <v>375</v>
      </c>
      <c r="L902" s="62" t="s">
        <v>2421</v>
      </c>
      <c r="M902" s="66" t="s">
        <v>2021</v>
      </c>
    </row>
    <row r="903" spans="1:13" x14ac:dyDescent="0.3">
      <c r="A903" s="61" t="s">
        <v>2124</v>
      </c>
      <c r="B903" s="62" t="s">
        <v>1146</v>
      </c>
      <c r="C903" s="62" t="s">
        <v>1147</v>
      </c>
      <c r="D903" s="63">
        <v>45245</v>
      </c>
      <c r="E903" s="63">
        <v>46265</v>
      </c>
      <c r="F903" s="62" t="s">
        <v>1959</v>
      </c>
      <c r="G903" s="62" t="s">
        <v>304</v>
      </c>
      <c r="H903" s="62" t="s">
        <v>2471</v>
      </c>
      <c r="I903" s="62" t="s">
        <v>2443</v>
      </c>
      <c r="J903" s="62" t="s">
        <v>985</v>
      </c>
      <c r="K903" s="62" t="s">
        <v>375</v>
      </c>
      <c r="L903" s="62" t="s">
        <v>2421</v>
      </c>
      <c r="M903" s="66" t="s">
        <v>2021</v>
      </c>
    </row>
    <row r="904" spans="1:13" x14ac:dyDescent="0.3">
      <c r="A904" s="61" t="s">
        <v>2124</v>
      </c>
      <c r="B904" s="62" t="s">
        <v>1146</v>
      </c>
      <c r="C904" s="62" t="s">
        <v>1147</v>
      </c>
      <c r="D904" s="63">
        <v>45245</v>
      </c>
      <c r="E904" s="63">
        <v>46265</v>
      </c>
      <c r="F904" s="62" t="s">
        <v>1936</v>
      </c>
      <c r="G904" s="62" t="s">
        <v>304</v>
      </c>
      <c r="H904" s="62" t="s">
        <v>2471</v>
      </c>
      <c r="I904" s="62" t="s">
        <v>2443</v>
      </c>
      <c r="J904" s="62" t="s">
        <v>985</v>
      </c>
      <c r="K904" s="62" t="s">
        <v>375</v>
      </c>
      <c r="L904" s="62" t="s">
        <v>2421</v>
      </c>
      <c r="M904" s="66" t="s">
        <v>2021</v>
      </c>
    </row>
    <row r="905" spans="1:13" x14ac:dyDescent="0.3">
      <c r="A905" s="61" t="s">
        <v>2124</v>
      </c>
      <c r="B905" s="62" t="s">
        <v>1146</v>
      </c>
      <c r="C905" s="62" t="s">
        <v>1147</v>
      </c>
      <c r="D905" s="63">
        <v>45245</v>
      </c>
      <c r="E905" s="63">
        <v>46265</v>
      </c>
      <c r="F905" s="62" t="s">
        <v>287</v>
      </c>
      <c r="G905" s="62" t="s">
        <v>304</v>
      </c>
      <c r="H905" s="62" t="s">
        <v>2471</v>
      </c>
      <c r="I905" s="62" t="s">
        <v>2443</v>
      </c>
      <c r="J905" s="62" t="s">
        <v>985</v>
      </c>
      <c r="K905" s="62" t="s">
        <v>375</v>
      </c>
      <c r="L905" s="62" t="s">
        <v>2421</v>
      </c>
      <c r="M905" s="66" t="s">
        <v>2021</v>
      </c>
    </row>
    <row r="906" spans="1:13" x14ac:dyDescent="0.3">
      <c r="A906" s="61" t="s">
        <v>2124</v>
      </c>
      <c r="B906" s="62" t="s">
        <v>1146</v>
      </c>
      <c r="C906" s="62" t="s">
        <v>1147</v>
      </c>
      <c r="D906" s="63">
        <v>45245</v>
      </c>
      <c r="E906" s="63">
        <v>46265</v>
      </c>
      <c r="F906" s="62" t="s">
        <v>1945</v>
      </c>
      <c r="G906" s="62" t="s">
        <v>304</v>
      </c>
      <c r="H906" s="62" t="s">
        <v>2471</v>
      </c>
      <c r="I906" s="62" t="s">
        <v>2443</v>
      </c>
      <c r="J906" s="62" t="s">
        <v>985</v>
      </c>
      <c r="K906" s="62" t="s">
        <v>375</v>
      </c>
      <c r="L906" s="62" t="s">
        <v>2421</v>
      </c>
      <c r="M906" s="66" t="s">
        <v>2021</v>
      </c>
    </row>
    <row r="907" spans="1:13" x14ac:dyDescent="0.3">
      <c r="A907" s="61" t="s">
        <v>2125</v>
      </c>
      <c r="B907" s="62" t="s">
        <v>1148</v>
      </c>
      <c r="C907" s="62" t="s">
        <v>1149</v>
      </c>
      <c r="D907" s="63">
        <v>45398</v>
      </c>
      <c r="E907" s="63">
        <v>46676</v>
      </c>
      <c r="F907" s="62" t="s">
        <v>1945</v>
      </c>
      <c r="G907" s="62" t="s">
        <v>282</v>
      </c>
      <c r="H907" s="62" t="s">
        <v>2425</v>
      </c>
      <c r="I907" s="62" t="s">
        <v>2443</v>
      </c>
      <c r="J907" s="62" t="s">
        <v>469</v>
      </c>
      <c r="K907" s="62" t="s">
        <v>315</v>
      </c>
      <c r="L907" s="62" t="s">
        <v>2421</v>
      </c>
      <c r="M907" s="66" t="s">
        <v>1969</v>
      </c>
    </row>
    <row r="908" spans="1:13" x14ac:dyDescent="0.3">
      <c r="A908" s="61" t="s">
        <v>2125</v>
      </c>
      <c r="B908" s="62" t="s">
        <v>1148</v>
      </c>
      <c r="C908" s="62" t="s">
        <v>1149</v>
      </c>
      <c r="D908" s="63">
        <v>45398</v>
      </c>
      <c r="E908" s="63">
        <v>46676</v>
      </c>
      <c r="F908" s="62" t="s">
        <v>1945</v>
      </c>
      <c r="G908" s="62" t="s">
        <v>1150</v>
      </c>
      <c r="H908" s="62" t="s">
        <v>2425</v>
      </c>
      <c r="I908" s="62" t="s">
        <v>2443</v>
      </c>
      <c r="J908" s="62" t="s">
        <v>469</v>
      </c>
      <c r="K908" s="62" t="s">
        <v>315</v>
      </c>
      <c r="L908" s="62" t="s">
        <v>2421</v>
      </c>
      <c r="M908" s="66" t="s">
        <v>1969</v>
      </c>
    </row>
    <row r="909" spans="1:13" x14ac:dyDescent="0.3">
      <c r="A909" s="61" t="s">
        <v>2125</v>
      </c>
      <c r="B909" s="62" t="s">
        <v>1148</v>
      </c>
      <c r="C909" s="62" t="s">
        <v>1149</v>
      </c>
      <c r="D909" s="63">
        <v>45398</v>
      </c>
      <c r="E909" s="63">
        <v>46676</v>
      </c>
      <c r="F909" s="62" t="s">
        <v>1945</v>
      </c>
      <c r="G909" s="62" t="s">
        <v>1151</v>
      </c>
      <c r="H909" s="62" t="s">
        <v>2425</v>
      </c>
      <c r="I909" s="62" t="s">
        <v>2443</v>
      </c>
      <c r="J909" s="62" t="s">
        <v>469</v>
      </c>
      <c r="K909" s="62" t="s">
        <v>315</v>
      </c>
      <c r="L909" s="62" t="s">
        <v>2421</v>
      </c>
      <c r="M909" s="66" t="s">
        <v>1969</v>
      </c>
    </row>
    <row r="910" spans="1:13" x14ac:dyDescent="0.3">
      <c r="A910" s="61" t="s">
        <v>2125</v>
      </c>
      <c r="B910" s="62" t="s">
        <v>1148</v>
      </c>
      <c r="C910" s="62" t="s">
        <v>1149</v>
      </c>
      <c r="D910" s="63">
        <v>45398</v>
      </c>
      <c r="E910" s="63">
        <v>46676</v>
      </c>
      <c r="F910" s="62" t="s">
        <v>1945</v>
      </c>
      <c r="G910" s="62" t="s">
        <v>1152</v>
      </c>
      <c r="H910" s="62" t="s">
        <v>2425</v>
      </c>
      <c r="I910" s="62" t="s">
        <v>2443</v>
      </c>
      <c r="J910" s="62" t="s">
        <v>469</v>
      </c>
      <c r="K910" s="62" t="s">
        <v>315</v>
      </c>
      <c r="L910" s="62" t="s">
        <v>2421</v>
      </c>
      <c r="M910" s="66" t="s">
        <v>1969</v>
      </c>
    </row>
    <row r="911" spans="1:13" x14ac:dyDescent="0.3">
      <c r="A911" s="61" t="s">
        <v>2125</v>
      </c>
      <c r="B911" s="62" t="s">
        <v>1148</v>
      </c>
      <c r="C911" s="62" t="s">
        <v>1149</v>
      </c>
      <c r="D911" s="63">
        <v>45398</v>
      </c>
      <c r="E911" s="63">
        <v>46676</v>
      </c>
      <c r="F911" s="62" t="s">
        <v>1945</v>
      </c>
      <c r="G911" s="62" t="s">
        <v>1153</v>
      </c>
      <c r="H911" s="62" t="s">
        <v>2425</v>
      </c>
      <c r="I911" s="62" t="s">
        <v>2443</v>
      </c>
      <c r="J911" s="62" t="s">
        <v>469</v>
      </c>
      <c r="K911" s="62" t="s">
        <v>315</v>
      </c>
      <c r="L911" s="62" t="s">
        <v>2421</v>
      </c>
      <c r="M911" s="66" t="s">
        <v>1969</v>
      </c>
    </row>
    <row r="912" spans="1:13" x14ac:dyDescent="0.3">
      <c r="A912" s="61" t="s">
        <v>2125</v>
      </c>
      <c r="B912" s="62" t="s">
        <v>1148</v>
      </c>
      <c r="C912" s="62" t="s">
        <v>1149</v>
      </c>
      <c r="D912" s="63">
        <v>45398</v>
      </c>
      <c r="E912" s="63">
        <v>46676</v>
      </c>
      <c r="F912" s="62" t="s">
        <v>1945</v>
      </c>
      <c r="G912" s="62" t="s">
        <v>1154</v>
      </c>
      <c r="H912" s="62" t="s">
        <v>2425</v>
      </c>
      <c r="I912" s="62" t="s">
        <v>2443</v>
      </c>
      <c r="J912" s="62" t="s">
        <v>469</v>
      </c>
      <c r="K912" s="62" t="s">
        <v>315</v>
      </c>
      <c r="L912" s="62" t="s">
        <v>2421</v>
      </c>
      <c r="M912" s="66" t="s">
        <v>1969</v>
      </c>
    </row>
    <row r="913" spans="1:13" x14ac:dyDescent="0.3">
      <c r="A913" s="61" t="s">
        <v>2125</v>
      </c>
      <c r="B913" s="62" t="s">
        <v>1148</v>
      </c>
      <c r="C913" s="62" t="s">
        <v>1149</v>
      </c>
      <c r="D913" s="63">
        <v>45398</v>
      </c>
      <c r="E913" s="63">
        <v>46676</v>
      </c>
      <c r="F913" s="62" t="s">
        <v>1945</v>
      </c>
      <c r="G913" s="62" t="s">
        <v>1155</v>
      </c>
      <c r="H913" s="62" t="s">
        <v>2425</v>
      </c>
      <c r="I913" s="62" t="s">
        <v>2443</v>
      </c>
      <c r="J913" s="62" t="s">
        <v>469</v>
      </c>
      <c r="K913" s="62" t="s">
        <v>315</v>
      </c>
      <c r="L913" s="62" t="s">
        <v>2421</v>
      </c>
      <c r="M913" s="66" t="s">
        <v>1969</v>
      </c>
    </row>
    <row r="914" spans="1:13" x14ac:dyDescent="0.3">
      <c r="A914" s="61" t="s">
        <v>2126</v>
      </c>
      <c r="B914" s="62" t="s">
        <v>1156</v>
      </c>
      <c r="C914" s="62" t="s">
        <v>1157</v>
      </c>
      <c r="D914" s="63">
        <v>45398</v>
      </c>
      <c r="E914" s="63">
        <v>46676</v>
      </c>
      <c r="F914" s="62" t="s">
        <v>286</v>
      </c>
      <c r="G914" s="62" t="s">
        <v>304</v>
      </c>
      <c r="H914" s="62" t="s">
        <v>2425</v>
      </c>
      <c r="I914" s="62" t="s">
        <v>2443</v>
      </c>
      <c r="J914" s="62" t="s">
        <v>469</v>
      </c>
      <c r="K914" s="62" t="s">
        <v>315</v>
      </c>
      <c r="L914" s="62" t="s">
        <v>2421</v>
      </c>
      <c r="M914" s="66" t="s">
        <v>1969</v>
      </c>
    </row>
    <row r="915" spans="1:13" x14ac:dyDescent="0.3">
      <c r="A915" s="61" t="s">
        <v>2126</v>
      </c>
      <c r="B915" s="62" t="s">
        <v>1156</v>
      </c>
      <c r="C915" s="62" t="s">
        <v>1157</v>
      </c>
      <c r="D915" s="63">
        <v>45398</v>
      </c>
      <c r="E915" s="63">
        <v>46676</v>
      </c>
      <c r="F915" s="62" t="s">
        <v>1937</v>
      </c>
      <c r="G915" s="62" t="s">
        <v>304</v>
      </c>
      <c r="H915" s="62" t="s">
        <v>2425</v>
      </c>
      <c r="I915" s="62" t="s">
        <v>2443</v>
      </c>
      <c r="J915" s="62" t="s">
        <v>469</v>
      </c>
      <c r="K915" s="62" t="s">
        <v>315</v>
      </c>
      <c r="L915" s="62" t="s">
        <v>2421</v>
      </c>
      <c r="M915" s="66" t="s">
        <v>1969</v>
      </c>
    </row>
    <row r="916" spans="1:13" x14ac:dyDescent="0.3">
      <c r="A916" s="61" t="s">
        <v>2126</v>
      </c>
      <c r="B916" s="62" t="s">
        <v>1156</v>
      </c>
      <c r="C916" s="62" t="s">
        <v>1157</v>
      </c>
      <c r="D916" s="63">
        <v>45398</v>
      </c>
      <c r="E916" s="63">
        <v>46676</v>
      </c>
      <c r="F916" s="62" t="s">
        <v>1930</v>
      </c>
      <c r="G916" s="62" t="s">
        <v>304</v>
      </c>
      <c r="H916" s="62" t="s">
        <v>2425</v>
      </c>
      <c r="I916" s="62" t="s">
        <v>2443</v>
      </c>
      <c r="J916" s="62" t="s">
        <v>469</v>
      </c>
      <c r="K916" s="62" t="s">
        <v>315</v>
      </c>
      <c r="L916" s="62" t="s">
        <v>2421</v>
      </c>
      <c r="M916" s="66" t="s">
        <v>1969</v>
      </c>
    </row>
    <row r="917" spans="1:13" x14ac:dyDescent="0.3">
      <c r="A917" s="61" t="s">
        <v>2127</v>
      </c>
      <c r="B917" s="62" t="s">
        <v>1158</v>
      </c>
      <c r="C917" s="62" t="s">
        <v>1159</v>
      </c>
      <c r="D917" s="63">
        <v>45243</v>
      </c>
      <c r="E917" s="63">
        <v>46066</v>
      </c>
      <c r="F917" s="62" t="s">
        <v>1959</v>
      </c>
      <c r="G917" s="62" t="s">
        <v>304</v>
      </c>
      <c r="H917" s="62" t="s">
        <v>468</v>
      </c>
      <c r="I917" s="62" t="s">
        <v>825</v>
      </c>
      <c r="J917" s="62" t="s">
        <v>558</v>
      </c>
      <c r="K917" s="62" t="s">
        <v>426</v>
      </c>
      <c r="L917" s="62" t="s">
        <v>2421</v>
      </c>
      <c r="M917" s="66" t="s">
        <v>1972</v>
      </c>
    </row>
    <row r="918" spans="1:13" x14ac:dyDescent="0.3">
      <c r="A918" s="61" t="s">
        <v>2127</v>
      </c>
      <c r="B918" s="62" t="s">
        <v>1158</v>
      </c>
      <c r="C918" s="62" t="s">
        <v>1159</v>
      </c>
      <c r="D918" s="63">
        <v>45243</v>
      </c>
      <c r="E918" s="63">
        <v>46066</v>
      </c>
      <c r="F918" s="62" t="s">
        <v>1936</v>
      </c>
      <c r="G918" s="62" t="s">
        <v>304</v>
      </c>
      <c r="H918" s="62" t="s">
        <v>468</v>
      </c>
      <c r="I918" s="62" t="s">
        <v>825</v>
      </c>
      <c r="J918" s="62" t="s">
        <v>558</v>
      </c>
      <c r="K918" s="62" t="s">
        <v>426</v>
      </c>
      <c r="L918" s="62" t="s">
        <v>2421</v>
      </c>
      <c r="M918" s="66" t="s">
        <v>1972</v>
      </c>
    </row>
    <row r="919" spans="1:13" x14ac:dyDescent="0.3">
      <c r="A919" s="61" t="s">
        <v>2127</v>
      </c>
      <c r="B919" s="62" t="s">
        <v>1158</v>
      </c>
      <c r="C919" s="62" t="s">
        <v>1159</v>
      </c>
      <c r="D919" s="63">
        <v>45243</v>
      </c>
      <c r="E919" s="63">
        <v>46066</v>
      </c>
      <c r="F919" s="62" t="s">
        <v>1959</v>
      </c>
      <c r="G919" s="62" t="s">
        <v>304</v>
      </c>
      <c r="H919" s="62" t="s">
        <v>1160</v>
      </c>
      <c r="I919" s="62" t="s">
        <v>825</v>
      </c>
      <c r="J919" s="62" t="s">
        <v>558</v>
      </c>
      <c r="K919" s="62" t="s">
        <v>426</v>
      </c>
      <c r="L919" s="62" t="s">
        <v>2421</v>
      </c>
      <c r="M919" s="66" t="s">
        <v>1972</v>
      </c>
    </row>
    <row r="920" spans="1:13" x14ac:dyDescent="0.3">
      <c r="A920" s="61" t="s">
        <v>2127</v>
      </c>
      <c r="B920" s="62" t="s">
        <v>1158</v>
      </c>
      <c r="C920" s="62" t="s">
        <v>1159</v>
      </c>
      <c r="D920" s="63">
        <v>45243</v>
      </c>
      <c r="E920" s="63">
        <v>46066</v>
      </c>
      <c r="F920" s="62" t="s">
        <v>1936</v>
      </c>
      <c r="G920" s="62" t="s">
        <v>304</v>
      </c>
      <c r="H920" s="62" t="s">
        <v>1160</v>
      </c>
      <c r="I920" s="62" t="s">
        <v>825</v>
      </c>
      <c r="J920" s="62" t="s">
        <v>558</v>
      </c>
      <c r="K920" s="62" t="s">
        <v>426</v>
      </c>
      <c r="L920" s="62" t="s">
        <v>2421</v>
      </c>
      <c r="M920" s="66" t="s">
        <v>1972</v>
      </c>
    </row>
    <row r="921" spans="1:13" x14ac:dyDescent="0.3">
      <c r="A921" s="61" t="s">
        <v>2128</v>
      </c>
      <c r="B921" s="62" t="s">
        <v>1161</v>
      </c>
      <c r="C921" s="62" t="s">
        <v>1162</v>
      </c>
      <c r="D921" s="63">
        <v>45245</v>
      </c>
      <c r="E921" s="63">
        <v>46157</v>
      </c>
      <c r="F921" s="62" t="s">
        <v>1939</v>
      </c>
      <c r="G921" s="62" t="s">
        <v>764</v>
      </c>
      <c r="H921" s="62" t="s">
        <v>1163</v>
      </c>
      <c r="I921" s="62" t="s">
        <v>2443</v>
      </c>
      <c r="J921" s="62" t="s">
        <v>1164</v>
      </c>
      <c r="K921" s="62" t="s">
        <v>365</v>
      </c>
      <c r="L921" s="62" t="s">
        <v>2421</v>
      </c>
      <c r="M921" s="66" t="s">
        <v>1969</v>
      </c>
    </row>
    <row r="922" spans="1:13" x14ac:dyDescent="0.3">
      <c r="A922" s="61" t="s">
        <v>2128</v>
      </c>
      <c r="B922" s="62" t="s">
        <v>1161</v>
      </c>
      <c r="C922" s="62" t="s">
        <v>1162</v>
      </c>
      <c r="D922" s="63">
        <v>45245</v>
      </c>
      <c r="E922" s="63">
        <v>46157</v>
      </c>
      <c r="F922" s="62" t="s">
        <v>1939</v>
      </c>
      <c r="G922" s="62" t="s">
        <v>536</v>
      </c>
      <c r="H922" s="62" t="s">
        <v>1163</v>
      </c>
      <c r="I922" s="62" t="s">
        <v>2443</v>
      </c>
      <c r="J922" s="62" t="s">
        <v>1164</v>
      </c>
      <c r="K922" s="62" t="s">
        <v>365</v>
      </c>
      <c r="L922" s="62" t="s">
        <v>2421</v>
      </c>
      <c r="M922" s="66" t="s">
        <v>1969</v>
      </c>
    </row>
    <row r="923" spans="1:13" x14ac:dyDescent="0.3">
      <c r="A923" s="61" t="s">
        <v>2128</v>
      </c>
      <c r="B923" s="62" t="s">
        <v>1161</v>
      </c>
      <c r="C923" s="62" t="s">
        <v>1162</v>
      </c>
      <c r="D923" s="63">
        <v>45245</v>
      </c>
      <c r="E923" s="63">
        <v>46157</v>
      </c>
      <c r="F923" s="62" t="s">
        <v>1939</v>
      </c>
      <c r="G923" s="62" t="s">
        <v>537</v>
      </c>
      <c r="H923" s="62" t="s">
        <v>1163</v>
      </c>
      <c r="I923" s="62" t="s">
        <v>2443</v>
      </c>
      <c r="J923" s="62" t="s">
        <v>1164</v>
      </c>
      <c r="K923" s="62" t="s">
        <v>365</v>
      </c>
      <c r="L923" s="62" t="s">
        <v>2421</v>
      </c>
      <c r="M923" s="66" t="s">
        <v>1969</v>
      </c>
    </row>
    <row r="924" spans="1:13" x14ac:dyDescent="0.3">
      <c r="A924" s="61" t="s">
        <v>2128</v>
      </c>
      <c r="B924" s="62" t="s">
        <v>1161</v>
      </c>
      <c r="C924" s="62" t="s">
        <v>1162</v>
      </c>
      <c r="D924" s="63">
        <v>45245</v>
      </c>
      <c r="E924" s="63">
        <v>46157</v>
      </c>
      <c r="F924" s="62" t="s">
        <v>1939</v>
      </c>
      <c r="G924" s="62" t="s">
        <v>1165</v>
      </c>
      <c r="H924" s="62" t="s">
        <v>1163</v>
      </c>
      <c r="I924" s="62" t="s">
        <v>2443</v>
      </c>
      <c r="J924" s="62" t="s">
        <v>1164</v>
      </c>
      <c r="K924" s="62" t="s">
        <v>365</v>
      </c>
      <c r="L924" s="62" t="s">
        <v>2421</v>
      </c>
      <c r="M924" s="66" t="s">
        <v>1969</v>
      </c>
    </row>
    <row r="925" spans="1:13" x14ac:dyDescent="0.3">
      <c r="A925" s="61" t="s">
        <v>2128</v>
      </c>
      <c r="B925" s="62" t="s">
        <v>1161</v>
      </c>
      <c r="C925" s="62" t="s">
        <v>1162</v>
      </c>
      <c r="D925" s="63">
        <v>45245</v>
      </c>
      <c r="E925" s="63">
        <v>46157</v>
      </c>
      <c r="F925" s="62" t="s">
        <v>1939</v>
      </c>
      <c r="G925" s="62" t="s">
        <v>1166</v>
      </c>
      <c r="H925" s="62" t="s">
        <v>1163</v>
      </c>
      <c r="I925" s="62" t="s">
        <v>2443</v>
      </c>
      <c r="J925" s="62" t="s">
        <v>1164</v>
      </c>
      <c r="K925" s="62" t="s">
        <v>365</v>
      </c>
      <c r="L925" s="62" t="s">
        <v>2421</v>
      </c>
      <c r="M925" s="66" t="s">
        <v>1969</v>
      </c>
    </row>
    <row r="926" spans="1:13" x14ac:dyDescent="0.3">
      <c r="A926" s="61" t="s">
        <v>2128</v>
      </c>
      <c r="B926" s="62" t="s">
        <v>1161</v>
      </c>
      <c r="C926" s="62" t="s">
        <v>1162</v>
      </c>
      <c r="D926" s="63">
        <v>45245</v>
      </c>
      <c r="E926" s="63">
        <v>46157</v>
      </c>
      <c r="F926" s="62" t="s">
        <v>1939</v>
      </c>
      <c r="G926" s="62" t="s">
        <v>737</v>
      </c>
      <c r="H926" s="62" t="s">
        <v>1163</v>
      </c>
      <c r="I926" s="62" t="s">
        <v>2443</v>
      </c>
      <c r="J926" s="62" t="s">
        <v>1164</v>
      </c>
      <c r="K926" s="62" t="s">
        <v>365</v>
      </c>
      <c r="L926" s="62" t="s">
        <v>2421</v>
      </c>
      <c r="M926" s="66" t="s">
        <v>1969</v>
      </c>
    </row>
    <row r="927" spans="1:13" x14ac:dyDescent="0.3">
      <c r="A927" s="61" t="s">
        <v>2128</v>
      </c>
      <c r="B927" s="62" t="s">
        <v>1161</v>
      </c>
      <c r="C927" s="62" t="s">
        <v>1162</v>
      </c>
      <c r="D927" s="63">
        <v>45245</v>
      </c>
      <c r="E927" s="63">
        <v>46157</v>
      </c>
      <c r="F927" s="62" t="s">
        <v>1939</v>
      </c>
      <c r="G927" s="62" t="s">
        <v>1167</v>
      </c>
      <c r="H927" s="62" t="s">
        <v>1163</v>
      </c>
      <c r="I927" s="62" t="s">
        <v>2443</v>
      </c>
      <c r="J927" s="62" t="s">
        <v>1164</v>
      </c>
      <c r="K927" s="62" t="s">
        <v>365</v>
      </c>
      <c r="L927" s="62" t="s">
        <v>2421</v>
      </c>
      <c r="M927" s="66" t="s">
        <v>1969</v>
      </c>
    </row>
    <row r="928" spans="1:13" x14ac:dyDescent="0.3">
      <c r="A928" s="61" t="s">
        <v>2128</v>
      </c>
      <c r="B928" s="62" t="s">
        <v>1161</v>
      </c>
      <c r="C928" s="62" t="s">
        <v>1162</v>
      </c>
      <c r="D928" s="63">
        <v>45245</v>
      </c>
      <c r="E928" s="63">
        <v>46157</v>
      </c>
      <c r="F928" s="62" t="s">
        <v>1939</v>
      </c>
      <c r="G928" s="62" t="s">
        <v>764</v>
      </c>
      <c r="H928" s="62" t="s">
        <v>2472</v>
      </c>
      <c r="I928" s="62" t="s">
        <v>2443</v>
      </c>
      <c r="J928" s="62" t="s">
        <v>1164</v>
      </c>
      <c r="K928" s="62" t="s">
        <v>365</v>
      </c>
      <c r="L928" s="62" t="s">
        <v>2421</v>
      </c>
      <c r="M928" s="66" t="s">
        <v>1969</v>
      </c>
    </row>
    <row r="929" spans="1:13" x14ac:dyDescent="0.3">
      <c r="A929" s="61" t="s">
        <v>2128</v>
      </c>
      <c r="B929" s="62" t="s">
        <v>1161</v>
      </c>
      <c r="C929" s="62" t="s">
        <v>1162</v>
      </c>
      <c r="D929" s="63">
        <v>45245</v>
      </c>
      <c r="E929" s="63">
        <v>46157</v>
      </c>
      <c r="F929" s="62" t="s">
        <v>1939</v>
      </c>
      <c r="G929" s="62" t="s">
        <v>536</v>
      </c>
      <c r="H929" s="62" t="s">
        <v>2472</v>
      </c>
      <c r="I929" s="62" t="s">
        <v>2443</v>
      </c>
      <c r="J929" s="62" t="s">
        <v>1164</v>
      </c>
      <c r="K929" s="62" t="s">
        <v>365</v>
      </c>
      <c r="L929" s="62" t="s">
        <v>2421</v>
      </c>
      <c r="M929" s="66" t="s">
        <v>1969</v>
      </c>
    </row>
    <row r="930" spans="1:13" x14ac:dyDescent="0.3">
      <c r="A930" s="61" t="s">
        <v>2128</v>
      </c>
      <c r="B930" s="62" t="s">
        <v>1161</v>
      </c>
      <c r="C930" s="62" t="s">
        <v>1162</v>
      </c>
      <c r="D930" s="63">
        <v>45245</v>
      </c>
      <c r="E930" s="63">
        <v>46157</v>
      </c>
      <c r="F930" s="62" t="s">
        <v>1939</v>
      </c>
      <c r="G930" s="62" t="s">
        <v>537</v>
      </c>
      <c r="H930" s="62" t="s">
        <v>2472</v>
      </c>
      <c r="I930" s="62" t="s">
        <v>2443</v>
      </c>
      <c r="J930" s="62" t="s">
        <v>1164</v>
      </c>
      <c r="K930" s="62" t="s">
        <v>365</v>
      </c>
      <c r="L930" s="62" t="s">
        <v>2421</v>
      </c>
      <c r="M930" s="66" t="s">
        <v>1969</v>
      </c>
    </row>
    <row r="931" spans="1:13" x14ac:dyDescent="0.3">
      <c r="A931" s="61" t="s">
        <v>2128</v>
      </c>
      <c r="B931" s="62" t="s">
        <v>1161</v>
      </c>
      <c r="C931" s="62" t="s">
        <v>1162</v>
      </c>
      <c r="D931" s="63">
        <v>45245</v>
      </c>
      <c r="E931" s="63">
        <v>46157</v>
      </c>
      <c r="F931" s="62" t="s">
        <v>1939</v>
      </c>
      <c r="G931" s="62" t="s">
        <v>1165</v>
      </c>
      <c r="H931" s="62" t="s">
        <v>2472</v>
      </c>
      <c r="I931" s="62" t="s">
        <v>2443</v>
      </c>
      <c r="J931" s="62" t="s">
        <v>1164</v>
      </c>
      <c r="K931" s="62" t="s">
        <v>365</v>
      </c>
      <c r="L931" s="62" t="s">
        <v>2421</v>
      </c>
      <c r="M931" s="66" t="s">
        <v>1969</v>
      </c>
    </row>
    <row r="932" spans="1:13" x14ac:dyDescent="0.3">
      <c r="A932" s="61" t="s">
        <v>2128</v>
      </c>
      <c r="B932" s="62" t="s">
        <v>1161</v>
      </c>
      <c r="C932" s="62" t="s">
        <v>1162</v>
      </c>
      <c r="D932" s="63">
        <v>45245</v>
      </c>
      <c r="E932" s="63">
        <v>46157</v>
      </c>
      <c r="F932" s="62" t="s">
        <v>1939</v>
      </c>
      <c r="G932" s="62" t="s">
        <v>1166</v>
      </c>
      <c r="H932" s="62" t="s">
        <v>2472</v>
      </c>
      <c r="I932" s="62" t="s">
        <v>2443</v>
      </c>
      <c r="J932" s="62" t="s">
        <v>1164</v>
      </c>
      <c r="K932" s="62" t="s">
        <v>365</v>
      </c>
      <c r="L932" s="62" t="s">
        <v>2421</v>
      </c>
      <c r="M932" s="66" t="s">
        <v>1969</v>
      </c>
    </row>
    <row r="933" spans="1:13" x14ac:dyDescent="0.3">
      <c r="A933" s="61" t="s">
        <v>2128</v>
      </c>
      <c r="B933" s="62" t="s">
        <v>1161</v>
      </c>
      <c r="C933" s="62" t="s">
        <v>1162</v>
      </c>
      <c r="D933" s="63">
        <v>45245</v>
      </c>
      <c r="E933" s="63">
        <v>46157</v>
      </c>
      <c r="F933" s="62" t="s">
        <v>1939</v>
      </c>
      <c r="G933" s="62" t="s">
        <v>737</v>
      </c>
      <c r="H933" s="62" t="s">
        <v>2472</v>
      </c>
      <c r="I933" s="62" t="s">
        <v>2443</v>
      </c>
      <c r="J933" s="62" t="s">
        <v>1164</v>
      </c>
      <c r="K933" s="62" t="s">
        <v>365</v>
      </c>
      <c r="L933" s="62" t="s">
        <v>2421</v>
      </c>
      <c r="M933" s="66" t="s">
        <v>1969</v>
      </c>
    </row>
    <row r="934" spans="1:13" x14ac:dyDescent="0.3">
      <c r="A934" s="61" t="s">
        <v>2128</v>
      </c>
      <c r="B934" s="62" t="s">
        <v>1161</v>
      </c>
      <c r="C934" s="62" t="s">
        <v>1162</v>
      </c>
      <c r="D934" s="63">
        <v>45245</v>
      </c>
      <c r="E934" s="63">
        <v>46157</v>
      </c>
      <c r="F934" s="62" t="s">
        <v>1939</v>
      </c>
      <c r="G934" s="62" t="s">
        <v>1167</v>
      </c>
      <c r="H934" s="62" t="s">
        <v>2472</v>
      </c>
      <c r="I934" s="62" t="s">
        <v>2443</v>
      </c>
      <c r="J934" s="62" t="s">
        <v>1164</v>
      </c>
      <c r="K934" s="62" t="s">
        <v>365</v>
      </c>
      <c r="L934" s="62" t="s">
        <v>2421</v>
      </c>
      <c r="M934" s="66" t="s">
        <v>1969</v>
      </c>
    </row>
    <row r="935" spans="1:13" x14ac:dyDescent="0.3">
      <c r="A935" s="61" t="s">
        <v>2129</v>
      </c>
      <c r="B935" s="62" t="s">
        <v>1168</v>
      </c>
      <c r="C935" s="62" t="s">
        <v>1169</v>
      </c>
      <c r="D935" s="63">
        <v>45108</v>
      </c>
      <c r="E935" s="63">
        <v>46568</v>
      </c>
      <c r="F935" s="62" t="s">
        <v>1943</v>
      </c>
      <c r="G935" s="62" t="s">
        <v>878</v>
      </c>
      <c r="H935" s="62" t="s">
        <v>661</v>
      </c>
      <c r="I935" s="62" t="s">
        <v>825</v>
      </c>
      <c r="J935" s="62" t="s">
        <v>639</v>
      </c>
      <c r="K935" s="62" t="s">
        <v>371</v>
      </c>
      <c r="L935" s="62" t="s">
        <v>2421</v>
      </c>
      <c r="M935" s="66" t="s">
        <v>1972</v>
      </c>
    </row>
    <row r="936" spans="1:13" x14ac:dyDescent="0.3">
      <c r="A936" s="61" t="s">
        <v>2129</v>
      </c>
      <c r="B936" s="62" t="s">
        <v>1168</v>
      </c>
      <c r="C936" s="62" t="s">
        <v>1169</v>
      </c>
      <c r="D936" s="63">
        <v>45108</v>
      </c>
      <c r="E936" s="63">
        <v>46568</v>
      </c>
      <c r="F936" s="62" t="s">
        <v>1943</v>
      </c>
      <c r="G936" s="62" t="s">
        <v>341</v>
      </c>
      <c r="H936" s="62" t="s">
        <v>661</v>
      </c>
      <c r="I936" s="62" t="s">
        <v>825</v>
      </c>
      <c r="J936" s="62" t="s">
        <v>639</v>
      </c>
      <c r="K936" s="62" t="s">
        <v>371</v>
      </c>
      <c r="L936" s="62" t="s">
        <v>2421</v>
      </c>
      <c r="M936" s="66" t="s">
        <v>1972</v>
      </c>
    </row>
    <row r="937" spans="1:13" x14ac:dyDescent="0.3">
      <c r="A937" s="61" t="s">
        <v>2129</v>
      </c>
      <c r="B937" s="62" t="s">
        <v>1168</v>
      </c>
      <c r="C937" s="62" t="s">
        <v>1169</v>
      </c>
      <c r="D937" s="63">
        <v>45108</v>
      </c>
      <c r="E937" s="63">
        <v>46568</v>
      </c>
      <c r="F937" s="62" t="s">
        <v>1943</v>
      </c>
      <c r="G937" s="62" t="s">
        <v>763</v>
      </c>
      <c r="H937" s="62" t="s">
        <v>661</v>
      </c>
      <c r="I937" s="62" t="s">
        <v>825</v>
      </c>
      <c r="J937" s="62" t="s">
        <v>639</v>
      </c>
      <c r="K937" s="62" t="s">
        <v>371</v>
      </c>
      <c r="L937" s="62" t="s">
        <v>2421</v>
      </c>
      <c r="M937" s="66" t="s">
        <v>1972</v>
      </c>
    </row>
    <row r="938" spans="1:13" x14ac:dyDescent="0.3">
      <c r="A938" s="61" t="s">
        <v>2129</v>
      </c>
      <c r="B938" s="62" t="s">
        <v>1168</v>
      </c>
      <c r="C938" s="62" t="s">
        <v>1169</v>
      </c>
      <c r="D938" s="63">
        <v>45108</v>
      </c>
      <c r="E938" s="63">
        <v>46568</v>
      </c>
      <c r="F938" s="62" t="s">
        <v>1930</v>
      </c>
      <c r="G938" s="62" t="s">
        <v>919</v>
      </c>
      <c r="H938" s="62" t="s">
        <v>661</v>
      </c>
      <c r="I938" s="62" t="s">
        <v>825</v>
      </c>
      <c r="J938" s="62" t="s">
        <v>639</v>
      </c>
      <c r="K938" s="62" t="s">
        <v>371</v>
      </c>
      <c r="L938" s="62" t="s">
        <v>2421</v>
      </c>
      <c r="M938" s="66" t="s">
        <v>1972</v>
      </c>
    </row>
    <row r="939" spans="1:13" x14ac:dyDescent="0.3">
      <c r="A939" s="61" t="s">
        <v>2129</v>
      </c>
      <c r="B939" s="62" t="s">
        <v>1168</v>
      </c>
      <c r="C939" s="62" t="s">
        <v>1169</v>
      </c>
      <c r="D939" s="63">
        <v>45108</v>
      </c>
      <c r="E939" s="63">
        <v>46568</v>
      </c>
      <c r="F939" s="62" t="s">
        <v>1930</v>
      </c>
      <c r="G939" s="62" t="s">
        <v>1170</v>
      </c>
      <c r="H939" s="62" t="s">
        <v>661</v>
      </c>
      <c r="I939" s="62" t="s">
        <v>825</v>
      </c>
      <c r="J939" s="62" t="s">
        <v>639</v>
      </c>
      <c r="K939" s="62" t="s">
        <v>371</v>
      </c>
      <c r="L939" s="62" t="s">
        <v>2421</v>
      </c>
      <c r="M939" s="66" t="s">
        <v>1972</v>
      </c>
    </row>
    <row r="940" spans="1:13" x14ac:dyDescent="0.3">
      <c r="A940" s="61" t="s">
        <v>2130</v>
      </c>
      <c r="B940" s="62" t="s">
        <v>1171</v>
      </c>
      <c r="C940" s="62" t="s">
        <v>1172</v>
      </c>
      <c r="D940" s="63">
        <v>45399</v>
      </c>
      <c r="E940" s="63">
        <v>46311</v>
      </c>
      <c r="F940" s="62" t="s">
        <v>1945</v>
      </c>
      <c r="G940" s="62" t="s">
        <v>400</v>
      </c>
      <c r="H940" s="62" t="s">
        <v>468</v>
      </c>
      <c r="I940" s="62" t="s">
        <v>1518</v>
      </c>
      <c r="J940" s="62" t="s">
        <v>684</v>
      </c>
      <c r="K940" s="62" t="s">
        <v>459</v>
      </c>
      <c r="L940" s="62" t="s">
        <v>2421</v>
      </c>
      <c r="M940" s="66" t="s">
        <v>1971</v>
      </c>
    </row>
    <row r="941" spans="1:13" x14ac:dyDescent="0.3">
      <c r="A941" s="61" t="s">
        <v>2130</v>
      </c>
      <c r="B941" s="62" t="s">
        <v>1171</v>
      </c>
      <c r="C941" s="62" t="s">
        <v>1172</v>
      </c>
      <c r="D941" s="63">
        <v>45399</v>
      </c>
      <c r="E941" s="63">
        <v>46311</v>
      </c>
      <c r="F941" s="62" t="s">
        <v>1945</v>
      </c>
      <c r="G941" s="62" t="s">
        <v>796</v>
      </c>
      <c r="H941" s="62" t="s">
        <v>468</v>
      </c>
      <c r="I941" s="62" t="s">
        <v>1518</v>
      </c>
      <c r="J941" s="62" t="s">
        <v>684</v>
      </c>
      <c r="K941" s="62" t="s">
        <v>459</v>
      </c>
      <c r="L941" s="62" t="s">
        <v>2421</v>
      </c>
      <c r="M941" s="66" t="s">
        <v>1971</v>
      </c>
    </row>
    <row r="942" spans="1:13" x14ac:dyDescent="0.3">
      <c r="A942" s="61" t="s">
        <v>2130</v>
      </c>
      <c r="B942" s="62" t="s">
        <v>1171</v>
      </c>
      <c r="C942" s="62" t="s">
        <v>1172</v>
      </c>
      <c r="D942" s="63">
        <v>45399</v>
      </c>
      <c r="E942" s="63">
        <v>46311</v>
      </c>
      <c r="F942" s="62" t="s">
        <v>1945</v>
      </c>
      <c r="G942" s="62" t="s">
        <v>1173</v>
      </c>
      <c r="H942" s="62" t="s">
        <v>468</v>
      </c>
      <c r="I942" s="62" t="s">
        <v>1518</v>
      </c>
      <c r="J942" s="62" t="s">
        <v>684</v>
      </c>
      <c r="K942" s="62" t="s">
        <v>459</v>
      </c>
      <c r="L942" s="62" t="s">
        <v>2421</v>
      </c>
      <c r="M942" s="66" t="s">
        <v>1971</v>
      </c>
    </row>
    <row r="943" spans="1:13" x14ac:dyDescent="0.3">
      <c r="A943" s="61" t="s">
        <v>2130</v>
      </c>
      <c r="B943" s="62" t="s">
        <v>1171</v>
      </c>
      <c r="C943" s="62" t="s">
        <v>1172</v>
      </c>
      <c r="D943" s="63">
        <v>45399</v>
      </c>
      <c r="E943" s="63">
        <v>46311</v>
      </c>
      <c r="F943" s="62" t="s">
        <v>1945</v>
      </c>
      <c r="G943" s="62" t="s">
        <v>1174</v>
      </c>
      <c r="H943" s="62" t="s">
        <v>468</v>
      </c>
      <c r="I943" s="62" t="s">
        <v>1518</v>
      </c>
      <c r="J943" s="62" t="s">
        <v>684</v>
      </c>
      <c r="K943" s="62" t="s">
        <v>459</v>
      </c>
      <c r="L943" s="62" t="s">
        <v>2421</v>
      </c>
      <c r="M943" s="66" t="s">
        <v>1971</v>
      </c>
    </row>
    <row r="944" spans="1:13" x14ac:dyDescent="0.3">
      <c r="A944" s="61" t="s">
        <v>2130</v>
      </c>
      <c r="B944" s="62" t="s">
        <v>1171</v>
      </c>
      <c r="C944" s="62" t="s">
        <v>1172</v>
      </c>
      <c r="D944" s="63">
        <v>45399</v>
      </c>
      <c r="E944" s="63">
        <v>46311</v>
      </c>
      <c r="F944" s="62" t="s">
        <v>287</v>
      </c>
      <c r="G944" s="62" t="s">
        <v>554</v>
      </c>
      <c r="H944" s="62" t="s">
        <v>468</v>
      </c>
      <c r="I944" s="62" t="s">
        <v>1518</v>
      </c>
      <c r="J944" s="62" t="s">
        <v>684</v>
      </c>
      <c r="K944" s="62" t="s">
        <v>459</v>
      </c>
      <c r="L944" s="62" t="s">
        <v>2421</v>
      </c>
      <c r="M944" s="66" t="s">
        <v>1971</v>
      </c>
    </row>
    <row r="945" spans="1:13" x14ac:dyDescent="0.3">
      <c r="A945" s="61" t="s">
        <v>2130</v>
      </c>
      <c r="B945" s="62" t="s">
        <v>1171</v>
      </c>
      <c r="C945" s="62" t="s">
        <v>1172</v>
      </c>
      <c r="D945" s="63">
        <v>45399</v>
      </c>
      <c r="E945" s="63">
        <v>46311</v>
      </c>
      <c r="F945" s="62" t="s">
        <v>287</v>
      </c>
      <c r="G945" s="62" t="s">
        <v>396</v>
      </c>
      <c r="H945" s="62" t="s">
        <v>468</v>
      </c>
      <c r="I945" s="62" t="s">
        <v>1518</v>
      </c>
      <c r="J945" s="62" t="s">
        <v>684</v>
      </c>
      <c r="K945" s="62" t="s">
        <v>459</v>
      </c>
      <c r="L945" s="62" t="s">
        <v>2421</v>
      </c>
      <c r="M945" s="66" t="s">
        <v>1971</v>
      </c>
    </row>
    <row r="946" spans="1:13" x14ac:dyDescent="0.3">
      <c r="A946" s="61" t="s">
        <v>2130</v>
      </c>
      <c r="B946" s="62" t="s">
        <v>1171</v>
      </c>
      <c r="C946" s="62" t="s">
        <v>1172</v>
      </c>
      <c r="D946" s="63">
        <v>45399</v>
      </c>
      <c r="E946" s="63">
        <v>46311</v>
      </c>
      <c r="F946" s="62" t="s">
        <v>1959</v>
      </c>
      <c r="G946" s="62" t="s">
        <v>585</v>
      </c>
      <c r="H946" s="62" t="s">
        <v>468</v>
      </c>
      <c r="I946" s="62" t="s">
        <v>1518</v>
      </c>
      <c r="J946" s="62" t="s">
        <v>684</v>
      </c>
      <c r="K946" s="62" t="s">
        <v>459</v>
      </c>
      <c r="L946" s="62" t="s">
        <v>2421</v>
      </c>
      <c r="M946" s="66" t="s">
        <v>1971</v>
      </c>
    </row>
    <row r="947" spans="1:13" x14ac:dyDescent="0.3">
      <c r="A947" s="61" t="s">
        <v>2130</v>
      </c>
      <c r="B947" s="62" t="s">
        <v>1171</v>
      </c>
      <c r="C947" s="62" t="s">
        <v>1172</v>
      </c>
      <c r="D947" s="63">
        <v>45399</v>
      </c>
      <c r="E947" s="63">
        <v>46311</v>
      </c>
      <c r="F947" s="62" t="s">
        <v>1936</v>
      </c>
      <c r="G947" s="62" t="s">
        <v>748</v>
      </c>
      <c r="H947" s="62" t="s">
        <v>468</v>
      </c>
      <c r="I947" s="62" t="s">
        <v>1518</v>
      </c>
      <c r="J947" s="62" t="s">
        <v>684</v>
      </c>
      <c r="K947" s="62" t="s">
        <v>459</v>
      </c>
      <c r="L947" s="62" t="s">
        <v>2421</v>
      </c>
      <c r="M947" s="66" t="s">
        <v>1971</v>
      </c>
    </row>
    <row r="948" spans="1:13" x14ac:dyDescent="0.3">
      <c r="A948" s="61" t="s">
        <v>2131</v>
      </c>
      <c r="B948" s="62" t="s">
        <v>1175</v>
      </c>
      <c r="C948" s="62" t="s">
        <v>1176</v>
      </c>
      <c r="D948" s="63">
        <v>45407</v>
      </c>
      <c r="E948" s="63">
        <v>46320</v>
      </c>
      <c r="F948" s="62" t="s">
        <v>1921</v>
      </c>
      <c r="G948" s="62" t="s">
        <v>304</v>
      </c>
      <c r="H948" s="62" t="s">
        <v>468</v>
      </c>
      <c r="I948" s="62" t="s">
        <v>825</v>
      </c>
      <c r="J948" s="62" t="s">
        <v>370</v>
      </c>
      <c r="K948" s="62" t="s">
        <v>371</v>
      </c>
      <c r="L948" s="62" t="s">
        <v>2421</v>
      </c>
      <c r="M948" s="66" t="s">
        <v>1972</v>
      </c>
    </row>
    <row r="949" spans="1:13" x14ac:dyDescent="0.3">
      <c r="A949" s="61" t="s">
        <v>2131</v>
      </c>
      <c r="B949" s="62" t="s">
        <v>1175</v>
      </c>
      <c r="C949" s="62" t="s">
        <v>1176</v>
      </c>
      <c r="D949" s="63">
        <v>45407</v>
      </c>
      <c r="E949" s="63">
        <v>46320</v>
      </c>
      <c r="F949" s="62" t="s">
        <v>1922</v>
      </c>
      <c r="G949" s="62" t="s">
        <v>304</v>
      </c>
      <c r="H949" s="62" t="s">
        <v>468</v>
      </c>
      <c r="I949" s="62" t="s">
        <v>825</v>
      </c>
      <c r="J949" s="62" t="s">
        <v>370</v>
      </c>
      <c r="K949" s="62" t="s">
        <v>371</v>
      </c>
      <c r="L949" s="62" t="s">
        <v>2421</v>
      </c>
      <c r="M949" s="66" t="s">
        <v>1972</v>
      </c>
    </row>
    <row r="950" spans="1:13" x14ac:dyDescent="0.3">
      <c r="A950" s="61" t="s">
        <v>2131</v>
      </c>
      <c r="B950" s="62" t="s">
        <v>1175</v>
      </c>
      <c r="C950" s="62" t="s">
        <v>1176</v>
      </c>
      <c r="D950" s="63">
        <v>45407</v>
      </c>
      <c r="E950" s="63">
        <v>46320</v>
      </c>
      <c r="F950" s="62" t="s">
        <v>1959</v>
      </c>
      <c r="G950" s="62" t="s">
        <v>304</v>
      </c>
      <c r="H950" s="62" t="s">
        <v>468</v>
      </c>
      <c r="I950" s="62" t="s">
        <v>825</v>
      </c>
      <c r="J950" s="62" t="s">
        <v>370</v>
      </c>
      <c r="K950" s="62" t="s">
        <v>371</v>
      </c>
      <c r="L950" s="62" t="s">
        <v>2421</v>
      </c>
      <c r="M950" s="66" t="s">
        <v>1972</v>
      </c>
    </row>
    <row r="951" spans="1:13" x14ac:dyDescent="0.3">
      <c r="A951" s="61" t="s">
        <v>2131</v>
      </c>
      <c r="B951" s="62" t="s">
        <v>1175</v>
      </c>
      <c r="C951" s="62" t="s">
        <v>1176</v>
      </c>
      <c r="D951" s="63">
        <v>45407</v>
      </c>
      <c r="E951" s="63">
        <v>46320</v>
      </c>
      <c r="F951" s="62" t="s">
        <v>1936</v>
      </c>
      <c r="G951" s="62" t="s">
        <v>304</v>
      </c>
      <c r="H951" s="62" t="s">
        <v>468</v>
      </c>
      <c r="I951" s="62" t="s">
        <v>825</v>
      </c>
      <c r="J951" s="62" t="s">
        <v>370</v>
      </c>
      <c r="K951" s="62" t="s">
        <v>371</v>
      </c>
      <c r="L951" s="62" t="s">
        <v>2421</v>
      </c>
      <c r="M951" s="66" t="s">
        <v>1972</v>
      </c>
    </row>
    <row r="952" spans="1:13" x14ac:dyDescent="0.3">
      <c r="A952" s="61" t="s">
        <v>2131</v>
      </c>
      <c r="B952" s="62" t="s">
        <v>1175</v>
      </c>
      <c r="C952" s="62" t="s">
        <v>1176</v>
      </c>
      <c r="D952" s="63">
        <v>45407</v>
      </c>
      <c r="E952" s="63">
        <v>46320</v>
      </c>
      <c r="F952" s="62" t="s">
        <v>287</v>
      </c>
      <c r="G952" s="62" t="s">
        <v>304</v>
      </c>
      <c r="H952" s="62" t="s">
        <v>468</v>
      </c>
      <c r="I952" s="62" t="s">
        <v>825</v>
      </c>
      <c r="J952" s="62" t="s">
        <v>370</v>
      </c>
      <c r="K952" s="62" t="s">
        <v>371</v>
      </c>
      <c r="L952" s="62" t="s">
        <v>2421</v>
      </c>
      <c r="M952" s="66" t="s">
        <v>1972</v>
      </c>
    </row>
    <row r="953" spans="1:13" x14ac:dyDescent="0.3">
      <c r="A953" s="61" t="s">
        <v>2131</v>
      </c>
      <c r="B953" s="62" t="s">
        <v>1175</v>
      </c>
      <c r="C953" s="62" t="s">
        <v>1176</v>
      </c>
      <c r="D953" s="63">
        <v>45407</v>
      </c>
      <c r="E953" s="63">
        <v>46320</v>
      </c>
      <c r="F953" s="62" t="s">
        <v>1945</v>
      </c>
      <c r="G953" s="62" t="s">
        <v>304</v>
      </c>
      <c r="H953" s="62" t="s">
        <v>468</v>
      </c>
      <c r="I953" s="62" t="s">
        <v>825</v>
      </c>
      <c r="J953" s="62" t="s">
        <v>370</v>
      </c>
      <c r="K953" s="62" t="s">
        <v>371</v>
      </c>
      <c r="L953" s="62" t="s">
        <v>2421</v>
      </c>
      <c r="M953" s="66" t="s">
        <v>1972</v>
      </c>
    </row>
    <row r="954" spans="1:13" x14ac:dyDescent="0.3">
      <c r="A954" s="61" t="s">
        <v>2131</v>
      </c>
      <c r="B954" s="62" t="s">
        <v>1175</v>
      </c>
      <c r="C954" s="62" t="s">
        <v>1176</v>
      </c>
      <c r="D954" s="63">
        <v>45407</v>
      </c>
      <c r="E954" s="63">
        <v>46320</v>
      </c>
      <c r="F954" s="62" t="s">
        <v>1921</v>
      </c>
      <c r="G954" s="62" t="s">
        <v>304</v>
      </c>
      <c r="H954" s="62" t="s">
        <v>2473</v>
      </c>
      <c r="I954" s="62" t="s">
        <v>825</v>
      </c>
      <c r="J954" s="62" t="s">
        <v>370</v>
      </c>
      <c r="K954" s="62" t="s">
        <v>371</v>
      </c>
      <c r="L954" s="62" t="s">
        <v>2421</v>
      </c>
      <c r="M954" s="66" t="s">
        <v>1972</v>
      </c>
    </row>
    <row r="955" spans="1:13" x14ac:dyDescent="0.3">
      <c r="A955" s="61" t="s">
        <v>2131</v>
      </c>
      <c r="B955" s="62" t="s">
        <v>1175</v>
      </c>
      <c r="C955" s="62" t="s">
        <v>1176</v>
      </c>
      <c r="D955" s="63">
        <v>45407</v>
      </c>
      <c r="E955" s="63">
        <v>46320</v>
      </c>
      <c r="F955" s="62" t="s">
        <v>1922</v>
      </c>
      <c r="G955" s="62" t="s">
        <v>304</v>
      </c>
      <c r="H955" s="62" t="s">
        <v>2473</v>
      </c>
      <c r="I955" s="62" t="s">
        <v>825</v>
      </c>
      <c r="J955" s="62" t="s">
        <v>370</v>
      </c>
      <c r="K955" s="62" t="s">
        <v>371</v>
      </c>
      <c r="L955" s="62" t="s">
        <v>2421</v>
      </c>
      <c r="M955" s="66" t="s">
        <v>1972</v>
      </c>
    </row>
    <row r="956" spans="1:13" x14ac:dyDescent="0.3">
      <c r="A956" s="61" t="s">
        <v>2131</v>
      </c>
      <c r="B956" s="62" t="s">
        <v>1175</v>
      </c>
      <c r="C956" s="62" t="s">
        <v>1176</v>
      </c>
      <c r="D956" s="63">
        <v>45407</v>
      </c>
      <c r="E956" s="63">
        <v>46320</v>
      </c>
      <c r="F956" s="62" t="s">
        <v>1959</v>
      </c>
      <c r="G956" s="62" t="s">
        <v>304</v>
      </c>
      <c r="H956" s="62" t="s">
        <v>2473</v>
      </c>
      <c r="I956" s="62" t="s">
        <v>825</v>
      </c>
      <c r="J956" s="62" t="s">
        <v>370</v>
      </c>
      <c r="K956" s="62" t="s">
        <v>371</v>
      </c>
      <c r="L956" s="62" t="s">
        <v>2421</v>
      </c>
      <c r="M956" s="66" t="s">
        <v>1972</v>
      </c>
    </row>
    <row r="957" spans="1:13" x14ac:dyDescent="0.3">
      <c r="A957" s="61" t="s">
        <v>2131</v>
      </c>
      <c r="B957" s="62" t="s">
        <v>1175</v>
      </c>
      <c r="C957" s="62" t="s">
        <v>1176</v>
      </c>
      <c r="D957" s="63">
        <v>45407</v>
      </c>
      <c r="E957" s="63">
        <v>46320</v>
      </c>
      <c r="F957" s="62" t="s">
        <v>1936</v>
      </c>
      <c r="G957" s="62" t="s">
        <v>304</v>
      </c>
      <c r="H957" s="62" t="s">
        <v>2473</v>
      </c>
      <c r="I957" s="62" t="s">
        <v>825</v>
      </c>
      <c r="J957" s="62" t="s">
        <v>370</v>
      </c>
      <c r="K957" s="62" t="s">
        <v>371</v>
      </c>
      <c r="L957" s="62" t="s">
        <v>2421</v>
      </c>
      <c r="M957" s="66" t="s">
        <v>1972</v>
      </c>
    </row>
    <row r="958" spans="1:13" x14ac:dyDescent="0.3">
      <c r="A958" s="61" t="s">
        <v>2131</v>
      </c>
      <c r="B958" s="62" t="s">
        <v>1175</v>
      </c>
      <c r="C958" s="62" t="s">
        <v>1176</v>
      </c>
      <c r="D958" s="63">
        <v>45407</v>
      </c>
      <c r="E958" s="63">
        <v>46320</v>
      </c>
      <c r="F958" s="62" t="s">
        <v>287</v>
      </c>
      <c r="G958" s="62" t="s">
        <v>304</v>
      </c>
      <c r="H958" s="62" t="s">
        <v>2473</v>
      </c>
      <c r="I958" s="62" t="s">
        <v>825</v>
      </c>
      <c r="J958" s="62" t="s">
        <v>370</v>
      </c>
      <c r="K958" s="62" t="s">
        <v>371</v>
      </c>
      <c r="L958" s="62" t="s">
        <v>2421</v>
      </c>
      <c r="M958" s="66" t="s">
        <v>1972</v>
      </c>
    </row>
    <row r="959" spans="1:13" x14ac:dyDescent="0.3">
      <c r="A959" s="61" t="s">
        <v>2131</v>
      </c>
      <c r="B959" s="62" t="s">
        <v>1175</v>
      </c>
      <c r="C959" s="62" t="s">
        <v>1176</v>
      </c>
      <c r="D959" s="63">
        <v>45407</v>
      </c>
      <c r="E959" s="63">
        <v>46320</v>
      </c>
      <c r="F959" s="62" t="s">
        <v>1945</v>
      </c>
      <c r="G959" s="62" t="s">
        <v>304</v>
      </c>
      <c r="H959" s="62" t="s">
        <v>2473</v>
      </c>
      <c r="I959" s="62" t="s">
        <v>825</v>
      </c>
      <c r="J959" s="62" t="s">
        <v>370</v>
      </c>
      <c r="K959" s="62" t="s">
        <v>371</v>
      </c>
      <c r="L959" s="62" t="s">
        <v>2421</v>
      </c>
      <c r="M959" s="66" t="s">
        <v>1972</v>
      </c>
    </row>
    <row r="960" spans="1:13" x14ac:dyDescent="0.3">
      <c r="A960" s="61" t="s">
        <v>2132</v>
      </c>
      <c r="B960" s="62" t="s">
        <v>1177</v>
      </c>
      <c r="C960" s="62" t="s">
        <v>1178</v>
      </c>
      <c r="D960" s="63">
        <v>45247</v>
      </c>
      <c r="E960" s="63">
        <v>46039</v>
      </c>
      <c r="F960" s="62" t="s">
        <v>287</v>
      </c>
      <c r="G960" s="62" t="s">
        <v>589</v>
      </c>
      <c r="H960" s="62" t="s">
        <v>468</v>
      </c>
      <c r="I960" s="62" t="s">
        <v>825</v>
      </c>
      <c r="J960" s="62" t="s">
        <v>579</v>
      </c>
      <c r="K960" s="62" t="s">
        <v>428</v>
      </c>
      <c r="L960" s="62" t="s">
        <v>2421</v>
      </c>
      <c r="M960" s="66" t="s">
        <v>2021</v>
      </c>
    </row>
    <row r="961" spans="1:13" x14ac:dyDescent="0.3">
      <c r="A961" s="61" t="s">
        <v>2132</v>
      </c>
      <c r="B961" s="62" t="s">
        <v>1177</v>
      </c>
      <c r="C961" s="62" t="s">
        <v>1178</v>
      </c>
      <c r="D961" s="63">
        <v>45247</v>
      </c>
      <c r="E961" s="63">
        <v>46039</v>
      </c>
      <c r="F961" s="62" t="s">
        <v>287</v>
      </c>
      <c r="G961" s="62" t="s">
        <v>396</v>
      </c>
      <c r="H961" s="62" t="s">
        <v>468</v>
      </c>
      <c r="I961" s="62" t="s">
        <v>825</v>
      </c>
      <c r="J961" s="62" t="s">
        <v>579</v>
      </c>
      <c r="K961" s="62" t="s">
        <v>428</v>
      </c>
      <c r="L961" s="62" t="s">
        <v>2421</v>
      </c>
      <c r="M961" s="66" t="s">
        <v>2021</v>
      </c>
    </row>
    <row r="962" spans="1:13" x14ac:dyDescent="0.3">
      <c r="A962" s="61" t="s">
        <v>2132</v>
      </c>
      <c r="B962" s="62" t="s">
        <v>1177</v>
      </c>
      <c r="C962" s="62" t="s">
        <v>1178</v>
      </c>
      <c r="D962" s="63">
        <v>45247</v>
      </c>
      <c r="E962" s="63">
        <v>46039</v>
      </c>
      <c r="F962" s="62" t="s">
        <v>1945</v>
      </c>
      <c r="G962" s="62" t="s">
        <v>400</v>
      </c>
      <c r="H962" s="62" t="s">
        <v>468</v>
      </c>
      <c r="I962" s="62" t="s">
        <v>825</v>
      </c>
      <c r="J962" s="62" t="s">
        <v>579</v>
      </c>
      <c r="K962" s="62" t="s">
        <v>428</v>
      </c>
      <c r="L962" s="62" t="s">
        <v>2421</v>
      </c>
      <c r="M962" s="66" t="s">
        <v>2021</v>
      </c>
    </row>
    <row r="963" spans="1:13" x14ac:dyDescent="0.3">
      <c r="A963" s="61" t="s">
        <v>2133</v>
      </c>
      <c r="B963" s="62" t="s">
        <v>1179</v>
      </c>
      <c r="C963" s="62" t="s">
        <v>1180</v>
      </c>
      <c r="D963" s="63">
        <v>45245</v>
      </c>
      <c r="E963" s="63">
        <v>46157</v>
      </c>
      <c r="F963" s="62" t="s">
        <v>1959</v>
      </c>
      <c r="G963" s="62" t="s">
        <v>511</v>
      </c>
      <c r="H963" s="62" t="s">
        <v>468</v>
      </c>
      <c r="I963" s="62" t="s">
        <v>2443</v>
      </c>
      <c r="J963" s="62" t="s">
        <v>639</v>
      </c>
      <c r="K963" s="62" t="s">
        <v>371</v>
      </c>
      <c r="L963" s="62" t="s">
        <v>2421</v>
      </c>
      <c r="M963" s="66" t="s">
        <v>1972</v>
      </c>
    </row>
    <row r="964" spans="1:13" x14ac:dyDescent="0.3">
      <c r="A964" s="61" t="s">
        <v>2133</v>
      </c>
      <c r="B964" s="62" t="s">
        <v>1179</v>
      </c>
      <c r="C964" s="62" t="s">
        <v>1180</v>
      </c>
      <c r="D964" s="63">
        <v>45245</v>
      </c>
      <c r="E964" s="63">
        <v>46157</v>
      </c>
      <c r="F964" s="62" t="s">
        <v>1959</v>
      </c>
      <c r="G964" s="62" t="s">
        <v>582</v>
      </c>
      <c r="H964" s="62" t="s">
        <v>468</v>
      </c>
      <c r="I964" s="62" t="s">
        <v>2443</v>
      </c>
      <c r="J964" s="62" t="s">
        <v>639</v>
      </c>
      <c r="K964" s="62" t="s">
        <v>371</v>
      </c>
      <c r="L964" s="62" t="s">
        <v>2421</v>
      </c>
      <c r="M964" s="66" t="s">
        <v>1972</v>
      </c>
    </row>
    <row r="965" spans="1:13" x14ac:dyDescent="0.3">
      <c r="A965" s="61" t="s">
        <v>2133</v>
      </c>
      <c r="B965" s="62" t="s">
        <v>1179</v>
      </c>
      <c r="C965" s="62" t="s">
        <v>1180</v>
      </c>
      <c r="D965" s="63">
        <v>45245</v>
      </c>
      <c r="E965" s="63">
        <v>46157</v>
      </c>
      <c r="F965" s="62" t="s">
        <v>1959</v>
      </c>
      <c r="G965" s="62" t="s">
        <v>587</v>
      </c>
      <c r="H965" s="62" t="s">
        <v>468</v>
      </c>
      <c r="I965" s="62" t="s">
        <v>2443</v>
      </c>
      <c r="J965" s="62" t="s">
        <v>639</v>
      </c>
      <c r="K965" s="62" t="s">
        <v>371</v>
      </c>
      <c r="L965" s="62" t="s">
        <v>2421</v>
      </c>
      <c r="M965" s="66" t="s">
        <v>1972</v>
      </c>
    </row>
    <row r="966" spans="1:13" x14ac:dyDescent="0.3">
      <c r="A966" s="61" t="s">
        <v>2133</v>
      </c>
      <c r="B966" s="62" t="s">
        <v>1179</v>
      </c>
      <c r="C966" s="62" t="s">
        <v>1180</v>
      </c>
      <c r="D966" s="63">
        <v>45245</v>
      </c>
      <c r="E966" s="63">
        <v>46157</v>
      </c>
      <c r="F966" s="62" t="s">
        <v>1959</v>
      </c>
      <c r="G966" s="62" t="s">
        <v>475</v>
      </c>
      <c r="H966" s="62" t="s">
        <v>468</v>
      </c>
      <c r="I966" s="62" t="s">
        <v>2443</v>
      </c>
      <c r="J966" s="62" t="s">
        <v>639</v>
      </c>
      <c r="K966" s="62" t="s">
        <v>371</v>
      </c>
      <c r="L966" s="62" t="s">
        <v>2421</v>
      </c>
      <c r="M966" s="66" t="s">
        <v>1972</v>
      </c>
    </row>
    <row r="967" spans="1:13" x14ac:dyDescent="0.3">
      <c r="A967" s="61" t="s">
        <v>2133</v>
      </c>
      <c r="B967" s="62" t="s">
        <v>1179</v>
      </c>
      <c r="C967" s="62" t="s">
        <v>1180</v>
      </c>
      <c r="D967" s="63">
        <v>45245</v>
      </c>
      <c r="E967" s="63">
        <v>46157</v>
      </c>
      <c r="F967" s="62" t="s">
        <v>1945</v>
      </c>
      <c r="G967" s="62" t="s">
        <v>282</v>
      </c>
      <c r="H967" s="62" t="s">
        <v>468</v>
      </c>
      <c r="I967" s="62" t="s">
        <v>2443</v>
      </c>
      <c r="J967" s="62" t="s">
        <v>639</v>
      </c>
      <c r="K967" s="62" t="s">
        <v>371</v>
      </c>
      <c r="L967" s="62" t="s">
        <v>2421</v>
      </c>
      <c r="M967" s="66" t="s">
        <v>1972</v>
      </c>
    </row>
    <row r="968" spans="1:13" x14ac:dyDescent="0.3">
      <c r="A968" s="61" t="s">
        <v>2133</v>
      </c>
      <c r="B968" s="62" t="s">
        <v>1179</v>
      </c>
      <c r="C968" s="62" t="s">
        <v>1180</v>
      </c>
      <c r="D968" s="63">
        <v>45245</v>
      </c>
      <c r="E968" s="63">
        <v>46157</v>
      </c>
      <c r="F968" s="62" t="s">
        <v>1945</v>
      </c>
      <c r="G968" s="62" t="s">
        <v>401</v>
      </c>
      <c r="H968" s="62" t="s">
        <v>468</v>
      </c>
      <c r="I968" s="62" t="s">
        <v>2443</v>
      </c>
      <c r="J968" s="62" t="s">
        <v>639</v>
      </c>
      <c r="K968" s="62" t="s">
        <v>371</v>
      </c>
      <c r="L968" s="62" t="s">
        <v>2421</v>
      </c>
      <c r="M968" s="66" t="s">
        <v>1972</v>
      </c>
    </row>
    <row r="969" spans="1:13" x14ac:dyDescent="0.3">
      <c r="A969" s="61" t="s">
        <v>2133</v>
      </c>
      <c r="B969" s="62" t="s">
        <v>1179</v>
      </c>
      <c r="C969" s="62" t="s">
        <v>1180</v>
      </c>
      <c r="D969" s="63">
        <v>45245</v>
      </c>
      <c r="E969" s="63">
        <v>46157</v>
      </c>
      <c r="F969" s="62" t="s">
        <v>1945</v>
      </c>
      <c r="G969" s="62" t="s">
        <v>1181</v>
      </c>
      <c r="H969" s="62" t="s">
        <v>468</v>
      </c>
      <c r="I969" s="62" t="s">
        <v>2443</v>
      </c>
      <c r="J969" s="62" t="s">
        <v>639</v>
      </c>
      <c r="K969" s="62" t="s">
        <v>371</v>
      </c>
      <c r="L969" s="62" t="s">
        <v>2421</v>
      </c>
      <c r="M969" s="66" t="s">
        <v>1972</v>
      </c>
    </row>
    <row r="970" spans="1:13" x14ac:dyDescent="0.3">
      <c r="A970" s="61" t="s">
        <v>2133</v>
      </c>
      <c r="B970" s="62" t="s">
        <v>1179</v>
      </c>
      <c r="C970" s="62" t="s">
        <v>1180</v>
      </c>
      <c r="D970" s="63">
        <v>45245</v>
      </c>
      <c r="E970" s="63">
        <v>46157</v>
      </c>
      <c r="F970" s="62" t="s">
        <v>287</v>
      </c>
      <c r="G970" s="62" t="s">
        <v>584</v>
      </c>
      <c r="H970" s="62" t="s">
        <v>468</v>
      </c>
      <c r="I970" s="62" t="s">
        <v>2443</v>
      </c>
      <c r="J970" s="62" t="s">
        <v>639</v>
      </c>
      <c r="K970" s="62" t="s">
        <v>371</v>
      </c>
      <c r="L970" s="62" t="s">
        <v>2421</v>
      </c>
      <c r="M970" s="66" t="s">
        <v>1972</v>
      </c>
    </row>
    <row r="971" spans="1:13" x14ac:dyDescent="0.3">
      <c r="A971" s="61" t="s">
        <v>2133</v>
      </c>
      <c r="B971" s="62" t="s">
        <v>1179</v>
      </c>
      <c r="C971" s="62" t="s">
        <v>1180</v>
      </c>
      <c r="D971" s="63">
        <v>45245</v>
      </c>
      <c r="E971" s="63">
        <v>46157</v>
      </c>
      <c r="F971" s="62" t="s">
        <v>287</v>
      </c>
      <c r="G971" s="62" t="s">
        <v>396</v>
      </c>
      <c r="H971" s="62" t="s">
        <v>468</v>
      </c>
      <c r="I971" s="62" t="s">
        <v>2443</v>
      </c>
      <c r="J971" s="62" t="s">
        <v>639</v>
      </c>
      <c r="K971" s="62" t="s">
        <v>371</v>
      </c>
      <c r="L971" s="62" t="s">
        <v>2421</v>
      </c>
      <c r="M971" s="66" t="s">
        <v>1972</v>
      </c>
    </row>
    <row r="972" spans="1:13" x14ac:dyDescent="0.3">
      <c r="A972" s="61" t="s">
        <v>2133</v>
      </c>
      <c r="B972" s="62" t="s">
        <v>1179</v>
      </c>
      <c r="C972" s="62" t="s">
        <v>1180</v>
      </c>
      <c r="D972" s="63">
        <v>45245</v>
      </c>
      <c r="E972" s="63">
        <v>46157</v>
      </c>
      <c r="F972" s="62" t="s">
        <v>1959</v>
      </c>
      <c r="G972" s="62" t="s">
        <v>511</v>
      </c>
      <c r="H972" s="62" t="s">
        <v>1182</v>
      </c>
      <c r="I972" s="62" t="s">
        <v>2443</v>
      </c>
      <c r="J972" s="62" t="s">
        <v>639</v>
      </c>
      <c r="K972" s="62" t="s">
        <v>371</v>
      </c>
      <c r="L972" s="62" t="s">
        <v>2421</v>
      </c>
      <c r="M972" s="66" t="s">
        <v>1972</v>
      </c>
    </row>
    <row r="973" spans="1:13" x14ac:dyDescent="0.3">
      <c r="A973" s="61" t="s">
        <v>2133</v>
      </c>
      <c r="B973" s="62" t="s">
        <v>1179</v>
      </c>
      <c r="C973" s="62" t="s">
        <v>1180</v>
      </c>
      <c r="D973" s="63">
        <v>45245</v>
      </c>
      <c r="E973" s="63">
        <v>46157</v>
      </c>
      <c r="F973" s="62" t="s">
        <v>1959</v>
      </c>
      <c r="G973" s="62" t="s">
        <v>582</v>
      </c>
      <c r="H973" s="62" t="s">
        <v>1182</v>
      </c>
      <c r="I973" s="62" t="s">
        <v>2443</v>
      </c>
      <c r="J973" s="62" t="s">
        <v>639</v>
      </c>
      <c r="K973" s="62" t="s">
        <v>371</v>
      </c>
      <c r="L973" s="62" t="s">
        <v>2421</v>
      </c>
      <c r="M973" s="66" t="s">
        <v>1972</v>
      </c>
    </row>
    <row r="974" spans="1:13" x14ac:dyDescent="0.3">
      <c r="A974" s="61" t="s">
        <v>2133</v>
      </c>
      <c r="B974" s="62" t="s">
        <v>1179</v>
      </c>
      <c r="C974" s="62" t="s">
        <v>1180</v>
      </c>
      <c r="D974" s="63">
        <v>45245</v>
      </c>
      <c r="E974" s="63">
        <v>46157</v>
      </c>
      <c r="F974" s="62" t="s">
        <v>1959</v>
      </c>
      <c r="G974" s="62" t="s">
        <v>587</v>
      </c>
      <c r="H974" s="62" t="s">
        <v>1182</v>
      </c>
      <c r="I974" s="62" t="s">
        <v>2443</v>
      </c>
      <c r="J974" s="62" t="s">
        <v>639</v>
      </c>
      <c r="K974" s="62" t="s">
        <v>371</v>
      </c>
      <c r="L974" s="62" t="s">
        <v>2421</v>
      </c>
      <c r="M974" s="66" t="s">
        <v>1972</v>
      </c>
    </row>
    <row r="975" spans="1:13" x14ac:dyDescent="0.3">
      <c r="A975" s="61" t="s">
        <v>2133</v>
      </c>
      <c r="B975" s="62" t="s">
        <v>1179</v>
      </c>
      <c r="C975" s="62" t="s">
        <v>1180</v>
      </c>
      <c r="D975" s="63">
        <v>45245</v>
      </c>
      <c r="E975" s="63">
        <v>46157</v>
      </c>
      <c r="F975" s="62" t="s">
        <v>1959</v>
      </c>
      <c r="G975" s="62" t="s">
        <v>475</v>
      </c>
      <c r="H975" s="62" t="s">
        <v>1182</v>
      </c>
      <c r="I975" s="62" t="s">
        <v>2443</v>
      </c>
      <c r="J975" s="62" t="s">
        <v>639</v>
      </c>
      <c r="K975" s="62" t="s">
        <v>371</v>
      </c>
      <c r="L975" s="62" t="s">
        <v>2421</v>
      </c>
      <c r="M975" s="66" t="s">
        <v>1972</v>
      </c>
    </row>
    <row r="976" spans="1:13" x14ac:dyDescent="0.3">
      <c r="A976" s="61" t="s">
        <v>2133</v>
      </c>
      <c r="B976" s="62" t="s">
        <v>1179</v>
      </c>
      <c r="C976" s="62" t="s">
        <v>1180</v>
      </c>
      <c r="D976" s="63">
        <v>45245</v>
      </c>
      <c r="E976" s="63">
        <v>46157</v>
      </c>
      <c r="F976" s="62" t="s">
        <v>1945</v>
      </c>
      <c r="G976" s="62" t="s">
        <v>282</v>
      </c>
      <c r="H976" s="62" t="s">
        <v>1182</v>
      </c>
      <c r="I976" s="62" t="s">
        <v>2443</v>
      </c>
      <c r="J976" s="62" t="s">
        <v>639</v>
      </c>
      <c r="K976" s="62" t="s">
        <v>371</v>
      </c>
      <c r="L976" s="62" t="s">
        <v>2421</v>
      </c>
      <c r="M976" s="66" t="s">
        <v>1972</v>
      </c>
    </row>
    <row r="977" spans="1:13" x14ac:dyDescent="0.3">
      <c r="A977" s="61" t="s">
        <v>2133</v>
      </c>
      <c r="B977" s="62" t="s">
        <v>1179</v>
      </c>
      <c r="C977" s="62" t="s">
        <v>1180</v>
      </c>
      <c r="D977" s="63">
        <v>45245</v>
      </c>
      <c r="E977" s="63">
        <v>46157</v>
      </c>
      <c r="F977" s="62" t="s">
        <v>1945</v>
      </c>
      <c r="G977" s="62" t="s">
        <v>401</v>
      </c>
      <c r="H977" s="62" t="s">
        <v>1182</v>
      </c>
      <c r="I977" s="62" t="s">
        <v>2443</v>
      </c>
      <c r="J977" s="62" t="s">
        <v>639</v>
      </c>
      <c r="K977" s="62" t="s">
        <v>371</v>
      </c>
      <c r="L977" s="62" t="s">
        <v>2421</v>
      </c>
      <c r="M977" s="66" t="s">
        <v>1972</v>
      </c>
    </row>
    <row r="978" spans="1:13" x14ac:dyDescent="0.3">
      <c r="A978" s="61" t="s">
        <v>2133</v>
      </c>
      <c r="B978" s="62" t="s">
        <v>1179</v>
      </c>
      <c r="C978" s="62" t="s">
        <v>1180</v>
      </c>
      <c r="D978" s="63">
        <v>45245</v>
      </c>
      <c r="E978" s="63">
        <v>46157</v>
      </c>
      <c r="F978" s="62" t="s">
        <v>1945</v>
      </c>
      <c r="G978" s="62" t="s">
        <v>1181</v>
      </c>
      <c r="H978" s="62" t="s">
        <v>1182</v>
      </c>
      <c r="I978" s="62" t="s">
        <v>2443</v>
      </c>
      <c r="J978" s="62" t="s">
        <v>639</v>
      </c>
      <c r="K978" s="62" t="s">
        <v>371</v>
      </c>
      <c r="L978" s="62" t="s">
        <v>2421</v>
      </c>
      <c r="M978" s="66" t="s">
        <v>1972</v>
      </c>
    </row>
    <row r="979" spans="1:13" x14ac:dyDescent="0.3">
      <c r="A979" s="61" t="s">
        <v>2133</v>
      </c>
      <c r="B979" s="62" t="s">
        <v>1179</v>
      </c>
      <c r="C979" s="62" t="s">
        <v>1180</v>
      </c>
      <c r="D979" s="63">
        <v>45245</v>
      </c>
      <c r="E979" s="63">
        <v>46157</v>
      </c>
      <c r="F979" s="62" t="s">
        <v>287</v>
      </c>
      <c r="G979" s="62" t="s">
        <v>584</v>
      </c>
      <c r="H979" s="62" t="s">
        <v>1182</v>
      </c>
      <c r="I979" s="62" t="s">
        <v>2443</v>
      </c>
      <c r="J979" s="62" t="s">
        <v>639</v>
      </c>
      <c r="K979" s="62" t="s">
        <v>371</v>
      </c>
      <c r="L979" s="62" t="s">
        <v>2421</v>
      </c>
      <c r="M979" s="66" t="s">
        <v>1972</v>
      </c>
    </row>
    <row r="980" spans="1:13" x14ac:dyDescent="0.3">
      <c r="A980" s="61" t="s">
        <v>2133</v>
      </c>
      <c r="B980" s="62" t="s">
        <v>1179</v>
      </c>
      <c r="C980" s="62" t="s">
        <v>1180</v>
      </c>
      <c r="D980" s="63">
        <v>45245</v>
      </c>
      <c r="E980" s="63">
        <v>46157</v>
      </c>
      <c r="F980" s="62" t="s">
        <v>287</v>
      </c>
      <c r="G980" s="62" t="s">
        <v>396</v>
      </c>
      <c r="H980" s="62" t="s">
        <v>1182</v>
      </c>
      <c r="I980" s="62" t="s">
        <v>2443</v>
      </c>
      <c r="J980" s="62" t="s">
        <v>639</v>
      </c>
      <c r="K980" s="62" t="s">
        <v>371</v>
      </c>
      <c r="L980" s="62" t="s">
        <v>2421</v>
      </c>
      <c r="M980" s="66" t="s">
        <v>1972</v>
      </c>
    </row>
    <row r="981" spans="1:13" x14ac:dyDescent="0.3">
      <c r="A981" s="61" t="s">
        <v>2133</v>
      </c>
      <c r="B981" s="62" t="s">
        <v>1179</v>
      </c>
      <c r="C981" s="62" t="s">
        <v>1180</v>
      </c>
      <c r="D981" s="63">
        <v>45245</v>
      </c>
      <c r="E981" s="63">
        <v>46157</v>
      </c>
      <c r="F981" s="62" t="s">
        <v>1959</v>
      </c>
      <c r="G981" s="62" t="s">
        <v>511</v>
      </c>
      <c r="H981" s="62" t="s">
        <v>2474</v>
      </c>
      <c r="I981" s="62" t="s">
        <v>2443</v>
      </c>
      <c r="J981" s="62" t="s">
        <v>639</v>
      </c>
      <c r="K981" s="62" t="s">
        <v>371</v>
      </c>
      <c r="L981" s="62" t="s">
        <v>2421</v>
      </c>
      <c r="M981" s="66" t="s">
        <v>1972</v>
      </c>
    </row>
    <row r="982" spans="1:13" x14ac:dyDescent="0.3">
      <c r="A982" s="61" t="s">
        <v>2133</v>
      </c>
      <c r="B982" s="62" t="s">
        <v>1179</v>
      </c>
      <c r="C982" s="62" t="s">
        <v>1180</v>
      </c>
      <c r="D982" s="63">
        <v>45245</v>
      </c>
      <c r="E982" s="63">
        <v>46157</v>
      </c>
      <c r="F982" s="62" t="s">
        <v>1959</v>
      </c>
      <c r="G982" s="62" t="s">
        <v>582</v>
      </c>
      <c r="H982" s="62" t="s">
        <v>2474</v>
      </c>
      <c r="I982" s="62" t="s">
        <v>2443</v>
      </c>
      <c r="J982" s="62" t="s">
        <v>639</v>
      </c>
      <c r="K982" s="62" t="s">
        <v>371</v>
      </c>
      <c r="L982" s="62" t="s">
        <v>2421</v>
      </c>
      <c r="M982" s="66" t="s">
        <v>1972</v>
      </c>
    </row>
    <row r="983" spans="1:13" x14ac:dyDescent="0.3">
      <c r="A983" s="61" t="s">
        <v>2133</v>
      </c>
      <c r="B983" s="62" t="s">
        <v>1179</v>
      </c>
      <c r="C983" s="62" t="s">
        <v>1180</v>
      </c>
      <c r="D983" s="63">
        <v>45245</v>
      </c>
      <c r="E983" s="63">
        <v>46157</v>
      </c>
      <c r="F983" s="62" t="s">
        <v>1959</v>
      </c>
      <c r="G983" s="62" t="s">
        <v>587</v>
      </c>
      <c r="H983" s="62" t="s">
        <v>2474</v>
      </c>
      <c r="I983" s="62" t="s">
        <v>2443</v>
      </c>
      <c r="J983" s="62" t="s">
        <v>639</v>
      </c>
      <c r="K983" s="62" t="s">
        <v>371</v>
      </c>
      <c r="L983" s="62" t="s">
        <v>2421</v>
      </c>
      <c r="M983" s="66" t="s">
        <v>1972</v>
      </c>
    </row>
    <row r="984" spans="1:13" x14ac:dyDescent="0.3">
      <c r="A984" s="61" t="s">
        <v>2133</v>
      </c>
      <c r="B984" s="62" t="s">
        <v>1179</v>
      </c>
      <c r="C984" s="62" t="s">
        <v>1180</v>
      </c>
      <c r="D984" s="63">
        <v>45245</v>
      </c>
      <c r="E984" s="63">
        <v>46157</v>
      </c>
      <c r="F984" s="62" t="s">
        <v>1959</v>
      </c>
      <c r="G984" s="62" t="s">
        <v>475</v>
      </c>
      <c r="H984" s="62" t="s">
        <v>2474</v>
      </c>
      <c r="I984" s="62" t="s">
        <v>2443</v>
      </c>
      <c r="J984" s="62" t="s">
        <v>639</v>
      </c>
      <c r="K984" s="62" t="s">
        <v>371</v>
      </c>
      <c r="L984" s="62" t="s">
        <v>2421</v>
      </c>
      <c r="M984" s="66" t="s">
        <v>1972</v>
      </c>
    </row>
    <row r="985" spans="1:13" x14ac:dyDescent="0.3">
      <c r="A985" s="61" t="s">
        <v>2133</v>
      </c>
      <c r="B985" s="62" t="s">
        <v>1179</v>
      </c>
      <c r="C985" s="62" t="s">
        <v>1180</v>
      </c>
      <c r="D985" s="63">
        <v>45245</v>
      </c>
      <c r="E985" s="63">
        <v>46157</v>
      </c>
      <c r="F985" s="62" t="s">
        <v>1945</v>
      </c>
      <c r="G985" s="62" t="s">
        <v>282</v>
      </c>
      <c r="H985" s="62" t="s">
        <v>2474</v>
      </c>
      <c r="I985" s="62" t="s">
        <v>2443</v>
      </c>
      <c r="J985" s="62" t="s">
        <v>639</v>
      </c>
      <c r="K985" s="62" t="s">
        <v>371</v>
      </c>
      <c r="L985" s="62" t="s">
        <v>2421</v>
      </c>
      <c r="M985" s="66" t="s">
        <v>1972</v>
      </c>
    </row>
    <row r="986" spans="1:13" x14ac:dyDescent="0.3">
      <c r="A986" s="61" t="s">
        <v>2133</v>
      </c>
      <c r="B986" s="62" t="s">
        <v>1179</v>
      </c>
      <c r="C986" s="62" t="s">
        <v>1180</v>
      </c>
      <c r="D986" s="63">
        <v>45245</v>
      </c>
      <c r="E986" s="63">
        <v>46157</v>
      </c>
      <c r="F986" s="62" t="s">
        <v>1945</v>
      </c>
      <c r="G986" s="62" t="s">
        <v>401</v>
      </c>
      <c r="H986" s="62" t="s">
        <v>2474</v>
      </c>
      <c r="I986" s="62" t="s">
        <v>2443</v>
      </c>
      <c r="J986" s="62" t="s">
        <v>639</v>
      </c>
      <c r="K986" s="62" t="s">
        <v>371</v>
      </c>
      <c r="L986" s="62" t="s">
        <v>2421</v>
      </c>
      <c r="M986" s="66" t="s">
        <v>1972</v>
      </c>
    </row>
    <row r="987" spans="1:13" x14ac:dyDescent="0.3">
      <c r="A987" s="61" t="s">
        <v>2133</v>
      </c>
      <c r="B987" s="62" t="s">
        <v>1179</v>
      </c>
      <c r="C987" s="62" t="s">
        <v>1180</v>
      </c>
      <c r="D987" s="63">
        <v>45245</v>
      </c>
      <c r="E987" s="63">
        <v>46157</v>
      </c>
      <c r="F987" s="62" t="s">
        <v>1945</v>
      </c>
      <c r="G987" s="62" t="s">
        <v>1181</v>
      </c>
      <c r="H987" s="62" t="s">
        <v>2474</v>
      </c>
      <c r="I987" s="62" t="s">
        <v>2443</v>
      </c>
      <c r="J987" s="62" t="s">
        <v>639</v>
      </c>
      <c r="K987" s="62" t="s">
        <v>371</v>
      </c>
      <c r="L987" s="62" t="s">
        <v>2421</v>
      </c>
      <c r="M987" s="66" t="s">
        <v>1972</v>
      </c>
    </row>
    <row r="988" spans="1:13" x14ac:dyDescent="0.3">
      <c r="A988" s="61" t="s">
        <v>2133</v>
      </c>
      <c r="B988" s="62" t="s">
        <v>1179</v>
      </c>
      <c r="C988" s="62" t="s">
        <v>1180</v>
      </c>
      <c r="D988" s="63">
        <v>45245</v>
      </c>
      <c r="E988" s="63">
        <v>46157</v>
      </c>
      <c r="F988" s="62" t="s">
        <v>287</v>
      </c>
      <c r="G988" s="62" t="s">
        <v>584</v>
      </c>
      <c r="H988" s="62" t="s">
        <v>2474</v>
      </c>
      <c r="I988" s="62" t="s">
        <v>2443</v>
      </c>
      <c r="J988" s="62" t="s">
        <v>639</v>
      </c>
      <c r="K988" s="62" t="s">
        <v>371</v>
      </c>
      <c r="L988" s="62" t="s">
        <v>2421</v>
      </c>
      <c r="M988" s="66" t="s">
        <v>1972</v>
      </c>
    </row>
    <row r="989" spans="1:13" x14ac:dyDescent="0.3">
      <c r="A989" s="61" t="s">
        <v>2133</v>
      </c>
      <c r="B989" s="62" t="s">
        <v>1179</v>
      </c>
      <c r="C989" s="62" t="s">
        <v>1180</v>
      </c>
      <c r="D989" s="63">
        <v>45245</v>
      </c>
      <c r="E989" s="63">
        <v>46157</v>
      </c>
      <c r="F989" s="62" t="s">
        <v>287</v>
      </c>
      <c r="G989" s="62" t="s">
        <v>396</v>
      </c>
      <c r="H989" s="62" t="s">
        <v>2474</v>
      </c>
      <c r="I989" s="62" t="s">
        <v>2443</v>
      </c>
      <c r="J989" s="62" t="s">
        <v>639</v>
      </c>
      <c r="K989" s="62" t="s">
        <v>371</v>
      </c>
      <c r="L989" s="62" t="s">
        <v>2421</v>
      </c>
      <c r="M989" s="66" t="s">
        <v>1972</v>
      </c>
    </row>
    <row r="990" spans="1:13" x14ac:dyDescent="0.3">
      <c r="A990" s="61" t="s">
        <v>2133</v>
      </c>
      <c r="B990" s="62" t="s">
        <v>1179</v>
      </c>
      <c r="C990" s="62" t="s">
        <v>1180</v>
      </c>
      <c r="D990" s="63">
        <v>45245</v>
      </c>
      <c r="E990" s="63">
        <v>46157</v>
      </c>
      <c r="F990" s="62" t="s">
        <v>1959</v>
      </c>
      <c r="G990" s="62" t="s">
        <v>511</v>
      </c>
      <c r="H990" s="62" t="s">
        <v>1183</v>
      </c>
      <c r="I990" s="62" t="s">
        <v>2443</v>
      </c>
      <c r="J990" s="62" t="s">
        <v>639</v>
      </c>
      <c r="K990" s="62" t="s">
        <v>371</v>
      </c>
      <c r="L990" s="62" t="s">
        <v>2421</v>
      </c>
      <c r="M990" s="66" t="s">
        <v>1972</v>
      </c>
    </row>
    <row r="991" spans="1:13" x14ac:dyDescent="0.3">
      <c r="A991" s="61" t="s">
        <v>2133</v>
      </c>
      <c r="B991" s="62" t="s">
        <v>1179</v>
      </c>
      <c r="C991" s="62" t="s">
        <v>1180</v>
      </c>
      <c r="D991" s="63">
        <v>45245</v>
      </c>
      <c r="E991" s="63">
        <v>46157</v>
      </c>
      <c r="F991" s="62" t="s">
        <v>1959</v>
      </c>
      <c r="G991" s="62" t="s">
        <v>582</v>
      </c>
      <c r="H991" s="62" t="s">
        <v>1183</v>
      </c>
      <c r="I991" s="62" t="s">
        <v>2443</v>
      </c>
      <c r="J991" s="62" t="s">
        <v>639</v>
      </c>
      <c r="K991" s="62" t="s">
        <v>371</v>
      </c>
      <c r="L991" s="62" t="s">
        <v>2421</v>
      </c>
      <c r="M991" s="66" t="s">
        <v>1972</v>
      </c>
    </row>
    <row r="992" spans="1:13" x14ac:dyDescent="0.3">
      <c r="A992" s="61" t="s">
        <v>2133</v>
      </c>
      <c r="B992" s="62" t="s">
        <v>1179</v>
      </c>
      <c r="C992" s="62" t="s">
        <v>1180</v>
      </c>
      <c r="D992" s="63">
        <v>45245</v>
      </c>
      <c r="E992" s="63">
        <v>46157</v>
      </c>
      <c r="F992" s="62" t="s">
        <v>1959</v>
      </c>
      <c r="G992" s="62" t="s">
        <v>587</v>
      </c>
      <c r="H992" s="62" t="s">
        <v>1183</v>
      </c>
      <c r="I992" s="62" t="s">
        <v>2443</v>
      </c>
      <c r="J992" s="62" t="s">
        <v>639</v>
      </c>
      <c r="K992" s="62" t="s">
        <v>371</v>
      </c>
      <c r="L992" s="62" t="s">
        <v>2421</v>
      </c>
      <c r="M992" s="66" t="s">
        <v>1972</v>
      </c>
    </row>
    <row r="993" spans="1:13" x14ac:dyDescent="0.3">
      <c r="A993" s="61" t="s">
        <v>2133</v>
      </c>
      <c r="B993" s="62" t="s">
        <v>1179</v>
      </c>
      <c r="C993" s="62" t="s">
        <v>1180</v>
      </c>
      <c r="D993" s="63">
        <v>45245</v>
      </c>
      <c r="E993" s="63">
        <v>46157</v>
      </c>
      <c r="F993" s="62" t="s">
        <v>1959</v>
      </c>
      <c r="G993" s="62" t="s">
        <v>475</v>
      </c>
      <c r="H993" s="62" t="s">
        <v>1183</v>
      </c>
      <c r="I993" s="62" t="s">
        <v>2443</v>
      </c>
      <c r="J993" s="62" t="s">
        <v>639</v>
      </c>
      <c r="K993" s="62" t="s">
        <v>371</v>
      </c>
      <c r="L993" s="62" t="s">
        <v>2421</v>
      </c>
      <c r="M993" s="66" t="s">
        <v>1972</v>
      </c>
    </row>
    <row r="994" spans="1:13" x14ac:dyDescent="0.3">
      <c r="A994" s="61" t="s">
        <v>2133</v>
      </c>
      <c r="B994" s="62" t="s">
        <v>1179</v>
      </c>
      <c r="C994" s="62" t="s">
        <v>1180</v>
      </c>
      <c r="D994" s="63">
        <v>45245</v>
      </c>
      <c r="E994" s="63">
        <v>46157</v>
      </c>
      <c r="F994" s="62" t="s">
        <v>1945</v>
      </c>
      <c r="G994" s="62" t="s">
        <v>282</v>
      </c>
      <c r="H994" s="62" t="s">
        <v>1183</v>
      </c>
      <c r="I994" s="62" t="s">
        <v>2443</v>
      </c>
      <c r="J994" s="62" t="s">
        <v>639</v>
      </c>
      <c r="K994" s="62" t="s">
        <v>371</v>
      </c>
      <c r="L994" s="62" t="s">
        <v>2421</v>
      </c>
      <c r="M994" s="66" t="s">
        <v>1972</v>
      </c>
    </row>
    <row r="995" spans="1:13" x14ac:dyDescent="0.3">
      <c r="A995" s="61" t="s">
        <v>2133</v>
      </c>
      <c r="B995" s="62" t="s">
        <v>1179</v>
      </c>
      <c r="C995" s="62" t="s">
        <v>1180</v>
      </c>
      <c r="D995" s="63">
        <v>45245</v>
      </c>
      <c r="E995" s="63">
        <v>46157</v>
      </c>
      <c r="F995" s="62" t="s">
        <v>1945</v>
      </c>
      <c r="G995" s="62" t="s">
        <v>401</v>
      </c>
      <c r="H995" s="62" t="s">
        <v>1183</v>
      </c>
      <c r="I995" s="62" t="s">
        <v>2443</v>
      </c>
      <c r="J995" s="62" t="s">
        <v>639</v>
      </c>
      <c r="K995" s="62" t="s">
        <v>371</v>
      </c>
      <c r="L995" s="62" t="s">
        <v>2421</v>
      </c>
      <c r="M995" s="66" t="s">
        <v>1972</v>
      </c>
    </row>
    <row r="996" spans="1:13" x14ac:dyDescent="0.3">
      <c r="A996" s="61" t="s">
        <v>2133</v>
      </c>
      <c r="B996" s="62" t="s">
        <v>1179</v>
      </c>
      <c r="C996" s="62" t="s">
        <v>1180</v>
      </c>
      <c r="D996" s="63">
        <v>45245</v>
      </c>
      <c r="E996" s="63">
        <v>46157</v>
      </c>
      <c r="F996" s="62" t="s">
        <v>1945</v>
      </c>
      <c r="G996" s="62" t="s">
        <v>1181</v>
      </c>
      <c r="H996" s="62" t="s">
        <v>1183</v>
      </c>
      <c r="I996" s="62" t="s">
        <v>2443</v>
      </c>
      <c r="J996" s="62" t="s">
        <v>639</v>
      </c>
      <c r="K996" s="62" t="s">
        <v>371</v>
      </c>
      <c r="L996" s="62" t="s">
        <v>2421</v>
      </c>
      <c r="M996" s="66" t="s">
        <v>1972</v>
      </c>
    </row>
    <row r="997" spans="1:13" x14ac:dyDescent="0.3">
      <c r="A997" s="61" t="s">
        <v>2133</v>
      </c>
      <c r="B997" s="62" t="s">
        <v>1179</v>
      </c>
      <c r="C997" s="62" t="s">
        <v>1180</v>
      </c>
      <c r="D997" s="63">
        <v>45245</v>
      </c>
      <c r="E997" s="63">
        <v>46157</v>
      </c>
      <c r="F997" s="62" t="s">
        <v>287</v>
      </c>
      <c r="G997" s="62" t="s">
        <v>584</v>
      </c>
      <c r="H997" s="62" t="s">
        <v>1183</v>
      </c>
      <c r="I997" s="62" t="s">
        <v>2443</v>
      </c>
      <c r="J997" s="62" t="s">
        <v>639</v>
      </c>
      <c r="K997" s="62" t="s">
        <v>371</v>
      </c>
      <c r="L997" s="62" t="s">
        <v>2421</v>
      </c>
      <c r="M997" s="66" t="s">
        <v>1972</v>
      </c>
    </row>
    <row r="998" spans="1:13" x14ac:dyDescent="0.3">
      <c r="A998" s="61" t="s">
        <v>2133</v>
      </c>
      <c r="B998" s="62" t="s">
        <v>1179</v>
      </c>
      <c r="C998" s="62" t="s">
        <v>1180</v>
      </c>
      <c r="D998" s="63">
        <v>45245</v>
      </c>
      <c r="E998" s="63">
        <v>46157</v>
      </c>
      <c r="F998" s="62" t="s">
        <v>287</v>
      </c>
      <c r="G998" s="62" t="s">
        <v>396</v>
      </c>
      <c r="H998" s="62" t="s">
        <v>1183</v>
      </c>
      <c r="I998" s="62" t="s">
        <v>2443</v>
      </c>
      <c r="J998" s="62" t="s">
        <v>639</v>
      </c>
      <c r="K998" s="62" t="s">
        <v>371</v>
      </c>
      <c r="L998" s="62" t="s">
        <v>2421</v>
      </c>
      <c r="M998" s="66" t="s">
        <v>1972</v>
      </c>
    </row>
    <row r="999" spans="1:13" x14ac:dyDescent="0.3">
      <c r="A999" s="61" t="s">
        <v>2134</v>
      </c>
      <c r="B999" s="62" t="s">
        <v>1184</v>
      </c>
      <c r="C999" s="62" t="s">
        <v>1185</v>
      </c>
      <c r="D999" s="63">
        <v>45419</v>
      </c>
      <c r="E999" s="63">
        <v>46149</v>
      </c>
      <c r="F999" s="62" t="s">
        <v>287</v>
      </c>
      <c r="G999" s="62" t="s">
        <v>304</v>
      </c>
      <c r="H999" s="62" t="s">
        <v>2425</v>
      </c>
      <c r="I999" s="62" t="s">
        <v>2443</v>
      </c>
      <c r="J999" s="62" t="s">
        <v>427</v>
      </c>
      <c r="K999" s="62" t="s">
        <v>428</v>
      </c>
      <c r="L999" s="62" t="s">
        <v>2421</v>
      </c>
      <c r="M999" s="66" t="s">
        <v>2021</v>
      </c>
    </row>
    <row r="1000" spans="1:13" x14ac:dyDescent="0.3">
      <c r="A1000" s="61" t="s">
        <v>2135</v>
      </c>
      <c r="B1000" s="62" t="s">
        <v>1186</v>
      </c>
      <c r="C1000" s="62" t="s">
        <v>1187</v>
      </c>
      <c r="D1000" s="63">
        <v>44795</v>
      </c>
      <c r="E1000" s="63">
        <v>46440</v>
      </c>
      <c r="F1000" s="62" t="s">
        <v>1933</v>
      </c>
      <c r="G1000" s="62" t="s">
        <v>304</v>
      </c>
      <c r="H1000" s="62" t="s">
        <v>601</v>
      </c>
      <c r="I1000" s="62" t="s">
        <v>457</v>
      </c>
      <c r="J1000" s="62" t="s">
        <v>724</v>
      </c>
      <c r="K1000" s="62" t="s">
        <v>637</v>
      </c>
      <c r="L1000" s="62" t="s">
        <v>2421</v>
      </c>
      <c r="M1000" s="66" t="s">
        <v>1971</v>
      </c>
    </row>
    <row r="1001" spans="1:13" x14ac:dyDescent="0.3">
      <c r="A1001" s="61" t="s">
        <v>2135</v>
      </c>
      <c r="B1001" s="62" t="s">
        <v>1186</v>
      </c>
      <c r="C1001" s="62" t="s">
        <v>1187</v>
      </c>
      <c r="D1001" s="63">
        <v>44795</v>
      </c>
      <c r="E1001" s="63">
        <v>46440</v>
      </c>
      <c r="F1001" s="62" t="s">
        <v>1937</v>
      </c>
      <c r="G1001" s="62" t="s">
        <v>304</v>
      </c>
      <c r="H1001" s="62" t="s">
        <v>601</v>
      </c>
      <c r="I1001" s="62" t="s">
        <v>457</v>
      </c>
      <c r="J1001" s="62" t="s">
        <v>724</v>
      </c>
      <c r="K1001" s="62" t="s">
        <v>637</v>
      </c>
      <c r="L1001" s="62" t="s">
        <v>2421</v>
      </c>
      <c r="M1001" s="66" t="s">
        <v>1971</v>
      </c>
    </row>
    <row r="1002" spans="1:13" x14ac:dyDescent="0.3">
      <c r="A1002" s="61" t="s">
        <v>2135</v>
      </c>
      <c r="B1002" s="62" t="s">
        <v>1186</v>
      </c>
      <c r="C1002" s="62" t="s">
        <v>1187</v>
      </c>
      <c r="D1002" s="63">
        <v>44795</v>
      </c>
      <c r="E1002" s="63">
        <v>46440</v>
      </c>
      <c r="F1002" s="62" t="s">
        <v>1943</v>
      </c>
      <c r="G1002" s="62" t="s">
        <v>304</v>
      </c>
      <c r="H1002" s="62" t="s">
        <v>601</v>
      </c>
      <c r="I1002" s="62" t="s">
        <v>457</v>
      </c>
      <c r="J1002" s="62" t="s">
        <v>724</v>
      </c>
      <c r="K1002" s="62" t="s">
        <v>637</v>
      </c>
      <c r="L1002" s="62" t="s">
        <v>2421</v>
      </c>
      <c r="M1002" s="66" t="s">
        <v>1971</v>
      </c>
    </row>
    <row r="1003" spans="1:13" x14ac:dyDescent="0.3">
      <c r="A1003" s="61" t="s">
        <v>2135</v>
      </c>
      <c r="B1003" s="62" t="s">
        <v>1186</v>
      </c>
      <c r="C1003" s="62" t="s">
        <v>1187</v>
      </c>
      <c r="D1003" s="63">
        <v>44795</v>
      </c>
      <c r="E1003" s="63">
        <v>46440</v>
      </c>
      <c r="F1003" s="62" t="s">
        <v>1930</v>
      </c>
      <c r="G1003" s="62" t="s">
        <v>304</v>
      </c>
      <c r="H1003" s="62" t="s">
        <v>601</v>
      </c>
      <c r="I1003" s="62" t="s">
        <v>457</v>
      </c>
      <c r="J1003" s="62" t="s">
        <v>724</v>
      </c>
      <c r="K1003" s="62" t="s">
        <v>637</v>
      </c>
      <c r="L1003" s="62" t="s">
        <v>2421</v>
      </c>
      <c r="M1003" s="66" t="s">
        <v>1971</v>
      </c>
    </row>
    <row r="1004" spans="1:13" x14ac:dyDescent="0.3">
      <c r="A1004" s="61" t="s">
        <v>2135</v>
      </c>
      <c r="B1004" s="62" t="s">
        <v>1186</v>
      </c>
      <c r="C1004" s="62" t="s">
        <v>1187</v>
      </c>
      <c r="D1004" s="63">
        <v>44795</v>
      </c>
      <c r="E1004" s="63">
        <v>46440</v>
      </c>
      <c r="F1004" s="62" t="s">
        <v>1959</v>
      </c>
      <c r="G1004" s="62" t="s">
        <v>304</v>
      </c>
      <c r="H1004" s="62" t="s">
        <v>601</v>
      </c>
      <c r="I1004" s="62" t="s">
        <v>457</v>
      </c>
      <c r="J1004" s="62" t="s">
        <v>724</v>
      </c>
      <c r="K1004" s="62" t="s">
        <v>637</v>
      </c>
      <c r="L1004" s="62" t="s">
        <v>2421</v>
      </c>
      <c r="M1004" s="66" t="s">
        <v>1971</v>
      </c>
    </row>
    <row r="1005" spans="1:13" x14ac:dyDescent="0.3">
      <c r="A1005" s="61" t="s">
        <v>2135</v>
      </c>
      <c r="B1005" s="62" t="s">
        <v>1186</v>
      </c>
      <c r="C1005" s="62" t="s">
        <v>1187</v>
      </c>
      <c r="D1005" s="63">
        <v>44795</v>
      </c>
      <c r="E1005" s="63">
        <v>46440</v>
      </c>
      <c r="F1005" s="62" t="s">
        <v>287</v>
      </c>
      <c r="G1005" s="62" t="s">
        <v>304</v>
      </c>
      <c r="H1005" s="62" t="s">
        <v>601</v>
      </c>
      <c r="I1005" s="62" t="s">
        <v>457</v>
      </c>
      <c r="J1005" s="62" t="s">
        <v>724</v>
      </c>
      <c r="K1005" s="62" t="s">
        <v>637</v>
      </c>
      <c r="L1005" s="62" t="s">
        <v>2421</v>
      </c>
      <c r="M1005" s="66" t="s">
        <v>1971</v>
      </c>
    </row>
    <row r="1006" spans="1:13" x14ac:dyDescent="0.3">
      <c r="A1006" s="61" t="s">
        <v>2136</v>
      </c>
      <c r="B1006" s="62" t="s">
        <v>1190</v>
      </c>
      <c r="C1006" s="62" t="s">
        <v>1191</v>
      </c>
      <c r="D1006" s="63">
        <v>45436</v>
      </c>
      <c r="E1006" s="63">
        <v>46531</v>
      </c>
      <c r="F1006" s="62" t="s">
        <v>350</v>
      </c>
      <c r="G1006" s="62" t="s">
        <v>350</v>
      </c>
      <c r="H1006" s="62" t="s">
        <v>2425</v>
      </c>
      <c r="I1006" s="62" t="s">
        <v>424</v>
      </c>
      <c r="J1006" s="62" t="s">
        <v>1192</v>
      </c>
      <c r="K1006" s="62" t="s">
        <v>596</v>
      </c>
      <c r="L1006" s="62" t="s">
        <v>2421</v>
      </c>
      <c r="M1006" s="66" t="s">
        <v>1980</v>
      </c>
    </row>
    <row r="1007" spans="1:13" x14ac:dyDescent="0.3">
      <c r="A1007" s="61" t="s">
        <v>2136</v>
      </c>
      <c r="B1007" s="62" t="s">
        <v>1190</v>
      </c>
      <c r="C1007" s="62" t="s">
        <v>1191</v>
      </c>
      <c r="D1007" s="63">
        <v>45436</v>
      </c>
      <c r="E1007" s="63">
        <v>46531</v>
      </c>
      <c r="F1007" s="62" t="s">
        <v>350</v>
      </c>
      <c r="G1007" s="62" t="s">
        <v>350</v>
      </c>
      <c r="H1007" s="62" t="s">
        <v>361</v>
      </c>
      <c r="I1007" s="62" t="s">
        <v>424</v>
      </c>
      <c r="J1007" s="62" t="s">
        <v>1192</v>
      </c>
      <c r="K1007" s="62" t="s">
        <v>596</v>
      </c>
      <c r="L1007" s="62" t="s">
        <v>2421</v>
      </c>
      <c r="M1007" s="66" t="s">
        <v>1980</v>
      </c>
    </row>
    <row r="1008" spans="1:13" x14ac:dyDescent="0.3">
      <c r="A1008" s="61" t="s">
        <v>2137</v>
      </c>
      <c r="B1008" s="62" t="s">
        <v>1193</v>
      </c>
      <c r="C1008" s="62" t="s">
        <v>1194</v>
      </c>
      <c r="D1008" s="63">
        <v>45292</v>
      </c>
      <c r="E1008" s="63">
        <v>46387</v>
      </c>
      <c r="F1008" s="62" t="s">
        <v>286</v>
      </c>
      <c r="G1008" s="62" t="s">
        <v>304</v>
      </c>
      <c r="H1008" s="62" t="s">
        <v>490</v>
      </c>
      <c r="I1008" s="62" t="s">
        <v>2443</v>
      </c>
      <c r="J1008" s="62" t="s">
        <v>558</v>
      </c>
      <c r="K1008" s="62" t="s">
        <v>426</v>
      </c>
      <c r="L1008" s="62" t="s">
        <v>2421</v>
      </c>
      <c r="M1008" s="66" t="s">
        <v>1972</v>
      </c>
    </row>
    <row r="1009" spans="1:13" x14ac:dyDescent="0.3">
      <c r="A1009" s="61" t="s">
        <v>2137</v>
      </c>
      <c r="B1009" s="62" t="s">
        <v>1193</v>
      </c>
      <c r="C1009" s="62" t="s">
        <v>1194</v>
      </c>
      <c r="D1009" s="63">
        <v>45292</v>
      </c>
      <c r="E1009" s="63">
        <v>46387</v>
      </c>
      <c r="F1009" s="62" t="s">
        <v>289</v>
      </c>
      <c r="G1009" s="62" t="s">
        <v>304</v>
      </c>
      <c r="H1009" s="62" t="s">
        <v>490</v>
      </c>
      <c r="I1009" s="62" t="s">
        <v>2443</v>
      </c>
      <c r="J1009" s="62" t="s">
        <v>558</v>
      </c>
      <c r="K1009" s="62" t="s">
        <v>426</v>
      </c>
      <c r="L1009" s="62" t="s">
        <v>2421</v>
      </c>
      <c r="M1009" s="66" t="s">
        <v>1972</v>
      </c>
    </row>
    <row r="1010" spans="1:13" x14ac:dyDescent="0.3">
      <c r="A1010" s="61" t="s">
        <v>2137</v>
      </c>
      <c r="B1010" s="62" t="s">
        <v>1193</v>
      </c>
      <c r="C1010" s="62" t="s">
        <v>1194</v>
      </c>
      <c r="D1010" s="63">
        <v>45292</v>
      </c>
      <c r="E1010" s="63">
        <v>46387</v>
      </c>
      <c r="F1010" s="62" t="s">
        <v>288</v>
      </c>
      <c r="G1010" s="62" t="s">
        <v>304</v>
      </c>
      <c r="H1010" s="62" t="s">
        <v>490</v>
      </c>
      <c r="I1010" s="62" t="s">
        <v>2443</v>
      </c>
      <c r="J1010" s="62" t="s">
        <v>558</v>
      </c>
      <c r="K1010" s="62" t="s">
        <v>426</v>
      </c>
      <c r="L1010" s="62" t="s">
        <v>2421</v>
      </c>
      <c r="M1010" s="66" t="s">
        <v>1972</v>
      </c>
    </row>
    <row r="1011" spans="1:13" x14ac:dyDescent="0.3">
      <c r="A1011" s="61" t="s">
        <v>2137</v>
      </c>
      <c r="B1011" s="62" t="s">
        <v>1193</v>
      </c>
      <c r="C1011" s="62" t="s">
        <v>1194</v>
      </c>
      <c r="D1011" s="63">
        <v>45292</v>
      </c>
      <c r="E1011" s="63">
        <v>46387</v>
      </c>
      <c r="F1011" s="62" t="s">
        <v>1961</v>
      </c>
      <c r="G1011" s="62" t="s">
        <v>304</v>
      </c>
      <c r="H1011" s="62" t="s">
        <v>490</v>
      </c>
      <c r="I1011" s="62" t="s">
        <v>2443</v>
      </c>
      <c r="J1011" s="62" t="s">
        <v>558</v>
      </c>
      <c r="K1011" s="62" t="s">
        <v>426</v>
      </c>
      <c r="L1011" s="62" t="s">
        <v>2421</v>
      </c>
      <c r="M1011" s="66" t="s">
        <v>1972</v>
      </c>
    </row>
    <row r="1012" spans="1:13" x14ac:dyDescent="0.3">
      <c r="A1012" s="61" t="s">
        <v>2137</v>
      </c>
      <c r="B1012" s="62" t="s">
        <v>1193</v>
      </c>
      <c r="C1012" s="62" t="s">
        <v>1194</v>
      </c>
      <c r="D1012" s="63">
        <v>45292</v>
      </c>
      <c r="E1012" s="63">
        <v>46387</v>
      </c>
      <c r="F1012" s="62" t="s">
        <v>1948</v>
      </c>
      <c r="G1012" s="62" t="s">
        <v>304</v>
      </c>
      <c r="H1012" s="62" t="s">
        <v>490</v>
      </c>
      <c r="I1012" s="62" t="s">
        <v>2443</v>
      </c>
      <c r="J1012" s="62" t="s">
        <v>558</v>
      </c>
      <c r="K1012" s="62" t="s">
        <v>426</v>
      </c>
      <c r="L1012" s="62" t="s">
        <v>2421</v>
      </c>
      <c r="M1012" s="66" t="s">
        <v>1972</v>
      </c>
    </row>
    <row r="1013" spans="1:13" x14ac:dyDescent="0.3">
      <c r="A1013" s="61" t="s">
        <v>2138</v>
      </c>
      <c r="B1013" s="62" t="s">
        <v>1197</v>
      </c>
      <c r="C1013" s="62" t="s">
        <v>1198</v>
      </c>
      <c r="D1013" s="63">
        <v>44893</v>
      </c>
      <c r="E1013" s="63">
        <v>46188</v>
      </c>
      <c r="F1013" s="62" t="s">
        <v>287</v>
      </c>
      <c r="G1013" s="62" t="s">
        <v>286</v>
      </c>
      <c r="H1013" s="62" t="s">
        <v>468</v>
      </c>
      <c r="I1013" s="62" t="s">
        <v>313</v>
      </c>
      <c r="J1013" s="62" t="s">
        <v>551</v>
      </c>
      <c r="K1013" s="62" t="s">
        <v>428</v>
      </c>
      <c r="L1013" s="62" t="s">
        <v>2421</v>
      </c>
      <c r="M1013" s="66" t="s">
        <v>2021</v>
      </c>
    </row>
    <row r="1014" spans="1:13" x14ac:dyDescent="0.3">
      <c r="A1014" s="61" t="s">
        <v>2138</v>
      </c>
      <c r="B1014" s="62" t="s">
        <v>1197</v>
      </c>
      <c r="C1014" s="62" t="s">
        <v>1198</v>
      </c>
      <c r="D1014" s="63">
        <v>44893</v>
      </c>
      <c r="E1014" s="63">
        <v>46188</v>
      </c>
      <c r="F1014" s="62" t="s">
        <v>287</v>
      </c>
      <c r="G1014" s="62" t="s">
        <v>768</v>
      </c>
      <c r="H1014" s="62" t="s">
        <v>468</v>
      </c>
      <c r="I1014" s="62" t="s">
        <v>313</v>
      </c>
      <c r="J1014" s="62" t="s">
        <v>551</v>
      </c>
      <c r="K1014" s="62" t="s">
        <v>428</v>
      </c>
      <c r="L1014" s="62" t="s">
        <v>2421</v>
      </c>
      <c r="M1014" s="66" t="s">
        <v>2021</v>
      </c>
    </row>
    <row r="1015" spans="1:13" x14ac:dyDescent="0.3">
      <c r="A1015" s="61" t="s">
        <v>2138</v>
      </c>
      <c r="B1015" s="62" t="s">
        <v>1197</v>
      </c>
      <c r="C1015" s="62" t="s">
        <v>1198</v>
      </c>
      <c r="D1015" s="63">
        <v>44893</v>
      </c>
      <c r="E1015" s="63">
        <v>46188</v>
      </c>
      <c r="F1015" s="62" t="s">
        <v>287</v>
      </c>
      <c r="G1015" s="62" t="s">
        <v>769</v>
      </c>
      <c r="H1015" s="62" t="s">
        <v>468</v>
      </c>
      <c r="I1015" s="62" t="s">
        <v>313</v>
      </c>
      <c r="J1015" s="62" t="s">
        <v>551</v>
      </c>
      <c r="K1015" s="62" t="s">
        <v>428</v>
      </c>
      <c r="L1015" s="62" t="s">
        <v>2421</v>
      </c>
      <c r="M1015" s="66" t="s">
        <v>2021</v>
      </c>
    </row>
    <row r="1016" spans="1:13" x14ac:dyDescent="0.3">
      <c r="A1016" s="61" t="s">
        <v>2138</v>
      </c>
      <c r="B1016" s="62" t="s">
        <v>1197</v>
      </c>
      <c r="C1016" s="62" t="s">
        <v>1198</v>
      </c>
      <c r="D1016" s="63">
        <v>44893</v>
      </c>
      <c r="E1016" s="63">
        <v>46188</v>
      </c>
      <c r="F1016" s="62" t="s">
        <v>287</v>
      </c>
      <c r="G1016" s="62" t="s">
        <v>390</v>
      </c>
      <c r="H1016" s="62" t="s">
        <v>468</v>
      </c>
      <c r="I1016" s="62" t="s">
        <v>313</v>
      </c>
      <c r="J1016" s="62" t="s">
        <v>551</v>
      </c>
      <c r="K1016" s="62" t="s">
        <v>428</v>
      </c>
      <c r="L1016" s="62" t="s">
        <v>2421</v>
      </c>
      <c r="M1016" s="66" t="s">
        <v>2021</v>
      </c>
    </row>
    <row r="1017" spans="1:13" x14ac:dyDescent="0.3">
      <c r="A1017" s="61" t="s">
        <v>2138</v>
      </c>
      <c r="B1017" s="62" t="s">
        <v>1197</v>
      </c>
      <c r="C1017" s="62" t="s">
        <v>1198</v>
      </c>
      <c r="D1017" s="63">
        <v>44893</v>
      </c>
      <c r="E1017" s="63">
        <v>46188</v>
      </c>
      <c r="F1017" s="62" t="s">
        <v>287</v>
      </c>
      <c r="G1017" s="62" t="s">
        <v>1199</v>
      </c>
      <c r="H1017" s="62" t="s">
        <v>468</v>
      </c>
      <c r="I1017" s="62" t="s">
        <v>313</v>
      </c>
      <c r="J1017" s="62" t="s">
        <v>551</v>
      </c>
      <c r="K1017" s="62" t="s">
        <v>428</v>
      </c>
      <c r="L1017" s="62" t="s">
        <v>2421</v>
      </c>
      <c r="M1017" s="66" t="s">
        <v>2021</v>
      </c>
    </row>
    <row r="1018" spans="1:13" x14ac:dyDescent="0.3">
      <c r="A1018" s="61" t="s">
        <v>2139</v>
      </c>
      <c r="B1018" s="62" t="s">
        <v>1200</v>
      </c>
      <c r="C1018" s="62" t="s">
        <v>1201</v>
      </c>
      <c r="D1018" s="63">
        <v>45434</v>
      </c>
      <c r="E1018" s="63">
        <v>46348</v>
      </c>
      <c r="F1018" s="62" t="s">
        <v>282</v>
      </c>
      <c r="G1018" s="62" t="s">
        <v>286</v>
      </c>
      <c r="H1018" s="62" t="s">
        <v>468</v>
      </c>
      <c r="I1018" s="62" t="s">
        <v>825</v>
      </c>
      <c r="J1018" s="62" t="s">
        <v>370</v>
      </c>
      <c r="K1018" s="62" t="s">
        <v>371</v>
      </c>
      <c r="L1018" s="62" t="s">
        <v>2421</v>
      </c>
      <c r="M1018" s="66" t="s">
        <v>1976</v>
      </c>
    </row>
    <row r="1019" spans="1:13" x14ac:dyDescent="0.3">
      <c r="A1019" s="61" t="s">
        <v>2139</v>
      </c>
      <c r="B1019" s="62" t="s">
        <v>1200</v>
      </c>
      <c r="C1019" s="62" t="s">
        <v>1201</v>
      </c>
      <c r="D1019" s="63">
        <v>45434</v>
      </c>
      <c r="E1019" s="63">
        <v>46348</v>
      </c>
      <c r="F1019" s="62" t="s">
        <v>282</v>
      </c>
      <c r="G1019" s="62" t="s">
        <v>470</v>
      </c>
      <c r="H1019" s="62" t="s">
        <v>468</v>
      </c>
      <c r="I1019" s="62" t="s">
        <v>825</v>
      </c>
      <c r="J1019" s="62" t="s">
        <v>370</v>
      </c>
      <c r="K1019" s="62" t="s">
        <v>371</v>
      </c>
      <c r="L1019" s="62" t="s">
        <v>2421</v>
      </c>
      <c r="M1019" s="66" t="s">
        <v>1976</v>
      </c>
    </row>
    <row r="1020" spans="1:13" x14ac:dyDescent="0.3">
      <c r="A1020" s="61" t="s">
        <v>2139</v>
      </c>
      <c r="B1020" s="62" t="s">
        <v>1200</v>
      </c>
      <c r="C1020" s="62" t="s">
        <v>1201</v>
      </c>
      <c r="D1020" s="63">
        <v>45434</v>
      </c>
      <c r="E1020" s="63">
        <v>46348</v>
      </c>
      <c r="F1020" s="62" t="s">
        <v>282</v>
      </c>
      <c r="G1020" s="62" t="s">
        <v>472</v>
      </c>
      <c r="H1020" s="62" t="s">
        <v>468</v>
      </c>
      <c r="I1020" s="62" t="s">
        <v>825</v>
      </c>
      <c r="J1020" s="62" t="s">
        <v>370</v>
      </c>
      <c r="K1020" s="62" t="s">
        <v>371</v>
      </c>
      <c r="L1020" s="62" t="s">
        <v>2421</v>
      </c>
      <c r="M1020" s="66" t="s">
        <v>1976</v>
      </c>
    </row>
    <row r="1021" spans="1:13" x14ac:dyDescent="0.3">
      <c r="A1021" s="61" t="s">
        <v>2139</v>
      </c>
      <c r="B1021" s="62" t="s">
        <v>1200</v>
      </c>
      <c r="C1021" s="62" t="s">
        <v>1201</v>
      </c>
      <c r="D1021" s="63">
        <v>45434</v>
      </c>
      <c r="E1021" s="63">
        <v>46348</v>
      </c>
      <c r="F1021" s="62" t="s">
        <v>282</v>
      </c>
      <c r="G1021" s="62" t="s">
        <v>473</v>
      </c>
      <c r="H1021" s="62" t="s">
        <v>468</v>
      </c>
      <c r="I1021" s="62" t="s">
        <v>825</v>
      </c>
      <c r="J1021" s="62" t="s">
        <v>370</v>
      </c>
      <c r="K1021" s="62" t="s">
        <v>371</v>
      </c>
      <c r="L1021" s="62" t="s">
        <v>2421</v>
      </c>
      <c r="M1021" s="66" t="s">
        <v>1976</v>
      </c>
    </row>
    <row r="1022" spans="1:13" x14ac:dyDescent="0.3">
      <c r="A1022" s="61" t="s">
        <v>2139</v>
      </c>
      <c r="B1022" s="62" t="s">
        <v>1200</v>
      </c>
      <c r="C1022" s="62" t="s">
        <v>1201</v>
      </c>
      <c r="D1022" s="63">
        <v>45434</v>
      </c>
      <c r="E1022" s="63">
        <v>46348</v>
      </c>
      <c r="F1022" s="62" t="s">
        <v>282</v>
      </c>
      <c r="G1022" s="62" t="s">
        <v>577</v>
      </c>
      <c r="H1022" s="62" t="s">
        <v>468</v>
      </c>
      <c r="I1022" s="62" t="s">
        <v>825</v>
      </c>
      <c r="J1022" s="62" t="s">
        <v>370</v>
      </c>
      <c r="K1022" s="62" t="s">
        <v>371</v>
      </c>
      <c r="L1022" s="62" t="s">
        <v>2421</v>
      </c>
      <c r="M1022" s="66" t="s">
        <v>1976</v>
      </c>
    </row>
    <row r="1023" spans="1:13" x14ac:dyDescent="0.3">
      <c r="A1023" s="61" t="s">
        <v>2139</v>
      </c>
      <c r="B1023" s="62" t="s">
        <v>1200</v>
      </c>
      <c r="C1023" s="62" t="s">
        <v>1201</v>
      </c>
      <c r="D1023" s="63">
        <v>45434</v>
      </c>
      <c r="E1023" s="63">
        <v>46348</v>
      </c>
      <c r="F1023" s="62" t="s">
        <v>282</v>
      </c>
      <c r="G1023" s="62" t="s">
        <v>834</v>
      </c>
      <c r="H1023" s="62" t="s">
        <v>468</v>
      </c>
      <c r="I1023" s="62" t="s">
        <v>825</v>
      </c>
      <c r="J1023" s="62" t="s">
        <v>370</v>
      </c>
      <c r="K1023" s="62" t="s">
        <v>371</v>
      </c>
      <c r="L1023" s="62" t="s">
        <v>2421</v>
      </c>
      <c r="M1023" s="66" t="s">
        <v>1976</v>
      </c>
    </row>
    <row r="1024" spans="1:13" x14ac:dyDescent="0.3">
      <c r="A1024" s="61" t="s">
        <v>2139</v>
      </c>
      <c r="B1024" s="62" t="s">
        <v>1200</v>
      </c>
      <c r="C1024" s="62" t="s">
        <v>1201</v>
      </c>
      <c r="D1024" s="63">
        <v>45434</v>
      </c>
      <c r="E1024" s="63">
        <v>46348</v>
      </c>
      <c r="F1024" s="62" t="s">
        <v>289</v>
      </c>
      <c r="G1024" s="62" t="s">
        <v>574</v>
      </c>
      <c r="H1024" s="62" t="s">
        <v>468</v>
      </c>
      <c r="I1024" s="62" t="s">
        <v>825</v>
      </c>
      <c r="J1024" s="62" t="s">
        <v>370</v>
      </c>
      <c r="K1024" s="62" t="s">
        <v>371</v>
      </c>
      <c r="L1024" s="62" t="s">
        <v>2421</v>
      </c>
      <c r="M1024" s="66" t="s">
        <v>1976</v>
      </c>
    </row>
    <row r="1025" spans="1:13" x14ac:dyDescent="0.3">
      <c r="A1025" s="61" t="s">
        <v>2139</v>
      </c>
      <c r="B1025" s="62" t="s">
        <v>1200</v>
      </c>
      <c r="C1025" s="62" t="s">
        <v>1201</v>
      </c>
      <c r="D1025" s="63">
        <v>45434</v>
      </c>
      <c r="E1025" s="63">
        <v>46348</v>
      </c>
      <c r="F1025" s="62" t="s">
        <v>289</v>
      </c>
      <c r="G1025" s="62" t="s">
        <v>575</v>
      </c>
      <c r="H1025" s="62" t="s">
        <v>468</v>
      </c>
      <c r="I1025" s="62" t="s">
        <v>825</v>
      </c>
      <c r="J1025" s="62" t="s">
        <v>370</v>
      </c>
      <c r="K1025" s="62" t="s">
        <v>371</v>
      </c>
      <c r="L1025" s="62" t="s">
        <v>2421</v>
      </c>
      <c r="M1025" s="66" t="s">
        <v>1976</v>
      </c>
    </row>
    <row r="1026" spans="1:13" x14ac:dyDescent="0.3">
      <c r="A1026" s="61" t="s">
        <v>2139</v>
      </c>
      <c r="B1026" s="62" t="s">
        <v>1200</v>
      </c>
      <c r="C1026" s="62" t="s">
        <v>1201</v>
      </c>
      <c r="D1026" s="63">
        <v>45434</v>
      </c>
      <c r="E1026" s="63">
        <v>46348</v>
      </c>
      <c r="F1026" s="62" t="s">
        <v>289</v>
      </c>
      <c r="G1026" s="62" t="s">
        <v>953</v>
      </c>
      <c r="H1026" s="62" t="s">
        <v>468</v>
      </c>
      <c r="I1026" s="62" t="s">
        <v>825</v>
      </c>
      <c r="J1026" s="62" t="s">
        <v>370</v>
      </c>
      <c r="K1026" s="62" t="s">
        <v>371</v>
      </c>
      <c r="L1026" s="62" t="s">
        <v>2421</v>
      </c>
      <c r="M1026" s="66" t="s">
        <v>1976</v>
      </c>
    </row>
    <row r="1027" spans="1:13" x14ac:dyDescent="0.3">
      <c r="A1027" s="61" t="s">
        <v>2139</v>
      </c>
      <c r="B1027" s="62" t="s">
        <v>1200</v>
      </c>
      <c r="C1027" s="62" t="s">
        <v>1201</v>
      </c>
      <c r="D1027" s="63">
        <v>45434</v>
      </c>
      <c r="E1027" s="63">
        <v>46348</v>
      </c>
      <c r="F1027" s="62" t="s">
        <v>289</v>
      </c>
      <c r="G1027" s="62" t="s">
        <v>831</v>
      </c>
      <c r="H1027" s="62" t="s">
        <v>468</v>
      </c>
      <c r="I1027" s="62" t="s">
        <v>825</v>
      </c>
      <c r="J1027" s="62" t="s">
        <v>370</v>
      </c>
      <c r="K1027" s="62" t="s">
        <v>371</v>
      </c>
      <c r="L1027" s="62" t="s">
        <v>2421</v>
      </c>
      <c r="M1027" s="66" t="s">
        <v>1976</v>
      </c>
    </row>
    <row r="1028" spans="1:13" x14ac:dyDescent="0.3">
      <c r="A1028" s="61" t="s">
        <v>2139</v>
      </c>
      <c r="B1028" s="62" t="s">
        <v>1200</v>
      </c>
      <c r="C1028" s="62" t="s">
        <v>1201</v>
      </c>
      <c r="D1028" s="63">
        <v>45434</v>
      </c>
      <c r="E1028" s="63">
        <v>46348</v>
      </c>
      <c r="F1028" s="62" t="s">
        <v>289</v>
      </c>
      <c r="G1028" s="62" t="s">
        <v>594</v>
      </c>
      <c r="H1028" s="62" t="s">
        <v>468</v>
      </c>
      <c r="I1028" s="62" t="s">
        <v>825</v>
      </c>
      <c r="J1028" s="62" t="s">
        <v>370</v>
      </c>
      <c r="K1028" s="62" t="s">
        <v>371</v>
      </c>
      <c r="L1028" s="62" t="s">
        <v>2421</v>
      </c>
      <c r="M1028" s="66" t="s">
        <v>1976</v>
      </c>
    </row>
    <row r="1029" spans="1:13" x14ac:dyDescent="0.3">
      <c r="A1029" s="61" t="s">
        <v>2139</v>
      </c>
      <c r="B1029" s="62" t="s">
        <v>1200</v>
      </c>
      <c r="C1029" s="62" t="s">
        <v>1201</v>
      </c>
      <c r="D1029" s="63">
        <v>45434</v>
      </c>
      <c r="E1029" s="63">
        <v>46348</v>
      </c>
      <c r="F1029" s="62" t="s">
        <v>289</v>
      </c>
      <c r="G1029" s="62" t="s">
        <v>576</v>
      </c>
      <c r="H1029" s="62" t="s">
        <v>468</v>
      </c>
      <c r="I1029" s="62" t="s">
        <v>825</v>
      </c>
      <c r="J1029" s="62" t="s">
        <v>370</v>
      </c>
      <c r="K1029" s="62" t="s">
        <v>371</v>
      </c>
      <c r="L1029" s="62" t="s">
        <v>2421</v>
      </c>
      <c r="M1029" s="66" t="s">
        <v>1976</v>
      </c>
    </row>
    <row r="1030" spans="1:13" x14ac:dyDescent="0.3">
      <c r="A1030" s="61" t="s">
        <v>2139</v>
      </c>
      <c r="B1030" s="62" t="s">
        <v>1200</v>
      </c>
      <c r="C1030" s="62" t="s">
        <v>1201</v>
      </c>
      <c r="D1030" s="63">
        <v>45434</v>
      </c>
      <c r="E1030" s="63">
        <v>46348</v>
      </c>
      <c r="F1030" s="62" t="s">
        <v>287</v>
      </c>
      <c r="G1030" s="62" t="s">
        <v>589</v>
      </c>
      <c r="H1030" s="62" t="s">
        <v>468</v>
      </c>
      <c r="I1030" s="62" t="s">
        <v>825</v>
      </c>
      <c r="J1030" s="62" t="s">
        <v>370</v>
      </c>
      <c r="K1030" s="62" t="s">
        <v>371</v>
      </c>
      <c r="L1030" s="62" t="s">
        <v>2421</v>
      </c>
      <c r="M1030" s="66" t="s">
        <v>1976</v>
      </c>
    </row>
    <row r="1031" spans="1:13" x14ac:dyDescent="0.3">
      <c r="A1031" s="61" t="s">
        <v>2139</v>
      </c>
      <c r="B1031" s="62" t="s">
        <v>1200</v>
      </c>
      <c r="C1031" s="62" t="s">
        <v>1201</v>
      </c>
      <c r="D1031" s="63">
        <v>45434</v>
      </c>
      <c r="E1031" s="63">
        <v>46348</v>
      </c>
      <c r="F1031" s="62" t="s">
        <v>287</v>
      </c>
      <c r="G1031" s="62" t="s">
        <v>768</v>
      </c>
      <c r="H1031" s="62" t="s">
        <v>468</v>
      </c>
      <c r="I1031" s="62" t="s">
        <v>825</v>
      </c>
      <c r="J1031" s="62" t="s">
        <v>370</v>
      </c>
      <c r="K1031" s="62" t="s">
        <v>371</v>
      </c>
      <c r="L1031" s="62" t="s">
        <v>2421</v>
      </c>
      <c r="M1031" s="66" t="s">
        <v>1976</v>
      </c>
    </row>
    <row r="1032" spans="1:13" x14ac:dyDescent="0.3">
      <c r="A1032" s="61" t="s">
        <v>2139</v>
      </c>
      <c r="B1032" s="62" t="s">
        <v>1200</v>
      </c>
      <c r="C1032" s="62" t="s">
        <v>1201</v>
      </c>
      <c r="D1032" s="63">
        <v>45434</v>
      </c>
      <c r="E1032" s="63">
        <v>46348</v>
      </c>
      <c r="F1032" s="62" t="s">
        <v>287</v>
      </c>
      <c r="G1032" s="62" t="s">
        <v>1083</v>
      </c>
      <c r="H1032" s="62" t="s">
        <v>468</v>
      </c>
      <c r="I1032" s="62" t="s">
        <v>825</v>
      </c>
      <c r="J1032" s="62" t="s">
        <v>370</v>
      </c>
      <c r="K1032" s="62" t="s">
        <v>371</v>
      </c>
      <c r="L1032" s="62" t="s">
        <v>2421</v>
      </c>
      <c r="M1032" s="66" t="s">
        <v>1976</v>
      </c>
    </row>
    <row r="1033" spans="1:13" x14ac:dyDescent="0.3">
      <c r="A1033" s="61" t="s">
        <v>2139</v>
      </c>
      <c r="B1033" s="62" t="s">
        <v>1200</v>
      </c>
      <c r="C1033" s="62" t="s">
        <v>1201</v>
      </c>
      <c r="D1033" s="63">
        <v>45434</v>
      </c>
      <c r="E1033" s="63">
        <v>46348</v>
      </c>
      <c r="F1033" s="62" t="s">
        <v>287</v>
      </c>
      <c r="G1033" s="62" t="s">
        <v>394</v>
      </c>
      <c r="H1033" s="62" t="s">
        <v>468</v>
      </c>
      <c r="I1033" s="62" t="s">
        <v>825</v>
      </c>
      <c r="J1033" s="62" t="s">
        <v>370</v>
      </c>
      <c r="K1033" s="62" t="s">
        <v>371</v>
      </c>
      <c r="L1033" s="62" t="s">
        <v>2421</v>
      </c>
      <c r="M1033" s="66" t="s">
        <v>1976</v>
      </c>
    </row>
    <row r="1034" spans="1:13" x14ac:dyDescent="0.3">
      <c r="A1034" s="61" t="s">
        <v>2139</v>
      </c>
      <c r="B1034" s="62" t="s">
        <v>1200</v>
      </c>
      <c r="C1034" s="62" t="s">
        <v>1201</v>
      </c>
      <c r="D1034" s="63">
        <v>45434</v>
      </c>
      <c r="E1034" s="63">
        <v>46348</v>
      </c>
      <c r="F1034" s="62" t="s">
        <v>287</v>
      </c>
      <c r="G1034" s="62" t="s">
        <v>593</v>
      </c>
      <c r="H1034" s="62" t="s">
        <v>468</v>
      </c>
      <c r="I1034" s="62" t="s">
        <v>825</v>
      </c>
      <c r="J1034" s="62" t="s">
        <v>370</v>
      </c>
      <c r="K1034" s="62" t="s">
        <v>371</v>
      </c>
      <c r="L1034" s="62" t="s">
        <v>2421</v>
      </c>
      <c r="M1034" s="66" t="s">
        <v>1976</v>
      </c>
    </row>
    <row r="1035" spans="1:13" x14ac:dyDescent="0.3">
      <c r="A1035" s="61" t="s">
        <v>2139</v>
      </c>
      <c r="B1035" s="62" t="s">
        <v>1200</v>
      </c>
      <c r="C1035" s="62" t="s">
        <v>1201</v>
      </c>
      <c r="D1035" s="63">
        <v>45434</v>
      </c>
      <c r="E1035" s="63">
        <v>46348</v>
      </c>
      <c r="F1035" s="62" t="s">
        <v>287</v>
      </c>
      <c r="G1035" s="62" t="s">
        <v>396</v>
      </c>
      <c r="H1035" s="62" t="s">
        <v>468</v>
      </c>
      <c r="I1035" s="62" t="s">
        <v>825</v>
      </c>
      <c r="J1035" s="62" t="s">
        <v>370</v>
      </c>
      <c r="K1035" s="62" t="s">
        <v>371</v>
      </c>
      <c r="L1035" s="62" t="s">
        <v>2421</v>
      </c>
      <c r="M1035" s="66" t="s">
        <v>1976</v>
      </c>
    </row>
    <row r="1036" spans="1:13" x14ac:dyDescent="0.3">
      <c r="A1036" s="61" t="s">
        <v>2139</v>
      </c>
      <c r="B1036" s="62" t="s">
        <v>1200</v>
      </c>
      <c r="C1036" s="62" t="s">
        <v>1201</v>
      </c>
      <c r="D1036" s="63">
        <v>45434</v>
      </c>
      <c r="E1036" s="63">
        <v>46348</v>
      </c>
      <c r="F1036" s="62" t="s">
        <v>1940</v>
      </c>
      <c r="G1036" s="62" t="s">
        <v>451</v>
      </c>
      <c r="H1036" s="62" t="s">
        <v>468</v>
      </c>
      <c r="I1036" s="62" t="s">
        <v>825</v>
      </c>
      <c r="J1036" s="62" t="s">
        <v>370</v>
      </c>
      <c r="K1036" s="62" t="s">
        <v>371</v>
      </c>
      <c r="L1036" s="62" t="s">
        <v>2421</v>
      </c>
      <c r="M1036" s="66" t="s">
        <v>1976</v>
      </c>
    </row>
    <row r="1037" spans="1:13" x14ac:dyDescent="0.3">
      <c r="A1037" s="61" t="s">
        <v>2139</v>
      </c>
      <c r="B1037" s="62" t="s">
        <v>1200</v>
      </c>
      <c r="C1037" s="62" t="s">
        <v>1201</v>
      </c>
      <c r="D1037" s="63">
        <v>45434</v>
      </c>
      <c r="E1037" s="63">
        <v>46348</v>
      </c>
      <c r="F1037" s="62" t="s">
        <v>348</v>
      </c>
      <c r="G1037" s="62" t="s">
        <v>348</v>
      </c>
      <c r="H1037" s="62" t="s">
        <v>468</v>
      </c>
      <c r="I1037" s="62" t="s">
        <v>825</v>
      </c>
      <c r="J1037" s="62" t="s">
        <v>370</v>
      </c>
      <c r="K1037" s="62" t="s">
        <v>371</v>
      </c>
      <c r="L1037" s="62" t="s">
        <v>2421</v>
      </c>
      <c r="M1037" s="66" t="s">
        <v>1976</v>
      </c>
    </row>
    <row r="1038" spans="1:13" x14ac:dyDescent="0.3">
      <c r="A1038" s="61" t="s">
        <v>2140</v>
      </c>
      <c r="B1038" s="62" t="s">
        <v>1203</v>
      </c>
      <c r="C1038" s="62" t="s">
        <v>1204</v>
      </c>
      <c r="D1038" s="63">
        <v>45471</v>
      </c>
      <c r="E1038" s="63">
        <v>46081</v>
      </c>
      <c r="F1038" s="62" t="s">
        <v>1922</v>
      </c>
      <c r="G1038" s="62" t="s">
        <v>304</v>
      </c>
      <c r="H1038" s="62" t="s">
        <v>373</v>
      </c>
      <c r="I1038" s="62" t="s">
        <v>825</v>
      </c>
      <c r="J1038" s="62" t="s">
        <v>370</v>
      </c>
      <c r="K1038" s="62" t="s">
        <v>371</v>
      </c>
      <c r="L1038" s="62" t="s">
        <v>2421</v>
      </c>
      <c r="M1038" s="66" t="s">
        <v>1976</v>
      </c>
    </row>
    <row r="1039" spans="1:13" x14ac:dyDescent="0.3">
      <c r="A1039" s="61" t="s">
        <v>2140</v>
      </c>
      <c r="B1039" s="62" t="s">
        <v>1203</v>
      </c>
      <c r="C1039" s="62" t="s">
        <v>1204</v>
      </c>
      <c r="D1039" s="63">
        <v>45471</v>
      </c>
      <c r="E1039" s="63">
        <v>46081</v>
      </c>
      <c r="F1039" s="62" t="s">
        <v>1934</v>
      </c>
      <c r="G1039" s="62" t="s">
        <v>304</v>
      </c>
      <c r="H1039" s="62" t="s">
        <v>373</v>
      </c>
      <c r="I1039" s="62" t="s">
        <v>825</v>
      </c>
      <c r="J1039" s="62" t="s">
        <v>370</v>
      </c>
      <c r="K1039" s="62" t="s">
        <v>371</v>
      </c>
      <c r="L1039" s="62" t="s">
        <v>2421</v>
      </c>
      <c r="M1039" s="66" t="s">
        <v>1976</v>
      </c>
    </row>
    <row r="1040" spans="1:13" x14ac:dyDescent="0.3">
      <c r="A1040" s="61" t="s">
        <v>2140</v>
      </c>
      <c r="B1040" s="62" t="s">
        <v>1203</v>
      </c>
      <c r="C1040" s="62" t="s">
        <v>1204</v>
      </c>
      <c r="D1040" s="63">
        <v>45471</v>
      </c>
      <c r="E1040" s="63">
        <v>46081</v>
      </c>
      <c r="F1040" s="62" t="s">
        <v>1941</v>
      </c>
      <c r="G1040" s="62" t="s">
        <v>304</v>
      </c>
      <c r="H1040" s="62" t="s">
        <v>373</v>
      </c>
      <c r="I1040" s="62" t="s">
        <v>825</v>
      </c>
      <c r="J1040" s="62" t="s">
        <v>370</v>
      </c>
      <c r="K1040" s="62" t="s">
        <v>371</v>
      </c>
      <c r="L1040" s="62" t="s">
        <v>2421</v>
      </c>
      <c r="M1040" s="66" t="s">
        <v>1976</v>
      </c>
    </row>
    <row r="1041" spans="1:13" x14ac:dyDescent="0.3">
      <c r="A1041" s="61" t="s">
        <v>2141</v>
      </c>
      <c r="B1041" s="62" t="s">
        <v>1205</v>
      </c>
      <c r="C1041" s="62" t="s">
        <v>1206</v>
      </c>
      <c r="D1041" s="63">
        <v>45432</v>
      </c>
      <c r="E1041" s="63">
        <v>46346</v>
      </c>
      <c r="F1041" s="62" t="s">
        <v>350</v>
      </c>
      <c r="G1041" s="62" t="s">
        <v>350</v>
      </c>
      <c r="H1041" s="62" t="s">
        <v>468</v>
      </c>
      <c r="I1041" s="62" t="s">
        <v>825</v>
      </c>
      <c r="J1041" s="62" t="s">
        <v>374</v>
      </c>
      <c r="K1041" s="62" t="s">
        <v>375</v>
      </c>
      <c r="L1041" s="62" t="s">
        <v>2421</v>
      </c>
      <c r="M1041" s="66" t="s">
        <v>1972</v>
      </c>
    </row>
    <row r="1042" spans="1:13" x14ac:dyDescent="0.3">
      <c r="A1042" s="61" t="s">
        <v>2141</v>
      </c>
      <c r="B1042" s="62" t="s">
        <v>1205</v>
      </c>
      <c r="C1042" s="62" t="s">
        <v>1206</v>
      </c>
      <c r="D1042" s="63">
        <v>45432</v>
      </c>
      <c r="E1042" s="63">
        <v>46346</v>
      </c>
      <c r="F1042" s="62" t="s">
        <v>350</v>
      </c>
      <c r="G1042" s="62" t="s">
        <v>350</v>
      </c>
      <c r="H1042" s="62" t="s">
        <v>2475</v>
      </c>
      <c r="I1042" s="62" t="s">
        <v>825</v>
      </c>
      <c r="J1042" s="62" t="s">
        <v>374</v>
      </c>
      <c r="K1042" s="62" t="s">
        <v>375</v>
      </c>
      <c r="L1042" s="62" t="s">
        <v>2421</v>
      </c>
      <c r="M1042" s="66" t="s">
        <v>1972</v>
      </c>
    </row>
    <row r="1043" spans="1:13" x14ac:dyDescent="0.3">
      <c r="A1043" s="61" t="s">
        <v>2142</v>
      </c>
      <c r="B1043" s="62" t="s">
        <v>1209</v>
      </c>
      <c r="C1043" s="62" t="s">
        <v>1210</v>
      </c>
      <c r="D1043" s="63">
        <v>45292</v>
      </c>
      <c r="E1043" s="63">
        <v>46142</v>
      </c>
      <c r="F1043" s="62" t="s">
        <v>350</v>
      </c>
      <c r="G1043" s="62" t="s">
        <v>350</v>
      </c>
      <c r="H1043" s="62" t="s">
        <v>373</v>
      </c>
      <c r="I1043" s="62" t="s">
        <v>825</v>
      </c>
      <c r="J1043" s="62" t="s">
        <v>355</v>
      </c>
      <c r="K1043" s="62" t="s">
        <v>309</v>
      </c>
      <c r="L1043" s="62" t="s">
        <v>2421</v>
      </c>
      <c r="M1043" s="66" t="s">
        <v>1972</v>
      </c>
    </row>
    <row r="1044" spans="1:13" x14ac:dyDescent="0.3">
      <c r="A1044" s="61" t="s">
        <v>2143</v>
      </c>
      <c r="B1044" s="62" t="s">
        <v>1211</v>
      </c>
      <c r="C1044" s="62" t="s">
        <v>1212</v>
      </c>
      <c r="D1044" s="63">
        <v>45432</v>
      </c>
      <c r="E1044" s="63">
        <v>46387</v>
      </c>
      <c r="F1044" s="62" t="s">
        <v>348</v>
      </c>
      <c r="G1044" s="62" t="s">
        <v>348</v>
      </c>
      <c r="H1044" s="62" t="s">
        <v>1213</v>
      </c>
      <c r="I1044" s="62" t="s">
        <v>1518</v>
      </c>
      <c r="J1044" s="62" t="s">
        <v>458</v>
      </c>
      <c r="K1044" s="62" t="s">
        <v>459</v>
      </c>
      <c r="L1044" s="62" t="s">
        <v>2421</v>
      </c>
      <c r="M1044" s="66" t="s">
        <v>1971</v>
      </c>
    </row>
    <row r="1045" spans="1:13" x14ac:dyDescent="0.3">
      <c r="A1045" s="61" t="s">
        <v>2143</v>
      </c>
      <c r="B1045" s="62" t="s">
        <v>1211</v>
      </c>
      <c r="C1045" s="62" t="s">
        <v>1212</v>
      </c>
      <c r="D1045" s="63">
        <v>45432</v>
      </c>
      <c r="E1045" s="63">
        <v>46387</v>
      </c>
      <c r="F1045" s="62" t="s">
        <v>1934</v>
      </c>
      <c r="G1045" s="62" t="s">
        <v>497</v>
      </c>
      <c r="H1045" s="62" t="s">
        <v>1213</v>
      </c>
      <c r="I1045" s="62" t="s">
        <v>1518</v>
      </c>
      <c r="J1045" s="62" t="s">
        <v>458</v>
      </c>
      <c r="K1045" s="62" t="s">
        <v>459</v>
      </c>
      <c r="L1045" s="62" t="s">
        <v>2421</v>
      </c>
      <c r="M1045" s="66" t="s">
        <v>1971</v>
      </c>
    </row>
    <row r="1046" spans="1:13" x14ac:dyDescent="0.3">
      <c r="A1046" s="61" t="s">
        <v>2143</v>
      </c>
      <c r="B1046" s="62" t="s">
        <v>1211</v>
      </c>
      <c r="C1046" s="62" t="s">
        <v>1212</v>
      </c>
      <c r="D1046" s="63">
        <v>45432</v>
      </c>
      <c r="E1046" s="63">
        <v>46387</v>
      </c>
      <c r="F1046" s="62" t="s">
        <v>1938</v>
      </c>
      <c r="G1046" s="62" t="s">
        <v>304</v>
      </c>
      <c r="H1046" s="62" t="s">
        <v>1213</v>
      </c>
      <c r="I1046" s="62" t="s">
        <v>1518</v>
      </c>
      <c r="J1046" s="62" t="s">
        <v>458</v>
      </c>
      <c r="K1046" s="62" t="s">
        <v>459</v>
      </c>
      <c r="L1046" s="62" t="s">
        <v>2421</v>
      </c>
      <c r="M1046" s="66" t="s">
        <v>1971</v>
      </c>
    </row>
    <row r="1047" spans="1:13" x14ac:dyDescent="0.3">
      <c r="A1047" s="61" t="s">
        <v>2143</v>
      </c>
      <c r="B1047" s="62" t="s">
        <v>1211</v>
      </c>
      <c r="C1047" s="62" t="s">
        <v>1212</v>
      </c>
      <c r="D1047" s="63">
        <v>45432</v>
      </c>
      <c r="E1047" s="63">
        <v>46387</v>
      </c>
      <c r="F1047" s="62" t="s">
        <v>1941</v>
      </c>
      <c r="G1047" s="62" t="s">
        <v>304</v>
      </c>
      <c r="H1047" s="62" t="s">
        <v>1213</v>
      </c>
      <c r="I1047" s="62" t="s">
        <v>1518</v>
      </c>
      <c r="J1047" s="62" t="s">
        <v>458</v>
      </c>
      <c r="K1047" s="62" t="s">
        <v>459</v>
      </c>
      <c r="L1047" s="62" t="s">
        <v>2421</v>
      </c>
      <c r="M1047" s="66" t="s">
        <v>1971</v>
      </c>
    </row>
    <row r="1048" spans="1:13" x14ac:dyDescent="0.3">
      <c r="A1048" s="61" t="s">
        <v>2144</v>
      </c>
      <c r="B1048" s="62" t="s">
        <v>1214</v>
      </c>
      <c r="C1048" s="62" t="s">
        <v>1215</v>
      </c>
      <c r="D1048" s="63">
        <v>45251</v>
      </c>
      <c r="E1048" s="63">
        <v>46163</v>
      </c>
      <c r="F1048" s="62" t="s">
        <v>1921</v>
      </c>
      <c r="G1048" s="62" t="s">
        <v>620</v>
      </c>
      <c r="H1048" s="62" t="s">
        <v>999</v>
      </c>
      <c r="I1048" s="62" t="s">
        <v>825</v>
      </c>
      <c r="J1048" s="62" t="s">
        <v>639</v>
      </c>
      <c r="K1048" s="62" t="s">
        <v>371</v>
      </c>
      <c r="L1048" s="62" t="s">
        <v>2421</v>
      </c>
      <c r="M1048" s="66" t="s">
        <v>2021</v>
      </c>
    </row>
    <row r="1049" spans="1:13" x14ac:dyDescent="0.3">
      <c r="A1049" s="61" t="s">
        <v>2144</v>
      </c>
      <c r="B1049" s="62" t="s">
        <v>1214</v>
      </c>
      <c r="C1049" s="62" t="s">
        <v>1215</v>
      </c>
      <c r="D1049" s="63">
        <v>45251</v>
      </c>
      <c r="E1049" s="63">
        <v>46163</v>
      </c>
      <c r="F1049" s="62" t="s">
        <v>1921</v>
      </c>
      <c r="G1049" s="62" t="s">
        <v>484</v>
      </c>
      <c r="H1049" s="62" t="s">
        <v>999</v>
      </c>
      <c r="I1049" s="62" t="s">
        <v>825</v>
      </c>
      <c r="J1049" s="62" t="s">
        <v>639</v>
      </c>
      <c r="K1049" s="62" t="s">
        <v>371</v>
      </c>
      <c r="L1049" s="62" t="s">
        <v>2421</v>
      </c>
      <c r="M1049" s="66" t="s">
        <v>2021</v>
      </c>
    </row>
    <row r="1050" spans="1:13" x14ac:dyDescent="0.3">
      <c r="A1050" s="61" t="s">
        <v>2144</v>
      </c>
      <c r="B1050" s="62" t="s">
        <v>1214</v>
      </c>
      <c r="C1050" s="62" t="s">
        <v>1215</v>
      </c>
      <c r="D1050" s="63">
        <v>45251</v>
      </c>
      <c r="E1050" s="63">
        <v>46163</v>
      </c>
      <c r="F1050" s="62" t="s">
        <v>1921</v>
      </c>
      <c r="G1050" s="62" t="s">
        <v>487</v>
      </c>
      <c r="H1050" s="62" t="s">
        <v>999</v>
      </c>
      <c r="I1050" s="62" t="s">
        <v>825</v>
      </c>
      <c r="J1050" s="62" t="s">
        <v>639</v>
      </c>
      <c r="K1050" s="62" t="s">
        <v>371</v>
      </c>
      <c r="L1050" s="62" t="s">
        <v>2421</v>
      </c>
      <c r="M1050" s="66" t="s">
        <v>2021</v>
      </c>
    </row>
    <row r="1051" spans="1:13" x14ac:dyDescent="0.3">
      <c r="A1051" s="61" t="s">
        <v>2144</v>
      </c>
      <c r="B1051" s="62" t="s">
        <v>1214</v>
      </c>
      <c r="C1051" s="62" t="s">
        <v>1215</v>
      </c>
      <c r="D1051" s="63">
        <v>45251</v>
      </c>
      <c r="E1051" s="63">
        <v>46163</v>
      </c>
      <c r="F1051" s="62" t="s">
        <v>1940</v>
      </c>
      <c r="G1051" s="62" t="s">
        <v>561</v>
      </c>
      <c r="H1051" s="62" t="s">
        <v>999</v>
      </c>
      <c r="I1051" s="62" t="s">
        <v>825</v>
      </c>
      <c r="J1051" s="62" t="s">
        <v>639</v>
      </c>
      <c r="K1051" s="62" t="s">
        <v>371</v>
      </c>
      <c r="L1051" s="62" t="s">
        <v>2421</v>
      </c>
      <c r="M1051" s="66" t="s">
        <v>2021</v>
      </c>
    </row>
    <row r="1052" spans="1:13" x14ac:dyDescent="0.3">
      <c r="A1052" s="61" t="s">
        <v>2144</v>
      </c>
      <c r="B1052" s="62" t="s">
        <v>1214</v>
      </c>
      <c r="C1052" s="62" t="s">
        <v>1215</v>
      </c>
      <c r="D1052" s="63">
        <v>45251</v>
      </c>
      <c r="E1052" s="63">
        <v>46163</v>
      </c>
      <c r="F1052" s="62" t="s">
        <v>1940</v>
      </c>
      <c r="G1052" s="62" t="s">
        <v>451</v>
      </c>
      <c r="H1052" s="62" t="s">
        <v>999</v>
      </c>
      <c r="I1052" s="62" t="s">
        <v>825</v>
      </c>
      <c r="J1052" s="62" t="s">
        <v>639</v>
      </c>
      <c r="K1052" s="62" t="s">
        <v>371</v>
      </c>
      <c r="L1052" s="62" t="s">
        <v>2421</v>
      </c>
      <c r="M1052" s="66" t="s">
        <v>2021</v>
      </c>
    </row>
    <row r="1053" spans="1:13" x14ac:dyDescent="0.3">
      <c r="A1053" s="61" t="s">
        <v>2145</v>
      </c>
      <c r="B1053" s="62" t="s">
        <v>1216</v>
      </c>
      <c r="C1053" s="62" t="s">
        <v>1217</v>
      </c>
      <c r="D1053" s="63">
        <v>44883</v>
      </c>
      <c r="E1053" s="63">
        <v>46341</v>
      </c>
      <c r="F1053" s="62" t="s">
        <v>1934</v>
      </c>
      <c r="G1053" s="62" t="s">
        <v>618</v>
      </c>
      <c r="H1053" s="62" t="s">
        <v>441</v>
      </c>
      <c r="I1053" s="62" t="s">
        <v>356</v>
      </c>
      <c r="J1053" s="62" t="s">
        <v>1218</v>
      </c>
      <c r="K1053" s="62" t="s">
        <v>596</v>
      </c>
      <c r="L1053" s="62" t="s">
        <v>2421</v>
      </c>
      <c r="M1053" s="66" t="s">
        <v>2021</v>
      </c>
    </row>
    <row r="1054" spans="1:13" x14ac:dyDescent="0.3">
      <c r="A1054" s="61" t="s">
        <v>2145</v>
      </c>
      <c r="B1054" s="62" t="s">
        <v>1216</v>
      </c>
      <c r="C1054" s="62" t="s">
        <v>1217</v>
      </c>
      <c r="D1054" s="63">
        <v>44883</v>
      </c>
      <c r="E1054" s="63">
        <v>46341</v>
      </c>
      <c r="F1054" s="62" t="s">
        <v>1934</v>
      </c>
      <c r="G1054" s="62" t="s">
        <v>727</v>
      </c>
      <c r="H1054" s="62" t="s">
        <v>441</v>
      </c>
      <c r="I1054" s="62" t="s">
        <v>356</v>
      </c>
      <c r="J1054" s="62" t="s">
        <v>1218</v>
      </c>
      <c r="K1054" s="62" t="s">
        <v>596</v>
      </c>
      <c r="L1054" s="62" t="s">
        <v>2421</v>
      </c>
      <c r="M1054" s="66" t="s">
        <v>2021</v>
      </c>
    </row>
    <row r="1055" spans="1:13" x14ac:dyDescent="0.3">
      <c r="A1055" s="61" t="s">
        <v>2145</v>
      </c>
      <c r="B1055" s="62" t="s">
        <v>1216</v>
      </c>
      <c r="C1055" s="62" t="s">
        <v>1217</v>
      </c>
      <c r="D1055" s="63">
        <v>44883</v>
      </c>
      <c r="E1055" s="63">
        <v>46341</v>
      </c>
      <c r="F1055" s="62" t="s">
        <v>1934</v>
      </c>
      <c r="G1055" s="62" t="s">
        <v>497</v>
      </c>
      <c r="H1055" s="62" t="s">
        <v>441</v>
      </c>
      <c r="I1055" s="62" t="s">
        <v>356</v>
      </c>
      <c r="J1055" s="62" t="s">
        <v>1218</v>
      </c>
      <c r="K1055" s="62" t="s">
        <v>596</v>
      </c>
      <c r="L1055" s="62" t="s">
        <v>2421</v>
      </c>
      <c r="M1055" s="66" t="s">
        <v>2021</v>
      </c>
    </row>
    <row r="1056" spans="1:13" x14ac:dyDescent="0.3">
      <c r="A1056" s="61" t="s">
        <v>2145</v>
      </c>
      <c r="B1056" s="62" t="s">
        <v>1216</v>
      </c>
      <c r="C1056" s="62" t="s">
        <v>1217</v>
      </c>
      <c r="D1056" s="63">
        <v>44883</v>
      </c>
      <c r="E1056" s="63">
        <v>46341</v>
      </c>
      <c r="F1056" s="62" t="s">
        <v>1934</v>
      </c>
      <c r="G1056" s="62" t="s">
        <v>523</v>
      </c>
      <c r="H1056" s="62" t="s">
        <v>441</v>
      </c>
      <c r="I1056" s="62" t="s">
        <v>356</v>
      </c>
      <c r="J1056" s="62" t="s">
        <v>1218</v>
      </c>
      <c r="K1056" s="62" t="s">
        <v>596</v>
      </c>
      <c r="L1056" s="62" t="s">
        <v>2421</v>
      </c>
      <c r="M1056" s="66" t="s">
        <v>2021</v>
      </c>
    </row>
    <row r="1057" spans="1:13" x14ac:dyDescent="0.3">
      <c r="A1057" s="61" t="s">
        <v>2145</v>
      </c>
      <c r="B1057" s="62" t="s">
        <v>1216</v>
      </c>
      <c r="C1057" s="62" t="s">
        <v>1217</v>
      </c>
      <c r="D1057" s="63">
        <v>44883</v>
      </c>
      <c r="E1057" s="63">
        <v>46341</v>
      </c>
      <c r="F1057" s="62" t="s">
        <v>1934</v>
      </c>
      <c r="G1057" s="62" t="s">
        <v>524</v>
      </c>
      <c r="H1057" s="62" t="s">
        <v>441</v>
      </c>
      <c r="I1057" s="62" t="s">
        <v>356</v>
      </c>
      <c r="J1057" s="62" t="s">
        <v>1218</v>
      </c>
      <c r="K1057" s="62" t="s">
        <v>596</v>
      </c>
      <c r="L1057" s="62" t="s">
        <v>2421</v>
      </c>
      <c r="M1057" s="66" t="s">
        <v>2021</v>
      </c>
    </row>
    <row r="1058" spans="1:13" x14ac:dyDescent="0.3">
      <c r="A1058" s="61" t="s">
        <v>2145</v>
      </c>
      <c r="B1058" s="62" t="s">
        <v>1216</v>
      </c>
      <c r="C1058" s="62" t="s">
        <v>1217</v>
      </c>
      <c r="D1058" s="63">
        <v>44883</v>
      </c>
      <c r="E1058" s="63">
        <v>46341</v>
      </c>
      <c r="F1058" s="62" t="s">
        <v>1934</v>
      </c>
      <c r="G1058" s="62" t="s">
        <v>525</v>
      </c>
      <c r="H1058" s="62" t="s">
        <v>441</v>
      </c>
      <c r="I1058" s="62" t="s">
        <v>356</v>
      </c>
      <c r="J1058" s="62" t="s">
        <v>1218</v>
      </c>
      <c r="K1058" s="62" t="s">
        <v>596</v>
      </c>
      <c r="L1058" s="62" t="s">
        <v>2421</v>
      </c>
      <c r="M1058" s="66" t="s">
        <v>2021</v>
      </c>
    </row>
    <row r="1059" spans="1:13" x14ac:dyDescent="0.3">
      <c r="A1059" s="61" t="s">
        <v>2145</v>
      </c>
      <c r="B1059" s="62" t="s">
        <v>1216</v>
      </c>
      <c r="C1059" s="62" t="s">
        <v>1217</v>
      </c>
      <c r="D1059" s="63">
        <v>44883</v>
      </c>
      <c r="E1059" s="63">
        <v>46341</v>
      </c>
      <c r="F1059" s="62" t="s">
        <v>1934</v>
      </c>
      <c r="G1059" s="62" t="s">
        <v>477</v>
      </c>
      <c r="H1059" s="62" t="s">
        <v>441</v>
      </c>
      <c r="I1059" s="62" t="s">
        <v>356</v>
      </c>
      <c r="J1059" s="62" t="s">
        <v>1218</v>
      </c>
      <c r="K1059" s="62" t="s">
        <v>596</v>
      </c>
      <c r="L1059" s="62" t="s">
        <v>2421</v>
      </c>
      <c r="M1059" s="66" t="s">
        <v>2021</v>
      </c>
    </row>
    <row r="1060" spans="1:13" x14ac:dyDescent="0.3">
      <c r="A1060" s="61" t="s">
        <v>2145</v>
      </c>
      <c r="B1060" s="62" t="s">
        <v>1216</v>
      </c>
      <c r="C1060" s="62" t="s">
        <v>1217</v>
      </c>
      <c r="D1060" s="63">
        <v>44883</v>
      </c>
      <c r="E1060" s="63">
        <v>46341</v>
      </c>
      <c r="F1060" s="62" t="s">
        <v>1934</v>
      </c>
      <c r="G1060" s="62" t="s">
        <v>526</v>
      </c>
      <c r="H1060" s="62" t="s">
        <v>441</v>
      </c>
      <c r="I1060" s="62" t="s">
        <v>356</v>
      </c>
      <c r="J1060" s="62" t="s">
        <v>1218</v>
      </c>
      <c r="K1060" s="62" t="s">
        <v>596</v>
      </c>
      <c r="L1060" s="62" t="s">
        <v>2421</v>
      </c>
      <c r="M1060" s="66" t="s">
        <v>2021</v>
      </c>
    </row>
    <row r="1061" spans="1:13" x14ac:dyDescent="0.3">
      <c r="A1061" s="61" t="s">
        <v>2145</v>
      </c>
      <c r="B1061" s="62" t="s">
        <v>1216</v>
      </c>
      <c r="C1061" s="62" t="s">
        <v>1217</v>
      </c>
      <c r="D1061" s="63">
        <v>44883</v>
      </c>
      <c r="E1061" s="63">
        <v>46341</v>
      </c>
      <c r="F1061" s="62" t="s">
        <v>1934</v>
      </c>
      <c r="G1061" s="62" t="s">
        <v>527</v>
      </c>
      <c r="H1061" s="62" t="s">
        <v>441</v>
      </c>
      <c r="I1061" s="62" t="s">
        <v>356</v>
      </c>
      <c r="J1061" s="62" t="s">
        <v>1218</v>
      </c>
      <c r="K1061" s="62" t="s">
        <v>596</v>
      </c>
      <c r="L1061" s="62" t="s">
        <v>2421</v>
      </c>
      <c r="M1061" s="66" t="s">
        <v>2021</v>
      </c>
    </row>
    <row r="1062" spans="1:13" x14ac:dyDescent="0.3">
      <c r="A1062" s="61" t="s">
        <v>2145</v>
      </c>
      <c r="B1062" s="62" t="s">
        <v>1216</v>
      </c>
      <c r="C1062" s="62" t="s">
        <v>1217</v>
      </c>
      <c r="D1062" s="63">
        <v>44883</v>
      </c>
      <c r="E1062" s="63">
        <v>46341</v>
      </c>
      <c r="F1062" s="62" t="s">
        <v>1934</v>
      </c>
      <c r="G1062" s="62" t="s">
        <v>528</v>
      </c>
      <c r="H1062" s="62" t="s">
        <v>441</v>
      </c>
      <c r="I1062" s="62" t="s">
        <v>356</v>
      </c>
      <c r="J1062" s="62" t="s">
        <v>1218</v>
      </c>
      <c r="K1062" s="62" t="s">
        <v>596</v>
      </c>
      <c r="L1062" s="62" t="s">
        <v>2421</v>
      </c>
      <c r="M1062" s="66" t="s">
        <v>2021</v>
      </c>
    </row>
    <row r="1063" spans="1:13" x14ac:dyDescent="0.3">
      <c r="A1063" s="61" t="s">
        <v>2145</v>
      </c>
      <c r="B1063" s="62" t="s">
        <v>1216</v>
      </c>
      <c r="C1063" s="62" t="s">
        <v>1217</v>
      </c>
      <c r="D1063" s="63">
        <v>44883</v>
      </c>
      <c r="E1063" s="63">
        <v>46341</v>
      </c>
      <c r="F1063" s="62" t="s">
        <v>1934</v>
      </c>
      <c r="G1063" s="62" t="s">
        <v>498</v>
      </c>
      <c r="H1063" s="62" t="s">
        <v>441</v>
      </c>
      <c r="I1063" s="62" t="s">
        <v>356</v>
      </c>
      <c r="J1063" s="62" t="s">
        <v>1218</v>
      </c>
      <c r="K1063" s="62" t="s">
        <v>596</v>
      </c>
      <c r="L1063" s="62" t="s">
        <v>2421</v>
      </c>
      <c r="M1063" s="66" t="s">
        <v>2021</v>
      </c>
    </row>
    <row r="1064" spans="1:13" x14ac:dyDescent="0.3">
      <c r="A1064" s="61" t="s">
        <v>2145</v>
      </c>
      <c r="B1064" s="62" t="s">
        <v>1216</v>
      </c>
      <c r="C1064" s="62" t="s">
        <v>1217</v>
      </c>
      <c r="D1064" s="63">
        <v>44883</v>
      </c>
      <c r="E1064" s="63">
        <v>46341</v>
      </c>
      <c r="F1064" s="62" t="s">
        <v>1934</v>
      </c>
      <c r="G1064" s="62" t="s">
        <v>631</v>
      </c>
      <c r="H1064" s="62" t="s">
        <v>441</v>
      </c>
      <c r="I1064" s="62" t="s">
        <v>356</v>
      </c>
      <c r="J1064" s="62" t="s">
        <v>1218</v>
      </c>
      <c r="K1064" s="62" t="s">
        <v>596</v>
      </c>
      <c r="L1064" s="62" t="s">
        <v>2421</v>
      </c>
      <c r="M1064" s="66" t="s">
        <v>2021</v>
      </c>
    </row>
    <row r="1065" spans="1:13" x14ac:dyDescent="0.3">
      <c r="A1065" s="61" t="s">
        <v>2145</v>
      </c>
      <c r="B1065" s="62" t="s">
        <v>1216</v>
      </c>
      <c r="C1065" s="62" t="s">
        <v>1217</v>
      </c>
      <c r="D1065" s="63">
        <v>44883</v>
      </c>
      <c r="E1065" s="63">
        <v>46341</v>
      </c>
      <c r="F1065" s="62" t="s">
        <v>1934</v>
      </c>
      <c r="G1065" s="62" t="s">
        <v>499</v>
      </c>
      <c r="H1065" s="62" t="s">
        <v>441</v>
      </c>
      <c r="I1065" s="62" t="s">
        <v>356</v>
      </c>
      <c r="J1065" s="62" t="s">
        <v>1218</v>
      </c>
      <c r="K1065" s="62" t="s">
        <v>596</v>
      </c>
      <c r="L1065" s="62" t="s">
        <v>2421</v>
      </c>
      <c r="M1065" s="66" t="s">
        <v>2021</v>
      </c>
    </row>
    <row r="1066" spans="1:13" x14ac:dyDescent="0.3">
      <c r="A1066" s="61" t="s">
        <v>2145</v>
      </c>
      <c r="B1066" s="62" t="s">
        <v>1216</v>
      </c>
      <c r="C1066" s="62" t="s">
        <v>1217</v>
      </c>
      <c r="D1066" s="63">
        <v>44883</v>
      </c>
      <c r="E1066" s="63">
        <v>46341</v>
      </c>
      <c r="F1066" s="62" t="s">
        <v>1934</v>
      </c>
      <c r="G1066" s="62" t="s">
        <v>500</v>
      </c>
      <c r="H1066" s="62" t="s">
        <v>441</v>
      </c>
      <c r="I1066" s="62" t="s">
        <v>356</v>
      </c>
      <c r="J1066" s="62" t="s">
        <v>1218</v>
      </c>
      <c r="K1066" s="62" t="s">
        <v>596</v>
      </c>
      <c r="L1066" s="62" t="s">
        <v>2421</v>
      </c>
      <c r="M1066" s="66" t="s">
        <v>2021</v>
      </c>
    </row>
    <row r="1067" spans="1:13" x14ac:dyDescent="0.3">
      <c r="A1067" s="61" t="s">
        <v>2145</v>
      </c>
      <c r="B1067" s="62" t="s">
        <v>1216</v>
      </c>
      <c r="C1067" s="62" t="s">
        <v>1217</v>
      </c>
      <c r="D1067" s="63">
        <v>44883</v>
      </c>
      <c r="E1067" s="63">
        <v>46341</v>
      </c>
      <c r="F1067" s="62" t="s">
        <v>1934</v>
      </c>
      <c r="G1067" s="62" t="s">
        <v>529</v>
      </c>
      <c r="H1067" s="62" t="s">
        <v>441</v>
      </c>
      <c r="I1067" s="62" t="s">
        <v>356</v>
      </c>
      <c r="J1067" s="62" t="s">
        <v>1218</v>
      </c>
      <c r="K1067" s="62" t="s">
        <v>596</v>
      </c>
      <c r="L1067" s="62" t="s">
        <v>2421</v>
      </c>
      <c r="M1067" s="66" t="s">
        <v>2021</v>
      </c>
    </row>
    <row r="1068" spans="1:13" x14ac:dyDescent="0.3">
      <c r="A1068" s="61" t="s">
        <v>2145</v>
      </c>
      <c r="B1068" s="62" t="s">
        <v>1216</v>
      </c>
      <c r="C1068" s="62" t="s">
        <v>1217</v>
      </c>
      <c r="D1068" s="63">
        <v>44883</v>
      </c>
      <c r="E1068" s="63">
        <v>46341</v>
      </c>
      <c r="F1068" s="62" t="s">
        <v>1934</v>
      </c>
      <c r="G1068" s="62" t="s">
        <v>530</v>
      </c>
      <c r="H1068" s="62" t="s">
        <v>441</v>
      </c>
      <c r="I1068" s="62" t="s">
        <v>356</v>
      </c>
      <c r="J1068" s="62" t="s">
        <v>1218</v>
      </c>
      <c r="K1068" s="62" t="s">
        <v>596</v>
      </c>
      <c r="L1068" s="62" t="s">
        <v>2421</v>
      </c>
      <c r="M1068" s="66" t="s">
        <v>2021</v>
      </c>
    </row>
    <row r="1069" spans="1:13" x14ac:dyDescent="0.3">
      <c r="A1069" s="61" t="s">
        <v>2145</v>
      </c>
      <c r="B1069" s="62" t="s">
        <v>1216</v>
      </c>
      <c r="C1069" s="62" t="s">
        <v>1217</v>
      </c>
      <c r="D1069" s="63">
        <v>44883</v>
      </c>
      <c r="E1069" s="63">
        <v>46341</v>
      </c>
      <c r="F1069" s="62" t="s">
        <v>1944</v>
      </c>
      <c r="G1069" s="62" t="s">
        <v>675</v>
      </c>
      <c r="H1069" s="62" t="s">
        <v>441</v>
      </c>
      <c r="I1069" s="62" t="s">
        <v>356</v>
      </c>
      <c r="J1069" s="62" t="s">
        <v>1218</v>
      </c>
      <c r="K1069" s="62" t="s">
        <v>596</v>
      </c>
      <c r="L1069" s="62" t="s">
        <v>2421</v>
      </c>
      <c r="M1069" s="66" t="s">
        <v>2021</v>
      </c>
    </row>
    <row r="1070" spans="1:13" x14ac:dyDescent="0.3">
      <c r="A1070" s="61" t="s">
        <v>2145</v>
      </c>
      <c r="B1070" s="62" t="s">
        <v>1216</v>
      </c>
      <c r="C1070" s="62" t="s">
        <v>1217</v>
      </c>
      <c r="D1070" s="63">
        <v>44883</v>
      </c>
      <c r="E1070" s="63">
        <v>46341</v>
      </c>
      <c r="F1070" s="62" t="s">
        <v>1944</v>
      </c>
      <c r="G1070" s="62" t="s">
        <v>676</v>
      </c>
      <c r="H1070" s="62" t="s">
        <v>441</v>
      </c>
      <c r="I1070" s="62" t="s">
        <v>356</v>
      </c>
      <c r="J1070" s="62" t="s">
        <v>1218</v>
      </c>
      <c r="K1070" s="62" t="s">
        <v>596</v>
      </c>
      <c r="L1070" s="62" t="s">
        <v>2421</v>
      </c>
      <c r="M1070" s="66" t="s">
        <v>2021</v>
      </c>
    </row>
    <row r="1071" spans="1:13" x14ac:dyDescent="0.3">
      <c r="A1071" s="61" t="s">
        <v>2145</v>
      </c>
      <c r="B1071" s="62" t="s">
        <v>1216</v>
      </c>
      <c r="C1071" s="62" t="s">
        <v>1217</v>
      </c>
      <c r="D1071" s="63">
        <v>44883</v>
      </c>
      <c r="E1071" s="63">
        <v>46341</v>
      </c>
      <c r="F1071" s="62" t="s">
        <v>1944</v>
      </c>
      <c r="G1071" s="62" t="s">
        <v>677</v>
      </c>
      <c r="H1071" s="62" t="s">
        <v>441</v>
      </c>
      <c r="I1071" s="62" t="s">
        <v>356</v>
      </c>
      <c r="J1071" s="62" t="s">
        <v>1218</v>
      </c>
      <c r="K1071" s="62" t="s">
        <v>596</v>
      </c>
      <c r="L1071" s="62" t="s">
        <v>2421</v>
      </c>
      <c r="M1071" s="66" t="s">
        <v>2021</v>
      </c>
    </row>
    <row r="1072" spans="1:13" x14ac:dyDescent="0.3">
      <c r="A1072" s="61" t="s">
        <v>2145</v>
      </c>
      <c r="B1072" s="62" t="s">
        <v>1216</v>
      </c>
      <c r="C1072" s="62" t="s">
        <v>1217</v>
      </c>
      <c r="D1072" s="63">
        <v>44883</v>
      </c>
      <c r="E1072" s="63">
        <v>46341</v>
      </c>
      <c r="F1072" s="62" t="s">
        <v>1944</v>
      </c>
      <c r="G1072" s="62" t="s">
        <v>678</v>
      </c>
      <c r="H1072" s="62" t="s">
        <v>441</v>
      </c>
      <c r="I1072" s="62" t="s">
        <v>356</v>
      </c>
      <c r="J1072" s="62" t="s">
        <v>1218</v>
      </c>
      <c r="K1072" s="62" t="s">
        <v>596</v>
      </c>
      <c r="L1072" s="62" t="s">
        <v>2421</v>
      </c>
      <c r="M1072" s="66" t="s">
        <v>2021</v>
      </c>
    </row>
    <row r="1073" spans="1:13" x14ac:dyDescent="0.3">
      <c r="A1073" s="61" t="s">
        <v>2145</v>
      </c>
      <c r="B1073" s="62" t="s">
        <v>1216</v>
      </c>
      <c r="C1073" s="62" t="s">
        <v>1217</v>
      </c>
      <c r="D1073" s="63">
        <v>44883</v>
      </c>
      <c r="E1073" s="63">
        <v>46341</v>
      </c>
      <c r="F1073" s="62" t="s">
        <v>1939</v>
      </c>
      <c r="G1073" s="62" t="s">
        <v>1128</v>
      </c>
      <c r="H1073" s="62" t="s">
        <v>441</v>
      </c>
      <c r="I1073" s="62" t="s">
        <v>356</v>
      </c>
      <c r="J1073" s="62" t="s">
        <v>1218</v>
      </c>
      <c r="K1073" s="62" t="s">
        <v>596</v>
      </c>
      <c r="L1073" s="62" t="s">
        <v>2421</v>
      </c>
      <c r="M1073" s="66" t="s">
        <v>2021</v>
      </c>
    </row>
    <row r="1074" spans="1:13" x14ac:dyDescent="0.3">
      <c r="A1074" s="61" t="s">
        <v>2146</v>
      </c>
      <c r="B1074" s="62" t="s">
        <v>1219</v>
      </c>
      <c r="C1074" s="62" t="s">
        <v>1220</v>
      </c>
      <c r="D1074" s="63">
        <v>42604</v>
      </c>
      <c r="E1074" s="63">
        <v>48213</v>
      </c>
      <c r="F1074" s="62" t="s">
        <v>1959</v>
      </c>
      <c r="G1074" s="62" t="s">
        <v>466</v>
      </c>
      <c r="H1074" s="62" t="s">
        <v>939</v>
      </c>
      <c r="I1074" s="62" t="s">
        <v>307</v>
      </c>
      <c r="J1074" s="62" t="s">
        <v>370</v>
      </c>
      <c r="K1074" s="62" t="s">
        <v>371</v>
      </c>
      <c r="L1074" s="62" t="s">
        <v>2421</v>
      </c>
      <c r="M1074" s="66" t="s">
        <v>1984</v>
      </c>
    </row>
    <row r="1075" spans="1:13" x14ac:dyDescent="0.3">
      <c r="A1075" s="61" t="s">
        <v>2146</v>
      </c>
      <c r="B1075" s="62" t="s">
        <v>1219</v>
      </c>
      <c r="C1075" s="62" t="s">
        <v>1220</v>
      </c>
      <c r="D1075" s="63">
        <v>42604</v>
      </c>
      <c r="E1075" s="63">
        <v>48213</v>
      </c>
      <c r="F1075" s="62" t="s">
        <v>1959</v>
      </c>
      <c r="G1075" s="62" t="s">
        <v>582</v>
      </c>
      <c r="H1075" s="62" t="s">
        <v>939</v>
      </c>
      <c r="I1075" s="62" t="s">
        <v>307</v>
      </c>
      <c r="J1075" s="62" t="s">
        <v>370</v>
      </c>
      <c r="K1075" s="62" t="s">
        <v>371</v>
      </c>
      <c r="L1075" s="62" t="s">
        <v>2421</v>
      </c>
      <c r="M1075" s="66" t="s">
        <v>1984</v>
      </c>
    </row>
    <row r="1076" spans="1:13" x14ac:dyDescent="0.3">
      <c r="A1076" s="61" t="s">
        <v>2146</v>
      </c>
      <c r="B1076" s="62" t="s">
        <v>1219</v>
      </c>
      <c r="C1076" s="62" t="s">
        <v>1220</v>
      </c>
      <c r="D1076" s="63">
        <v>42604</v>
      </c>
      <c r="E1076" s="63">
        <v>48213</v>
      </c>
      <c r="F1076" s="62" t="s">
        <v>1959</v>
      </c>
      <c r="G1076" s="62" t="s">
        <v>679</v>
      </c>
      <c r="H1076" s="62" t="s">
        <v>939</v>
      </c>
      <c r="I1076" s="62" t="s">
        <v>307</v>
      </c>
      <c r="J1076" s="62" t="s">
        <v>370</v>
      </c>
      <c r="K1076" s="62" t="s">
        <v>371</v>
      </c>
      <c r="L1076" s="62" t="s">
        <v>2421</v>
      </c>
      <c r="M1076" s="66" t="s">
        <v>1984</v>
      </c>
    </row>
    <row r="1077" spans="1:13" x14ac:dyDescent="0.3">
      <c r="A1077" s="61" t="s">
        <v>2146</v>
      </c>
      <c r="B1077" s="62" t="s">
        <v>1219</v>
      </c>
      <c r="C1077" s="62" t="s">
        <v>1220</v>
      </c>
      <c r="D1077" s="63">
        <v>42604</v>
      </c>
      <c r="E1077" s="63">
        <v>48213</v>
      </c>
      <c r="F1077" s="62" t="s">
        <v>1959</v>
      </c>
      <c r="G1077" s="62" t="s">
        <v>667</v>
      </c>
      <c r="H1077" s="62" t="s">
        <v>939</v>
      </c>
      <c r="I1077" s="62" t="s">
        <v>307</v>
      </c>
      <c r="J1077" s="62" t="s">
        <v>370</v>
      </c>
      <c r="K1077" s="62" t="s">
        <v>371</v>
      </c>
      <c r="L1077" s="62" t="s">
        <v>2421</v>
      </c>
      <c r="M1077" s="66" t="s">
        <v>1984</v>
      </c>
    </row>
    <row r="1078" spans="1:13" x14ac:dyDescent="0.3">
      <c r="A1078" s="61" t="s">
        <v>2146</v>
      </c>
      <c r="B1078" s="62" t="s">
        <v>1219</v>
      </c>
      <c r="C1078" s="62" t="s">
        <v>1220</v>
      </c>
      <c r="D1078" s="63">
        <v>42604</v>
      </c>
      <c r="E1078" s="63">
        <v>48213</v>
      </c>
      <c r="F1078" s="62" t="s">
        <v>1959</v>
      </c>
      <c r="G1078" s="62" t="s">
        <v>586</v>
      </c>
      <c r="H1078" s="62" t="s">
        <v>939</v>
      </c>
      <c r="I1078" s="62" t="s">
        <v>307</v>
      </c>
      <c r="J1078" s="62" t="s">
        <v>370</v>
      </c>
      <c r="K1078" s="62" t="s">
        <v>371</v>
      </c>
      <c r="L1078" s="62" t="s">
        <v>2421</v>
      </c>
      <c r="M1078" s="66" t="s">
        <v>1984</v>
      </c>
    </row>
    <row r="1079" spans="1:13" x14ac:dyDescent="0.3">
      <c r="A1079" s="61" t="s">
        <v>2146</v>
      </c>
      <c r="B1079" s="62" t="s">
        <v>1219</v>
      </c>
      <c r="C1079" s="62" t="s">
        <v>1220</v>
      </c>
      <c r="D1079" s="63">
        <v>42604</v>
      </c>
      <c r="E1079" s="63">
        <v>48213</v>
      </c>
      <c r="F1079" s="62" t="s">
        <v>1959</v>
      </c>
      <c r="G1079" s="62" t="s">
        <v>587</v>
      </c>
      <c r="H1079" s="62" t="s">
        <v>939</v>
      </c>
      <c r="I1079" s="62" t="s">
        <v>307</v>
      </c>
      <c r="J1079" s="62" t="s">
        <v>370</v>
      </c>
      <c r="K1079" s="62" t="s">
        <v>371</v>
      </c>
      <c r="L1079" s="62" t="s">
        <v>2421</v>
      </c>
      <c r="M1079" s="66" t="s">
        <v>1984</v>
      </c>
    </row>
    <row r="1080" spans="1:13" x14ac:dyDescent="0.3">
      <c r="A1080" s="61" t="s">
        <v>2146</v>
      </c>
      <c r="B1080" s="62" t="s">
        <v>1219</v>
      </c>
      <c r="C1080" s="62" t="s">
        <v>1220</v>
      </c>
      <c r="D1080" s="63">
        <v>42604</v>
      </c>
      <c r="E1080" s="63">
        <v>48213</v>
      </c>
      <c r="F1080" s="62" t="s">
        <v>1959</v>
      </c>
      <c r="G1080" s="62" t="s">
        <v>668</v>
      </c>
      <c r="H1080" s="62" t="s">
        <v>939</v>
      </c>
      <c r="I1080" s="62" t="s">
        <v>307</v>
      </c>
      <c r="J1080" s="62" t="s">
        <v>370</v>
      </c>
      <c r="K1080" s="62" t="s">
        <v>371</v>
      </c>
      <c r="L1080" s="62" t="s">
        <v>2421</v>
      </c>
      <c r="M1080" s="66" t="s">
        <v>1984</v>
      </c>
    </row>
    <row r="1081" spans="1:13" x14ac:dyDescent="0.3">
      <c r="A1081" s="61" t="s">
        <v>2146</v>
      </c>
      <c r="B1081" s="62" t="s">
        <v>1219</v>
      </c>
      <c r="C1081" s="62" t="s">
        <v>1220</v>
      </c>
      <c r="D1081" s="63">
        <v>42604</v>
      </c>
      <c r="E1081" s="63">
        <v>48213</v>
      </c>
      <c r="F1081" s="62" t="s">
        <v>1959</v>
      </c>
      <c r="G1081" s="62" t="s">
        <v>805</v>
      </c>
      <c r="H1081" s="62" t="s">
        <v>939</v>
      </c>
      <c r="I1081" s="62" t="s">
        <v>307</v>
      </c>
      <c r="J1081" s="62" t="s">
        <v>370</v>
      </c>
      <c r="K1081" s="62" t="s">
        <v>371</v>
      </c>
      <c r="L1081" s="62" t="s">
        <v>2421</v>
      </c>
      <c r="M1081" s="66" t="s">
        <v>1984</v>
      </c>
    </row>
    <row r="1082" spans="1:13" x14ac:dyDescent="0.3">
      <c r="A1082" s="61" t="s">
        <v>2146</v>
      </c>
      <c r="B1082" s="62" t="s">
        <v>1219</v>
      </c>
      <c r="C1082" s="62" t="s">
        <v>1220</v>
      </c>
      <c r="D1082" s="63">
        <v>42604</v>
      </c>
      <c r="E1082" s="63">
        <v>48213</v>
      </c>
      <c r="F1082" s="62" t="s">
        <v>1959</v>
      </c>
      <c r="G1082" s="62" t="s">
        <v>795</v>
      </c>
      <c r="H1082" s="62" t="s">
        <v>939</v>
      </c>
      <c r="I1082" s="62" t="s">
        <v>307</v>
      </c>
      <c r="J1082" s="62" t="s">
        <v>370</v>
      </c>
      <c r="K1082" s="62" t="s">
        <v>371</v>
      </c>
      <c r="L1082" s="62" t="s">
        <v>2421</v>
      </c>
      <c r="M1082" s="66" t="s">
        <v>1984</v>
      </c>
    </row>
    <row r="1083" spans="1:13" x14ac:dyDescent="0.3">
      <c r="A1083" s="61" t="s">
        <v>2146</v>
      </c>
      <c r="B1083" s="62" t="s">
        <v>1219</v>
      </c>
      <c r="C1083" s="62" t="s">
        <v>1220</v>
      </c>
      <c r="D1083" s="63">
        <v>42604</v>
      </c>
      <c r="E1083" s="63">
        <v>48213</v>
      </c>
      <c r="F1083" s="62" t="s">
        <v>1959</v>
      </c>
      <c r="G1083" s="62" t="s">
        <v>475</v>
      </c>
      <c r="H1083" s="62" t="s">
        <v>939</v>
      </c>
      <c r="I1083" s="62" t="s">
        <v>307</v>
      </c>
      <c r="J1083" s="62" t="s">
        <v>370</v>
      </c>
      <c r="K1083" s="62" t="s">
        <v>371</v>
      </c>
      <c r="L1083" s="62" t="s">
        <v>2421</v>
      </c>
      <c r="M1083" s="66" t="s">
        <v>1984</v>
      </c>
    </row>
    <row r="1084" spans="1:13" x14ac:dyDescent="0.3">
      <c r="A1084" s="61" t="s">
        <v>2146</v>
      </c>
      <c r="B1084" s="62" t="s">
        <v>1219</v>
      </c>
      <c r="C1084" s="62" t="s">
        <v>1220</v>
      </c>
      <c r="D1084" s="63">
        <v>42604</v>
      </c>
      <c r="E1084" s="63">
        <v>48213</v>
      </c>
      <c r="F1084" s="62" t="s">
        <v>1959</v>
      </c>
      <c r="G1084" s="62" t="s">
        <v>808</v>
      </c>
      <c r="H1084" s="62" t="s">
        <v>939</v>
      </c>
      <c r="I1084" s="62" t="s">
        <v>307</v>
      </c>
      <c r="J1084" s="62" t="s">
        <v>370</v>
      </c>
      <c r="K1084" s="62" t="s">
        <v>371</v>
      </c>
      <c r="L1084" s="62" t="s">
        <v>2421</v>
      </c>
      <c r="M1084" s="66" t="s">
        <v>1984</v>
      </c>
    </row>
    <row r="1085" spans="1:13" x14ac:dyDescent="0.3">
      <c r="A1085" s="61" t="s">
        <v>2146</v>
      </c>
      <c r="B1085" s="62" t="s">
        <v>1219</v>
      </c>
      <c r="C1085" s="62" t="s">
        <v>1220</v>
      </c>
      <c r="D1085" s="63">
        <v>42604</v>
      </c>
      <c r="E1085" s="63">
        <v>48213</v>
      </c>
      <c r="F1085" s="62" t="s">
        <v>1959</v>
      </c>
      <c r="G1085" s="62" t="s">
        <v>578</v>
      </c>
      <c r="H1085" s="62" t="s">
        <v>939</v>
      </c>
      <c r="I1085" s="62" t="s">
        <v>307</v>
      </c>
      <c r="J1085" s="62" t="s">
        <v>370</v>
      </c>
      <c r="K1085" s="62" t="s">
        <v>371</v>
      </c>
      <c r="L1085" s="62" t="s">
        <v>2421</v>
      </c>
      <c r="M1085" s="66" t="s">
        <v>1984</v>
      </c>
    </row>
    <row r="1086" spans="1:13" x14ac:dyDescent="0.3">
      <c r="A1086" s="61" t="s">
        <v>2146</v>
      </c>
      <c r="B1086" s="62" t="s">
        <v>1219</v>
      </c>
      <c r="C1086" s="62" t="s">
        <v>1220</v>
      </c>
      <c r="D1086" s="63">
        <v>42604</v>
      </c>
      <c r="E1086" s="63">
        <v>48213</v>
      </c>
      <c r="F1086" s="62" t="s">
        <v>1930</v>
      </c>
      <c r="G1086" s="62" t="s">
        <v>721</v>
      </c>
      <c r="H1086" s="62" t="s">
        <v>939</v>
      </c>
      <c r="I1086" s="62" t="s">
        <v>307</v>
      </c>
      <c r="J1086" s="62" t="s">
        <v>370</v>
      </c>
      <c r="K1086" s="62" t="s">
        <v>371</v>
      </c>
      <c r="L1086" s="62" t="s">
        <v>2421</v>
      </c>
      <c r="M1086" s="66" t="s">
        <v>1984</v>
      </c>
    </row>
    <row r="1087" spans="1:13" x14ac:dyDescent="0.3">
      <c r="A1087" s="61" t="s">
        <v>2146</v>
      </c>
      <c r="B1087" s="62" t="s">
        <v>1219</v>
      </c>
      <c r="C1087" s="62" t="s">
        <v>1220</v>
      </c>
      <c r="D1087" s="63">
        <v>42604</v>
      </c>
      <c r="E1087" s="63">
        <v>48213</v>
      </c>
      <c r="F1087" s="62" t="s">
        <v>1930</v>
      </c>
      <c r="G1087" s="62" t="s">
        <v>722</v>
      </c>
      <c r="H1087" s="62" t="s">
        <v>939</v>
      </c>
      <c r="I1087" s="62" t="s">
        <v>307</v>
      </c>
      <c r="J1087" s="62" t="s">
        <v>370</v>
      </c>
      <c r="K1087" s="62" t="s">
        <v>371</v>
      </c>
      <c r="L1087" s="62" t="s">
        <v>2421</v>
      </c>
      <c r="M1087" s="66" t="s">
        <v>1984</v>
      </c>
    </row>
    <row r="1088" spans="1:13" x14ac:dyDescent="0.3">
      <c r="A1088" s="61" t="s">
        <v>2146</v>
      </c>
      <c r="B1088" s="62" t="s">
        <v>1219</v>
      </c>
      <c r="C1088" s="62" t="s">
        <v>1220</v>
      </c>
      <c r="D1088" s="63">
        <v>42604</v>
      </c>
      <c r="E1088" s="63">
        <v>48213</v>
      </c>
      <c r="F1088" s="62" t="s">
        <v>1930</v>
      </c>
      <c r="G1088" s="62" t="s">
        <v>541</v>
      </c>
      <c r="H1088" s="62" t="s">
        <v>939</v>
      </c>
      <c r="I1088" s="62" t="s">
        <v>307</v>
      </c>
      <c r="J1088" s="62" t="s">
        <v>370</v>
      </c>
      <c r="K1088" s="62" t="s">
        <v>371</v>
      </c>
      <c r="L1088" s="62" t="s">
        <v>2421</v>
      </c>
      <c r="M1088" s="66" t="s">
        <v>1984</v>
      </c>
    </row>
    <row r="1089" spans="1:13" x14ac:dyDescent="0.3">
      <c r="A1089" s="61" t="s">
        <v>2146</v>
      </c>
      <c r="B1089" s="62" t="s">
        <v>1219</v>
      </c>
      <c r="C1089" s="62" t="s">
        <v>1220</v>
      </c>
      <c r="D1089" s="63">
        <v>42604</v>
      </c>
      <c r="E1089" s="63">
        <v>48213</v>
      </c>
      <c r="F1089" s="62" t="s">
        <v>1930</v>
      </c>
      <c r="G1089" s="62" t="s">
        <v>543</v>
      </c>
      <c r="H1089" s="62" t="s">
        <v>939</v>
      </c>
      <c r="I1089" s="62" t="s">
        <v>307</v>
      </c>
      <c r="J1089" s="62" t="s">
        <v>370</v>
      </c>
      <c r="K1089" s="62" t="s">
        <v>371</v>
      </c>
      <c r="L1089" s="62" t="s">
        <v>2421</v>
      </c>
      <c r="M1089" s="66" t="s">
        <v>1984</v>
      </c>
    </row>
    <row r="1090" spans="1:13" x14ac:dyDescent="0.3">
      <c r="A1090" s="61" t="s">
        <v>2146</v>
      </c>
      <c r="B1090" s="62" t="s">
        <v>1219</v>
      </c>
      <c r="C1090" s="62" t="s">
        <v>1220</v>
      </c>
      <c r="D1090" s="63">
        <v>42604</v>
      </c>
      <c r="E1090" s="63">
        <v>48213</v>
      </c>
      <c r="F1090" s="62" t="s">
        <v>1930</v>
      </c>
      <c r="G1090" s="62" t="s">
        <v>419</v>
      </c>
      <c r="H1090" s="62" t="s">
        <v>939</v>
      </c>
      <c r="I1090" s="62" t="s">
        <v>307</v>
      </c>
      <c r="J1090" s="62" t="s">
        <v>370</v>
      </c>
      <c r="K1090" s="62" t="s">
        <v>371</v>
      </c>
      <c r="L1090" s="62" t="s">
        <v>2421</v>
      </c>
      <c r="M1090" s="66" t="s">
        <v>1984</v>
      </c>
    </row>
    <row r="1091" spans="1:13" x14ac:dyDescent="0.3">
      <c r="A1091" s="61" t="s">
        <v>2146</v>
      </c>
      <c r="B1091" s="62" t="s">
        <v>1219</v>
      </c>
      <c r="C1091" s="62" t="s">
        <v>1220</v>
      </c>
      <c r="D1091" s="63">
        <v>42604</v>
      </c>
      <c r="E1091" s="63">
        <v>48213</v>
      </c>
      <c r="F1091" s="62" t="s">
        <v>1930</v>
      </c>
      <c r="G1091" s="62" t="s">
        <v>319</v>
      </c>
      <c r="H1091" s="62" t="s">
        <v>939</v>
      </c>
      <c r="I1091" s="62" t="s">
        <v>307</v>
      </c>
      <c r="J1091" s="62" t="s">
        <v>370</v>
      </c>
      <c r="K1091" s="62" t="s">
        <v>371</v>
      </c>
      <c r="L1091" s="62" t="s">
        <v>2421</v>
      </c>
      <c r="M1091" s="66" t="s">
        <v>1984</v>
      </c>
    </row>
    <row r="1092" spans="1:13" x14ac:dyDescent="0.3">
      <c r="A1092" s="61" t="s">
        <v>2146</v>
      </c>
      <c r="B1092" s="62" t="s">
        <v>1219</v>
      </c>
      <c r="C1092" s="62" t="s">
        <v>1220</v>
      </c>
      <c r="D1092" s="63">
        <v>42604</v>
      </c>
      <c r="E1092" s="63">
        <v>48213</v>
      </c>
      <c r="F1092" s="62" t="s">
        <v>1930</v>
      </c>
      <c r="G1092" s="62" t="s">
        <v>545</v>
      </c>
      <c r="H1092" s="62" t="s">
        <v>939</v>
      </c>
      <c r="I1092" s="62" t="s">
        <v>307</v>
      </c>
      <c r="J1092" s="62" t="s">
        <v>370</v>
      </c>
      <c r="K1092" s="62" t="s">
        <v>371</v>
      </c>
      <c r="L1092" s="62" t="s">
        <v>2421</v>
      </c>
      <c r="M1092" s="66" t="s">
        <v>1984</v>
      </c>
    </row>
    <row r="1093" spans="1:13" x14ac:dyDescent="0.3">
      <c r="A1093" s="61" t="s">
        <v>2146</v>
      </c>
      <c r="B1093" s="62" t="s">
        <v>1219</v>
      </c>
      <c r="C1093" s="62" t="s">
        <v>1220</v>
      </c>
      <c r="D1093" s="63">
        <v>42604</v>
      </c>
      <c r="E1093" s="63">
        <v>48213</v>
      </c>
      <c r="F1093" s="62" t="s">
        <v>1930</v>
      </c>
      <c r="G1093" s="62" t="s">
        <v>516</v>
      </c>
      <c r="H1093" s="62" t="s">
        <v>939</v>
      </c>
      <c r="I1093" s="62" t="s">
        <v>307</v>
      </c>
      <c r="J1093" s="62" t="s">
        <v>370</v>
      </c>
      <c r="K1093" s="62" t="s">
        <v>371</v>
      </c>
      <c r="L1093" s="62" t="s">
        <v>2421</v>
      </c>
      <c r="M1093" s="66" t="s">
        <v>1984</v>
      </c>
    </row>
    <row r="1094" spans="1:13" x14ac:dyDescent="0.3">
      <c r="A1094" s="61" t="s">
        <v>2146</v>
      </c>
      <c r="B1094" s="62" t="s">
        <v>1219</v>
      </c>
      <c r="C1094" s="62" t="s">
        <v>1220</v>
      </c>
      <c r="D1094" s="63">
        <v>42604</v>
      </c>
      <c r="E1094" s="63">
        <v>48213</v>
      </c>
      <c r="F1094" s="62" t="s">
        <v>1930</v>
      </c>
      <c r="G1094" s="62" t="s">
        <v>546</v>
      </c>
      <c r="H1094" s="62" t="s">
        <v>939</v>
      </c>
      <c r="I1094" s="62" t="s">
        <v>307</v>
      </c>
      <c r="J1094" s="62" t="s">
        <v>370</v>
      </c>
      <c r="K1094" s="62" t="s">
        <v>371</v>
      </c>
      <c r="L1094" s="62" t="s">
        <v>2421</v>
      </c>
      <c r="M1094" s="66" t="s">
        <v>1984</v>
      </c>
    </row>
    <row r="1095" spans="1:13" x14ac:dyDescent="0.3">
      <c r="A1095" s="61" t="s">
        <v>2146</v>
      </c>
      <c r="B1095" s="62" t="s">
        <v>1219</v>
      </c>
      <c r="C1095" s="62" t="s">
        <v>1220</v>
      </c>
      <c r="D1095" s="63">
        <v>42604</v>
      </c>
      <c r="E1095" s="63">
        <v>48213</v>
      </c>
      <c r="F1095" s="62" t="s">
        <v>1930</v>
      </c>
      <c r="G1095" s="62" t="s">
        <v>1221</v>
      </c>
      <c r="H1095" s="62" t="s">
        <v>939</v>
      </c>
      <c r="I1095" s="62" t="s">
        <v>307</v>
      </c>
      <c r="J1095" s="62" t="s">
        <v>370</v>
      </c>
      <c r="K1095" s="62" t="s">
        <v>371</v>
      </c>
      <c r="L1095" s="62" t="s">
        <v>2421</v>
      </c>
      <c r="M1095" s="66" t="s">
        <v>1984</v>
      </c>
    </row>
    <row r="1096" spans="1:13" x14ac:dyDescent="0.3">
      <c r="A1096" s="61" t="s">
        <v>2146</v>
      </c>
      <c r="B1096" s="62" t="s">
        <v>1219</v>
      </c>
      <c r="C1096" s="62" t="s">
        <v>1220</v>
      </c>
      <c r="D1096" s="63">
        <v>42604</v>
      </c>
      <c r="E1096" s="63">
        <v>48213</v>
      </c>
      <c r="F1096" s="62" t="s">
        <v>1945</v>
      </c>
      <c r="G1096" s="62" t="s">
        <v>1139</v>
      </c>
      <c r="H1096" s="62" t="s">
        <v>939</v>
      </c>
      <c r="I1096" s="62" t="s">
        <v>307</v>
      </c>
      <c r="J1096" s="62" t="s">
        <v>370</v>
      </c>
      <c r="K1096" s="62" t="s">
        <v>371</v>
      </c>
      <c r="L1096" s="62" t="s">
        <v>2421</v>
      </c>
      <c r="M1096" s="66" t="s">
        <v>1984</v>
      </c>
    </row>
    <row r="1097" spans="1:13" x14ac:dyDescent="0.3">
      <c r="A1097" s="61" t="s">
        <v>2146</v>
      </c>
      <c r="B1097" s="62" t="s">
        <v>1219</v>
      </c>
      <c r="C1097" s="62" t="s">
        <v>1220</v>
      </c>
      <c r="D1097" s="63">
        <v>42604</v>
      </c>
      <c r="E1097" s="63">
        <v>48213</v>
      </c>
      <c r="F1097" s="62" t="s">
        <v>1945</v>
      </c>
      <c r="G1097" s="62" t="s">
        <v>402</v>
      </c>
      <c r="H1097" s="62" t="s">
        <v>939</v>
      </c>
      <c r="I1097" s="62" t="s">
        <v>307</v>
      </c>
      <c r="J1097" s="62" t="s">
        <v>370</v>
      </c>
      <c r="K1097" s="62" t="s">
        <v>371</v>
      </c>
      <c r="L1097" s="62" t="s">
        <v>2421</v>
      </c>
      <c r="M1097" s="66" t="s">
        <v>1984</v>
      </c>
    </row>
    <row r="1098" spans="1:13" x14ac:dyDescent="0.3">
      <c r="A1098" s="61" t="s">
        <v>2146</v>
      </c>
      <c r="B1098" s="62" t="s">
        <v>1219</v>
      </c>
      <c r="C1098" s="62" t="s">
        <v>1220</v>
      </c>
      <c r="D1098" s="63">
        <v>42604</v>
      </c>
      <c r="E1098" s="63">
        <v>48213</v>
      </c>
      <c r="F1098" s="62" t="s">
        <v>1945</v>
      </c>
      <c r="G1098" s="62" t="s">
        <v>403</v>
      </c>
      <c r="H1098" s="62" t="s">
        <v>939</v>
      </c>
      <c r="I1098" s="62" t="s">
        <v>307</v>
      </c>
      <c r="J1098" s="62" t="s">
        <v>370</v>
      </c>
      <c r="K1098" s="62" t="s">
        <v>371</v>
      </c>
      <c r="L1098" s="62" t="s">
        <v>2421</v>
      </c>
      <c r="M1098" s="66" t="s">
        <v>1984</v>
      </c>
    </row>
    <row r="1099" spans="1:13" x14ac:dyDescent="0.3">
      <c r="A1099" s="61" t="s">
        <v>2146</v>
      </c>
      <c r="B1099" s="62" t="s">
        <v>1219</v>
      </c>
      <c r="C1099" s="62" t="s">
        <v>1220</v>
      </c>
      <c r="D1099" s="63">
        <v>42604</v>
      </c>
      <c r="E1099" s="63">
        <v>48213</v>
      </c>
      <c r="F1099" s="62" t="s">
        <v>1945</v>
      </c>
      <c r="G1099" s="62" t="s">
        <v>450</v>
      </c>
      <c r="H1099" s="62" t="s">
        <v>939</v>
      </c>
      <c r="I1099" s="62" t="s">
        <v>307</v>
      </c>
      <c r="J1099" s="62" t="s">
        <v>370</v>
      </c>
      <c r="K1099" s="62" t="s">
        <v>371</v>
      </c>
      <c r="L1099" s="62" t="s">
        <v>2421</v>
      </c>
      <c r="M1099" s="66" t="s">
        <v>1984</v>
      </c>
    </row>
    <row r="1100" spans="1:13" x14ac:dyDescent="0.3">
      <c r="A1100" s="61" t="s">
        <v>2146</v>
      </c>
      <c r="B1100" s="62" t="s">
        <v>1219</v>
      </c>
      <c r="C1100" s="62" t="s">
        <v>1220</v>
      </c>
      <c r="D1100" s="63">
        <v>42604</v>
      </c>
      <c r="E1100" s="63">
        <v>48213</v>
      </c>
      <c r="F1100" s="62" t="s">
        <v>1945</v>
      </c>
      <c r="G1100" s="62" t="s">
        <v>404</v>
      </c>
      <c r="H1100" s="62" t="s">
        <v>939</v>
      </c>
      <c r="I1100" s="62" t="s">
        <v>307</v>
      </c>
      <c r="J1100" s="62" t="s">
        <v>370</v>
      </c>
      <c r="K1100" s="62" t="s">
        <v>371</v>
      </c>
      <c r="L1100" s="62" t="s">
        <v>2421</v>
      </c>
      <c r="M1100" s="66" t="s">
        <v>1984</v>
      </c>
    </row>
    <row r="1101" spans="1:13" x14ac:dyDescent="0.3">
      <c r="A1101" s="61" t="s">
        <v>2146</v>
      </c>
      <c r="B1101" s="62" t="s">
        <v>1219</v>
      </c>
      <c r="C1101" s="62" t="s">
        <v>1220</v>
      </c>
      <c r="D1101" s="63">
        <v>42604</v>
      </c>
      <c r="E1101" s="63">
        <v>48213</v>
      </c>
      <c r="F1101" s="62" t="s">
        <v>289</v>
      </c>
      <c r="G1101" s="62" t="s">
        <v>575</v>
      </c>
      <c r="H1101" s="62" t="s">
        <v>939</v>
      </c>
      <c r="I1101" s="62" t="s">
        <v>307</v>
      </c>
      <c r="J1101" s="62" t="s">
        <v>370</v>
      </c>
      <c r="K1101" s="62" t="s">
        <v>371</v>
      </c>
      <c r="L1101" s="62" t="s">
        <v>2421</v>
      </c>
      <c r="M1101" s="66" t="s">
        <v>1984</v>
      </c>
    </row>
    <row r="1102" spans="1:13" x14ac:dyDescent="0.3">
      <c r="A1102" s="61" t="s">
        <v>2146</v>
      </c>
      <c r="B1102" s="62" t="s">
        <v>1219</v>
      </c>
      <c r="C1102" s="62" t="s">
        <v>1220</v>
      </c>
      <c r="D1102" s="63">
        <v>42604</v>
      </c>
      <c r="E1102" s="63">
        <v>48213</v>
      </c>
      <c r="F1102" s="62" t="s">
        <v>289</v>
      </c>
      <c r="G1102" s="62" t="s">
        <v>594</v>
      </c>
      <c r="H1102" s="62" t="s">
        <v>939</v>
      </c>
      <c r="I1102" s="62" t="s">
        <v>307</v>
      </c>
      <c r="J1102" s="62" t="s">
        <v>370</v>
      </c>
      <c r="K1102" s="62" t="s">
        <v>371</v>
      </c>
      <c r="L1102" s="62" t="s">
        <v>2421</v>
      </c>
      <c r="M1102" s="66" t="s">
        <v>1984</v>
      </c>
    </row>
    <row r="1103" spans="1:13" x14ac:dyDescent="0.3">
      <c r="A1103" s="61" t="s">
        <v>2146</v>
      </c>
      <c r="B1103" s="62" t="s">
        <v>1219</v>
      </c>
      <c r="C1103" s="62" t="s">
        <v>1220</v>
      </c>
      <c r="D1103" s="63">
        <v>42604</v>
      </c>
      <c r="E1103" s="63">
        <v>48213</v>
      </c>
      <c r="F1103" s="62" t="s">
        <v>1958</v>
      </c>
      <c r="G1103" s="62" t="s">
        <v>517</v>
      </c>
      <c r="H1103" s="62" t="s">
        <v>939</v>
      </c>
      <c r="I1103" s="62" t="s">
        <v>307</v>
      </c>
      <c r="J1103" s="62" t="s">
        <v>370</v>
      </c>
      <c r="K1103" s="62" t="s">
        <v>371</v>
      </c>
      <c r="L1103" s="62" t="s">
        <v>2421</v>
      </c>
      <c r="M1103" s="66" t="s">
        <v>1984</v>
      </c>
    </row>
    <row r="1104" spans="1:13" x14ac:dyDescent="0.3">
      <c r="A1104" s="61" t="s">
        <v>2146</v>
      </c>
      <c r="B1104" s="62" t="s">
        <v>1219</v>
      </c>
      <c r="C1104" s="62" t="s">
        <v>1220</v>
      </c>
      <c r="D1104" s="63">
        <v>42604</v>
      </c>
      <c r="E1104" s="63">
        <v>48213</v>
      </c>
      <c r="F1104" s="62" t="s">
        <v>1958</v>
      </c>
      <c r="G1104" s="62" t="s">
        <v>334</v>
      </c>
      <c r="H1104" s="62" t="s">
        <v>939</v>
      </c>
      <c r="I1104" s="62" t="s">
        <v>307</v>
      </c>
      <c r="J1104" s="62" t="s">
        <v>370</v>
      </c>
      <c r="K1104" s="62" t="s">
        <v>371</v>
      </c>
      <c r="L1104" s="62" t="s">
        <v>2421</v>
      </c>
      <c r="M1104" s="66" t="s">
        <v>1984</v>
      </c>
    </row>
    <row r="1105" spans="1:13" x14ac:dyDescent="0.3">
      <c r="A1105" s="61" t="s">
        <v>2146</v>
      </c>
      <c r="B1105" s="62" t="s">
        <v>1219</v>
      </c>
      <c r="C1105" s="62" t="s">
        <v>1220</v>
      </c>
      <c r="D1105" s="63">
        <v>42604</v>
      </c>
      <c r="E1105" s="63">
        <v>48213</v>
      </c>
      <c r="F1105" s="62" t="s">
        <v>1936</v>
      </c>
      <c r="G1105" s="62" t="s">
        <v>730</v>
      </c>
      <c r="H1105" s="62" t="s">
        <v>939</v>
      </c>
      <c r="I1105" s="62" t="s">
        <v>307</v>
      </c>
      <c r="J1105" s="62" t="s">
        <v>370</v>
      </c>
      <c r="K1105" s="62" t="s">
        <v>371</v>
      </c>
      <c r="L1105" s="62" t="s">
        <v>2421</v>
      </c>
      <c r="M1105" s="66" t="s">
        <v>1984</v>
      </c>
    </row>
    <row r="1106" spans="1:13" x14ac:dyDescent="0.3">
      <c r="A1106" s="61" t="s">
        <v>2146</v>
      </c>
      <c r="B1106" s="62" t="s">
        <v>1219</v>
      </c>
      <c r="C1106" s="62" t="s">
        <v>1220</v>
      </c>
      <c r="D1106" s="63">
        <v>42604</v>
      </c>
      <c r="E1106" s="63">
        <v>48213</v>
      </c>
      <c r="F1106" s="62" t="s">
        <v>1936</v>
      </c>
      <c r="G1106" s="62" t="s">
        <v>797</v>
      </c>
      <c r="H1106" s="62" t="s">
        <v>939</v>
      </c>
      <c r="I1106" s="62" t="s">
        <v>307</v>
      </c>
      <c r="J1106" s="62" t="s">
        <v>370</v>
      </c>
      <c r="K1106" s="62" t="s">
        <v>371</v>
      </c>
      <c r="L1106" s="62" t="s">
        <v>2421</v>
      </c>
      <c r="M1106" s="66" t="s">
        <v>1984</v>
      </c>
    </row>
    <row r="1107" spans="1:13" x14ac:dyDescent="0.3">
      <c r="A1107" s="61" t="s">
        <v>2146</v>
      </c>
      <c r="B1107" s="62" t="s">
        <v>1219</v>
      </c>
      <c r="C1107" s="62" t="s">
        <v>1220</v>
      </c>
      <c r="D1107" s="63">
        <v>42604</v>
      </c>
      <c r="E1107" s="63">
        <v>48213</v>
      </c>
      <c r="F1107" s="62" t="s">
        <v>1931</v>
      </c>
      <c r="G1107" s="62" t="s">
        <v>281</v>
      </c>
      <c r="H1107" s="62" t="s">
        <v>939</v>
      </c>
      <c r="I1107" s="62" t="s">
        <v>307</v>
      </c>
      <c r="J1107" s="62" t="s">
        <v>370</v>
      </c>
      <c r="K1107" s="62" t="s">
        <v>371</v>
      </c>
      <c r="L1107" s="62" t="s">
        <v>2421</v>
      </c>
      <c r="M1107" s="66" t="s">
        <v>1984</v>
      </c>
    </row>
    <row r="1108" spans="1:13" x14ac:dyDescent="0.3">
      <c r="A1108" s="61" t="s">
        <v>2146</v>
      </c>
      <c r="B1108" s="62" t="s">
        <v>1219</v>
      </c>
      <c r="C1108" s="62" t="s">
        <v>1220</v>
      </c>
      <c r="D1108" s="63">
        <v>42604</v>
      </c>
      <c r="E1108" s="63">
        <v>48213</v>
      </c>
      <c r="F1108" s="62" t="s">
        <v>1943</v>
      </c>
      <c r="G1108" s="62" t="s">
        <v>341</v>
      </c>
      <c r="H1108" s="62" t="s">
        <v>939</v>
      </c>
      <c r="I1108" s="62" t="s">
        <v>307</v>
      </c>
      <c r="J1108" s="62" t="s">
        <v>370</v>
      </c>
      <c r="K1108" s="62" t="s">
        <v>371</v>
      </c>
      <c r="L1108" s="62" t="s">
        <v>2421</v>
      </c>
      <c r="M1108" s="66" t="s">
        <v>1984</v>
      </c>
    </row>
    <row r="1109" spans="1:13" x14ac:dyDescent="0.3">
      <c r="A1109" s="61" t="s">
        <v>2146</v>
      </c>
      <c r="B1109" s="62" t="s">
        <v>1219</v>
      </c>
      <c r="C1109" s="62" t="s">
        <v>1220</v>
      </c>
      <c r="D1109" s="63">
        <v>42604</v>
      </c>
      <c r="E1109" s="63">
        <v>48213</v>
      </c>
      <c r="F1109" s="62" t="s">
        <v>1944</v>
      </c>
      <c r="G1109" s="62" t="s">
        <v>1127</v>
      </c>
      <c r="H1109" s="62" t="s">
        <v>939</v>
      </c>
      <c r="I1109" s="62" t="s">
        <v>307</v>
      </c>
      <c r="J1109" s="62" t="s">
        <v>370</v>
      </c>
      <c r="K1109" s="62" t="s">
        <v>371</v>
      </c>
      <c r="L1109" s="62" t="s">
        <v>2421</v>
      </c>
      <c r="M1109" s="66" t="s">
        <v>1984</v>
      </c>
    </row>
    <row r="1110" spans="1:13" x14ac:dyDescent="0.3">
      <c r="A1110" s="61" t="s">
        <v>2146</v>
      </c>
      <c r="B1110" s="62" t="s">
        <v>1219</v>
      </c>
      <c r="C1110" s="62" t="s">
        <v>1220</v>
      </c>
      <c r="D1110" s="63">
        <v>42604</v>
      </c>
      <c r="E1110" s="63">
        <v>48213</v>
      </c>
      <c r="F1110" s="62" t="s">
        <v>284</v>
      </c>
      <c r="G1110" s="62" t="s">
        <v>412</v>
      </c>
      <c r="H1110" s="62" t="s">
        <v>939</v>
      </c>
      <c r="I1110" s="62" t="s">
        <v>307</v>
      </c>
      <c r="J1110" s="62" t="s">
        <v>370</v>
      </c>
      <c r="K1110" s="62" t="s">
        <v>371</v>
      </c>
      <c r="L1110" s="62" t="s">
        <v>2421</v>
      </c>
      <c r="M1110" s="66" t="s">
        <v>1984</v>
      </c>
    </row>
    <row r="1111" spans="1:13" x14ac:dyDescent="0.3">
      <c r="A1111" s="61" t="s">
        <v>2147</v>
      </c>
      <c r="B1111" s="62" t="s">
        <v>1224</v>
      </c>
      <c r="C1111" s="62" t="s">
        <v>1225</v>
      </c>
      <c r="D1111" s="63">
        <v>44896</v>
      </c>
      <c r="E1111" s="63">
        <v>46752</v>
      </c>
      <c r="F1111" s="62" t="s">
        <v>282</v>
      </c>
      <c r="G1111" s="62" t="s">
        <v>304</v>
      </c>
      <c r="H1111" s="62" t="s">
        <v>441</v>
      </c>
      <c r="I1111" s="62" t="s">
        <v>424</v>
      </c>
      <c r="J1111" s="62" t="s">
        <v>447</v>
      </c>
      <c r="K1111" s="62" t="s">
        <v>426</v>
      </c>
      <c r="L1111" s="62" t="s">
        <v>2421</v>
      </c>
      <c r="M1111" s="66" t="s">
        <v>1972</v>
      </c>
    </row>
    <row r="1112" spans="1:13" x14ac:dyDescent="0.3">
      <c r="A1112" s="61" t="s">
        <v>2148</v>
      </c>
      <c r="B1112" s="62" t="s">
        <v>1228</v>
      </c>
      <c r="C1112" s="62" t="s">
        <v>1229</v>
      </c>
      <c r="D1112" s="63">
        <v>45292</v>
      </c>
      <c r="E1112" s="63">
        <v>47118</v>
      </c>
      <c r="F1112" s="62" t="s">
        <v>280</v>
      </c>
      <c r="G1112" s="62" t="s">
        <v>304</v>
      </c>
      <c r="H1112" s="62" t="s">
        <v>549</v>
      </c>
      <c r="I1112" s="62" t="s">
        <v>1518</v>
      </c>
      <c r="J1112" s="62" t="s">
        <v>1230</v>
      </c>
      <c r="K1112" s="62" t="s">
        <v>459</v>
      </c>
      <c r="L1112" s="62" t="s">
        <v>2421</v>
      </c>
      <c r="M1112" s="66" t="s">
        <v>1971</v>
      </c>
    </row>
    <row r="1113" spans="1:13" x14ac:dyDescent="0.3">
      <c r="A1113" s="61" t="s">
        <v>2148</v>
      </c>
      <c r="B1113" s="62" t="s">
        <v>1228</v>
      </c>
      <c r="C1113" s="62" t="s">
        <v>1229</v>
      </c>
      <c r="D1113" s="63">
        <v>45292</v>
      </c>
      <c r="E1113" s="63">
        <v>47118</v>
      </c>
      <c r="F1113" s="62" t="s">
        <v>1960</v>
      </c>
      <c r="G1113" s="62" t="s">
        <v>304</v>
      </c>
      <c r="H1113" s="62" t="s">
        <v>549</v>
      </c>
      <c r="I1113" s="62" t="s">
        <v>1518</v>
      </c>
      <c r="J1113" s="62" t="s">
        <v>1230</v>
      </c>
      <c r="K1113" s="62" t="s">
        <v>459</v>
      </c>
      <c r="L1113" s="62" t="s">
        <v>2421</v>
      </c>
      <c r="M1113" s="66" t="s">
        <v>1971</v>
      </c>
    </row>
    <row r="1114" spans="1:13" x14ac:dyDescent="0.3">
      <c r="A1114" s="61" t="s">
        <v>2148</v>
      </c>
      <c r="B1114" s="62" t="s">
        <v>1228</v>
      </c>
      <c r="C1114" s="62" t="s">
        <v>1229</v>
      </c>
      <c r="D1114" s="63">
        <v>45292</v>
      </c>
      <c r="E1114" s="63">
        <v>47118</v>
      </c>
      <c r="F1114" s="62" t="s">
        <v>1941</v>
      </c>
      <c r="G1114" s="62" t="s">
        <v>304</v>
      </c>
      <c r="H1114" s="62" t="s">
        <v>549</v>
      </c>
      <c r="I1114" s="62" t="s">
        <v>1518</v>
      </c>
      <c r="J1114" s="62" t="s">
        <v>1230</v>
      </c>
      <c r="K1114" s="62" t="s">
        <v>459</v>
      </c>
      <c r="L1114" s="62" t="s">
        <v>2421</v>
      </c>
      <c r="M1114" s="66" t="s">
        <v>1971</v>
      </c>
    </row>
    <row r="1115" spans="1:13" x14ac:dyDescent="0.3">
      <c r="A1115" s="61" t="s">
        <v>2148</v>
      </c>
      <c r="B1115" s="62" t="s">
        <v>1228</v>
      </c>
      <c r="C1115" s="62" t="s">
        <v>1229</v>
      </c>
      <c r="D1115" s="63">
        <v>45292</v>
      </c>
      <c r="E1115" s="63">
        <v>47118</v>
      </c>
      <c r="F1115" s="62" t="s">
        <v>1948</v>
      </c>
      <c r="G1115" s="62" t="s">
        <v>304</v>
      </c>
      <c r="H1115" s="62" t="s">
        <v>549</v>
      </c>
      <c r="I1115" s="62" t="s">
        <v>1518</v>
      </c>
      <c r="J1115" s="62" t="s">
        <v>1230</v>
      </c>
      <c r="K1115" s="62" t="s">
        <v>459</v>
      </c>
      <c r="L1115" s="62" t="s">
        <v>2421</v>
      </c>
      <c r="M1115" s="66" t="s">
        <v>1971</v>
      </c>
    </row>
    <row r="1116" spans="1:13" x14ac:dyDescent="0.3">
      <c r="A1116" s="61" t="s">
        <v>2149</v>
      </c>
      <c r="B1116" s="62" t="s">
        <v>1231</v>
      </c>
      <c r="C1116" s="62" t="s">
        <v>1225</v>
      </c>
      <c r="D1116" s="63">
        <v>44896</v>
      </c>
      <c r="E1116" s="63">
        <v>46752</v>
      </c>
      <c r="F1116" s="62" t="s">
        <v>286</v>
      </c>
      <c r="G1116" s="62" t="s">
        <v>476</v>
      </c>
      <c r="H1116" s="62" t="s">
        <v>441</v>
      </c>
      <c r="I1116" s="62" t="s">
        <v>509</v>
      </c>
      <c r="J1116" s="62" t="s">
        <v>611</v>
      </c>
      <c r="K1116" s="62" t="s">
        <v>375</v>
      </c>
      <c r="L1116" s="62" t="s">
        <v>2421</v>
      </c>
      <c r="M1116" s="66" t="s">
        <v>2021</v>
      </c>
    </row>
    <row r="1117" spans="1:13" x14ac:dyDescent="0.3">
      <c r="A1117" s="61" t="s">
        <v>2150</v>
      </c>
      <c r="B1117" s="62" t="s">
        <v>1232</v>
      </c>
      <c r="C1117" s="62" t="s">
        <v>1233</v>
      </c>
      <c r="D1117" s="63">
        <v>45315</v>
      </c>
      <c r="E1117" s="63">
        <v>46045</v>
      </c>
      <c r="F1117" s="62" t="s">
        <v>1930</v>
      </c>
      <c r="G1117" s="62" t="s">
        <v>723</v>
      </c>
      <c r="H1117" s="62" t="s">
        <v>2476</v>
      </c>
      <c r="I1117" s="62" t="s">
        <v>825</v>
      </c>
      <c r="J1117" s="62" t="s">
        <v>374</v>
      </c>
      <c r="K1117" s="62" t="s">
        <v>375</v>
      </c>
      <c r="L1117" s="62" t="s">
        <v>2421</v>
      </c>
      <c r="M1117" s="66" t="s">
        <v>1967</v>
      </c>
    </row>
    <row r="1118" spans="1:13" x14ac:dyDescent="0.3">
      <c r="A1118" s="61" t="s">
        <v>2150</v>
      </c>
      <c r="B1118" s="62" t="s">
        <v>1232</v>
      </c>
      <c r="C1118" s="62" t="s">
        <v>1233</v>
      </c>
      <c r="D1118" s="63">
        <v>45315</v>
      </c>
      <c r="E1118" s="63">
        <v>46045</v>
      </c>
      <c r="F1118" s="62" t="s">
        <v>1930</v>
      </c>
      <c r="G1118" s="62" t="s">
        <v>723</v>
      </c>
      <c r="H1118" s="62" t="s">
        <v>1094</v>
      </c>
      <c r="I1118" s="62" t="s">
        <v>825</v>
      </c>
      <c r="J1118" s="62" t="s">
        <v>374</v>
      </c>
      <c r="K1118" s="62" t="s">
        <v>375</v>
      </c>
      <c r="L1118" s="62" t="s">
        <v>2421</v>
      </c>
      <c r="M1118" s="66" t="s">
        <v>1967</v>
      </c>
    </row>
    <row r="1119" spans="1:13" x14ac:dyDescent="0.3">
      <c r="A1119" s="61" t="s">
        <v>2150</v>
      </c>
      <c r="B1119" s="62" t="s">
        <v>1232</v>
      </c>
      <c r="C1119" s="62" t="s">
        <v>1233</v>
      </c>
      <c r="D1119" s="63">
        <v>45315</v>
      </c>
      <c r="E1119" s="63">
        <v>46045</v>
      </c>
      <c r="F1119" s="62" t="s">
        <v>1930</v>
      </c>
      <c r="G1119" s="62" t="s">
        <v>723</v>
      </c>
      <c r="H1119" s="62" t="s">
        <v>2468</v>
      </c>
      <c r="I1119" s="62" t="s">
        <v>825</v>
      </c>
      <c r="J1119" s="62" t="s">
        <v>374</v>
      </c>
      <c r="K1119" s="62" t="s">
        <v>375</v>
      </c>
      <c r="L1119" s="62" t="s">
        <v>2421</v>
      </c>
      <c r="M1119" s="66" t="s">
        <v>1967</v>
      </c>
    </row>
    <row r="1120" spans="1:13" x14ac:dyDescent="0.3">
      <c r="A1120" s="61" t="s">
        <v>2150</v>
      </c>
      <c r="B1120" s="62" t="s">
        <v>1232</v>
      </c>
      <c r="C1120" s="62" t="s">
        <v>1233</v>
      </c>
      <c r="D1120" s="63">
        <v>45315</v>
      </c>
      <c r="E1120" s="63">
        <v>46045</v>
      </c>
      <c r="F1120" s="62" t="s">
        <v>1930</v>
      </c>
      <c r="G1120" s="62" t="s">
        <v>723</v>
      </c>
      <c r="H1120" s="62" t="s">
        <v>2478</v>
      </c>
      <c r="I1120" s="62" t="s">
        <v>825</v>
      </c>
      <c r="J1120" s="62" t="s">
        <v>374</v>
      </c>
      <c r="K1120" s="62" t="s">
        <v>375</v>
      </c>
      <c r="L1120" s="62" t="s">
        <v>2421</v>
      </c>
      <c r="M1120" s="66" t="s">
        <v>1967</v>
      </c>
    </row>
    <row r="1121" spans="1:13" x14ac:dyDescent="0.3">
      <c r="A1121" s="61" t="s">
        <v>2150</v>
      </c>
      <c r="B1121" s="62" t="s">
        <v>1232</v>
      </c>
      <c r="C1121" s="62" t="s">
        <v>1233</v>
      </c>
      <c r="D1121" s="63">
        <v>45315</v>
      </c>
      <c r="E1121" s="63">
        <v>46045</v>
      </c>
      <c r="F1121" s="62" t="s">
        <v>1930</v>
      </c>
      <c r="G1121" s="62" t="s">
        <v>723</v>
      </c>
      <c r="H1121" s="62" t="s">
        <v>2479</v>
      </c>
      <c r="I1121" s="62" t="s">
        <v>825</v>
      </c>
      <c r="J1121" s="62" t="s">
        <v>374</v>
      </c>
      <c r="K1121" s="62" t="s">
        <v>375</v>
      </c>
      <c r="L1121" s="62" t="s">
        <v>2421</v>
      </c>
      <c r="M1121" s="66" t="s">
        <v>1967</v>
      </c>
    </row>
    <row r="1122" spans="1:13" x14ac:dyDescent="0.3">
      <c r="A1122" s="61" t="s">
        <v>2151</v>
      </c>
      <c r="B1122" s="62" t="s">
        <v>1234</v>
      </c>
      <c r="C1122" s="62" t="s">
        <v>1235</v>
      </c>
      <c r="D1122" s="63">
        <v>43839</v>
      </c>
      <c r="E1122" s="63">
        <v>46387</v>
      </c>
      <c r="F1122" s="62" t="s">
        <v>1940</v>
      </c>
      <c r="G1122" s="62" t="s">
        <v>304</v>
      </c>
      <c r="H1122" s="62" t="s">
        <v>1236</v>
      </c>
      <c r="I1122" s="62" t="s">
        <v>457</v>
      </c>
      <c r="J1122" s="62" t="s">
        <v>458</v>
      </c>
      <c r="K1122" s="62" t="s">
        <v>459</v>
      </c>
      <c r="L1122" s="62" t="s">
        <v>2421</v>
      </c>
      <c r="M1122" s="66" t="s">
        <v>1971</v>
      </c>
    </row>
    <row r="1123" spans="1:13" x14ac:dyDescent="0.3">
      <c r="A1123" s="61" t="s">
        <v>2151</v>
      </c>
      <c r="B1123" s="62" t="s">
        <v>1234</v>
      </c>
      <c r="C1123" s="62" t="s">
        <v>1235</v>
      </c>
      <c r="D1123" s="63">
        <v>43839</v>
      </c>
      <c r="E1123" s="63">
        <v>46387</v>
      </c>
      <c r="F1123" s="62" t="s">
        <v>1922</v>
      </c>
      <c r="G1123" s="62" t="s">
        <v>304</v>
      </c>
      <c r="H1123" s="62" t="s">
        <v>1236</v>
      </c>
      <c r="I1123" s="62" t="s">
        <v>457</v>
      </c>
      <c r="J1123" s="62" t="s">
        <v>458</v>
      </c>
      <c r="K1123" s="62" t="s">
        <v>459</v>
      </c>
      <c r="L1123" s="62" t="s">
        <v>2421</v>
      </c>
      <c r="M1123" s="66" t="s">
        <v>1971</v>
      </c>
    </row>
    <row r="1124" spans="1:13" x14ac:dyDescent="0.3">
      <c r="A1124" s="61" t="s">
        <v>2151</v>
      </c>
      <c r="B1124" s="62" t="s">
        <v>1234</v>
      </c>
      <c r="C1124" s="62" t="s">
        <v>1235</v>
      </c>
      <c r="D1124" s="63">
        <v>43839</v>
      </c>
      <c r="E1124" s="63">
        <v>46387</v>
      </c>
      <c r="F1124" s="62" t="s">
        <v>1934</v>
      </c>
      <c r="G1124" s="62" t="s">
        <v>304</v>
      </c>
      <c r="H1124" s="62" t="s">
        <v>1236</v>
      </c>
      <c r="I1124" s="62" t="s">
        <v>457</v>
      </c>
      <c r="J1124" s="62" t="s">
        <v>458</v>
      </c>
      <c r="K1124" s="62" t="s">
        <v>459</v>
      </c>
      <c r="L1124" s="62" t="s">
        <v>2421</v>
      </c>
      <c r="M1124" s="66" t="s">
        <v>1971</v>
      </c>
    </row>
    <row r="1125" spans="1:13" x14ac:dyDescent="0.3">
      <c r="A1125" s="61" t="s">
        <v>2151</v>
      </c>
      <c r="B1125" s="62" t="s">
        <v>1234</v>
      </c>
      <c r="C1125" s="62" t="s">
        <v>1235</v>
      </c>
      <c r="D1125" s="63">
        <v>43839</v>
      </c>
      <c r="E1125" s="63">
        <v>46387</v>
      </c>
      <c r="F1125" s="62" t="s">
        <v>1930</v>
      </c>
      <c r="G1125" s="62" t="s">
        <v>304</v>
      </c>
      <c r="H1125" s="62" t="s">
        <v>1236</v>
      </c>
      <c r="I1125" s="62" t="s">
        <v>457</v>
      </c>
      <c r="J1125" s="62" t="s">
        <v>458</v>
      </c>
      <c r="K1125" s="62" t="s">
        <v>459</v>
      </c>
      <c r="L1125" s="62" t="s">
        <v>2421</v>
      </c>
      <c r="M1125" s="66" t="s">
        <v>1971</v>
      </c>
    </row>
    <row r="1126" spans="1:13" x14ac:dyDescent="0.3">
      <c r="A1126" s="61" t="s">
        <v>2151</v>
      </c>
      <c r="B1126" s="62" t="s">
        <v>1234</v>
      </c>
      <c r="C1126" s="62" t="s">
        <v>1235</v>
      </c>
      <c r="D1126" s="63">
        <v>43839</v>
      </c>
      <c r="E1126" s="63">
        <v>46387</v>
      </c>
      <c r="F1126" s="62" t="s">
        <v>1938</v>
      </c>
      <c r="G1126" s="62" t="s">
        <v>304</v>
      </c>
      <c r="H1126" s="62" t="s">
        <v>1236</v>
      </c>
      <c r="I1126" s="62" t="s">
        <v>457</v>
      </c>
      <c r="J1126" s="62" t="s">
        <v>458</v>
      </c>
      <c r="K1126" s="62" t="s">
        <v>459</v>
      </c>
      <c r="L1126" s="62" t="s">
        <v>2421</v>
      </c>
      <c r="M1126" s="66" t="s">
        <v>1971</v>
      </c>
    </row>
    <row r="1127" spans="1:13" x14ac:dyDescent="0.3">
      <c r="A1127" s="61" t="s">
        <v>2151</v>
      </c>
      <c r="B1127" s="62" t="s">
        <v>1234</v>
      </c>
      <c r="C1127" s="62" t="s">
        <v>1235</v>
      </c>
      <c r="D1127" s="63">
        <v>43839</v>
      </c>
      <c r="E1127" s="63">
        <v>46387</v>
      </c>
      <c r="F1127" s="62" t="s">
        <v>1941</v>
      </c>
      <c r="G1127" s="62" t="s">
        <v>304</v>
      </c>
      <c r="H1127" s="62" t="s">
        <v>1236</v>
      </c>
      <c r="I1127" s="62" t="s">
        <v>457</v>
      </c>
      <c r="J1127" s="62" t="s">
        <v>458</v>
      </c>
      <c r="K1127" s="62" t="s">
        <v>459</v>
      </c>
      <c r="L1127" s="62" t="s">
        <v>2421</v>
      </c>
      <c r="M1127" s="66" t="s">
        <v>1971</v>
      </c>
    </row>
    <row r="1128" spans="1:13" x14ac:dyDescent="0.3">
      <c r="A1128" s="61" t="s">
        <v>2151</v>
      </c>
      <c r="B1128" s="62" t="s">
        <v>1234</v>
      </c>
      <c r="C1128" s="62" t="s">
        <v>1235</v>
      </c>
      <c r="D1128" s="63">
        <v>43839</v>
      </c>
      <c r="E1128" s="63">
        <v>46387</v>
      </c>
      <c r="F1128" s="62" t="s">
        <v>1940</v>
      </c>
      <c r="G1128" s="62" t="s">
        <v>304</v>
      </c>
      <c r="H1128" s="62" t="s">
        <v>827</v>
      </c>
      <c r="I1128" s="62" t="s">
        <v>457</v>
      </c>
      <c r="J1128" s="62" t="s">
        <v>458</v>
      </c>
      <c r="K1128" s="62" t="s">
        <v>459</v>
      </c>
      <c r="L1128" s="62" t="s">
        <v>2421</v>
      </c>
      <c r="M1128" s="66" t="s">
        <v>1971</v>
      </c>
    </row>
    <row r="1129" spans="1:13" x14ac:dyDescent="0.3">
      <c r="A1129" s="61" t="s">
        <v>2151</v>
      </c>
      <c r="B1129" s="62" t="s">
        <v>1234</v>
      </c>
      <c r="C1129" s="62" t="s">
        <v>1235</v>
      </c>
      <c r="D1129" s="63">
        <v>43839</v>
      </c>
      <c r="E1129" s="63">
        <v>46387</v>
      </c>
      <c r="F1129" s="62" t="s">
        <v>1922</v>
      </c>
      <c r="G1129" s="62" t="s">
        <v>304</v>
      </c>
      <c r="H1129" s="62" t="s">
        <v>827</v>
      </c>
      <c r="I1129" s="62" t="s">
        <v>457</v>
      </c>
      <c r="J1129" s="62" t="s">
        <v>458</v>
      </c>
      <c r="K1129" s="62" t="s">
        <v>459</v>
      </c>
      <c r="L1129" s="62" t="s">
        <v>2421</v>
      </c>
      <c r="M1129" s="66" t="s">
        <v>1971</v>
      </c>
    </row>
    <row r="1130" spans="1:13" x14ac:dyDescent="0.3">
      <c r="A1130" s="61" t="s">
        <v>2151</v>
      </c>
      <c r="B1130" s="62" t="s">
        <v>1234</v>
      </c>
      <c r="C1130" s="62" t="s">
        <v>1235</v>
      </c>
      <c r="D1130" s="63">
        <v>43839</v>
      </c>
      <c r="E1130" s="63">
        <v>46387</v>
      </c>
      <c r="F1130" s="62" t="s">
        <v>1934</v>
      </c>
      <c r="G1130" s="62" t="s">
        <v>304</v>
      </c>
      <c r="H1130" s="62" t="s">
        <v>827</v>
      </c>
      <c r="I1130" s="62" t="s">
        <v>457</v>
      </c>
      <c r="J1130" s="62" t="s">
        <v>458</v>
      </c>
      <c r="K1130" s="62" t="s">
        <v>459</v>
      </c>
      <c r="L1130" s="62" t="s">
        <v>2421</v>
      </c>
      <c r="M1130" s="66" t="s">
        <v>1971</v>
      </c>
    </row>
    <row r="1131" spans="1:13" x14ac:dyDescent="0.3">
      <c r="A1131" s="61" t="s">
        <v>2151</v>
      </c>
      <c r="B1131" s="62" t="s">
        <v>1234</v>
      </c>
      <c r="C1131" s="62" t="s">
        <v>1235</v>
      </c>
      <c r="D1131" s="63">
        <v>43839</v>
      </c>
      <c r="E1131" s="63">
        <v>46387</v>
      </c>
      <c r="F1131" s="62" t="s">
        <v>1930</v>
      </c>
      <c r="G1131" s="62" t="s">
        <v>304</v>
      </c>
      <c r="H1131" s="62" t="s">
        <v>827</v>
      </c>
      <c r="I1131" s="62" t="s">
        <v>457</v>
      </c>
      <c r="J1131" s="62" t="s">
        <v>458</v>
      </c>
      <c r="K1131" s="62" t="s">
        <v>459</v>
      </c>
      <c r="L1131" s="62" t="s">
        <v>2421</v>
      </c>
      <c r="M1131" s="66" t="s">
        <v>1971</v>
      </c>
    </row>
    <row r="1132" spans="1:13" x14ac:dyDescent="0.3">
      <c r="A1132" s="61" t="s">
        <v>2151</v>
      </c>
      <c r="B1132" s="62" t="s">
        <v>1234</v>
      </c>
      <c r="C1132" s="62" t="s">
        <v>1235</v>
      </c>
      <c r="D1132" s="63">
        <v>43839</v>
      </c>
      <c r="E1132" s="63">
        <v>46387</v>
      </c>
      <c r="F1132" s="62" t="s">
        <v>1938</v>
      </c>
      <c r="G1132" s="62" t="s">
        <v>304</v>
      </c>
      <c r="H1132" s="62" t="s">
        <v>827</v>
      </c>
      <c r="I1132" s="62" t="s">
        <v>457</v>
      </c>
      <c r="J1132" s="62" t="s">
        <v>458</v>
      </c>
      <c r="K1132" s="62" t="s">
        <v>459</v>
      </c>
      <c r="L1132" s="62" t="s">
        <v>2421</v>
      </c>
      <c r="M1132" s="66" t="s">
        <v>1971</v>
      </c>
    </row>
    <row r="1133" spans="1:13" x14ac:dyDescent="0.3">
      <c r="A1133" s="61" t="s">
        <v>2151</v>
      </c>
      <c r="B1133" s="62" t="s">
        <v>1234</v>
      </c>
      <c r="C1133" s="62" t="s">
        <v>1235</v>
      </c>
      <c r="D1133" s="63">
        <v>43839</v>
      </c>
      <c r="E1133" s="63">
        <v>46387</v>
      </c>
      <c r="F1133" s="62" t="s">
        <v>1941</v>
      </c>
      <c r="G1133" s="62" t="s">
        <v>304</v>
      </c>
      <c r="H1133" s="62" t="s">
        <v>827</v>
      </c>
      <c r="I1133" s="62" t="s">
        <v>457</v>
      </c>
      <c r="J1133" s="62" t="s">
        <v>458</v>
      </c>
      <c r="K1133" s="62" t="s">
        <v>459</v>
      </c>
      <c r="L1133" s="62" t="s">
        <v>2421</v>
      </c>
      <c r="M1133" s="66" t="s">
        <v>1971</v>
      </c>
    </row>
    <row r="1134" spans="1:13" x14ac:dyDescent="0.3">
      <c r="A1134" s="61" t="s">
        <v>2152</v>
      </c>
      <c r="B1134" s="62" t="s">
        <v>1237</v>
      </c>
      <c r="C1134" s="62" t="s">
        <v>1238</v>
      </c>
      <c r="D1134" s="63">
        <v>45245</v>
      </c>
      <c r="E1134" s="63">
        <v>46037</v>
      </c>
      <c r="F1134" s="62" t="s">
        <v>1921</v>
      </c>
      <c r="G1134" s="62" t="s">
        <v>304</v>
      </c>
      <c r="H1134" s="62" t="s">
        <v>468</v>
      </c>
      <c r="I1134" s="62" t="s">
        <v>2443</v>
      </c>
      <c r="J1134" s="62" t="s">
        <v>1021</v>
      </c>
      <c r="K1134" s="62" t="s">
        <v>571</v>
      </c>
      <c r="L1134" s="62" t="s">
        <v>2421</v>
      </c>
      <c r="M1134" s="66" t="s">
        <v>2021</v>
      </c>
    </row>
    <row r="1135" spans="1:13" x14ac:dyDescent="0.3">
      <c r="A1135" s="61" t="s">
        <v>2152</v>
      </c>
      <c r="B1135" s="62" t="s">
        <v>1237</v>
      </c>
      <c r="C1135" s="62" t="s">
        <v>1238</v>
      </c>
      <c r="D1135" s="63">
        <v>45245</v>
      </c>
      <c r="E1135" s="63">
        <v>46037</v>
      </c>
      <c r="F1135" s="62" t="s">
        <v>1922</v>
      </c>
      <c r="G1135" s="62" t="s">
        <v>304</v>
      </c>
      <c r="H1135" s="62" t="s">
        <v>468</v>
      </c>
      <c r="I1135" s="62" t="s">
        <v>2443</v>
      </c>
      <c r="J1135" s="62" t="s">
        <v>1021</v>
      </c>
      <c r="K1135" s="62" t="s">
        <v>571</v>
      </c>
      <c r="L1135" s="62" t="s">
        <v>2421</v>
      </c>
      <c r="M1135" s="66" t="s">
        <v>2021</v>
      </c>
    </row>
    <row r="1136" spans="1:13" x14ac:dyDescent="0.3">
      <c r="A1136" s="61" t="s">
        <v>2152</v>
      </c>
      <c r="B1136" s="62" t="s">
        <v>1237</v>
      </c>
      <c r="C1136" s="62" t="s">
        <v>1238</v>
      </c>
      <c r="D1136" s="63">
        <v>45245</v>
      </c>
      <c r="E1136" s="63">
        <v>46037</v>
      </c>
      <c r="F1136" s="62" t="s">
        <v>1959</v>
      </c>
      <c r="G1136" s="62" t="s">
        <v>304</v>
      </c>
      <c r="H1136" s="62" t="s">
        <v>468</v>
      </c>
      <c r="I1136" s="62" t="s">
        <v>2443</v>
      </c>
      <c r="J1136" s="62" t="s">
        <v>1021</v>
      </c>
      <c r="K1136" s="62" t="s">
        <v>571</v>
      </c>
      <c r="L1136" s="62" t="s">
        <v>2421</v>
      </c>
      <c r="M1136" s="66" t="s">
        <v>2021</v>
      </c>
    </row>
    <row r="1137" spans="1:13" x14ac:dyDescent="0.3">
      <c r="A1137" s="61" t="s">
        <v>2152</v>
      </c>
      <c r="B1137" s="62" t="s">
        <v>1237</v>
      </c>
      <c r="C1137" s="62" t="s">
        <v>1238</v>
      </c>
      <c r="D1137" s="63">
        <v>45245</v>
      </c>
      <c r="E1137" s="63">
        <v>46037</v>
      </c>
      <c r="F1137" s="62" t="s">
        <v>1936</v>
      </c>
      <c r="G1137" s="62" t="s">
        <v>304</v>
      </c>
      <c r="H1137" s="62" t="s">
        <v>468</v>
      </c>
      <c r="I1137" s="62" t="s">
        <v>2443</v>
      </c>
      <c r="J1137" s="62" t="s">
        <v>1021</v>
      </c>
      <c r="K1137" s="62" t="s">
        <v>571</v>
      </c>
      <c r="L1137" s="62" t="s">
        <v>2421</v>
      </c>
      <c r="M1137" s="66" t="s">
        <v>2021</v>
      </c>
    </row>
    <row r="1138" spans="1:13" x14ac:dyDescent="0.3">
      <c r="A1138" s="61" t="s">
        <v>2152</v>
      </c>
      <c r="B1138" s="62" t="s">
        <v>1237</v>
      </c>
      <c r="C1138" s="62" t="s">
        <v>1238</v>
      </c>
      <c r="D1138" s="63">
        <v>45245</v>
      </c>
      <c r="E1138" s="63">
        <v>46037</v>
      </c>
      <c r="F1138" s="62" t="s">
        <v>287</v>
      </c>
      <c r="G1138" s="62" t="s">
        <v>304</v>
      </c>
      <c r="H1138" s="62" t="s">
        <v>468</v>
      </c>
      <c r="I1138" s="62" t="s">
        <v>2443</v>
      </c>
      <c r="J1138" s="62" t="s">
        <v>1021</v>
      </c>
      <c r="K1138" s="62" t="s">
        <v>571</v>
      </c>
      <c r="L1138" s="62" t="s">
        <v>2421</v>
      </c>
      <c r="M1138" s="66" t="s">
        <v>2021</v>
      </c>
    </row>
    <row r="1139" spans="1:13" x14ac:dyDescent="0.3">
      <c r="A1139" s="61" t="s">
        <v>2152</v>
      </c>
      <c r="B1139" s="62" t="s">
        <v>1237</v>
      </c>
      <c r="C1139" s="62" t="s">
        <v>1238</v>
      </c>
      <c r="D1139" s="63">
        <v>45245</v>
      </c>
      <c r="E1139" s="63">
        <v>46037</v>
      </c>
      <c r="F1139" s="62" t="s">
        <v>1945</v>
      </c>
      <c r="G1139" s="62" t="s">
        <v>304</v>
      </c>
      <c r="H1139" s="62" t="s">
        <v>468</v>
      </c>
      <c r="I1139" s="62" t="s">
        <v>2443</v>
      </c>
      <c r="J1139" s="62" t="s">
        <v>1021</v>
      </c>
      <c r="K1139" s="62" t="s">
        <v>571</v>
      </c>
      <c r="L1139" s="62" t="s">
        <v>2421</v>
      </c>
      <c r="M1139" s="66" t="s">
        <v>2021</v>
      </c>
    </row>
    <row r="1140" spans="1:13" x14ac:dyDescent="0.3">
      <c r="A1140" s="61" t="s">
        <v>2152</v>
      </c>
      <c r="B1140" s="62" t="s">
        <v>1237</v>
      </c>
      <c r="C1140" s="62" t="s">
        <v>1238</v>
      </c>
      <c r="D1140" s="63">
        <v>45245</v>
      </c>
      <c r="E1140" s="63">
        <v>46037</v>
      </c>
      <c r="F1140" s="62" t="s">
        <v>1921</v>
      </c>
      <c r="G1140" s="62" t="s">
        <v>304</v>
      </c>
      <c r="H1140" s="62" t="s">
        <v>2480</v>
      </c>
      <c r="I1140" s="62" t="s">
        <v>2443</v>
      </c>
      <c r="J1140" s="62" t="s">
        <v>1021</v>
      </c>
      <c r="K1140" s="62" t="s">
        <v>571</v>
      </c>
      <c r="L1140" s="62" t="s">
        <v>2421</v>
      </c>
      <c r="M1140" s="66" t="s">
        <v>2021</v>
      </c>
    </row>
    <row r="1141" spans="1:13" x14ac:dyDescent="0.3">
      <c r="A1141" s="61" t="s">
        <v>2152</v>
      </c>
      <c r="B1141" s="62" t="s">
        <v>1237</v>
      </c>
      <c r="C1141" s="62" t="s">
        <v>1238</v>
      </c>
      <c r="D1141" s="63">
        <v>45245</v>
      </c>
      <c r="E1141" s="63">
        <v>46037</v>
      </c>
      <c r="F1141" s="62" t="s">
        <v>1922</v>
      </c>
      <c r="G1141" s="62" t="s">
        <v>304</v>
      </c>
      <c r="H1141" s="62" t="s">
        <v>2480</v>
      </c>
      <c r="I1141" s="62" t="s">
        <v>2443</v>
      </c>
      <c r="J1141" s="62" t="s">
        <v>1021</v>
      </c>
      <c r="K1141" s="62" t="s">
        <v>571</v>
      </c>
      <c r="L1141" s="62" t="s">
        <v>2421</v>
      </c>
      <c r="M1141" s="66" t="s">
        <v>2021</v>
      </c>
    </row>
    <row r="1142" spans="1:13" x14ac:dyDescent="0.3">
      <c r="A1142" s="61" t="s">
        <v>2152</v>
      </c>
      <c r="B1142" s="62" t="s">
        <v>1237</v>
      </c>
      <c r="C1142" s="62" t="s">
        <v>1238</v>
      </c>
      <c r="D1142" s="63">
        <v>45245</v>
      </c>
      <c r="E1142" s="63">
        <v>46037</v>
      </c>
      <c r="F1142" s="62" t="s">
        <v>1959</v>
      </c>
      <c r="G1142" s="62" t="s">
        <v>304</v>
      </c>
      <c r="H1142" s="62" t="s">
        <v>2480</v>
      </c>
      <c r="I1142" s="62" t="s">
        <v>2443</v>
      </c>
      <c r="J1142" s="62" t="s">
        <v>1021</v>
      </c>
      <c r="K1142" s="62" t="s">
        <v>571</v>
      </c>
      <c r="L1142" s="62" t="s">
        <v>2421</v>
      </c>
      <c r="M1142" s="66" t="s">
        <v>2021</v>
      </c>
    </row>
    <row r="1143" spans="1:13" x14ac:dyDescent="0.3">
      <c r="A1143" s="61" t="s">
        <v>2152</v>
      </c>
      <c r="B1143" s="62" t="s">
        <v>1237</v>
      </c>
      <c r="C1143" s="62" t="s">
        <v>1238</v>
      </c>
      <c r="D1143" s="63">
        <v>45245</v>
      </c>
      <c r="E1143" s="63">
        <v>46037</v>
      </c>
      <c r="F1143" s="62" t="s">
        <v>1936</v>
      </c>
      <c r="G1143" s="62" t="s">
        <v>304</v>
      </c>
      <c r="H1143" s="62" t="s">
        <v>2480</v>
      </c>
      <c r="I1143" s="62" t="s">
        <v>2443</v>
      </c>
      <c r="J1143" s="62" t="s">
        <v>1021</v>
      </c>
      <c r="K1143" s="62" t="s">
        <v>571</v>
      </c>
      <c r="L1143" s="62" t="s">
        <v>2421</v>
      </c>
      <c r="M1143" s="66" t="s">
        <v>2021</v>
      </c>
    </row>
    <row r="1144" spans="1:13" x14ac:dyDescent="0.3">
      <c r="A1144" s="61" t="s">
        <v>2152</v>
      </c>
      <c r="B1144" s="62" t="s">
        <v>1237</v>
      </c>
      <c r="C1144" s="62" t="s">
        <v>1238</v>
      </c>
      <c r="D1144" s="63">
        <v>45245</v>
      </c>
      <c r="E1144" s="63">
        <v>46037</v>
      </c>
      <c r="F1144" s="62" t="s">
        <v>287</v>
      </c>
      <c r="G1144" s="62" t="s">
        <v>304</v>
      </c>
      <c r="H1144" s="62" t="s">
        <v>2480</v>
      </c>
      <c r="I1144" s="62" t="s">
        <v>2443</v>
      </c>
      <c r="J1144" s="62" t="s">
        <v>1021</v>
      </c>
      <c r="K1144" s="62" t="s">
        <v>571</v>
      </c>
      <c r="L1144" s="62" t="s">
        <v>2421</v>
      </c>
      <c r="M1144" s="66" t="s">
        <v>2021</v>
      </c>
    </row>
    <row r="1145" spans="1:13" x14ac:dyDescent="0.3">
      <c r="A1145" s="61" t="s">
        <v>2152</v>
      </c>
      <c r="B1145" s="62" t="s">
        <v>1237</v>
      </c>
      <c r="C1145" s="62" t="s">
        <v>1238</v>
      </c>
      <c r="D1145" s="63">
        <v>45245</v>
      </c>
      <c r="E1145" s="63">
        <v>46037</v>
      </c>
      <c r="F1145" s="62" t="s">
        <v>1945</v>
      </c>
      <c r="G1145" s="62" t="s">
        <v>304</v>
      </c>
      <c r="H1145" s="62" t="s">
        <v>2480</v>
      </c>
      <c r="I1145" s="62" t="s">
        <v>2443</v>
      </c>
      <c r="J1145" s="62" t="s">
        <v>1021</v>
      </c>
      <c r="K1145" s="62" t="s">
        <v>571</v>
      </c>
      <c r="L1145" s="62" t="s">
        <v>2421</v>
      </c>
      <c r="M1145" s="66" t="s">
        <v>2021</v>
      </c>
    </row>
    <row r="1146" spans="1:13" x14ac:dyDescent="0.3">
      <c r="A1146" s="61" t="s">
        <v>2152</v>
      </c>
      <c r="B1146" s="62" t="s">
        <v>1237</v>
      </c>
      <c r="C1146" s="62" t="s">
        <v>1238</v>
      </c>
      <c r="D1146" s="63">
        <v>45245</v>
      </c>
      <c r="E1146" s="63">
        <v>46037</v>
      </c>
      <c r="F1146" s="62" t="s">
        <v>1921</v>
      </c>
      <c r="G1146" s="62" t="s">
        <v>304</v>
      </c>
      <c r="H1146" s="62" t="s">
        <v>1239</v>
      </c>
      <c r="I1146" s="62" t="s">
        <v>2443</v>
      </c>
      <c r="J1146" s="62" t="s">
        <v>1021</v>
      </c>
      <c r="K1146" s="62" t="s">
        <v>571</v>
      </c>
      <c r="L1146" s="62" t="s">
        <v>2421</v>
      </c>
      <c r="M1146" s="66" t="s">
        <v>2021</v>
      </c>
    </row>
    <row r="1147" spans="1:13" x14ac:dyDescent="0.3">
      <c r="A1147" s="61" t="s">
        <v>2152</v>
      </c>
      <c r="B1147" s="62" t="s">
        <v>1237</v>
      </c>
      <c r="C1147" s="62" t="s">
        <v>1238</v>
      </c>
      <c r="D1147" s="63">
        <v>45245</v>
      </c>
      <c r="E1147" s="63">
        <v>46037</v>
      </c>
      <c r="F1147" s="62" t="s">
        <v>1922</v>
      </c>
      <c r="G1147" s="62" t="s">
        <v>304</v>
      </c>
      <c r="H1147" s="62" t="s">
        <v>1239</v>
      </c>
      <c r="I1147" s="62" t="s">
        <v>2443</v>
      </c>
      <c r="J1147" s="62" t="s">
        <v>1021</v>
      </c>
      <c r="K1147" s="62" t="s">
        <v>571</v>
      </c>
      <c r="L1147" s="62" t="s">
        <v>2421</v>
      </c>
      <c r="M1147" s="66" t="s">
        <v>2021</v>
      </c>
    </row>
    <row r="1148" spans="1:13" x14ac:dyDescent="0.3">
      <c r="A1148" s="61" t="s">
        <v>2152</v>
      </c>
      <c r="B1148" s="62" t="s">
        <v>1237</v>
      </c>
      <c r="C1148" s="62" t="s">
        <v>1238</v>
      </c>
      <c r="D1148" s="63">
        <v>45245</v>
      </c>
      <c r="E1148" s="63">
        <v>46037</v>
      </c>
      <c r="F1148" s="62" t="s">
        <v>1959</v>
      </c>
      <c r="G1148" s="62" t="s">
        <v>304</v>
      </c>
      <c r="H1148" s="62" t="s">
        <v>1239</v>
      </c>
      <c r="I1148" s="62" t="s">
        <v>2443</v>
      </c>
      <c r="J1148" s="62" t="s">
        <v>1021</v>
      </c>
      <c r="K1148" s="62" t="s">
        <v>571</v>
      </c>
      <c r="L1148" s="62" t="s">
        <v>2421</v>
      </c>
      <c r="M1148" s="66" t="s">
        <v>2021</v>
      </c>
    </row>
    <row r="1149" spans="1:13" x14ac:dyDescent="0.3">
      <c r="A1149" s="61" t="s">
        <v>2152</v>
      </c>
      <c r="B1149" s="62" t="s">
        <v>1237</v>
      </c>
      <c r="C1149" s="62" t="s">
        <v>1238</v>
      </c>
      <c r="D1149" s="63">
        <v>45245</v>
      </c>
      <c r="E1149" s="63">
        <v>46037</v>
      </c>
      <c r="F1149" s="62" t="s">
        <v>1936</v>
      </c>
      <c r="G1149" s="62" t="s">
        <v>304</v>
      </c>
      <c r="H1149" s="62" t="s">
        <v>1239</v>
      </c>
      <c r="I1149" s="62" t="s">
        <v>2443</v>
      </c>
      <c r="J1149" s="62" t="s">
        <v>1021</v>
      </c>
      <c r="K1149" s="62" t="s">
        <v>571</v>
      </c>
      <c r="L1149" s="62" t="s">
        <v>2421</v>
      </c>
      <c r="M1149" s="66" t="s">
        <v>2021</v>
      </c>
    </row>
    <row r="1150" spans="1:13" x14ac:dyDescent="0.3">
      <c r="A1150" s="61" t="s">
        <v>2152</v>
      </c>
      <c r="B1150" s="62" t="s">
        <v>1237</v>
      </c>
      <c r="C1150" s="62" t="s">
        <v>1238</v>
      </c>
      <c r="D1150" s="63">
        <v>45245</v>
      </c>
      <c r="E1150" s="63">
        <v>46037</v>
      </c>
      <c r="F1150" s="62" t="s">
        <v>287</v>
      </c>
      <c r="G1150" s="62" t="s">
        <v>304</v>
      </c>
      <c r="H1150" s="62" t="s">
        <v>1239</v>
      </c>
      <c r="I1150" s="62" t="s">
        <v>2443</v>
      </c>
      <c r="J1150" s="62" t="s">
        <v>1021</v>
      </c>
      <c r="K1150" s="62" t="s">
        <v>571</v>
      </c>
      <c r="L1150" s="62" t="s">
        <v>2421</v>
      </c>
      <c r="M1150" s="66" t="s">
        <v>2021</v>
      </c>
    </row>
    <row r="1151" spans="1:13" x14ac:dyDescent="0.3">
      <c r="A1151" s="61" t="s">
        <v>2152</v>
      </c>
      <c r="B1151" s="62" t="s">
        <v>1237</v>
      </c>
      <c r="C1151" s="62" t="s">
        <v>1238</v>
      </c>
      <c r="D1151" s="63">
        <v>45245</v>
      </c>
      <c r="E1151" s="63">
        <v>46037</v>
      </c>
      <c r="F1151" s="62" t="s">
        <v>1945</v>
      </c>
      <c r="G1151" s="62" t="s">
        <v>304</v>
      </c>
      <c r="H1151" s="62" t="s">
        <v>1239</v>
      </c>
      <c r="I1151" s="62" t="s">
        <v>2443</v>
      </c>
      <c r="J1151" s="62" t="s">
        <v>1021</v>
      </c>
      <c r="K1151" s="62" t="s">
        <v>571</v>
      </c>
      <c r="L1151" s="62" t="s">
        <v>2421</v>
      </c>
      <c r="M1151" s="66" t="s">
        <v>2021</v>
      </c>
    </row>
    <row r="1152" spans="1:13" x14ac:dyDescent="0.3">
      <c r="A1152" s="61" t="s">
        <v>2153</v>
      </c>
      <c r="B1152" s="62" t="s">
        <v>1240</v>
      </c>
      <c r="C1152" s="62" t="s">
        <v>1241</v>
      </c>
      <c r="D1152" s="63">
        <v>45226</v>
      </c>
      <c r="E1152" s="63">
        <v>47053</v>
      </c>
      <c r="F1152" s="62" t="s">
        <v>1931</v>
      </c>
      <c r="G1152" s="62" t="s">
        <v>281</v>
      </c>
      <c r="H1152" s="62" t="s">
        <v>468</v>
      </c>
      <c r="I1152" s="62" t="s">
        <v>1518</v>
      </c>
      <c r="J1152" s="62" t="s">
        <v>357</v>
      </c>
      <c r="K1152" s="62" t="s">
        <v>358</v>
      </c>
      <c r="L1152" s="62" t="s">
        <v>2421</v>
      </c>
      <c r="M1152" s="66" t="s">
        <v>1964</v>
      </c>
    </row>
    <row r="1153" spans="1:13" x14ac:dyDescent="0.3">
      <c r="A1153" s="61" t="s">
        <v>2154</v>
      </c>
      <c r="B1153" s="62" t="s">
        <v>1242</v>
      </c>
      <c r="C1153" s="62" t="s">
        <v>1243</v>
      </c>
      <c r="D1153" s="63">
        <v>44927</v>
      </c>
      <c r="E1153" s="63">
        <v>46752</v>
      </c>
      <c r="F1153" s="62" t="s">
        <v>1931</v>
      </c>
      <c r="G1153" s="62" t="s">
        <v>304</v>
      </c>
      <c r="H1153" s="62" t="s">
        <v>1245</v>
      </c>
      <c r="I1153" s="62" t="s">
        <v>1518</v>
      </c>
      <c r="J1153" s="62" t="s">
        <v>486</v>
      </c>
      <c r="K1153" s="62" t="s">
        <v>465</v>
      </c>
      <c r="L1153" s="62" t="s">
        <v>2421</v>
      </c>
      <c r="M1153" s="66" t="s">
        <v>1964</v>
      </c>
    </row>
    <row r="1154" spans="1:13" x14ac:dyDescent="0.3">
      <c r="A1154" s="61" t="s">
        <v>2154</v>
      </c>
      <c r="B1154" s="62" t="s">
        <v>1242</v>
      </c>
      <c r="C1154" s="62" t="s">
        <v>1243</v>
      </c>
      <c r="D1154" s="63">
        <v>44927</v>
      </c>
      <c r="E1154" s="63">
        <v>46752</v>
      </c>
      <c r="F1154" s="62" t="s">
        <v>1921</v>
      </c>
      <c r="G1154" s="62" t="s">
        <v>304</v>
      </c>
      <c r="H1154" s="62" t="s">
        <v>1245</v>
      </c>
      <c r="I1154" s="62" t="s">
        <v>1518</v>
      </c>
      <c r="J1154" s="62" t="s">
        <v>486</v>
      </c>
      <c r="K1154" s="62" t="s">
        <v>465</v>
      </c>
      <c r="L1154" s="62" t="s">
        <v>2421</v>
      </c>
      <c r="M1154" s="66" t="s">
        <v>1964</v>
      </c>
    </row>
    <row r="1155" spans="1:13" x14ac:dyDescent="0.3">
      <c r="A1155" s="61" t="s">
        <v>2155</v>
      </c>
      <c r="B1155" s="62" t="s">
        <v>1246</v>
      </c>
      <c r="C1155" s="62" t="s">
        <v>1247</v>
      </c>
      <c r="D1155" s="63">
        <v>45167</v>
      </c>
      <c r="E1155" s="63">
        <v>46385</v>
      </c>
      <c r="F1155" s="62" t="s">
        <v>350</v>
      </c>
      <c r="G1155" s="62" t="s">
        <v>304</v>
      </c>
      <c r="H1155" s="62" t="s">
        <v>2425</v>
      </c>
      <c r="I1155" s="62" t="s">
        <v>1518</v>
      </c>
      <c r="J1155" s="62" t="s">
        <v>1248</v>
      </c>
      <c r="K1155" s="62" t="s">
        <v>358</v>
      </c>
      <c r="L1155" s="62" t="s">
        <v>2421</v>
      </c>
      <c r="M1155" s="66" t="s">
        <v>1964</v>
      </c>
    </row>
    <row r="1156" spans="1:13" x14ac:dyDescent="0.3">
      <c r="A1156" s="61" t="s">
        <v>2156</v>
      </c>
      <c r="B1156" s="62" t="s">
        <v>1249</v>
      </c>
      <c r="C1156" s="62" t="s">
        <v>1250</v>
      </c>
      <c r="D1156" s="63">
        <v>45444</v>
      </c>
      <c r="E1156" s="63">
        <v>46904</v>
      </c>
      <c r="F1156" s="62" t="s">
        <v>1987</v>
      </c>
      <c r="G1156" s="62" t="s">
        <v>304</v>
      </c>
      <c r="H1156" s="62" t="s">
        <v>645</v>
      </c>
      <c r="I1156" s="62" t="s">
        <v>1518</v>
      </c>
      <c r="J1156" s="62" t="s">
        <v>357</v>
      </c>
      <c r="K1156" s="62" t="s">
        <v>358</v>
      </c>
      <c r="L1156" s="62" t="s">
        <v>2421</v>
      </c>
      <c r="M1156" s="66" t="s">
        <v>1971</v>
      </c>
    </row>
    <row r="1157" spans="1:13" x14ac:dyDescent="0.3">
      <c r="A1157" s="61" t="s">
        <v>2156</v>
      </c>
      <c r="B1157" s="62" t="s">
        <v>1249</v>
      </c>
      <c r="C1157" s="62" t="s">
        <v>1250</v>
      </c>
      <c r="D1157" s="63">
        <v>45444</v>
      </c>
      <c r="E1157" s="63">
        <v>46904</v>
      </c>
      <c r="F1157" s="62" t="s">
        <v>1921</v>
      </c>
      <c r="G1157" s="62" t="s">
        <v>304</v>
      </c>
      <c r="H1157" s="62" t="s">
        <v>645</v>
      </c>
      <c r="I1157" s="62" t="s">
        <v>1518</v>
      </c>
      <c r="J1157" s="62" t="s">
        <v>357</v>
      </c>
      <c r="K1157" s="62" t="s">
        <v>358</v>
      </c>
      <c r="L1157" s="62" t="s">
        <v>2421</v>
      </c>
      <c r="M1157" s="66" t="s">
        <v>1971</v>
      </c>
    </row>
    <row r="1158" spans="1:13" x14ac:dyDescent="0.3">
      <c r="A1158" s="61" t="s">
        <v>2156</v>
      </c>
      <c r="B1158" s="62" t="s">
        <v>1249</v>
      </c>
      <c r="C1158" s="62" t="s">
        <v>1250</v>
      </c>
      <c r="D1158" s="63">
        <v>45444</v>
      </c>
      <c r="E1158" s="63">
        <v>46904</v>
      </c>
      <c r="F1158" s="62" t="s">
        <v>1940</v>
      </c>
      <c r="G1158" s="62" t="s">
        <v>451</v>
      </c>
      <c r="H1158" s="62" t="s">
        <v>645</v>
      </c>
      <c r="I1158" s="62" t="s">
        <v>1518</v>
      </c>
      <c r="J1158" s="62" t="s">
        <v>357</v>
      </c>
      <c r="K1158" s="62" t="s">
        <v>358</v>
      </c>
      <c r="L1158" s="62" t="s">
        <v>2421</v>
      </c>
      <c r="M1158" s="66" t="s">
        <v>1971</v>
      </c>
    </row>
    <row r="1159" spans="1:13" x14ac:dyDescent="0.3">
      <c r="A1159" s="61" t="s">
        <v>2156</v>
      </c>
      <c r="B1159" s="62" t="s">
        <v>1249</v>
      </c>
      <c r="C1159" s="62" t="s">
        <v>1250</v>
      </c>
      <c r="D1159" s="63">
        <v>45444</v>
      </c>
      <c r="E1159" s="63">
        <v>46904</v>
      </c>
      <c r="F1159" s="62" t="s">
        <v>1916</v>
      </c>
      <c r="G1159" s="62" t="s">
        <v>304</v>
      </c>
      <c r="H1159" s="62" t="s">
        <v>645</v>
      </c>
      <c r="I1159" s="62" t="s">
        <v>1518</v>
      </c>
      <c r="J1159" s="62" t="s">
        <v>357</v>
      </c>
      <c r="K1159" s="62" t="s">
        <v>358</v>
      </c>
      <c r="L1159" s="62" t="s">
        <v>2421</v>
      </c>
      <c r="M1159" s="66" t="s">
        <v>1971</v>
      </c>
    </row>
    <row r="1160" spans="1:13" x14ac:dyDescent="0.3">
      <c r="A1160" s="61" t="s">
        <v>2156</v>
      </c>
      <c r="B1160" s="62" t="s">
        <v>1249</v>
      </c>
      <c r="C1160" s="62" t="s">
        <v>1250</v>
      </c>
      <c r="D1160" s="63">
        <v>45444</v>
      </c>
      <c r="E1160" s="63">
        <v>46904</v>
      </c>
      <c r="F1160" s="62" t="s">
        <v>1958</v>
      </c>
      <c r="G1160" s="62" t="s">
        <v>330</v>
      </c>
      <c r="H1160" s="62" t="s">
        <v>645</v>
      </c>
      <c r="I1160" s="62" t="s">
        <v>1518</v>
      </c>
      <c r="J1160" s="62" t="s">
        <v>357</v>
      </c>
      <c r="K1160" s="62" t="s">
        <v>358</v>
      </c>
      <c r="L1160" s="62" t="s">
        <v>2421</v>
      </c>
      <c r="M1160" s="66" t="s">
        <v>1971</v>
      </c>
    </row>
    <row r="1161" spans="1:13" x14ac:dyDescent="0.3">
      <c r="A1161" s="61" t="s">
        <v>2156</v>
      </c>
      <c r="B1161" s="62" t="s">
        <v>1249</v>
      </c>
      <c r="C1161" s="62" t="s">
        <v>1250</v>
      </c>
      <c r="D1161" s="63">
        <v>45444</v>
      </c>
      <c r="E1161" s="63">
        <v>46904</v>
      </c>
      <c r="F1161" s="62" t="s">
        <v>1938</v>
      </c>
      <c r="G1161" s="62" t="s">
        <v>506</v>
      </c>
      <c r="H1161" s="62" t="s">
        <v>645</v>
      </c>
      <c r="I1161" s="62" t="s">
        <v>1518</v>
      </c>
      <c r="J1161" s="62" t="s">
        <v>357</v>
      </c>
      <c r="K1161" s="62" t="s">
        <v>358</v>
      </c>
      <c r="L1161" s="62" t="s">
        <v>2421</v>
      </c>
      <c r="M1161" s="66" t="s">
        <v>1971</v>
      </c>
    </row>
    <row r="1162" spans="1:13" x14ac:dyDescent="0.3">
      <c r="A1162" s="61" t="s">
        <v>2156</v>
      </c>
      <c r="B1162" s="62" t="s">
        <v>1249</v>
      </c>
      <c r="C1162" s="62" t="s">
        <v>1250</v>
      </c>
      <c r="D1162" s="63">
        <v>45444</v>
      </c>
      <c r="E1162" s="63">
        <v>46904</v>
      </c>
      <c r="F1162" s="62" t="s">
        <v>1936</v>
      </c>
      <c r="G1162" s="62" t="s">
        <v>748</v>
      </c>
      <c r="H1162" s="62" t="s">
        <v>645</v>
      </c>
      <c r="I1162" s="62" t="s">
        <v>1518</v>
      </c>
      <c r="J1162" s="62" t="s">
        <v>357</v>
      </c>
      <c r="K1162" s="62" t="s">
        <v>358</v>
      </c>
      <c r="L1162" s="62" t="s">
        <v>2421</v>
      </c>
      <c r="M1162" s="66" t="s">
        <v>1971</v>
      </c>
    </row>
    <row r="1163" spans="1:13" x14ac:dyDescent="0.3">
      <c r="A1163" s="61" t="s">
        <v>2157</v>
      </c>
      <c r="B1163" s="62" t="s">
        <v>1251</v>
      </c>
      <c r="C1163" s="62" t="s">
        <v>1252</v>
      </c>
      <c r="D1163" s="63">
        <v>45453</v>
      </c>
      <c r="E1163" s="63">
        <v>46731</v>
      </c>
      <c r="F1163" s="62" t="s">
        <v>350</v>
      </c>
      <c r="G1163" s="62" t="s">
        <v>350</v>
      </c>
      <c r="H1163" s="62" t="s">
        <v>468</v>
      </c>
      <c r="I1163" s="62" t="s">
        <v>825</v>
      </c>
      <c r="J1163" s="62" t="s">
        <v>370</v>
      </c>
      <c r="K1163" s="62" t="s">
        <v>371</v>
      </c>
      <c r="L1163" s="62" t="s">
        <v>2421</v>
      </c>
      <c r="M1163" s="66" t="s">
        <v>1978</v>
      </c>
    </row>
    <row r="1164" spans="1:13" x14ac:dyDescent="0.3">
      <c r="A1164" s="61" t="s">
        <v>2158</v>
      </c>
      <c r="B1164" s="62" t="s">
        <v>1253</v>
      </c>
      <c r="C1164" s="62" t="s">
        <v>1254</v>
      </c>
      <c r="D1164" s="63">
        <v>45505</v>
      </c>
      <c r="E1164" s="63">
        <v>46419</v>
      </c>
      <c r="F1164" s="62" t="s">
        <v>350</v>
      </c>
      <c r="G1164" s="62" t="s">
        <v>350</v>
      </c>
      <c r="H1164" s="62" t="s">
        <v>468</v>
      </c>
      <c r="I1164" s="62" t="s">
        <v>2443</v>
      </c>
      <c r="J1164" s="62" t="s">
        <v>416</v>
      </c>
      <c r="K1164" s="62" t="s">
        <v>417</v>
      </c>
      <c r="L1164" s="62" t="s">
        <v>2421</v>
      </c>
      <c r="M1164" s="66" t="s">
        <v>2021</v>
      </c>
    </row>
    <row r="1165" spans="1:13" x14ac:dyDescent="0.3">
      <c r="A1165" s="61" t="s">
        <v>2159</v>
      </c>
      <c r="B1165" s="62" t="s">
        <v>1255</v>
      </c>
      <c r="C1165" s="62" t="s">
        <v>1256</v>
      </c>
      <c r="D1165" s="63">
        <v>45292</v>
      </c>
      <c r="E1165" s="63">
        <v>46387</v>
      </c>
      <c r="F1165" s="62" t="s">
        <v>282</v>
      </c>
      <c r="G1165" s="62" t="s">
        <v>283</v>
      </c>
      <c r="H1165" s="62" t="s">
        <v>1257</v>
      </c>
      <c r="I1165" s="62" t="s">
        <v>424</v>
      </c>
      <c r="J1165" s="62" t="s">
        <v>673</v>
      </c>
      <c r="K1165" s="62" t="s">
        <v>371</v>
      </c>
      <c r="L1165" s="62" t="s">
        <v>2421</v>
      </c>
      <c r="M1165" s="66" t="s">
        <v>1978</v>
      </c>
    </row>
    <row r="1166" spans="1:13" x14ac:dyDescent="0.3">
      <c r="A1166" s="61" t="s">
        <v>2159</v>
      </c>
      <c r="B1166" s="62" t="s">
        <v>1255</v>
      </c>
      <c r="C1166" s="62" t="s">
        <v>1256</v>
      </c>
      <c r="D1166" s="63">
        <v>45292</v>
      </c>
      <c r="E1166" s="63">
        <v>46387</v>
      </c>
      <c r="F1166" s="62" t="s">
        <v>282</v>
      </c>
      <c r="G1166" s="62" t="s">
        <v>1258</v>
      </c>
      <c r="H1166" s="62" t="s">
        <v>1257</v>
      </c>
      <c r="I1166" s="62" t="s">
        <v>424</v>
      </c>
      <c r="J1166" s="62" t="s">
        <v>673</v>
      </c>
      <c r="K1166" s="62" t="s">
        <v>371</v>
      </c>
      <c r="L1166" s="62" t="s">
        <v>2421</v>
      </c>
      <c r="M1166" s="66" t="s">
        <v>1978</v>
      </c>
    </row>
    <row r="1167" spans="1:13" x14ac:dyDescent="0.3">
      <c r="A1167" s="61" t="s">
        <v>2159</v>
      </c>
      <c r="B1167" s="62" t="s">
        <v>1255</v>
      </c>
      <c r="C1167" s="62" t="s">
        <v>1256</v>
      </c>
      <c r="D1167" s="63">
        <v>45292</v>
      </c>
      <c r="E1167" s="63">
        <v>46387</v>
      </c>
      <c r="F1167" s="62" t="s">
        <v>282</v>
      </c>
      <c r="G1167" s="62" t="s">
        <v>786</v>
      </c>
      <c r="H1167" s="62" t="s">
        <v>1257</v>
      </c>
      <c r="I1167" s="62" t="s">
        <v>424</v>
      </c>
      <c r="J1167" s="62" t="s">
        <v>673</v>
      </c>
      <c r="K1167" s="62" t="s">
        <v>371</v>
      </c>
      <c r="L1167" s="62" t="s">
        <v>2421</v>
      </c>
      <c r="M1167" s="66" t="s">
        <v>1978</v>
      </c>
    </row>
    <row r="1168" spans="1:13" x14ac:dyDescent="0.3">
      <c r="A1168" s="61" t="s">
        <v>2159</v>
      </c>
      <c r="B1168" s="62" t="s">
        <v>1255</v>
      </c>
      <c r="C1168" s="62" t="s">
        <v>1256</v>
      </c>
      <c r="D1168" s="63">
        <v>45292</v>
      </c>
      <c r="E1168" s="63">
        <v>46387</v>
      </c>
      <c r="F1168" s="62" t="s">
        <v>282</v>
      </c>
      <c r="G1168" s="62" t="s">
        <v>507</v>
      </c>
      <c r="H1168" s="62" t="s">
        <v>1257</v>
      </c>
      <c r="I1168" s="62" t="s">
        <v>424</v>
      </c>
      <c r="J1168" s="62" t="s">
        <v>673</v>
      </c>
      <c r="K1168" s="62" t="s">
        <v>371</v>
      </c>
      <c r="L1168" s="62" t="s">
        <v>2421</v>
      </c>
      <c r="M1168" s="66" t="s">
        <v>1978</v>
      </c>
    </row>
    <row r="1169" spans="1:13" x14ac:dyDescent="0.3">
      <c r="A1169" s="61" t="s">
        <v>2159</v>
      </c>
      <c r="B1169" s="62" t="s">
        <v>1255</v>
      </c>
      <c r="C1169" s="62" t="s">
        <v>1256</v>
      </c>
      <c r="D1169" s="63">
        <v>45292</v>
      </c>
      <c r="E1169" s="63">
        <v>46387</v>
      </c>
      <c r="F1169" s="62" t="s">
        <v>1922</v>
      </c>
      <c r="G1169" s="62" t="s">
        <v>349</v>
      </c>
      <c r="H1169" s="62" t="s">
        <v>1257</v>
      </c>
      <c r="I1169" s="62" t="s">
        <v>424</v>
      </c>
      <c r="J1169" s="62" t="s">
        <v>673</v>
      </c>
      <c r="K1169" s="62" t="s">
        <v>371</v>
      </c>
      <c r="L1169" s="62" t="s">
        <v>2421</v>
      </c>
      <c r="M1169" s="66" t="s">
        <v>1978</v>
      </c>
    </row>
    <row r="1170" spans="1:13" x14ac:dyDescent="0.3">
      <c r="A1170" s="61" t="s">
        <v>2159</v>
      </c>
      <c r="B1170" s="62" t="s">
        <v>1255</v>
      </c>
      <c r="C1170" s="62" t="s">
        <v>1256</v>
      </c>
      <c r="D1170" s="63">
        <v>45292</v>
      </c>
      <c r="E1170" s="63">
        <v>46387</v>
      </c>
      <c r="F1170" s="62" t="s">
        <v>1922</v>
      </c>
      <c r="G1170" s="62" t="s">
        <v>383</v>
      </c>
      <c r="H1170" s="62" t="s">
        <v>1257</v>
      </c>
      <c r="I1170" s="62" t="s">
        <v>424</v>
      </c>
      <c r="J1170" s="62" t="s">
        <v>673</v>
      </c>
      <c r="K1170" s="62" t="s">
        <v>371</v>
      </c>
      <c r="L1170" s="62" t="s">
        <v>2421</v>
      </c>
      <c r="M1170" s="66" t="s">
        <v>1978</v>
      </c>
    </row>
    <row r="1171" spans="1:13" x14ac:dyDescent="0.3">
      <c r="A1171" s="61" t="s">
        <v>2159</v>
      </c>
      <c r="B1171" s="62" t="s">
        <v>1255</v>
      </c>
      <c r="C1171" s="62" t="s">
        <v>1256</v>
      </c>
      <c r="D1171" s="63">
        <v>45292</v>
      </c>
      <c r="E1171" s="63">
        <v>46387</v>
      </c>
      <c r="F1171" s="62" t="s">
        <v>1922</v>
      </c>
      <c r="G1171" s="62" t="s">
        <v>385</v>
      </c>
      <c r="H1171" s="62" t="s">
        <v>1257</v>
      </c>
      <c r="I1171" s="62" t="s">
        <v>424</v>
      </c>
      <c r="J1171" s="62" t="s">
        <v>673</v>
      </c>
      <c r="K1171" s="62" t="s">
        <v>371</v>
      </c>
      <c r="L1171" s="62" t="s">
        <v>2421</v>
      </c>
      <c r="M1171" s="66" t="s">
        <v>1978</v>
      </c>
    </row>
    <row r="1172" spans="1:13" x14ac:dyDescent="0.3">
      <c r="A1172" s="61" t="s">
        <v>2159</v>
      </c>
      <c r="B1172" s="62" t="s">
        <v>1255</v>
      </c>
      <c r="C1172" s="62" t="s">
        <v>1256</v>
      </c>
      <c r="D1172" s="63">
        <v>45292</v>
      </c>
      <c r="E1172" s="63">
        <v>46387</v>
      </c>
      <c r="F1172" s="62" t="s">
        <v>1922</v>
      </c>
      <c r="G1172" s="62" t="s">
        <v>387</v>
      </c>
      <c r="H1172" s="62" t="s">
        <v>1257</v>
      </c>
      <c r="I1172" s="62" t="s">
        <v>424</v>
      </c>
      <c r="J1172" s="62" t="s">
        <v>673</v>
      </c>
      <c r="K1172" s="62" t="s">
        <v>371</v>
      </c>
      <c r="L1172" s="62" t="s">
        <v>2421</v>
      </c>
      <c r="M1172" s="66" t="s">
        <v>1978</v>
      </c>
    </row>
    <row r="1173" spans="1:13" x14ac:dyDescent="0.3">
      <c r="A1173" s="61" t="s">
        <v>2159</v>
      </c>
      <c r="B1173" s="62" t="s">
        <v>1255</v>
      </c>
      <c r="C1173" s="62" t="s">
        <v>1256</v>
      </c>
      <c r="D1173" s="63">
        <v>45292</v>
      </c>
      <c r="E1173" s="63">
        <v>46387</v>
      </c>
      <c r="F1173" s="62" t="s">
        <v>287</v>
      </c>
      <c r="G1173" s="62" t="s">
        <v>390</v>
      </c>
      <c r="H1173" s="62" t="s">
        <v>1257</v>
      </c>
      <c r="I1173" s="62" t="s">
        <v>424</v>
      </c>
      <c r="J1173" s="62" t="s">
        <v>673</v>
      </c>
      <c r="K1173" s="62" t="s">
        <v>371</v>
      </c>
      <c r="L1173" s="62" t="s">
        <v>2421</v>
      </c>
      <c r="M1173" s="66" t="s">
        <v>1978</v>
      </c>
    </row>
    <row r="1174" spans="1:13" x14ac:dyDescent="0.3">
      <c r="A1174" s="61" t="s">
        <v>2159</v>
      </c>
      <c r="B1174" s="62" t="s">
        <v>1255</v>
      </c>
      <c r="C1174" s="62" t="s">
        <v>1256</v>
      </c>
      <c r="D1174" s="63">
        <v>45292</v>
      </c>
      <c r="E1174" s="63">
        <v>46387</v>
      </c>
      <c r="F1174" s="62" t="s">
        <v>287</v>
      </c>
      <c r="G1174" s="62" t="s">
        <v>554</v>
      </c>
      <c r="H1174" s="62" t="s">
        <v>1257</v>
      </c>
      <c r="I1174" s="62" t="s">
        <v>424</v>
      </c>
      <c r="J1174" s="62" t="s">
        <v>673</v>
      </c>
      <c r="K1174" s="62" t="s">
        <v>371</v>
      </c>
      <c r="L1174" s="62" t="s">
        <v>2421</v>
      </c>
      <c r="M1174" s="66" t="s">
        <v>1978</v>
      </c>
    </row>
    <row r="1175" spans="1:13" x14ac:dyDescent="0.3">
      <c r="A1175" s="61" t="s">
        <v>2159</v>
      </c>
      <c r="B1175" s="62" t="s">
        <v>1255</v>
      </c>
      <c r="C1175" s="62" t="s">
        <v>1256</v>
      </c>
      <c r="D1175" s="63">
        <v>45292</v>
      </c>
      <c r="E1175" s="63">
        <v>46387</v>
      </c>
      <c r="F1175" s="62" t="s">
        <v>287</v>
      </c>
      <c r="G1175" s="62" t="s">
        <v>393</v>
      </c>
      <c r="H1175" s="62" t="s">
        <v>1257</v>
      </c>
      <c r="I1175" s="62" t="s">
        <v>424</v>
      </c>
      <c r="J1175" s="62" t="s">
        <v>673</v>
      </c>
      <c r="K1175" s="62" t="s">
        <v>371</v>
      </c>
      <c r="L1175" s="62" t="s">
        <v>2421</v>
      </c>
      <c r="M1175" s="66" t="s">
        <v>1978</v>
      </c>
    </row>
    <row r="1176" spans="1:13" x14ac:dyDescent="0.3">
      <c r="A1176" s="61" t="s">
        <v>2159</v>
      </c>
      <c r="B1176" s="62" t="s">
        <v>1255</v>
      </c>
      <c r="C1176" s="62" t="s">
        <v>1256</v>
      </c>
      <c r="D1176" s="63">
        <v>45292</v>
      </c>
      <c r="E1176" s="63">
        <v>46387</v>
      </c>
      <c r="F1176" s="62" t="s">
        <v>287</v>
      </c>
      <c r="G1176" s="62" t="s">
        <v>396</v>
      </c>
      <c r="H1176" s="62" t="s">
        <v>1257</v>
      </c>
      <c r="I1176" s="62" t="s">
        <v>424</v>
      </c>
      <c r="J1176" s="62" t="s">
        <v>673</v>
      </c>
      <c r="K1176" s="62" t="s">
        <v>371</v>
      </c>
      <c r="L1176" s="62" t="s">
        <v>2421</v>
      </c>
      <c r="M1176" s="66" t="s">
        <v>1978</v>
      </c>
    </row>
    <row r="1177" spans="1:13" x14ac:dyDescent="0.3">
      <c r="A1177" s="61" t="s">
        <v>2159</v>
      </c>
      <c r="B1177" s="62" t="s">
        <v>1255</v>
      </c>
      <c r="C1177" s="62" t="s">
        <v>1256</v>
      </c>
      <c r="D1177" s="63">
        <v>45292</v>
      </c>
      <c r="E1177" s="63">
        <v>46387</v>
      </c>
      <c r="F1177" s="62" t="s">
        <v>1945</v>
      </c>
      <c r="G1177" s="62" t="s">
        <v>400</v>
      </c>
      <c r="H1177" s="62" t="s">
        <v>1257</v>
      </c>
      <c r="I1177" s="62" t="s">
        <v>424</v>
      </c>
      <c r="J1177" s="62" t="s">
        <v>673</v>
      </c>
      <c r="K1177" s="62" t="s">
        <v>371</v>
      </c>
      <c r="L1177" s="62" t="s">
        <v>2421</v>
      </c>
      <c r="M1177" s="66" t="s">
        <v>1978</v>
      </c>
    </row>
    <row r="1178" spans="1:13" x14ac:dyDescent="0.3">
      <c r="A1178" s="61" t="s">
        <v>2159</v>
      </c>
      <c r="B1178" s="62" t="s">
        <v>1255</v>
      </c>
      <c r="C1178" s="62" t="s">
        <v>1256</v>
      </c>
      <c r="D1178" s="63">
        <v>45292</v>
      </c>
      <c r="E1178" s="63">
        <v>46387</v>
      </c>
      <c r="F1178" s="62" t="s">
        <v>1945</v>
      </c>
      <c r="G1178" s="62" t="s">
        <v>555</v>
      </c>
      <c r="H1178" s="62" t="s">
        <v>1257</v>
      </c>
      <c r="I1178" s="62" t="s">
        <v>424</v>
      </c>
      <c r="J1178" s="62" t="s">
        <v>673</v>
      </c>
      <c r="K1178" s="62" t="s">
        <v>371</v>
      </c>
      <c r="L1178" s="62" t="s">
        <v>2421</v>
      </c>
      <c r="M1178" s="66" t="s">
        <v>1978</v>
      </c>
    </row>
    <row r="1179" spans="1:13" x14ac:dyDescent="0.3">
      <c r="A1179" s="61" t="s">
        <v>2159</v>
      </c>
      <c r="B1179" s="62" t="s">
        <v>1255</v>
      </c>
      <c r="C1179" s="62" t="s">
        <v>1256</v>
      </c>
      <c r="D1179" s="63">
        <v>45292</v>
      </c>
      <c r="E1179" s="63">
        <v>46387</v>
      </c>
      <c r="F1179" s="62" t="s">
        <v>1945</v>
      </c>
      <c r="G1179" s="62" t="s">
        <v>1259</v>
      </c>
      <c r="H1179" s="62" t="s">
        <v>1257</v>
      </c>
      <c r="I1179" s="62" t="s">
        <v>424</v>
      </c>
      <c r="J1179" s="62" t="s">
        <v>673</v>
      </c>
      <c r="K1179" s="62" t="s">
        <v>371</v>
      </c>
      <c r="L1179" s="62" t="s">
        <v>2421</v>
      </c>
      <c r="M1179" s="66" t="s">
        <v>1978</v>
      </c>
    </row>
    <row r="1180" spans="1:13" x14ac:dyDescent="0.3">
      <c r="A1180" s="61" t="s">
        <v>2159</v>
      </c>
      <c r="B1180" s="62" t="s">
        <v>1255</v>
      </c>
      <c r="C1180" s="62" t="s">
        <v>1256</v>
      </c>
      <c r="D1180" s="63">
        <v>45292</v>
      </c>
      <c r="E1180" s="63">
        <v>46387</v>
      </c>
      <c r="F1180" s="62" t="s">
        <v>1945</v>
      </c>
      <c r="G1180" s="62" t="s">
        <v>403</v>
      </c>
      <c r="H1180" s="62" t="s">
        <v>1257</v>
      </c>
      <c r="I1180" s="62" t="s">
        <v>424</v>
      </c>
      <c r="J1180" s="62" t="s">
        <v>673</v>
      </c>
      <c r="K1180" s="62" t="s">
        <v>371</v>
      </c>
      <c r="L1180" s="62" t="s">
        <v>2421</v>
      </c>
      <c r="M1180" s="66" t="s">
        <v>1978</v>
      </c>
    </row>
    <row r="1181" spans="1:13" x14ac:dyDescent="0.3">
      <c r="A1181" s="61" t="s">
        <v>2159</v>
      </c>
      <c r="B1181" s="62" t="s">
        <v>1255</v>
      </c>
      <c r="C1181" s="62" t="s">
        <v>1256</v>
      </c>
      <c r="D1181" s="63">
        <v>45292</v>
      </c>
      <c r="E1181" s="63">
        <v>46387</v>
      </c>
      <c r="F1181" s="62" t="s">
        <v>1930</v>
      </c>
      <c r="G1181" s="62" t="s">
        <v>721</v>
      </c>
      <c r="H1181" s="62" t="s">
        <v>1257</v>
      </c>
      <c r="I1181" s="62" t="s">
        <v>424</v>
      </c>
      <c r="J1181" s="62" t="s">
        <v>673</v>
      </c>
      <c r="K1181" s="62" t="s">
        <v>371</v>
      </c>
      <c r="L1181" s="62" t="s">
        <v>2421</v>
      </c>
      <c r="M1181" s="66" t="s">
        <v>1978</v>
      </c>
    </row>
    <row r="1182" spans="1:13" x14ac:dyDescent="0.3">
      <c r="A1182" s="61" t="s">
        <v>2159</v>
      </c>
      <c r="B1182" s="62" t="s">
        <v>1255</v>
      </c>
      <c r="C1182" s="62" t="s">
        <v>1256</v>
      </c>
      <c r="D1182" s="63">
        <v>45292</v>
      </c>
      <c r="E1182" s="63">
        <v>46387</v>
      </c>
      <c r="F1182" s="62" t="s">
        <v>1930</v>
      </c>
      <c r="G1182" s="62" t="s">
        <v>453</v>
      </c>
      <c r="H1182" s="62" t="s">
        <v>1257</v>
      </c>
      <c r="I1182" s="62" t="s">
        <v>424</v>
      </c>
      <c r="J1182" s="62" t="s">
        <v>673</v>
      </c>
      <c r="K1182" s="62" t="s">
        <v>371</v>
      </c>
      <c r="L1182" s="62" t="s">
        <v>2421</v>
      </c>
      <c r="M1182" s="66" t="s">
        <v>1978</v>
      </c>
    </row>
    <row r="1183" spans="1:13" x14ac:dyDescent="0.3">
      <c r="A1183" s="61" t="s">
        <v>2159</v>
      </c>
      <c r="B1183" s="62" t="s">
        <v>1255</v>
      </c>
      <c r="C1183" s="62" t="s">
        <v>1256</v>
      </c>
      <c r="D1183" s="63">
        <v>45292</v>
      </c>
      <c r="E1183" s="63">
        <v>46387</v>
      </c>
      <c r="F1183" s="62" t="s">
        <v>1930</v>
      </c>
      <c r="G1183" s="62" t="s">
        <v>421</v>
      </c>
      <c r="H1183" s="62" t="s">
        <v>1257</v>
      </c>
      <c r="I1183" s="62" t="s">
        <v>424</v>
      </c>
      <c r="J1183" s="62" t="s">
        <v>673</v>
      </c>
      <c r="K1183" s="62" t="s">
        <v>371</v>
      </c>
      <c r="L1183" s="62" t="s">
        <v>2421</v>
      </c>
      <c r="M1183" s="66" t="s">
        <v>1978</v>
      </c>
    </row>
    <row r="1184" spans="1:13" x14ac:dyDescent="0.3">
      <c r="A1184" s="61" t="s">
        <v>2159</v>
      </c>
      <c r="B1184" s="62" t="s">
        <v>1255</v>
      </c>
      <c r="C1184" s="62" t="s">
        <v>1256</v>
      </c>
      <c r="D1184" s="63">
        <v>45292</v>
      </c>
      <c r="E1184" s="63">
        <v>46387</v>
      </c>
      <c r="F1184" s="62" t="s">
        <v>348</v>
      </c>
      <c r="G1184" s="62" t="s">
        <v>348</v>
      </c>
      <c r="H1184" s="62" t="s">
        <v>1257</v>
      </c>
      <c r="I1184" s="62" t="s">
        <v>424</v>
      </c>
      <c r="J1184" s="62" t="s">
        <v>673</v>
      </c>
      <c r="K1184" s="62" t="s">
        <v>371</v>
      </c>
      <c r="L1184" s="62" t="s">
        <v>2421</v>
      </c>
      <c r="M1184" s="66" t="s">
        <v>1978</v>
      </c>
    </row>
    <row r="1185" spans="1:13" x14ac:dyDescent="0.3">
      <c r="A1185" s="61" t="s">
        <v>2159</v>
      </c>
      <c r="B1185" s="62" t="s">
        <v>1255</v>
      </c>
      <c r="C1185" s="62" t="s">
        <v>1256</v>
      </c>
      <c r="D1185" s="63">
        <v>45292</v>
      </c>
      <c r="E1185" s="63">
        <v>46387</v>
      </c>
      <c r="F1185" s="62" t="s">
        <v>282</v>
      </c>
      <c r="G1185" s="62" t="s">
        <v>283</v>
      </c>
      <c r="H1185" s="62" t="s">
        <v>444</v>
      </c>
      <c r="I1185" s="62" t="s">
        <v>424</v>
      </c>
      <c r="J1185" s="62" t="s">
        <v>673</v>
      </c>
      <c r="K1185" s="62" t="s">
        <v>371</v>
      </c>
      <c r="L1185" s="62" t="s">
        <v>2421</v>
      </c>
      <c r="M1185" s="66" t="s">
        <v>1978</v>
      </c>
    </row>
    <row r="1186" spans="1:13" x14ac:dyDescent="0.3">
      <c r="A1186" s="61" t="s">
        <v>2159</v>
      </c>
      <c r="B1186" s="62" t="s">
        <v>1255</v>
      </c>
      <c r="C1186" s="62" t="s">
        <v>1256</v>
      </c>
      <c r="D1186" s="63">
        <v>45292</v>
      </c>
      <c r="E1186" s="63">
        <v>46387</v>
      </c>
      <c r="F1186" s="62" t="s">
        <v>282</v>
      </c>
      <c r="G1186" s="62" t="s">
        <v>1258</v>
      </c>
      <c r="H1186" s="62" t="s">
        <v>444</v>
      </c>
      <c r="I1186" s="62" t="s">
        <v>424</v>
      </c>
      <c r="J1186" s="62" t="s">
        <v>673</v>
      </c>
      <c r="K1186" s="62" t="s">
        <v>371</v>
      </c>
      <c r="L1186" s="62" t="s">
        <v>2421</v>
      </c>
      <c r="M1186" s="66" t="s">
        <v>1978</v>
      </c>
    </row>
    <row r="1187" spans="1:13" x14ac:dyDescent="0.3">
      <c r="A1187" s="61" t="s">
        <v>2159</v>
      </c>
      <c r="B1187" s="62" t="s">
        <v>1255</v>
      </c>
      <c r="C1187" s="62" t="s">
        <v>1256</v>
      </c>
      <c r="D1187" s="63">
        <v>45292</v>
      </c>
      <c r="E1187" s="63">
        <v>46387</v>
      </c>
      <c r="F1187" s="62" t="s">
        <v>282</v>
      </c>
      <c r="G1187" s="62" t="s">
        <v>786</v>
      </c>
      <c r="H1187" s="62" t="s">
        <v>444</v>
      </c>
      <c r="I1187" s="62" t="s">
        <v>424</v>
      </c>
      <c r="J1187" s="62" t="s">
        <v>673</v>
      </c>
      <c r="K1187" s="62" t="s">
        <v>371</v>
      </c>
      <c r="L1187" s="62" t="s">
        <v>2421</v>
      </c>
      <c r="M1187" s="66" t="s">
        <v>1978</v>
      </c>
    </row>
    <row r="1188" spans="1:13" x14ac:dyDescent="0.3">
      <c r="A1188" s="61" t="s">
        <v>2159</v>
      </c>
      <c r="B1188" s="62" t="s">
        <v>1255</v>
      </c>
      <c r="C1188" s="62" t="s">
        <v>1256</v>
      </c>
      <c r="D1188" s="63">
        <v>45292</v>
      </c>
      <c r="E1188" s="63">
        <v>46387</v>
      </c>
      <c r="F1188" s="62" t="s">
        <v>282</v>
      </c>
      <c r="G1188" s="62" t="s">
        <v>507</v>
      </c>
      <c r="H1188" s="62" t="s">
        <v>444</v>
      </c>
      <c r="I1188" s="62" t="s">
        <v>424</v>
      </c>
      <c r="J1188" s="62" t="s">
        <v>673</v>
      </c>
      <c r="K1188" s="62" t="s">
        <v>371</v>
      </c>
      <c r="L1188" s="62" t="s">
        <v>2421</v>
      </c>
      <c r="M1188" s="66" t="s">
        <v>1978</v>
      </c>
    </row>
    <row r="1189" spans="1:13" x14ac:dyDescent="0.3">
      <c r="A1189" s="61" t="s">
        <v>2159</v>
      </c>
      <c r="B1189" s="62" t="s">
        <v>1255</v>
      </c>
      <c r="C1189" s="62" t="s">
        <v>1256</v>
      </c>
      <c r="D1189" s="63">
        <v>45292</v>
      </c>
      <c r="E1189" s="63">
        <v>46387</v>
      </c>
      <c r="F1189" s="62" t="s">
        <v>1922</v>
      </c>
      <c r="G1189" s="62" t="s">
        <v>349</v>
      </c>
      <c r="H1189" s="62" t="s">
        <v>444</v>
      </c>
      <c r="I1189" s="62" t="s">
        <v>424</v>
      </c>
      <c r="J1189" s="62" t="s">
        <v>673</v>
      </c>
      <c r="K1189" s="62" t="s">
        <v>371</v>
      </c>
      <c r="L1189" s="62" t="s">
        <v>2421</v>
      </c>
      <c r="M1189" s="66" t="s">
        <v>1978</v>
      </c>
    </row>
    <row r="1190" spans="1:13" x14ac:dyDescent="0.3">
      <c r="A1190" s="61" t="s">
        <v>2159</v>
      </c>
      <c r="B1190" s="62" t="s">
        <v>1255</v>
      </c>
      <c r="C1190" s="62" t="s">
        <v>1256</v>
      </c>
      <c r="D1190" s="63">
        <v>45292</v>
      </c>
      <c r="E1190" s="63">
        <v>46387</v>
      </c>
      <c r="F1190" s="62" t="s">
        <v>1922</v>
      </c>
      <c r="G1190" s="62" t="s">
        <v>383</v>
      </c>
      <c r="H1190" s="62" t="s">
        <v>444</v>
      </c>
      <c r="I1190" s="62" t="s">
        <v>424</v>
      </c>
      <c r="J1190" s="62" t="s">
        <v>673</v>
      </c>
      <c r="K1190" s="62" t="s">
        <v>371</v>
      </c>
      <c r="L1190" s="62" t="s">
        <v>2421</v>
      </c>
      <c r="M1190" s="66" t="s">
        <v>1978</v>
      </c>
    </row>
    <row r="1191" spans="1:13" x14ac:dyDescent="0.3">
      <c r="A1191" s="61" t="s">
        <v>2159</v>
      </c>
      <c r="B1191" s="62" t="s">
        <v>1255</v>
      </c>
      <c r="C1191" s="62" t="s">
        <v>1256</v>
      </c>
      <c r="D1191" s="63">
        <v>45292</v>
      </c>
      <c r="E1191" s="63">
        <v>46387</v>
      </c>
      <c r="F1191" s="62" t="s">
        <v>1922</v>
      </c>
      <c r="G1191" s="62" t="s">
        <v>385</v>
      </c>
      <c r="H1191" s="62" t="s">
        <v>444</v>
      </c>
      <c r="I1191" s="62" t="s">
        <v>424</v>
      </c>
      <c r="J1191" s="62" t="s">
        <v>673</v>
      </c>
      <c r="K1191" s="62" t="s">
        <v>371</v>
      </c>
      <c r="L1191" s="62" t="s">
        <v>2421</v>
      </c>
      <c r="M1191" s="66" t="s">
        <v>1978</v>
      </c>
    </row>
    <row r="1192" spans="1:13" x14ac:dyDescent="0.3">
      <c r="A1192" s="61" t="s">
        <v>2159</v>
      </c>
      <c r="B1192" s="62" t="s">
        <v>1255</v>
      </c>
      <c r="C1192" s="62" t="s">
        <v>1256</v>
      </c>
      <c r="D1192" s="63">
        <v>45292</v>
      </c>
      <c r="E1192" s="63">
        <v>46387</v>
      </c>
      <c r="F1192" s="62" t="s">
        <v>1922</v>
      </c>
      <c r="G1192" s="62" t="s">
        <v>387</v>
      </c>
      <c r="H1192" s="62" t="s">
        <v>444</v>
      </c>
      <c r="I1192" s="62" t="s">
        <v>424</v>
      </c>
      <c r="J1192" s="62" t="s">
        <v>673</v>
      </c>
      <c r="K1192" s="62" t="s">
        <v>371</v>
      </c>
      <c r="L1192" s="62" t="s">
        <v>2421</v>
      </c>
      <c r="M1192" s="66" t="s">
        <v>1978</v>
      </c>
    </row>
    <row r="1193" spans="1:13" x14ac:dyDescent="0.3">
      <c r="A1193" s="61" t="s">
        <v>2159</v>
      </c>
      <c r="B1193" s="62" t="s">
        <v>1255</v>
      </c>
      <c r="C1193" s="62" t="s">
        <v>1256</v>
      </c>
      <c r="D1193" s="63">
        <v>45292</v>
      </c>
      <c r="E1193" s="63">
        <v>46387</v>
      </c>
      <c r="F1193" s="62" t="s">
        <v>287</v>
      </c>
      <c r="G1193" s="62" t="s">
        <v>390</v>
      </c>
      <c r="H1193" s="62" t="s">
        <v>444</v>
      </c>
      <c r="I1193" s="62" t="s">
        <v>424</v>
      </c>
      <c r="J1193" s="62" t="s">
        <v>673</v>
      </c>
      <c r="K1193" s="62" t="s">
        <v>371</v>
      </c>
      <c r="L1193" s="62" t="s">
        <v>2421</v>
      </c>
      <c r="M1193" s="66" t="s">
        <v>1978</v>
      </c>
    </row>
    <row r="1194" spans="1:13" x14ac:dyDescent="0.3">
      <c r="A1194" s="61" t="s">
        <v>2159</v>
      </c>
      <c r="B1194" s="62" t="s">
        <v>1255</v>
      </c>
      <c r="C1194" s="62" t="s">
        <v>1256</v>
      </c>
      <c r="D1194" s="63">
        <v>45292</v>
      </c>
      <c r="E1194" s="63">
        <v>46387</v>
      </c>
      <c r="F1194" s="62" t="s">
        <v>287</v>
      </c>
      <c r="G1194" s="62" t="s">
        <v>554</v>
      </c>
      <c r="H1194" s="62" t="s">
        <v>444</v>
      </c>
      <c r="I1194" s="62" t="s">
        <v>424</v>
      </c>
      <c r="J1194" s="62" t="s">
        <v>673</v>
      </c>
      <c r="K1194" s="62" t="s">
        <v>371</v>
      </c>
      <c r="L1194" s="62" t="s">
        <v>2421</v>
      </c>
      <c r="M1194" s="66" t="s">
        <v>1978</v>
      </c>
    </row>
    <row r="1195" spans="1:13" x14ac:dyDescent="0.3">
      <c r="A1195" s="61" t="s">
        <v>2159</v>
      </c>
      <c r="B1195" s="62" t="s">
        <v>1255</v>
      </c>
      <c r="C1195" s="62" t="s">
        <v>1256</v>
      </c>
      <c r="D1195" s="63">
        <v>45292</v>
      </c>
      <c r="E1195" s="63">
        <v>46387</v>
      </c>
      <c r="F1195" s="62" t="s">
        <v>287</v>
      </c>
      <c r="G1195" s="62" t="s">
        <v>393</v>
      </c>
      <c r="H1195" s="62" t="s">
        <v>444</v>
      </c>
      <c r="I1195" s="62" t="s">
        <v>424</v>
      </c>
      <c r="J1195" s="62" t="s">
        <v>673</v>
      </c>
      <c r="K1195" s="62" t="s">
        <v>371</v>
      </c>
      <c r="L1195" s="62" t="s">
        <v>2421</v>
      </c>
      <c r="M1195" s="66" t="s">
        <v>1978</v>
      </c>
    </row>
    <row r="1196" spans="1:13" x14ac:dyDescent="0.3">
      <c r="A1196" s="61" t="s">
        <v>2159</v>
      </c>
      <c r="B1196" s="62" t="s">
        <v>1255</v>
      </c>
      <c r="C1196" s="62" t="s">
        <v>1256</v>
      </c>
      <c r="D1196" s="63">
        <v>45292</v>
      </c>
      <c r="E1196" s="63">
        <v>46387</v>
      </c>
      <c r="F1196" s="62" t="s">
        <v>287</v>
      </c>
      <c r="G1196" s="62" t="s">
        <v>396</v>
      </c>
      <c r="H1196" s="62" t="s">
        <v>444</v>
      </c>
      <c r="I1196" s="62" t="s">
        <v>424</v>
      </c>
      <c r="J1196" s="62" t="s">
        <v>673</v>
      </c>
      <c r="K1196" s="62" t="s">
        <v>371</v>
      </c>
      <c r="L1196" s="62" t="s">
        <v>2421</v>
      </c>
      <c r="M1196" s="66" t="s">
        <v>1978</v>
      </c>
    </row>
    <row r="1197" spans="1:13" x14ac:dyDescent="0.3">
      <c r="A1197" s="61" t="s">
        <v>2159</v>
      </c>
      <c r="B1197" s="62" t="s">
        <v>1255</v>
      </c>
      <c r="C1197" s="62" t="s">
        <v>1256</v>
      </c>
      <c r="D1197" s="63">
        <v>45292</v>
      </c>
      <c r="E1197" s="63">
        <v>46387</v>
      </c>
      <c r="F1197" s="62" t="s">
        <v>1945</v>
      </c>
      <c r="G1197" s="62" t="s">
        <v>400</v>
      </c>
      <c r="H1197" s="62" t="s">
        <v>444</v>
      </c>
      <c r="I1197" s="62" t="s">
        <v>424</v>
      </c>
      <c r="J1197" s="62" t="s">
        <v>673</v>
      </c>
      <c r="K1197" s="62" t="s">
        <v>371</v>
      </c>
      <c r="L1197" s="62" t="s">
        <v>2421</v>
      </c>
      <c r="M1197" s="66" t="s">
        <v>1978</v>
      </c>
    </row>
    <row r="1198" spans="1:13" x14ac:dyDescent="0.3">
      <c r="A1198" s="61" t="s">
        <v>2159</v>
      </c>
      <c r="B1198" s="62" t="s">
        <v>1255</v>
      </c>
      <c r="C1198" s="62" t="s">
        <v>1256</v>
      </c>
      <c r="D1198" s="63">
        <v>45292</v>
      </c>
      <c r="E1198" s="63">
        <v>46387</v>
      </c>
      <c r="F1198" s="62" t="s">
        <v>1945</v>
      </c>
      <c r="G1198" s="62" t="s">
        <v>555</v>
      </c>
      <c r="H1198" s="62" t="s">
        <v>444</v>
      </c>
      <c r="I1198" s="62" t="s">
        <v>424</v>
      </c>
      <c r="J1198" s="62" t="s">
        <v>673</v>
      </c>
      <c r="K1198" s="62" t="s">
        <v>371</v>
      </c>
      <c r="L1198" s="62" t="s">
        <v>2421</v>
      </c>
      <c r="M1198" s="66" t="s">
        <v>1978</v>
      </c>
    </row>
    <row r="1199" spans="1:13" x14ac:dyDescent="0.3">
      <c r="A1199" s="61" t="s">
        <v>2159</v>
      </c>
      <c r="B1199" s="62" t="s">
        <v>1255</v>
      </c>
      <c r="C1199" s="62" t="s">
        <v>1256</v>
      </c>
      <c r="D1199" s="63">
        <v>45292</v>
      </c>
      <c r="E1199" s="63">
        <v>46387</v>
      </c>
      <c r="F1199" s="62" t="s">
        <v>1945</v>
      </c>
      <c r="G1199" s="62" t="s">
        <v>1259</v>
      </c>
      <c r="H1199" s="62" t="s">
        <v>444</v>
      </c>
      <c r="I1199" s="62" t="s">
        <v>424</v>
      </c>
      <c r="J1199" s="62" t="s">
        <v>673</v>
      </c>
      <c r="K1199" s="62" t="s">
        <v>371</v>
      </c>
      <c r="L1199" s="62" t="s">
        <v>2421</v>
      </c>
      <c r="M1199" s="66" t="s">
        <v>1978</v>
      </c>
    </row>
    <row r="1200" spans="1:13" x14ac:dyDescent="0.3">
      <c r="A1200" s="61" t="s">
        <v>2159</v>
      </c>
      <c r="B1200" s="62" t="s">
        <v>1255</v>
      </c>
      <c r="C1200" s="62" t="s">
        <v>1256</v>
      </c>
      <c r="D1200" s="63">
        <v>45292</v>
      </c>
      <c r="E1200" s="63">
        <v>46387</v>
      </c>
      <c r="F1200" s="62" t="s">
        <v>1945</v>
      </c>
      <c r="G1200" s="62" t="s">
        <v>403</v>
      </c>
      <c r="H1200" s="62" t="s">
        <v>444</v>
      </c>
      <c r="I1200" s="62" t="s">
        <v>424</v>
      </c>
      <c r="J1200" s="62" t="s">
        <v>673</v>
      </c>
      <c r="K1200" s="62" t="s">
        <v>371</v>
      </c>
      <c r="L1200" s="62" t="s">
        <v>2421</v>
      </c>
      <c r="M1200" s="66" t="s">
        <v>1978</v>
      </c>
    </row>
    <row r="1201" spans="1:13" x14ac:dyDescent="0.3">
      <c r="A1201" s="61" t="s">
        <v>2159</v>
      </c>
      <c r="B1201" s="62" t="s">
        <v>1255</v>
      </c>
      <c r="C1201" s="62" t="s">
        <v>1256</v>
      </c>
      <c r="D1201" s="63">
        <v>45292</v>
      </c>
      <c r="E1201" s="63">
        <v>46387</v>
      </c>
      <c r="F1201" s="62" t="s">
        <v>1930</v>
      </c>
      <c r="G1201" s="62" t="s">
        <v>721</v>
      </c>
      <c r="H1201" s="62" t="s">
        <v>444</v>
      </c>
      <c r="I1201" s="62" t="s">
        <v>424</v>
      </c>
      <c r="J1201" s="62" t="s">
        <v>673</v>
      </c>
      <c r="K1201" s="62" t="s">
        <v>371</v>
      </c>
      <c r="L1201" s="62" t="s">
        <v>2421</v>
      </c>
      <c r="M1201" s="66" t="s">
        <v>1978</v>
      </c>
    </row>
    <row r="1202" spans="1:13" x14ac:dyDescent="0.3">
      <c r="A1202" s="61" t="s">
        <v>2159</v>
      </c>
      <c r="B1202" s="62" t="s">
        <v>1255</v>
      </c>
      <c r="C1202" s="62" t="s">
        <v>1256</v>
      </c>
      <c r="D1202" s="63">
        <v>45292</v>
      </c>
      <c r="E1202" s="63">
        <v>46387</v>
      </c>
      <c r="F1202" s="62" t="s">
        <v>1930</v>
      </c>
      <c r="G1202" s="62" t="s">
        <v>453</v>
      </c>
      <c r="H1202" s="62" t="s">
        <v>444</v>
      </c>
      <c r="I1202" s="62" t="s">
        <v>424</v>
      </c>
      <c r="J1202" s="62" t="s">
        <v>673</v>
      </c>
      <c r="K1202" s="62" t="s">
        <v>371</v>
      </c>
      <c r="L1202" s="62" t="s">
        <v>2421</v>
      </c>
      <c r="M1202" s="66" t="s">
        <v>1978</v>
      </c>
    </row>
    <row r="1203" spans="1:13" x14ac:dyDescent="0.3">
      <c r="A1203" s="61" t="s">
        <v>2159</v>
      </c>
      <c r="B1203" s="62" t="s">
        <v>1255</v>
      </c>
      <c r="C1203" s="62" t="s">
        <v>1256</v>
      </c>
      <c r="D1203" s="63">
        <v>45292</v>
      </c>
      <c r="E1203" s="63">
        <v>46387</v>
      </c>
      <c r="F1203" s="62" t="s">
        <v>1930</v>
      </c>
      <c r="G1203" s="62" t="s">
        <v>421</v>
      </c>
      <c r="H1203" s="62" t="s">
        <v>444</v>
      </c>
      <c r="I1203" s="62" t="s">
        <v>424</v>
      </c>
      <c r="J1203" s="62" t="s">
        <v>673</v>
      </c>
      <c r="K1203" s="62" t="s">
        <v>371</v>
      </c>
      <c r="L1203" s="62" t="s">
        <v>2421</v>
      </c>
      <c r="M1203" s="66" t="s">
        <v>1978</v>
      </c>
    </row>
    <row r="1204" spans="1:13" x14ac:dyDescent="0.3">
      <c r="A1204" s="61" t="s">
        <v>2159</v>
      </c>
      <c r="B1204" s="62" t="s">
        <v>1255</v>
      </c>
      <c r="C1204" s="62" t="s">
        <v>1256</v>
      </c>
      <c r="D1204" s="63">
        <v>45292</v>
      </c>
      <c r="E1204" s="63">
        <v>46387</v>
      </c>
      <c r="F1204" s="62" t="s">
        <v>348</v>
      </c>
      <c r="G1204" s="62" t="s">
        <v>348</v>
      </c>
      <c r="H1204" s="62" t="s">
        <v>444</v>
      </c>
      <c r="I1204" s="62" t="s">
        <v>424</v>
      </c>
      <c r="J1204" s="62" t="s">
        <v>673</v>
      </c>
      <c r="K1204" s="62" t="s">
        <v>371</v>
      </c>
      <c r="L1204" s="62" t="s">
        <v>2421</v>
      </c>
      <c r="M1204" s="66" t="s">
        <v>1978</v>
      </c>
    </row>
    <row r="1205" spans="1:13" x14ac:dyDescent="0.3">
      <c r="A1205" s="61" t="s">
        <v>2159</v>
      </c>
      <c r="B1205" s="62" t="s">
        <v>1255</v>
      </c>
      <c r="C1205" s="62" t="s">
        <v>1256</v>
      </c>
      <c r="D1205" s="63">
        <v>45292</v>
      </c>
      <c r="E1205" s="63">
        <v>46387</v>
      </c>
      <c r="F1205" s="62" t="s">
        <v>282</v>
      </c>
      <c r="G1205" s="62" t="s">
        <v>283</v>
      </c>
      <c r="H1205" s="62" t="s">
        <v>352</v>
      </c>
      <c r="I1205" s="62" t="s">
        <v>424</v>
      </c>
      <c r="J1205" s="62" t="s">
        <v>673</v>
      </c>
      <c r="K1205" s="62" t="s">
        <v>371</v>
      </c>
      <c r="L1205" s="62" t="s">
        <v>2421</v>
      </c>
      <c r="M1205" s="66" t="s">
        <v>1978</v>
      </c>
    </row>
    <row r="1206" spans="1:13" x14ac:dyDescent="0.3">
      <c r="A1206" s="61" t="s">
        <v>2159</v>
      </c>
      <c r="B1206" s="62" t="s">
        <v>1255</v>
      </c>
      <c r="C1206" s="62" t="s">
        <v>1256</v>
      </c>
      <c r="D1206" s="63">
        <v>45292</v>
      </c>
      <c r="E1206" s="63">
        <v>46387</v>
      </c>
      <c r="F1206" s="62" t="s">
        <v>282</v>
      </c>
      <c r="G1206" s="62" t="s">
        <v>1258</v>
      </c>
      <c r="H1206" s="62" t="s">
        <v>352</v>
      </c>
      <c r="I1206" s="62" t="s">
        <v>424</v>
      </c>
      <c r="J1206" s="62" t="s">
        <v>673</v>
      </c>
      <c r="K1206" s="62" t="s">
        <v>371</v>
      </c>
      <c r="L1206" s="62" t="s">
        <v>2421</v>
      </c>
      <c r="M1206" s="66" t="s">
        <v>1978</v>
      </c>
    </row>
    <row r="1207" spans="1:13" x14ac:dyDescent="0.3">
      <c r="A1207" s="61" t="s">
        <v>2159</v>
      </c>
      <c r="B1207" s="62" t="s">
        <v>1255</v>
      </c>
      <c r="C1207" s="62" t="s">
        <v>1256</v>
      </c>
      <c r="D1207" s="63">
        <v>45292</v>
      </c>
      <c r="E1207" s="63">
        <v>46387</v>
      </c>
      <c r="F1207" s="62" t="s">
        <v>282</v>
      </c>
      <c r="G1207" s="62" t="s">
        <v>786</v>
      </c>
      <c r="H1207" s="62" t="s">
        <v>352</v>
      </c>
      <c r="I1207" s="62" t="s">
        <v>424</v>
      </c>
      <c r="J1207" s="62" t="s">
        <v>673</v>
      </c>
      <c r="K1207" s="62" t="s">
        <v>371</v>
      </c>
      <c r="L1207" s="62" t="s">
        <v>2421</v>
      </c>
      <c r="M1207" s="66" t="s">
        <v>1978</v>
      </c>
    </row>
    <row r="1208" spans="1:13" x14ac:dyDescent="0.3">
      <c r="A1208" s="61" t="s">
        <v>2159</v>
      </c>
      <c r="B1208" s="62" t="s">
        <v>1255</v>
      </c>
      <c r="C1208" s="62" t="s">
        <v>1256</v>
      </c>
      <c r="D1208" s="63">
        <v>45292</v>
      </c>
      <c r="E1208" s="63">
        <v>46387</v>
      </c>
      <c r="F1208" s="62" t="s">
        <v>282</v>
      </c>
      <c r="G1208" s="62" t="s">
        <v>507</v>
      </c>
      <c r="H1208" s="62" t="s">
        <v>352</v>
      </c>
      <c r="I1208" s="62" t="s">
        <v>424</v>
      </c>
      <c r="J1208" s="62" t="s">
        <v>673</v>
      </c>
      <c r="K1208" s="62" t="s">
        <v>371</v>
      </c>
      <c r="L1208" s="62" t="s">
        <v>2421</v>
      </c>
      <c r="M1208" s="66" t="s">
        <v>1978</v>
      </c>
    </row>
    <row r="1209" spans="1:13" x14ac:dyDescent="0.3">
      <c r="A1209" s="61" t="s">
        <v>2159</v>
      </c>
      <c r="B1209" s="62" t="s">
        <v>1255</v>
      </c>
      <c r="C1209" s="62" t="s">
        <v>1256</v>
      </c>
      <c r="D1209" s="63">
        <v>45292</v>
      </c>
      <c r="E1209" s="63">
        <v>46387</v>
      </c>
      <c r="F1209" s="62" t="s">
        <v>1922</v>
      </c>
      <c r="G1209" s="62" t="s">
        <v>349</v>
      </c>
      <c r="H1209" s="62" t="s">
        <v>352</v>
      </c>
      <c r="I1209" s="62" t="s">
        <v>424</v>
      </c>
      <c r="J1209" s="62" t="s">
        <v>673</v>
      </c>
      <c r="K1209" s="62" t="s">
        <v>371</v>
      </c>
      <c r="L1209" s="62" t="s">
        <v>2421</v>
      </c>
      <c r="M1209" s="66" t="s">
        <v>1978</v>
      </c>
    </row>
    <row r="1210" spans="1:13" x14ac:dyDescent="0.3">
      <c r="A1210" s="61" t="s">
        <v>2159</v>
      </c>
      <c r="B1210" s="62" t="s">
        <v>1255</v>
      </c>
      <c r="C1210" s="62" t="s">
        <v>1256</v>
      </c>
      <c r="D1210" s="63">
        <v>45292</v>
      </c>
      <c r="E1210" s="63">
        <v>46387</v>
      </c>
      <c r="F1210" s="62" t="s">
        <v>1922</v>
      </c>
      <c r="G1210" s="62" t="s">
        <v>383</v>
      </c>
      <c r="H1210" s="62" t="s">
        <v>352</v>
      </c>
      <c r="I1210" s="62" t="s">
        <v>424</v>
      </c>
      <c r="J1210" s="62" t="s">
        <v>673</v>
      </c>
      <c r="K1210" s="62" t="s">
        <v>371</v>
      </c>
      <c r="L1210" s="62" t="s">
        <v>2421</v>
      </c>
      <c r="M1210" s="66" t="s">
        <v>1978</v>
      </c>
    </row>
    <row r="1211" spans="1:13" x14ac:dyDescent="0.3">
      <c r="A1211" s="61" t="s">
        <v>2159</v>
      </c>
      <c r="B1211" s="62" t="s">
        <v>1255</v>
      </c>
      <c r="C1211" s="62" t="s">
        <v>1256</v>
      </c>
      <c r="D1211" s="63">
        <v>45292</v>
      </c>
      <c r="E1211" s="63">
        <v>46387</v>
      </c>
      <c r="F1211" s="62" t="s">
        <v>1922</v>
      </c>
      <c r="G1211" s="62" t="s">
        <v>385</v>
      </c>
      <c r="H1211" s="62" t="s">
        <v>352</v>
      </c>
      <c r="I1211" s="62" t="s">
        <v>424</v>
      </c>
      <c r="J1211" s="62" t="s">
        <v>673</v>
      </c>
      <c r="K1211" s="62" t="s">
        <v>371</v>
      </c>
      <c r="L1211" s="62" t="s">
        <v>2421</v>
      </c>
      <c r="M1211" s="66" t="s">
        <v>1978</v>
      </c>
    </row>
    <row r="1212" spans="1:13" x14ac:dyDescent="0.3">
      <c r="A1212" s="61" t="s">
        <v>2159</v>
      </c>
      <c r="B1212" s="62" t="s">
        <v>1255</v>
      </c>
      <c r="C1212" s="62" t="s">
        <v>1256</v>
      </c>
      <c r="D1212" s="63">
        <v>45292</v>
      </c>
      <c r="E1212" s="63">
        <v>46387</v>
      </c>
      <c r="F1212" s="62" t="s">
        <v>1922</v>
      </c>
      <c r="G1212" s="62" t="s">
        <v>387</v>
      </c>
      <c r="H1212" s="62" t="s">
        <v>352</v>
      </c>
      <c r="I1212" s="62" t="s">
        <v>424</v>
      </c>
      <c r="J1212" s="62" t="s">
        <v>673</v>
      </c>
      <c r="K1212" s="62" t="s">
        <v>371</v>
      </c>
      <c r="L1212" s="62" t="s">
        <v>2421</v>
      </c>
      <c r="M1212" s="66" t="s">
        <v>1978</v>
      </c>
    </row>
    <row r="1213" spans="1:13" x14ac:dyDescent="0.3">
      <c r="A1213" s="61" t="s">
        <v>2159</v>
      </c>
      <c r="B1213" s="62" t="s">
        <v>1255</v>
      </c>
      <c r="C1213" s="62" t="s">
        <v>1256</v>
      </c>
      <c r="D1213" s="63">
        <v>45292</v>
      </c>
      <c r="E1213" s="63">
        <v>46387</v>
      </c>
      <c r="F1213" s="62" t="s">
        <v>287</v>
      </c>
      <c r="G1213" s="62" t="s">
        <v>390</v>
      </c>
      <c r="H1213" s="62" t="s">
        <v>352</v>
      </c>
      <c r="I1213" s="62" t="s">
        <v>424</v>
      </c>
      <c r="J1213" s="62" t="s">
        <v>673</v>
      </c>
      <c r="K1213" s="62" t="s">
        <v>371</v>
      </c>
      <c r="L1213" s="62" t="s">
        <v>2421</v>
      </c>
      <c r="M1213" s="66" t="s">
        <v>1978</v>
      </c>
    </row>
    <row r="1214" spans="1:13" x14ac:dyDescent="0.3">
      <c r="A1214" s="61" t="s">
        <v>2159</v>
      </c>
      <c r="B1214" s="62" t="s">
        <v>1255</v>
      </c>
      <c r="C1214" s="62" t="s">
        <v>1256</v>
      </c>
      <c r="D1214" s="63">
        <v>45292</v>
      </c>
      <c r="E1214" s="63">
        <v>46387</v>
      </c>
      <c r="F1214" s="62" t="s">
        <v>287</v>
      </c>
      <c r="G1214" s="62" t="s">
        <v>554</v>
      </c>
      <c r="H1214" s="62" t="s">
        <v>352</v>
      </c>
      <c r="I1214" s="62" t="s">
        <v>424</v>
      </c>
      <c r="J1214" s="62" t="s">
        <v>673</v>
      </c>
      <c r="K1214" s="62" t="s">
        <v>371</v>
      </c>
      <c r="L1214" s="62" t="s">
        <v>2421</v>
      </c>
      <c r="M1214" s="66" t="s">
        <v>1978</v>
      </c>
    </row>
    <row r="1215" spans="1:13" x14ac:dyDescent="0.3">
      <c r="A1215" s="61" t="s">
        <v>2159</v>
      </c>
      <c r="B1215" s="62" t="s">
        <v>1255</v>
      </c>
      <c r="C1215" s="62" t="s">
        <v>1256</v>
      </c>
      <c r="D1215" s="63">
        <v>45292</v>
      </c>
      <c r="E1215" s="63">
        <v>46387</v>
      </c>
      <c r="F1215" s="62" t="s">
        <v>287</v>
      </c>
      <c r="G1215" s="62" t="s">
        <v>393</v>
      </c>
      <c r="H1215" s="62" t="s">
        <v>352</v>
      </c>
      <c r="I1215" s="62" t="s">
        <v>424</v>
      </c>
      <c r="J1215" s="62" t="s">
        <v>673</v>
      </c>
      <c r="K1215" s="62" t="s">
        <v>371</v>
      </c>
      <c r="L1215" s="62" t="s">
        <v>2421</v>
      </c>
      <c r="M1215" s="66" t="s">
        <v>1978</v>
      </c>
    </row>
    <row r="1216" spans="1:13" x14ac:dyDescent="0.3">
      <c r="A1216" s="61" t="s">
        <v>2159</v>
      </c>
      <c r="B1216" s="62" t="s">
        <v>1255</v>
      </c>
      <c r="C1216" s="62" t="s">
        <v>1256</v>
      </c>
      <c r="D1216" s="63">
        <v>45292</v>
      </c>
      <c r="E1216" s="63">
        <v>46387</v>
      </c>
      <c r="F1216" s="62" t="s">
        <v>287</v>
      </c>
      <c r="G1216" s="62" t="s">
        <v>396</v>
      </c>
      <c r="H1216" s="62" t="s">
        <v>352</v>
      </c>
      <c r="I1216" s="62" t="s">
        <v>424</v>
      </c>
      <c r="J1216" s="62" t="s">
        <v>673</v>
      </c>
      <c r="K1216" s="62" t="s">
        <v>371</v>
      </c>
      <c r="L1216" s="62" t="s">
        <v>2421</v>
      </c>
      <c r="M1216" s="66" t="s">
        <v>1978</v>
      </c>
    </row>
    <row r="1217" spans="1:13" x14ac:dyDescent="0.3">
      <c r="A1217" s="61" t="s">
        <v>2159</v>
      </c>
      <c r="B1217" s="62" t="s">
        <v>1255</v>
      </c>
      <c r="C1217" s="62" t="s">
        <v>1256</v>
      </c>
      <c r="D1217" s="63">
        <v>45292</v>
      </c>
      <c r="E1217" s="63">
        <v>46387</v>
      </c>
      <c r="F1217" s="62" t="s">
        <v>1945</v>
      </c>
      <c r="G1217" s="62" t="s">
        <v>400</v>
      </c>
      <c r="H1217" s="62" t="s">
        <v>352</v>
      </c>
      <c r="I1217" s="62" t="s">
        <v>424</v>
      </c>
      <c r="J1217" s="62" t="s">
        <v>673</v>
      </c>
      <c r="K1217" s="62" t="s">
        <v>371</v>
      </c>
      <c r="L1217" s="62" t="s">
        <v>2421</v>
      </c>
      <c r="M1217" s="66" t="s">
        <v>1978</v>
      </c>
    </row>
    <row r="1218" spans="1:13" x14ac:dyDescent="0.3">
      <c r="A1218" s="61" t="s">
        <v>2159</v>
      </c>
      <c r="B1218" s="62" t="s">
        <v>1255</v>
      </c>
      <c r="C1218" s="62" t="s">
        <v>1256</v>
      </c>
      <c r="D1218" s="63">
        <v>45292</v>
      </c>
      <c r="E1218" s="63">
        <v>46387</v>
      </c>
      <c r="F1218" s="62" t="s">
        <v>1945</v>
      </c>
      <c r="G1218" s="62" t="s">
        <v>555</v>
      </c>
      <c r="H1218" s="62" t="s">
        <v>352</v>
      </c>
      <c r="I1218" s="62" t="s">
        <v>424</v>
      </c>
      <c r="J1218" s="62" t="s">
        <v>673</v>
      </c>
      <c r="K1218" s="62" t="s">
        <v>371</v>
      </c>
      <c r="L1218" s="62" t="s">
        <v>2421</v>
      </c>
      <c r="M1218" s="66" t="s">
        <v>1978</v>
      </c>
    </row>
    <row r="1219" spans="1:13" x14ac:dyDescent="0.3">
      <c r="A1219" s="61" t="s">
        <v>2159</v>
      </c>
      <c r="B1219" s="62" t="s">
        <v>1255</v>
      </c>
      <c r="C1219" s="62" t="s">
        <v>1256</v>
      </c>
      <c r="D1219" s="63">
        <v>45292</v>
      </c>
      <c r="E1219" s="63">
        <v>46387</v>
      </c>
      <c r="F1219" s="62" t="s">
        <v>1945</v>
      </c>
      <c r="G1219" s="62" t="s">
        <v>1259</v>
      </c>
      <c r="H1219" s="62" t="s">
        <v>352</v>
      </c>
      <c r="I1219" s="62" t="s">
        <v>424</v>
      </c>
      <c r="J1219" s="62" t="s">
        <v>673</v>
      </c>
      <c r="K1219" s="62" t="s">
        <v>371</v>
      </c>
      <c r="L1219" s="62" t="s">
        <v>2421</v>
      </c>
      <c r="M1219" s="66" t="s">
        <v>1978</v>
      </c>
    </row>
    <row r="1220" spans="1:13" x14ac:dyDescent="0.3">
      <c r="A1220" s="61" t="s">
        <v>2159</v>
      </c>
      <c r="B1220" s="62" t="s">
        <v>1255</v>
      </c>
      <c r="C1220" s="62" t="s">
        <v>1256</v>
      </c>
      <c r="D1220" s="63">
        <v>45292</v>
      </c>
      <c r="E1220" s="63">
        <v>46387</v>
      </c>
      <c r="F1220" s="62" t="s">
        <v>1945</v>
      </c>
      <c r="G1220" s="62" t="s">
        <v>403</v>
      </c>
      <c r="H1220" s="62" t="s">
        <v>352</v>
      </c>
      <c r="I1220" s="62" t="s">
        <v>424</v>
      </c>
      <c r="J1220" s="62" t="s">
        <v>673</v>
      </c>
      <c r="K1220" s="62" t="s">
        <v>371</v>
      </c>
      <c r="L1220" s="62" t="s">
        <v>2421</v>
      </c>
      <c r="M1220" s="66" t="s">
        <v>1978</v>
      </c>
    </row>
    <row r="1221" spans="1:13" x14ac:dyDescent="0.3">
      <c r="A1221" s="61" t="s">
        <v>2159</v>
      </c>
      <c r="B1221" s="62" t="s">
        <v>1255</v>
      </c>
      <c r="C1221" s="62" t="s">
        <v>1256</v>
      </c>
      <c r="D1221" s="63">
        <v>45292</v>
      </c>
      <c r="E1221" s="63">
        <v>46387</v>
      </c>
      <c r="F1221" s="62" t="s">
        <v>1930</v>
      </c>
      <c r="G1221" s="62" t="s">
        <v>721</v>
      </c>
      <c r="H1221" s="62" t="s">
        <v>352</v>
      </c>
      <c r="I1221" s="62" t="s">
        <v>424</v>
      </c>
      <c r="J1221" s="62" t="s">
        <v>673</v>
      </c>
      <c r="K1221" s="62" t="s">
        <v>371</v>
      </c>
      <c r="L1221" s="62" t="s">
        <v>2421</v>
      </c>
      <c r="M1221" s="66" t="s">
        <v>1978</v>
      </c>
    </row>
    <row r="1222" spans="1:13" x14ac:dyDescent="0.3">
      <c r="A1222" s="61" t="s">
        <v>2159</v>
      </c>
      <c r="B1222" s="62" t="s">
        <v>1255</v>
      </c>
      <c r="C1222" s="62" t="s">
        <v>1256</v>
      </c>
      <c r="D1222" s="63">
        <v>45292</v>
      </c>
      <c r="E1222" s="63">
        <v>46387</v>
      </c>
      <c r="F1222" s="62" t="s">
        <v>1930</v>
      </c>
      <c r="G1222" s="62" t="s">
        <v>453</v>
      </c>
      <c r="H1222" s="62" t="s">
        <v>352</v>
      </c>
      <c r="I1222" s="62" t="s">
        <v>424</v>
      </c>
      <c r="J1222" s="62" t="s">
        <v>673</v>
      </c>
      <c r="K1222" s="62" t="s">
        <v>371</v>
      </c>
      <c r="L1222" s="62" t="s">
        <v>2421</v>
      </c>
      <c r="M1222" s="66" t="s">
        <v>1978</v>
      </c>
    </row>
    <row r="1223" spans="1:13" x14ac:dyDescent="0.3">
      <c r="A1223" s="61" t="s">
        <v>2159</v>
      </c>
      <c r="B1223" s="62" t="s">
        <v>1255</v>
      </c>
      <c r="C1223" s="62" t="s">
        <v>1256</v>
      </c>
      <c r="D1223" s="63">
        <v>45292</v>
      </c>
      <c r="E1223" s="63">
        <v>46387</v>
      </c>
      <c r="F1223" s="62" t="s">
        <v>1930</v>
      </c>
      <c r="G1223" s="62" t="s">
        <v>421</v>
      </c>
      <c r="H1223" s="62" t="s">
        <v>352</v>
      </c>
      <c r="I1223" s="62" t="s">
        <v>424</v>
      </c>
      <c r="J1223" s="62" t="s">
        <v>673</v>
      </c>
      <c r="K1223" s="62" t="s">
        <v>371</v>
      </c>
      <c r="L1223" s="62" t="s">
        <v>2421</v>
      </c>
      <c r="M1223" s="66" t="s">
        <v>1978</v>
      </c>
    </row>
    <row r="1224" spans="1:13" x14ac:dyDescent="0.3">
      <c r="A1224" s="61" t="s">
        <v>2159</v>
      </c>
      <c r="B1224" s="62" t="s">
        <v>1255</v>
      </c>
      <c r="C1224" s="62" t="s">
        <v>1256</v>
      </c>
      <c r="D1224" s="63">
        <v>45292</v>
      </c>
      <c r="E1224" s="63">
        <v>46387</v>
      </c>
      <c r="F1224" s="62" t="s">
        <v>348</v>
      </c>
      <c r="G1224" s="62" t="s">
        <v>348</v>
      </c>
      <c r="H1224" s="62" t="s">
        <v>352</v>
      </c>
      <c r="I1224" s="62" t="s">
        <v>424</v>
      </c>
      <c r="J1224" s="62" t="s">
        <v>673</v>
      </c>
      <c r="K1224" s="62" t="s">
        <v>371</v>
      </c>
      <c r="L1224" s="62" t="s">
        <v>2421</v>
      </c>
      <c r="M1224" s="66" t="s">
        <v>1978</v>
      </c>
    </row>
    <row r="1225" spans="1:13" x14ac:dyDescent="0.3">
      <c r="A1225" s="61" t="s">
        <v>2160</v>
      </c>
      <c r="B1225" s="62" t="s">
        <v>1264</v>
      </c>
      <c r="C1225" s="62" t="s">
        <v>1265</v>
      </c>
      <c r="D1225" s="63">
        <v>44985</v>
      </c>
      <c r="E1225" s="63">
        <v>46080</v>
      </c>
      <c r="F1225" s="62" t="s">
        <v>350</v>
      </c>
      <c r="G1225" s="62" t="s">
        <v>304</v>
      </c>
      <c r="H1225" s="62" t="s">
        <v>2425</v>
      </c>
      <c r="I1225" s="62" t="s">
        <v>2443</v>
      </c>
      <c r="J1225" s="62" t="s">
        <v>640</v>
      </c>
      <c r="K1225" s="62" t="s">
        <v>417</v>
      </c>
      <c r="L1225" s="62" t="s">
        <v>2421</v>
      </c>
      <c r="M1225" s="66" t="s">
        <v>1970</v>
      </c>
    </row>
    <row r="1226" spans="1:13" x14ac:dyDescent="0.3">
      <c r="A1226" s="61" t="s">
        <v>2160</v>
      </c>
      <c r="B1226" s="62" t="s">
        <v>1264</v>
      </c>
      <c r="C1226" s="62" t="s">
        <v>1265</v>
      </c>
      <c r="D1226" s="63">
        <v>44985</v>
      </c>
      <c r="E1226" s="63">
        <v>46080</v>
      </c>
      <c r="F1226" s="62" t="s">
        <v>1921</v>
      </c>
      <c r="G1226" s="62" t="s">
        <v>304</v>
      </c>
      <c r="H1226" s="62" t="s">
        <v>2425</v>
      </c>
      <c r="I1226" s="62" t="s">
        <v>2443</v>
      </c>
      <c r="J1226" s="62" t="s">
        <v>640</v>
      </c>
      <c r="K1226" s="62" t="s">
        <v>417</v>
      </c>
      <c r="L1226" s="62" t="s">
        <v>2421</v>
      </c>
      <c r="M1226" s="66" t="s">
        <v>1970</v>
      </c>
    </row>
    <row r="1227" spans="1:13" x14ac:dyDescent="0.3">
      <c r="A1227" s="61" t="s">
        <v>2160</v>
      </c>
      <c r="B1227" s="62" t="s">
        <v>1264</v>
      </c>
      <c r="C1227" s="62" t="s">
        <v>1265</v>
      </c>
      <c r="D1227" s="63">
        <v>44985</v>
      </c>
      <c r="E1227" s="63">
        <v>46080</v>
      </c>
      <c r="F1227" s="62" t="s">
        <v>1922</v>
      </c>
      <c r="G1227" s="62" t="s">
        <v>304</v>
      </c>
      <c r="H1227" s="62" t="s">
        <v>2425</v>
      </c>
      <c r="I1227" s="62" t="s">
        <v>2443</v>
      </c>
      <c r="J1227" s="62" t="s">
        <v>640</v>
      </c>
      <c r="K1227" s="62" t="s">
        <v>417</v>
      </c>
      <c r="L1227" s="62" t="s">
        <v>2421</v>
      </c>
      <c r="M1227" s="66" t="s">
        <v>1970</v>
      </c>
    </row>
    <row r="1228" spans="1:13" x14ac:dyDescent="0.3">
      <c r="A1228" s="61" t="s">
        <v>2160</v>
      </c>
      <c r="B1228" s="62" t="s">
        <v>1264</v>
      </c>
      <c r="C1228" s="62" t="s">
        <v>1265</v>
      </c>
      <c r="D1228" s="63">
        <v>44985</v>
      </c>
      <c r="E1228" s="63">
        <v>46080</v>
      </c>
      <c r="F1228" s="62" t="s">
        <v>1930</v>
      </c>
      <c r="G1228" s="62" t="s">
        <v>304</v>
      </c>
      <c r="H1228" s="62" t="s">
        <v>2425</v>
      </c>
      <c r="I1228" s="62" t="s">
        <v>2443</v>
      </c>
      <c r="J1228" s="62" t="s">
        <v>640</v>
      </c>
      <c r="K1228" s="62" t="s">
        <v>417</v>
      </c>
      <c r="L1228" s="62" t="s">
        <v>2421</v>
      </c>
      <c r="M1228" s="66" t="s">
        <v>1970</v>
      </c>
    </row>
    <row r="1229" spans="1:13" x14ac:dyDescent="0.3">
      <c r="A1229" s="61" t="s">
        <v>2160</v>
      </c>
      <c r="B1229" s="62" t="s">
        <v>1264</v>
      </c>
      <c r="C1229" s="62" t="s">
        <v>1265</v>
      </c>
      <c r="D1229" s="63">
        <v>44985</v>
      </c>
      <c r="E1229" s="63">
        <v>46080</v>
      </c>
      <c r="F1229" s="62" t="s">
        <v>1936</v>
      </c>
      <c r="G1229" s="62" t="s">
        <v>304</v>
      </c>
      <c r="H1229" s="62" t="s">
        <v>2425</v>
      </c>
      <c r="I1229" s="62" t="s">
        <v>2443</v>
      </c>
      <c r="J1229" s="62" t="s">
        <v>640</v>
      </c>
      <c r="K1229" s="62" t="s">
        <v>417</v>
      </c>
      <c r="L1229" s="62" t="s">
        <v>2421</v>
      </c>
      <c r="M1229" s="66" t="s">
        <v>1970</v>
      </c>
    </row>
    <row r="1230" spans="1:13" x14ac:dyDescent="0.3">
      <c r="A1230" s="61" t="s">
        <v>2160</v>
      </c>
      <c r="B1230" s="62" t="s">
        <v>1264</v>
      </c>
      <c r="C1230" s="62" t="s">
        <v>1265</v>
      </c>
      <c r="D1230" s="63">
        <v>44985</v>
      </c>
      <c r="E1230" s="63">
        <v>46080</v>
      </c>
      <c r="F1230" s="62" t="s">
        <v>287</v>
      </c>
      <c r="G1230" s="62" t="s">
        <v>304</v>
      </c>
      <c r="H1230" s="62" t="s">
        <v>2425</v>
      </c>
      <c r="I1230" s="62" t="s">
        <v>2443</v>
      </c>
      <c r="J1230" s="62" t="s">
        <v>640</v>
      </c>
      <c r="K1230" s="62" t="s">
        <v>417</v>
      </c>
      <c r="L1230" s="62" t="s">
        <v>2421</v>
      </c>
      <c r="M1230" s="66" t="s">
        <v>1970</v>
      </c>
    </row>
    <row r="1231" spans="1:13" x14ac:dyDescent="0.3">
      <c r="A1231" s="61" t="s">
        <v>2161</v>
      </c>
      <c r="B1231" s="62" t="s">
        <v>1266</v>
      </c>
      <c r="C1231" s="62" t="s">
        <v>1267</v>
      </c>
      <c r="D1231" s="63">
        <v>45056</v>
      </c>
      <c r="E1231" s="63">
        <v>46516</v>
      </c>
      <c r="F1231" s="62" t="s">
        <v>350</v>
      </c>
      <c r="G1231" s="62" t="s">
        <v>304</v>
      </c>
      <c r="H1231" s="62" t="s">
        <v>2425</v>
      </c>
      <c r="I1231" s="62" t="s">
        <v>1518</v>
      </c>
      <c r="J1231" s="62" t="s">
        <v>1072</v>
      </c>
      <c r="K1231" s="62" t="s">
        <v>637</v>
      </c>
      <c r="L1231" s="62" t="s">
        <v>2421</v>
      </c>
      <c r="M1231" s="66" t="s">
        <v>1982</v>
      </c>
    </row>
    <row r="1232" spans="1:13" x14ac:dyDescent="0.3">
      <c r="A1232" s="61" t="s">
        <v>2162</v>
      </c>
      <c r="B1232" s="62" t="s">
        <v>1268</v>
      </c>
      <c r="C1232" s="62" t="s">
        <v>1269</v>
      </c>
      <c r="D1232" s="63">
        <v>45450</v>
      </c>
      <c r="E1232" s="63">
        <v>46363</v>
      </c>
      <c r="F1232" s="62" t="s">
        <v>1936</v>
      </c>
      <c r="G1232" s="62" t="s">
        <v>602</v>
      </c>
      <c r="H1232" s="62" t="s">
        <v>468</v>
      </c>
      <c r="I1232" s="62" t="s">
        <v>825</v>
      </c>
      <c r="J1232" s="62" t="s">
        <v>370</v>
      </c>
      <c r="K1232" s="62" t="s">
        <v>371</v>
      </c>
      <c r="L1232" s="62" t="s">
        <v>2421</v>
      </c>
      <c r="M1232" s="66" t="s">
        <v>1976</v>
      </c>
    </row>
    <row r="1233" spans="1:13" x14ac:dyDescent="0.3">
      <c r="A1233" s="61" t="s">
        <v>2162</v>
      </c>
      <c r="B1233" s="62" t="s">
        <v>1268</v>
      </c>
      <c r="C1233" s="62" t="s">
        <v>1269</v>
      </c>
      <c r="D1233" s="63">
        <v>45450</v>
      </c>
      <c r="E1233" s="63">
        <v>46363</v>
      </c>
      <c r="F1233" s="62" t="s">
        <v>1936</v>
      </c>
      <c r="G1233" s="62" t="s">
        <v>710</v>
      </c>
      <c r="H1233" s="62" t="s">
        <v>468</v>
      </c>
      <c r="I1233" s="62" t="s">
        <v>825</v>
      </c>
      <c r="J1233" s="62" t="s">
        <v>370</v>
      </c>
      <c r="K1233" s="62" t="s">
        <v>371</v>
      </c>
      <c r="L1233" s="62" t="s">
        <v>2421</v>
      </c>
      <c r="M1233" s="66" t="s">
        <v>1976</v>
      </c>
    </row>
    <row r="1234" spans="1:13" x14ac:dyDescent="0.3">
      <c r="A1234" s="61" t="s">
        <v>2162</v>
      </c>
      <c r="B1234" s="62" t="s">
        <v>1268</v>
      </c>
      <c r="C1234" s="62" t="s">
        <v>1269</v>
      </c>
      <c r="D1234" s="63">
        <v>45450</v>
      </c>
      <c r="E1234" s="63">
        <v>46363</v>
      </c>
      <c r="F1234" s="62" t="s">
        <v>1936</v>
      </c>
      <c r="G1234" s="62" t="s">
        <v>411</v>
      </c>
      <c r="H1234" s="62" t="s">
        <v>468</v>
      </c>
      <c r="I1234" s="62" t="s">
        <v>825</v>
      </c>
      <c r="J1234" s="62" t="s">
        <v>370</v>
      </c>
      <c r="K1234" s="62" t="s">
        <v>371</v>
      </c>
      <c r="L1234" s="62" t="s">
        <v>2421</v>
      </c>
      <c r="M1234" s="66" t="s">
        <v>1976</v>
      </c>
    </row>
    <row r="1235" spans="1:13" x14ac:dyDescent="0.3">
      <c r="A1235" s="61" t="s">
        <v>2162</v>
      </c>
      <c r="B1235" s="62" t="s">
        <v>1268</v>
      </c>
      <c r="C1235" s="62" t="s">
        <v>1269</v>
      </c>
      <c r="D1235" s="63">
        <v>45450</v>
      </c>
      <c r="E1235" s="63">
        <v>46363</v>
      </c>
      <c r="F1235" s="62" t="s">
        <v>1945</v>
      </c>
      <c r="G1235" s="62" t="s">
        <v>400</v>
      </c>
      <c r="H1235" s="62" t="s">
        <v>468</v>
      </c>
      <c r="I1235" s="62" t="s">
        <v>825</v>
      </c>
      <c r="J1235" s="62" t="s">
        <v>370</v>
      </c>
      <c r="K1235" s="62" t="s">
        <v>371</v>
      </c>
      <c r="L1235" s="62" t="s">
        <v>2421</v>
      </c>
      <c r="M1235" s="66" t="s">
        <v>1976</v>
      </c>
    </row>
    <row r="1236" spans="1:13" x14ac:dyDescent="0.3">
      <c r="A1236" s="61" t="s">
        <v>2163</v>
      </c>
      <c r="B1236" s="62" t="s">
        <v>1270</v>
      </c>
      <c r="C1236" s="62" t="s">
        <v>1271</v>
      </c>
      <c r="D1236" s="63">
        <v>45658</v>
      </c>
      <c r="E1236" s="63">
        <v>46363</v>
      </c>
      <c r="F1236" s="62" t="s">
        <v>1936</v>
      </c>
      <c r="G1236" s="62" t="s">
        <v>602</v>
      </c>
      <c r="H1236" s="62" t="s">
        <v>468</v>
      </c>
      <c r="I1236" s="62" t="s">
        <v>825</v>
      </c>
      <c r="J1236" s="62" t="s">
        <v>370</v>
      </c>
      <c r="K1236" s="62" t="s">
        <v>371</v>
      </c>
      <c r="L1236" s="62" t="s">
        <v>2421</v>
      </c>
      <c r="M1236" s="66" t="s">
        <v>1976</v>
      </c>
    </row>
    <row r="1237" spans="1:13" x14ac:dyDescent="0.3">
      <c r="A1237" s="61" t="s">
        <v>2163</v>
      </c>
      <c r="B1237" s="62" t="s">
        <v>1270</v>
      </c>
      <c r="C1237" s="62" t="s">
        <v>1271</v>
      </c>
      <c r="D1237" s="63">
        <v>45658</v>
      </c>
      <c r="E1237" s="63">
        <v>46363</v>
      </c>
      <c r="F1237" s="62" t="s">
        <v>1936</v>
      </c>
      <c r="G1237" s="62" t="s">
        <v>710</v>
      </c>
      <c r="H1237" s="62" t="s">
        <v>468</v>
      </c>
      <c r="I1237" s="62" t="s">
        <v>825</v>
      </c>
      <c r="J1237" s="62" t="s">
        <v>370</v>
      </c>
      <c r="K1237" s="62" t="s">
        <v>371</v>
      </c>
      <c r="L1237" s="62" t="s">
        <v>2421</v>
      </c>
      <c r="M1237" s="66" t="s">
        <v>1976</v>
      </c>
    </row>
    <row r="1238" spans="1:13" x14ac:dyDescent="0.3">
      <c r="A1238" s="61" t="s">
        <v>2163</v>
      </c>
      <c r="B1238" s="62" t="s">
        <v>1270</v>
      </c>
      <c r="C1238" s="62" t="s">
        <v>1271</v>
      </c>
      <c r="D1238" s="63">
        <v>45658</v>
      </c>
      <c r="E1238" s="63">
        <v>46363</v>
      </c>
      <c r="F1238" s="62" t="s">
        <v>1936</v>
      </c>
      <c r="G1238" s="62" t="s">
        <v>411</v>
      </c>
      <c r="H1238" s="62" t="s">
        <v>468</v>
      </c>
      <c r="I1238" s="62" t="s">
        <v>825</v>
      </c>
      <c r="J1238" s="62" t="s">
        <v>370</v>
      </c>
      <c r="K1238" s="62" t="s">
        <v>371</v>
      </c>
      <c r="L1238" s="62" t="s">
        <v>2421</v>
      </c>
      <c r="M1238" s="66" t="s">
        <v>1976</v>
      </c>
    </row>
    <row r="1239" spans="1:13" x14ac:dyDescent="0.3">
      <c r="A1239" s="61" t="s">
        <v>2163</v>
      </c>
      <c r="B1239" s="62" t="s">
        <v>1270</v>
      </c>
      <c r="C1239" s="62" t="s">
        <v>1271</v>
      </c>
      <c r="D1239" s="63">
        <v>45658</v>
      </c>
      <c r="E1239" s="63">
        <v>46363</v>
      </c>
      <c r="F1239" s="62" t="s">
        <v>1945</v>
      </c>
      <c r="G1239" s="62" t="s">
        <v>400</v>
      </c>
      <c r="H1239" s="62" t="s">
        <v>468</v>
      </c>
      <c r="I1239" s="62" t="s">
        <v>825</v>
      </c>
      <c r="J1239" s="62" t="s">
        <v>370</v>
      </c>
      <c r="K1239" s="62" t="s">
        <v>371</v>
      </c>
      <c r="L1239" s="62" t="s">
        <v>2421</v>
      </c>
      <c r="M1239" s="66" t="s">
        <v>1976</v>
      </c>
    </row>
    <row r="1240" spans="1:13" x14ac:dyDescent="0.3">
      <c r="A1240" s="61" t="s">
        <v>2164</v>
      </c>
      <c r="B1240" s="62" t="s">
        <v>1273</v>
      </c>
      <c r="C1240" s="62" t="s">
        <v>1274</v>
      </c>
      <c r="D1240" s="63">
        <v>45139</v>
      </c>
      <c r="E1240" s="63">
        <v>46234</v>
      </c>
      <c r="F1240" s="62" t="s">
        <v>1959</v>
      </c>
      <c r="G1240" s="62" t="s">
        <v>666</v>
      </c>
      <c r="H1240" s="62" t="s">
        <v>645</v>
      </c>
      <c r="I1240" s="62" t="s">
        <v>424</v>
      </c>
      <c r="J1240" s="62" t="s">
        <v>491</v>
      </c>
      <c r="K1240" s="62" t="s">
        <v>365</v>
      </c>
      <c r="L1240" s="62" t="s">
        <v>2421</v>
      </c>
      <c r="M1240" s="66" t="s">
        <v>1968</v>
      </c>
    </row>
    <row r="1241" spans="1:13" x14ac:dyDescent="0.3">
      <c r="A1241" s="61" t="s">
        <v>2164</v>
      </c>
      <c r="B1241" s="62" t="s">
        <v>1273</v>
      </c>
      <c r="C1241" s="62" t="s">
        <v>1274</v>
      </c>
      <c r="D1241" s="63">
        <v>45139</v>
      </c>
      <c r="E1241" s="63">
        <v>46234</v>
      </c>
      <c r="F1241" s="62" t="s">
        <v>1959</v>
      </c>
      <c r="G1241" s="62" t="s">
        <v>807</v>
      </c>
      <c r="H1241" s="62" t="s">
        <v>645</v>
      </c>
      <c r="I1241" s="62" t="s">
        <v>424</v>
      </c>
      <c r="J1241" s="62" t="s">
        <v>491</v>
      </c>
      <c r="K1241" s="62" t="s">
        <v>365</v>
      </c>
      <c r="L1241" s="62" t="s">
        <v>2421</v>
      </c>
      <c r="M1241" s="66" t="s">
        <v>1968</v>
      </c>
    </row>
    <row r="1242" spans="1:13" x14ac:dyDescent="0.3">
      <c r="A1242" s="61" t="s">
        <v>2164</v>
      </c>
      <c r="B1242" s="62" t="s">
        <v>1273</v>
      </c>
      <c r="C1242" s="62" t="s">
        <v>1274</v>
      </c>
      <c r="D1242" s="63">
        <v>45139</v>
      </c>
      <c r="E1242" s="63">
        <v>46234</v>
      </c>
      <c r="F1242" s="62" t="s">
        <v>1959</v>
      </c>
      <c r="G1242" s="62" t="s">
        <v>669</v>
      </c>
      <c r="H1242" s="62" t="s">
        <v>645</v>
      </c>
      <c r="I1242" s="62" t="s">
        <v>424</v>
      </c>
      <c r="J1242" s="62" t="s">
        <v>491</v>
      </c>
      <c r="K1242" s="62" t="s">
        <v>365</v>
      </c>
      <c r="L1242" s="62" t="s">
        <v>2421</v>
      </c>
      <c r="M1242" s="66" t="s">
        <v>1968</v>
      </c>
    </row>
    <row r="1243" spans="1:13" x14ac:dyDescent="0.3">
      <c r="A1243" s="61" t="s">
        <v>2164</v>
      </c>
      <c r="B1243" s="62" t="s">
        <v>1273</v>
      </c>
      <c r="C1243" s="62" t="s">
        <v>1274</v>
      </c>
      <c r="D1243" s="63">
        <v>45139</v>
      </c>
      <c r="E1243" s="63">
        <v>46234</v>
      </c>
      <c r="F1243" s="62" t="s">
        <v>1959</v>
      </c>
      <c r="G1243" s="62" t="s">
        <v>781</v>
      </c>
      <c r="H1243" s="62" t="s">
        <v>645</v>
      </c>
      <c r="I1243" s="62" t="s">
        <v>424</v>
      </c>
      <c r="J1243" s="62" t="s">
        <v>491</v>
      </c>
      <c r="K1243" s="62" t="s">
        <v>365</v>
      </c>
      <c r="L1243" s="62" t="s">
        <v>2421</v>
      </c>
      <c r="M1243" s="66" t="s">
        <v>1968</v>
      </c>
    </row>
    <row r="1244" spans="1:13" x14ac:dyDescent="0.3">
      <c r="A1244" s="61" t="s">
        <v>2165</v>
      </c>
      <c r="B1244" s="62" t="s">
        <v>1275</v>
      </c>
      <c r="C1244" s="62" t="s">
        <v>1276</v>
      </c>
      <c r="D1244" s="63">
        <v>45261</v>
      </c>
      <c r="E1244" s="63">
        <v>46477</v>
      </c>
      <c r="F1244" s="62" t="s">
        <v>350</v>
      </c>
      <c r="G1244" s="62" t="s">
        <v>350</v>
      </c>
      <c r="H1244" s="62" t="s">
        <v>645</v>
      </c>
      <c r="I1244" s="62" t="s">
        <v>424</v>
      </c>
      <c r="J1244" s="62" t="s">
        <v>1218</v>
      </c>
      <c r="K1244" s="62" t="s">
        <v>596</v>
      </c>
      <c r="L1244" s="62" t="s">
        <v>2421</v>
      </c>
      <c r="M1244" s="66" t="s">
        <v>1972</v>
      </c>
    </row>
    <row r="1245" spans="1:13" x14ac:dyDescent="0.3">
      <c r="A1245" s="61" t="s">
        <v>2166</v>
      </c>
      <c r="B1245" s="62" t="s">
        <v>1277</v>
      </c>
      <c r="C1245" s="62" t="s">
        <v>1278</v>
      </c>
      <c r="D1245" s="63">
        <v>44927</v>
      </c>
      <c r="E1245" s="63">
        <v>46142</v>
      </c>
      <c r="F1245" s="62" t="s">
        <v>282</v>
      </c>
      <c r="G1245" s="62" t="s">
        <v>304</v>
      </c>
      <c r="H1245" s="62" t="s">
        <v>645</v>
      </c>
      <c r="I1245" s="62" t="s">
        <v>424</v>
      </c>
      <c r="J1245" s="62" t="s">
        <v>370</v>
      </c>
      <c r="K1245" s="62" t="s">
        <v>371</v>
      </c>
      <c r="L1245" s="62" t="s">
        <v>2421</v>
      </c>
      <c r="M1245" s="66" t="s">
        <v>1972</v>
      </c>
    </row>
    <row r="1246" spans="1:13" x14ac:dyDescent="0.3">
      <c r="A1246" s="61" t="s">
        <v>2166</v>
      </c>
      <c r="B1246" s="62" t="s">
        <v>1277</v>
      </c>
      <c r="C1246" s="62" t="s">
        <v>1278</v>
      </c>
      <c r="D1246" s="63">
        <v>44927</v>
      </c>
      <c r="E1246" s="63">
        <v>46142</v>
      </c>
      <c r="F1246" s="62" t="s">
        <v>286</v>
      </c>
      <c r="G1246" s="62" t="s">
        <v>304</v>
      </c>
      <c r="H1246" s="62" t="s">
        <v>645</v>
      </c>
      <c r="I1246" s="62" t="s">
        <v>424</v>
      </c>
      <c r="J1246" s="62" t="s">
        <v>370</v>
      </c>
      <c r="K1246" s="62" t="s">
        <v>371</v>
      </c>
      <c r="L1246" s="62" t="s">
        <v>2421</v>
      </c>
      <c r="M1246" s="66" t="s">
        <v>1972</v>
      </c>
    </row>
    <row r="1247" spans="1:13" x14ac:dyDescent="0.3">
      <c r="A1247" s="61" t="s">
        <v>2166</v>
      </c>
      <c r="B1247" s="62" t="s">
        <v>1277</v>
      </c>
      <c r="C1247" s="62" t="s">
        <v>1278</v>
      </c>
      <c r="D1247" s="63">
        <v>44927</v>
      </c>
      <c r="E1247" s="63">
        <v>46142</v>
      </c>
      <c r="F1247" s="62" t="s">
        <v>289</v>
      </c>
      <c r="G1247" s="62" t="s">
        <v>304</v>
      </c>
      <c r="H1247" s="62" t="s">
        <v>645</v>
      </c>
      <c r="I1247" s="62" t="s">
        <v>424</v>
      </c>
      <c r="J1247" s="62" t="s">
        <v>370</v>
      </c>
      <c r="K1247" s="62" t="s">
        <v>371</v>
      </c>
      <c r="L1247" s="62" t="s">
        <v>2421</v>
      </c>
      <c r="M1247" s="66" t="s">
        <v>1972</v>
      </c>
    </row>
    <row r="1248" spans="1:13" x14ac:dyDescent="0.3">
      <c r="A1248" s="61" t="s">
        <v>2167</v>
      </c>
      <c r="B1248" s="62" t="s">
        <v>1279</v>
      </c>
      <c r="C1248" s="62" t="s">
        <v>1280</v>
      </c>
      <c r="D1248" s="63">
        <v>45472</v>
      </c>
      <c r="E1248" s="63">
        <v>46201</v>
      </c>
      <c r="F1248" s="62" t="s">
        <v>350</v>
      </c>
      <c r="G1248" s="62" t="s">
        <v>304</v>
      </c>
      <c r="H1248" s="62" t="s">
        <v>2425</v>
      </c>
      <c r="I1248" s="62" t="s">
        <v>1518</v>
      </c>
      <c r="J1248" s="62" t="s">
        <v>469</v>
      </c>
      <c r="K1248" s="62" t="s">
        <v>315</v>
      </c>
      <c r="L1248" s="62" t="s">
        <v>2421</v>
      </c>
      <c r="M1248" s="66" t="s">
        <v>1969</v>
      </c>
    </row>
    <row r="1249" spans="1:13" x14ac:dyDescent="0.3">
      <c r="A1249" s="61" t="s">
        <v>2168</v>
      </c>
      <c r="B1249" s="62" t="s">
        <v>1281</v>
      </c>
      <c r="C1249" s="62" t="s">
        <v>1282</v>
      </c>
      <c r="D1249" s="63">
        <v>45053</v>
      </c>
      <c r="E1249" s="63">
        <v>46149</v>
      </c>
      <c r="F1249" s="62" t="s">
        <v>350</v>
      </c>
      <c r="G1249" s="62" t="s">
        <v>304</v>
      </c>
      <c r="H1249" s="62" t="s">
        <v>2425</v>
      </c>
      <c r="I1249" s="62" t="s">
        <v>1518</v>
      </c>
      <c r="J1249" s="62" t="s">
        <v>949</v>
      </c>
      <c r="K1249" s="62" t="s">
        <v>309</v>
      </c>
      <c r="L1249" s="62" t="s">
        <v>2421</v>
      </c>
      <c r="M1249" s="66" t="s">
        <v>1982</v>
      </c>
    </row>
    <row r="1250" spans="1:13" x14ac:dyDescent="0.3">
      <c r="A1250" s="61" t="s">
        <v>2169</v>
      </c>
      <c r="B1250" s="62" t="s">
        <v>1283</v>
      </c>
      <c r="C1250" s="62" t="s">
        <v>1284</v>
      </c>
      <c r="D1250" s="63">
        <v>45202</v>
      </c>
      <c r="E1250" s="63">
        <v>46056</v>
      </c>
      <c r="F1250" s="62" t="s">
        <v>1916</v>
      </c>
      <c r="G1250" s="62" t="s">
        <v>304</v>
      </c>
      <c r="H1250" s="62" t="s">
        <v>2425</v>
      </c>
      <c r="I1250" s="62" t="s">
        <v>2465</v>
      </c>
      <c r="J1250" s="62" t="s">
        <v>579</v>
      </c>
      <c r="K1250" s="62" t="s">
        <v>428</v>
      </c>
      <c r="L1250" s="62" t="s">
        <v>2421</v>
      </c>
      <c r="M1250" s="66" t="s">
        <v>2021</v>
      </c>
    </row>
    <row r="1251" spans="1:13" x14ac:dyDescent="0.3">
      <c r="A1251" s="61" t="s">
        <v>2169</v>
      </c>
      <c r="B1251" s="62" t="s">
        <v>1283</v>
      </c>
      <c r="C1251" s="62" t="s">
        <v>1284</v>
      </c>
      <c r="D1251" s="63">
        <v>45202</v>
      </c>
      <c r="E1251" s="63">
        <v>46056</v>
      </c>
      <c r="F1251" s="62" t="s">
        <v>1934</v>
      </c>
      <c r="G1251" s="62" t="s">
        <v>304</v>
      </c>
      <c r="H1251" s="62" t="s">
        <v>2425</v>
      </c>
      <c r="I1251" s="62" t="s">
        <v>2465</v>
      </c>
      <c r="J1251" s="62" t="s">
        <v>579</v>
      </c>
      <c r="K1251" s="62" t="s">
        <v>428</v>
      </c>
      <c r="L1251" s="62" t="s">
        <v>2421</v>
      </c>
      <c r="M1251" s="66" t="s">
        <v>2021</v>
      </c>
    </row>
    <row r="1252" spans="1:13" x14ac:dyDescent="0.3">
      <c r="A1252" s="61" t="s">
        <v>2169</v>
      </c>
      <c r="B1252" s="62" t="s">
        <v>1283</v>
      </c>
      <c r="C1252" s="62" t="s">
        <v>1284</v>
      </c>
      <c r="D1252" s="63">
        <v>45202</v>
      </c>
      <c r="E1252" s="63">
        <v>46056</v>
      </c>
      <c r="F1252" s="62" t="s">
        <v>1958</v>
      </c>
      <c r="G1252" s="62" t="s">
        <v>304</v>
      </c>
      <c r="H1252" s="62" t="s">
        <v>2425</v>
      </c>
      <c r="I1252" s="62" t="s">
        <v>2465</v>
      </c>
      <c r="J1252" s="62" t="s">
        <v>579</v>
      </c>
      <c r="K1252" s="62" t="s">
        <v>428</v>
      </c>
      <c r="L1252" s="62" t="s">
        <v>2421</v>
      </c>
      <c r="M1252" s="66" t="s">
        <v>2021</v>
      </c>
    </row>
    <row r="1253" spans="1:13" x14ac:dyDescent="0.3">
      <c r="A1253" s="61" t="s">
        <v>2169</v>
      </c>
      <c r="B1253" s="62" t="s">
        <v>1283</v>
      </c>
      <c r="C1253" s="62" t="s">
        <v>1284</v>
      </c>
      <c r="D1253" s="63">
        <v>45202</v>
      </c>
      <c r="E1253" s="63">
        <v>46056</v>
      </c>
      <c r="F1253" s="62" t="s">
        <v>1938</v>
      </c>
      <c r="G1253" s="62" t="s">
        <v>304</v>
      </c>
      <c r="H1253" s="62" t="s">
        <v>2425</v>
      </c>
      <c r="I1253" s="62" t="s">
        <v>2465</v>
      </c>
      <c r="J1253" s="62" t="s">
        <v>579</v>
      </c>
      <c r="K1253" s="62" t="s">
        <v>428</v>
      </c>
      <c r="L1253" s="62" t="s">
        <v>2421</v>
      </c>
      <c r="M1253" s="66" t="s">
        <v>2021</v>
      </c>
    </row>
    <row r="1254" spans="1:13" x14ac:dyDescent="0.3">
      <c r="A1254" s="61" t="s">
        <v>2169</v>
      </c>
      <c r="B1254" s="62" t="s">
        <v>1283</v>
      </c>
      <c r="C1254" s="62" t="s">
        <v>1284</v>
      </c>
      <c r="D1254" s="63">
        <v>45202</v>
      </c>
      <c r="E1254" s="63">
        <v>46056</v>
      </c>
      <c r="F1254" s="62" t="s">
        <v>1963</v>
      </c>
      <c r="G1254" s="62" t="s">
        <v>304</v>
      </c>
      <c r="H1254" s="62" t="s">
        <v>2425</v>
      </c>
      <c r="I1254" s="62" t="s">
        <v>2465</v>
      </c>
      <c r="J1254" s="62" t="s">
        <v>579</v>
      </c>
      <c r="K1254" s="62" t="s">
        <v>428</v>
      </c>
      <c r="L1254" s="62" t="s">
        <v>2421</v>
      </c>
      <c r="M1254" s="66" t="s">
        <v>2021</v>
      </c>
    </row>
    <row r="1255" spans="1:13" x14ac:dyDescent="0.3">
      <c r="A1255" s="61" t="s">
        <v>2169</v>
      </c>
      <c r="B1255" s="62" t="s">
        <v>1283</v>
      </c>
      <c r="C1255" s="62" t="s">
        <v>1284</v>
      </c>
      <c r="D1255" s="63">
        <v>45202</v>
      </c>
      <c r="E1255" s="63">
        <v>46056</v>
      </c>
      <c r="F1255" s="62" t="s">
        <v>1948</v>
      </c>
      <c r="G1255" s="62" t="s">
        <v>304</v>
      </c>
      <c r="H1255" s="62" t="s">
        <v>2425</v>
      </c>
      <c r="I1255" s="62" t="s">
        <v>2465</v>
      </c>
      <c r="J1255" s="62" t="s">
        <v>579</v>
      </c>
      <c r="K1255" s="62" t="s">
        <v>428</v>
      </c>
      <c r="L1255" s="62" t="s">
        <v>2421</v>
      </c>
      <c r="M1255" s="66" t="s">
        <v>2021</v>
      </c>
    </row>
    <row r="1256" spans="1:13" x14ac:dyDescent="0.3">
      <c r="A1256" s="61" t="s">
        <v>2170</v>
      </c>
      <c r="B1256" s="62" t="s">
        <v>1285</v>
      </c>
      <c r="C1256" s="62" t="s">
        <v>1286</v>
      </c>
      <c r="D1256" s="63">
        <v>45103</v>
      </c>
      <c r="E1256" s="63">
        <v>46199</v>
      </c>
      <c r="F1256" s="62" t="s">
        <v>348</v>
      </c>
      <c r="G1256" s="62" t="s">
        <v>304</v>
      </c>
      <c r="H1256" s="62" t="s">
        <v>2425</v>
      </c>
      <c r="I1256" s="62" t="s">
        <v>2443</v>
      </c>
      <c r="J1256" s="62" t="s">
        <v>991</v>
      </c>
      <c r="K1256" s="62" t="s">
        <v>426</v>
      </c>
      <c r="L1256" s="62" t="s">
        <v>2421</v>
      </c>
      <c r="M1256" s="66" t="s">
        <v>1983</v>
      </c>
    </row>
    <row r="1257" spans="1:13" x14ac:dyDescent="0.3">
      <c r="A1257" s="61" t="s">
        <v>2171</v>
      </c>
      <c r="B1257" s="62" t="s">
        <v>1288</v>
      </c>
      <c r="C1257" s="62" t="s">
        <v>1289</v>
      </c>
      <c r="D1257" s="63">
        <v>45444</v>
      </c>
      <c r="E1257" s="63">
        <v>46173</v>
      </c>
      <c r="F1257" s="62" t="s">
        <v>1959</v>
      </c>
      <c r="G1257" s="62" t="s">
        <v>466</v>
      </c>
      <c r="H1257" s="62" t="s">
        <v>373</v>
      </c>
      <c r="I1257" s="62" t="s">
        <v>1518</v>
      </c>
      <c r="J1257" s="62" t="s">
        <v>355</v>
      </c>
      <c r="K1257" s="62" t="s">
        <v>309</v>
      </c>
      <c r="L1257" s="62" t="s">
        <v>2421</v>
      </c>
      <c r="M1257" s="66" t="s">
        <v>1972</v>
      </c>
    </row>
    <row r="1258" spans="1:13" x14ac:dyDescent="0.3">
      <c r="A1258" s="61" t="s">
        <v>2171</v>
      </c>
      <c r="B1258" s="62" t="s">
        <v>1288</v>
      </c>
      <c r="C1258" s="62" t="s">
        <v>1289</v>
      </c>
      <c r="D1258" s="63">
        <v>45444</v>
      </c>
      <c r="E1258" s="63">
        <v>46173</v>
      </c>
      <c r="F1258" s="62" t="s">
        <v>1959</v>
      </c>
      <c r="G1258" s="62" t="s">
        <v>679</v>
      </c>
      <c r="H1258" s="62" t="s">
        <v>373</v>
      </c>
      <c r="I1258" s="62" t="s">
        <v>1518</v>
      </c>
      <c r="J1258" s="62" t="s">
        <v>355</v>
      </c>
      <c r="K1258" s="62" t="s">
        <v>309</v>
      </c>
      <c r="L1258" s="62" t="s">
        <v>2421</v>
      </c>
      <c r="M1258" s="66" t="s">
        <v>1972</v>
      </c>
    </row>
    <row r="1259" spans="1:13" x14ac:dyDescent="0.3">
      <c r="A1259" s="61" t="s">
        <v>2171</v>
      </c>
      <c r="B1259" s="62" t="s">
        <v>1288</v>
      </c>
      <c r="C1259" s="62" t="s">
        <v>1289</v>
      </c>
      <c r="D1259" s="63">
        <v>45444</v>
      </c>
      <c r="E1259" s="63">
        <v>46173</v>
      </c>
      <c r="F1259" s="62" t="s">
        <v>1959</v>
      </c>
      <c r="G1259" s="62" t="s">
        <v>583</v>
      </c>
      <c r="H1259" s="62" t="s">
        <v>373</v>
      </c>
      <c r="I1259" s="62" t="s">
        <v>1518</v>
      </c>
      <c r="J1259" s="62" t="s">
        <v>355</v>
      </c>
      <c r="K1259" s="62" t="s">
        <v>309</v>
      </c>
      <c r="L1259" s="62" t="s">
        <v>2421</v>
      </c>
      <c r="M1259" s="66" t="s">
        <v>1972</v>
      </c>
    </row>
    <row r="1260" spans="1:13" x14ac:dyDescent="0.3">
      <c r="A1260" s="61" t="s">
        <v>2171</v>
      </c>
      <c r="B1260" s="62" t="s">
        <v>1288</v>
      </c>
      <c r="C1260" s="62" t="s">
        <v>1289</v>
      </c>
      <c r="D1260" s="63">
        <v>45444</v>
      </c>
      <c r="E1260" s="63">
        <v>46173</v>
      </c>
      <c r="F1260" s="62" t="s">
        <v>1959</v>
      </c>
      <c r="G1260" s="62" t="s">
        <v>475</v>
      </c>
      <c r="H1260" s="62" t="s">
        <v>373</v>
      </c>
      <c r="I1260" s="62" t="s">
        <v>1518</v>
      </c>
      <c r="J1260" s="62" t="s">
        <v>355</v>
      </c>
      <c r="K1260" s="62" t="s">
        <v>309</v>
      </c>
      <c r="L1260" s="62" t="s">
        <v>2421</v>
      </c>
      <c r="M1260" s="66" t="s">
        <v>1972</v>
      </c>
    </row>
    <row r="1261" spans="1:13" x14ac:dyDescent="0.3">
      <c r="A1261" s="61" t="s">
        <v>2171</v>
      </c>
      <c r="B1261" s="62" t="s">
        <v>1288</v>
      </c>
      <c r="C1261" s="62" t="s">
        <v>1289</v>
      </c>
      <c r="D1261" s="63">
        <v>45444</v>
      </c>
      <c r="E1261" s="63">
        <v>46173</v>
      </c>
      <c r="F1261" s="62" t="s">
        <v>1959</v>
      </c>
      <c r="G1261" s="62" t="s">
        <v>808</v>
      </c>
      <c r="H1261" s="62" t="s">
        <v>373</v>
      </c>
      <c r="I1261" s="62" t="s">
        <v>1518</v>
      </c>
      <c r="J1261" s="62" t="s">
        <v>355</v>
      </c>
      <c r="K1261" s="62" t="s">
        <v>309</v>
      </c>
      <c r="L1261" s="62" t="s">
        <v>2421</v>
      </c>
      <c r="M1261" s="66" t="s">
        <v>1972</v>
      </c>
    </row>
    <row r="1262" spans="1:13" x14ac:dyDescent="0.3">
      <c r="A1262" s="61" t="s">
        <v>2171</v>
      </c>
      <c r="B1262" s="62" t="s">
        <v>1288</v>
      </c>
      <c r="C1262" s="62" t="s">
        <v>1289</v>
      </c>
      <c r="D1262" s="63">
        <v>45444</v>
      </c>
      <c r="E1262" s="63">
        <v>46173</v>
      </c>
      <c r="F1262" s="62" t="s">
        <v>280</v>
      </c>
      <c r="G1262" s="62" t="s">
        <v>280</v>
      </c>
      <c r="H1262" s="62" t="s">
        <v>373</v>
      </c>
      <c r="I1262" s="62" t="s">
        <v>1518</v>
      </c>
      <c r="J1262" s="62" t="s">
        <v>355</v>
      </c>
      <c r="K1262" s="62" t="s">
        <v>309</v>
      </c>
      <c r="L1262" s="62" t="s">
        <v>2421</v>
      </c>
      <c r="M1262" s="66" t="s">
        <v>1972</v>
      </c>
    </row>
    <row r="1263" spans="1:13" x14ac:dyDescent="0.3">
      <c r="A1263" s="61" t="s">
        <v>2171</v>
      </c>
      <c r="B1263" s="62" t="s">
        <v>1288</v>
      </c>
      <c r="C1263" s="62" t="s">
        <v>1289</v>
      </c>
      <c r="D1263" s="63">
        <v>45444</v>
      </c>
      <c r="E1263" s="63">
        <v>46173</v>
      </c>
      <c r="F1263" s="62" t="s">
        <v>280</v>
      </c>
      <c r="G1263" s="62" t="s">
        <v>406</v>
      </c>
      <c r="H1263" s="62" t="s">
        <v>373</v>
      </c>
      <c r="I1263" s="62" t="s">
        <v>1518</v>
      </c>
      <c r="J1263" s="62" t="s">
        <v>355</v>
      </c>
      <c r="K1263" s="62" t="s">
        <v>309</v>
      </c>
      <c r="L1263" s="62" t="s">
        <v>2421</v>
      </c>
      <c r="M1263" s="66" t="s">
        <v>1972</v>
      </c>
    </row>
    <row r="1264" spans="1:13" x14ac:dyDescent="0.3">
      <c r="A1264" s="61" t="s">
        <v>2171</v>
      </c>
      <c r="B1264" s="62" t="s">
        <v>1288</v>
      </c>
      <c r="C1264" s="62" t="s">
        <v>1289</v>
      </c>
      <c r="D1264" s="63">
        <v>45444</v>
      </c>
      <c r="E1264" s="63">
        <v>46173</v>
      </c>
      <c r="F1264" s="62" t="s">
        <v>280</v>
      </c>
      <c r="G1264" s="62" t="s">
        <v>409</v>
      </c>
      <c r="H1264" s="62" t="s">
        <v>373</v>
      </c>
      <c r="I1264" s="62" t="s">
        <v>1518</v>
      </c>
      <c r="J1264" s="62" t="s">
        <v>355</v>
      </c>
      <c r="K1264" s="62" t="s">
        <v>309</v>
      </c>
      <c r="L1264" s="62" t="s">
        <v>2421</v>
      </c>
      <c r="M1264" s="66" t="s">
        <v>1972</v>
      </c>
    </row>
    <row r="1265" spans="1:13" x14ac:dyDescent="0.3">
      <c r="A1265" s="61" t="s">
        <v>2171</v>
      </c>
      <c r="B1265" s="62" t="s">
        <v>1288</v>
      </c>
      <c r="C1265" s="62" t="s">
        <v>1289</v>
      </c>
      <c r="D1265" s="63">
        <v>45444</v>
      </c>
      <c r="E1265" s="63">
        <v>46173</v>
      </c>
      <c r="F1265" s="62" t="s">
        <v>287</v>
      </c>
      <c r="G1265" s="62" t="s">
        <v>396</v>
      </c>
      <c r="H1265" s="62" t="s">
        <v>373</v>
      </c>
      <c r="I1265" s="62" t="s">
        <v>1518</v>
      </c>
      <c r="J1265" s="62" t="s">
        <v>355</v>
      </c>
      <c r="K1265" s="62" t="s">
        <v>309</v>
      </c>
      <c r="L1265" s="62" t="s">
        <v>2421</v>
      </c>
      <c r="M1265" s="66" t="s">
        <v>1972</v>
      </c>
    </row>
    <row r="1266" spans="1:13" x14ac:dyDescent="0.3">
      <c r="A1266" s="61" t="s">
        <v>2171</v>
      </c>
      <c r="B1266" s="62" t="s">
        <v>1288</v>
      </c>
      <c r="C1266" s="62" t="s">
        <v>1289</v>
      </c>
      <c r="D1266" s="63">
        <v>45444</v>
      </c>
      <c r="E1266" s="63">
        <v>46173</v>
      </c>
      <c r="F1266" s="62" t="s">
        <v>1945</v>
      </c>
      <c r="G1266" s="62" t="s">
        <v>400</v>
      </c>
      <c r="H1266" s="62" t="s">
        <v>373</v>
      </c>
      <c r="I1266" s="62" t="s">
        <v>1518</v>
      </c>
      <c r="J1266" s="62" t="s">
        <v>355</v>
      </c>
      <c r="K1266" s="62" t="s">
        <v>309</v>
      </c>
      <c r="L1266" s="62" t="s">
        <v>2421</v>
      </c>
      <c r="M1266" s="66" t="s">
        <v>1972</v>
      </c>
    </row>
    <row r="1267" spans="1:13" x14ac:dyDescent="0.3">
      <c r="A1267" s="61" t="s">
        <v>2172</v>
      </c>
      <c r="B1267" s="62" t="s">
        <v>1290</v>
      </c>
      <c r="C1267" s="62" t="s">
        <v>1291</v>
      </c>
      <c r="D1267" s="63">
        <v>45292</v>
      </c>
      <c r="E1267" s="63">
        <v>46752</v>
      </c>
      <c r="F1267" s="62" t="s">
        <v>350</v>
      </c>
      <c r="G1267" s="62" t="s">
        <v>350</v>
      </c>
      <c r="H1267" s="62" t="s">
        <v>1292</v>
      </c>
      <c r="I1267" s="62" t="s">
        <v>1518</v>
      </c>
      <c r="J1267" s="62" t="s">
        <v>374</v>
      </c>
      <c r="K1267" s="62" t="s">
        <v>375</v>
      </c>
      <c r="L1267" s="62" t="s">
        <v>2421</v>
      </c>
      <c r="M1267" s="66" t="s">
        <v>1968</v>
      </c>
    </row>
    <row r="1268" spans="1:13" x14ac:dyDescent="0.3">
      <c r="A1268" s="61" t="s">
        <v>2172</v>
      </c>
      <c r="B1268" s="62" t="s">
        <v>1290</v>
      </c>
      <c r="C1268" s="62" t="s">
        <v>1291</v>
      </c>
      <c r="D1268" s="63">
        <v>45292</v>
      </c>
      <c r="E1268" s="63">
        <v>46752</v>
      </c>
      <c r="F1268" s="62" t="s">
        <v>350</v>
      </c>
      <c r="G1268" s="62" t="s">
        <v>350</v>
      </c>
      <c r="H1268" s="62" t="s">
        <v>929</v>
      </c>
      <c r="I1268" s="62" t="s">
        <v>1518</v>
      </c>
      <c r="J1268" s="62" t="s">
        <v>374</v>
      </c>
      <c r="K1268" s="62" t="s">
        <v>375</v>
      </c>
      <c r="L1268" s="62" t="s">
        <v>2421</v>
      </c>
      <c r="M1268" s="66" t="s">
        <v>1968</v>
      </c>
    </row>
    <row r="1269" spans="1:13" x14ac:dyDescent="0.3">
      <c r="A1269" s="61" t="s">
        <v>2173</v>
      </c>
      <c r="B1269" s="62" t="s">
        <v>1295</v>
      </c>
      <c r="C1269" s="62" t="s">
        <v>1296</v>
      </c>
      <c r="D1269" s="63">
        <v>45292</v>
      </c>
      <c r="E1269" s="63">
        <v>46996</v>
      </c>
      <c r="F1269" s="62" t="s">
        <v>287</v>
      </c>
      <c r="G1269" s="62" t="s">
        <v>286</v>
      </c>
      <c r="H1269" s="62" t="s">
        <v>1297</v>
      </c>
      <c r="I1269" s="62" t="s">
        <v>1518</v>
      </c>
      <c r="J1269" s="62" t="s">
        <v>1230</v>
      </c>
      <c r="K1269" s="62" t="s">
        <v>459</v>
      </c>
      <c r="L1269" s="62" t="s">
        <v>2421</v>
      </c>
      <c r="M1269" s="66" t="s">
        <v>1971</v>
      </c>
    </row>
    <row r="1270" spans="1:13" x14ac:dyDescent="0.3">
      <c r="A1270" s="61" t="s">
        <v>2173</v>
      </c>
      <c r="B1270" s="62" t="s">
        <v>1295</v>
      </c>
      <c r="C1270" s="62" t="s">
        <v>1296</v>
      </c>
      <c r="D1270" s="63">
        <v>45292</v>
      </c>
      <c r="E1270" s="63">
        <v>46996</v>
      </c>
      <c r="F1270" s="62" t="s">
        <v>287</v>
      </c>
      <c r="G1270" s="62" t="s">
        <v>1298</v>
      </c>
      <c r="H1270" s="62" t="s">
        <v>1297</v>
      </c>
      <c r="I1270" s="62" t="s">
        <v>1518</v>
      </c>
      <c r="J1270" s="62" t="s">
        <v>1230</v>
      </c>
      <c r="K1270" s="62" t="s">
        <v>459</v>
      </c>
      <c r="L1270" s="62" t="s">
        <v>2421</v>
      </c>
      <c r="M1270" s="66" t="s">
        <v>1971</v>
      </c>
    </row>
    <row r="1271" spans="1:13" x14ac:dyDescent="0.3">
      <c r="A1271" s="61" t="s">
        <v>2173</v>
      </c>
      <c r="B1271" s="62" t="s">
        <v>1295</v>
      </c>
      <c r="C1271" s="62" t="s">
        <v>1296</v>
      </c>
      <c r="D1271" s="63">
        <v>45292</v>
      </c>
      <c r="E1271" s="63">
        <v>46996</v>
      </c>
      <c r="F1271" s="62" t="s">
        <v>287</v>
      </c>
      <c r="G1271" s="62" t="s">
        <v>1199</v>
      </c>
      <c r="H1271" s="62" t="s">
        <v>1297</v>
      </c>
      <c r="I1271" s="62" t="s">
        <v>1518</v>
      </c>
      <c r="J1271" s="62" t="s">
        <v>1230</v>
      </c>
      <c r="K1271" s="62" t="s">
        <v>459</v>
      </c>
      <c r="L1271" s="62" t="s">
        <v>2421</v>
      </c>
      <c r="M1271" s="66" t="s">
        <v>1971</v>
      </c>
    </row>
    <row r="1272" spans="1:13" x14ac:dyDescent="0.3">
      <c r="A1272" s="61" t="s">
        <v>2174</v>
      </c>
      <c r="B1272" s="62" t="s">
        <v>1299</v>
      </c>
      <c r="C1272" s="62" t="s">
        <v>1300</v>
      </c>
      <c r="D1272" s="63">
        <v>45505</v>
      </c>
      <c r="E1272" s="63">
        <v>46234</v>
      </c>
      <c r="F1272" s="62" t="s">
        <v>1959</v>
      </c>
      <c r="G1272" s="62" t="s">
        <v>466</v>
      </c>
      <c r="H1272" s="62" t="s">
        <v>1071</v>
      </c>
      <c r="I1272" s="62" t="s">
        <v>825</v>
      </c>
      <c r="J1272" s="62" t="s">
        <v>378</v>
      </c>
      <c r="K1272" s="62" t="s">
        <v>371</v>
      </c>
      <c r="L1272" s="62" t="s">
        <v>2421</v>
      </c>
      <c r="M1272" s="66" t="s">
        <v>1972</v>
      </c>
    </row>
    <row r="1273" spans="1:13" x14ac:dyDescent="0.3">
      <c r="A1273" s="61" t="s">
        <v>2174</v>
      </c>
      <c r="B1273" s="62" t="s">
        <v>1299</v>
      </c>
      <c r="C1273" s="62" t="s">
        <v>1300</v>
      </c>
      <c r="D1273" s="63">
        <v>45505</v>
      </c>
      <c r="E1273" s="63">
        <v>46234</v>
      </c>
      <c r="F1273" s="62" t="s">
        <v>1959</v>
      </c>
      <c r="G1273" s="62" t="s">
        <v>679</v>
      </c>
      <c r="H1273" s="62" t="s">
        <v>1071</v>
      </c>
      <c r="I1273" s="62" t="s">
        <v>825</v>
      </c>
      <c r="J1273" s="62" t="s">
        <v>378</v>
      </c>
      <c r="K1273" s="62" t="s">
        <v>371</v>
      </c>
      <c r="L1273" s="62" t="s">
        <v>2421</v>
      </c>
      <c r="M1273" s="66" t="s">
        <v>1972</v>
      </c>
    </row>
    <row r="1274" spans="1:13" x14ac:dyDescent="0.3">
      <c r="A1274" s="61" t="s">
        <v>2174</v>
      </c>
      <c r="B1274" s="62" t="s">
        <v>1299</v>
      </c>
      <c r="C1274" s="62" t="s">
        <v>1300</v>
      </c>
      <c r="D1274" s="63">
        <v>45505</v>
      </c>
      <c r="E1274" s="63">
        <v>46234</v>
      </c>
      <c r="F1274" s="62" t="s">
        <v>1959</v>
      </c>
      <c r="G1274" s="62" t="s">
        <v>668</v>
      </c>
      <c r="H1274" s="62" t="s">
        <v>1071</v>
      </c>
      <c r="I1274" s="62" t="s">
        <v>825</v>
      </c>
      <c r="J1274" s="62" t="s">
        <v>378</v>
      </c>
      <c r="K1274" s="62" t="s">
        <v>371</v>
      </c>
      <c r="L1274" s="62" t="s">
        <v>2421</v>
      </c>
      <c r="M1274" s="66" t="s">
        <v>1972</v>
      </c>
    </row>
    <row r="1275" spans="1:13" x14ac:dyDescent="0.3">
      <c r="A1275" s="61" t="s">
        <v>2174</v>
      </c>
      <c r="B1275" s="62" t="s">
        <v>1299</v>
      </c>
      <c r="C1275" s="62" t="s">
        <v>1300</v>
      </c>
      <c r="D1275" s="63">
        <v>45505</v>
      </c>
      <c r="E1275" s="63">
        <v>46234</v>
      </c>
      <c r="F1275" s="62" t="s">
        <v>1959</v>
      </c>
      <c r="G1275" s="62" t="s">
        <v>475</v>
      </c>
      <c r="H1275" s="62" t="s">
        <v>1071</v>
      </c>
      <c r="I1275" s="62" t="s">
        <v>825</v>
      </c>
      <c r="J1275" s="62" t="s">
        <v>378</v>
      </c>
      <c r="K1275" s="62" t="s">
        <v>371</v>
      </c>
      <c r="L1275" s="62" t="s">
        <v>2421</v>
      </c>
      <c r="M1275" s="66" t="s">
        <v>1972</v>
      </c>
    </row>
    <row r="1276" spans="1:13" x14ac:dyDescent="0.3">
      <c r="A1276" s="61" t="s">
        <v>2174</v>
      </c>
      <c r="B1276" s="62" t="s">
        <v>1299</v>
      </c>
      <c r="C1276" s="62" t="s">
        <v>1300</v>
      </c>
      <c r="D1276" s="63">
        <v>45505</v>
      </c>
      <c r="E1276" s="63">
        <v>46234</v>
      </c>
      <c r="F1276" s="62" t="s">
        <v>1959</v>
      </c>
      <c r="G1276" s="62" t="s">
        <v>808</v>
      </c>
      <c r="H1276" s="62" t="s">
        <v>1071</v>
      </c>
      <c r="I1276" s="62" t="s">
        <v>825</v>
      </c>
      <c r="J1276" s="62" t="s">
        <v>378</v>
      </c>
      <c r="K1276" s="62" t="s">
        <v>371</v>
      </c>
      <c r="L1276" s="62" t="s">
        <v>2421</v>
      </c>
      <c r="M1276" s="66" t="s">
        <v>1972</v>
      </c>
    </row>
    <row r="1277" spans="1:13" x14ac:dyDescent="0.3">
      <c r="A1277" s="61" t="s">
        <v>2174</v>
      </c>
      <c r="B1277" s="62" t="s">
        <v>1299</v>
      </c>
      <c r="C1277" s="62" t="s">
        <v>1300</v>
      </c>
      <c r="D1277" s="63">
        <v>45505</v>
      </c>
      <c r="E1277" s="63">
        <v>46234</v>
      </c>
      <c r="F1277" s="62" t="s">
        <v>287</v>
      </c>
      <c r="G1277" s="62" t="s">
        <v>770</v>
      </c>
      <c r="H1277" s="62" t="s">
        <v>1071</v>
      </c>
      <c r="I1277" s="62" t="s">
        <v>825</v>
      </c>
      <c r="J1277" s="62" t="s">
        <v>378</v>
      </c>
      <c r="K1277" s="62" t="s">
        <v>371</v>
      </c>
      <c r="L1277" s="62" t="s">
        <v>2421</v>
      </c>
      <c r="M1277" s="66" t="s">
        <v>1972</v>
      </c>
    </row>
    <row r="1278" spans="1:13" x14ac:dyDescent="0.3">
      <c r="A1278" s="61" t="s">
        <v>2174</v>
      </c>
      <c r="B1278" s="62" t="s">
        <v>1299</v>
      </c>
      <c r="C1278" s="62" t="s">
        <v>1300</v>
      </c>
      <c r="D1278" s="63">
        <v>45505</v>
      </c>
      <c r="E1278" s="63">
        <v>46234</v>
      </c>
      <c r="F1278" s="62" t="s">
        <v>287</v>
      </c>
      <c r="G1278" s="62" t="s">
        <v>394</v>
      </c>
      <c r="H1278" s="62" t="s">
        <v>1071</v>
      </c>
      <c r="I1278" s="62" t="s">
        <v>825</v>
      </c>
      <c r="J1278" s="62" t="s">
        <v>378</v>
      </c>
      <c r="K1278" s="62" t="s">
        <v>371</v>
      </c>
      <c r="L1278" s="62" t="s">
        <v>2421</v>
      </c>
      <c r="M1278" s="66" t="s">
        <v>1972</v>
      </c>
    </row>
    <row r="1279" spans="1:13" x14ac:dyDescent="0.3">
      <c r="A1279" s="61" t="s">
        <v>2174</v>
      </c>
      <c r="B1279" s="62" t="s">
        <v>1299</v>
      </c>
      <c r="C1279" s="62" t="s">
        <v>1300</v>
      </c>
      <c r="D1279" s="63">
        <v>45505</v>
      </c>
      <c r="E1279" s="63">
        <v>46234</v>
      </c>
      <c r="F1279" s="62" t="s">
        <v>287</v>
      </c>
      <c r="G1279" s="62" t="s">
        <v>395</v>
      </c>
      <c r="H1279" s="62" t="s">
        <v>1071</v>
      </c>
      <c r="I1279" s="62" t="s">
        <v>825</v>
      </c>
      <c r="J1279" s="62" t="s">
        <v>378</v>
      </c>
      <c r="K1279" s="62" t="s">
        <v>371</v>
      </c>
      <c r="L1279" s="62" t="s">
        <v>2421</v>
      </c>
      <c r="M1279" s="66" t="s">
        <v>1972</v>
      </c>
    </row>
    <row r="1280" spans="1:13" x14ac:dyDescent="0.3">
      <c r="A1280" s="61" t="s">
        <v>2174</v>
      </c>
      <c r="B1280" s="62" t="s">
        <v>1299</v>
      </c>
      <c r="C1280" s="62" t="s">
        <v>1300</v>
      </c>
      <c r="D1280" s="63">
        <v>45505</v>
      </c>
      <c r="E1280" s="63">
        <v>46234</v>
      </c>
      <c r="F1280" s="62" t="s">
        <v>287</v>
      </c>
      <c r="G1280" s="62" t="s">
        <v>423</v>
      </c>
      <c r="H1280" s="62" t="s">
        <v>1071</v>
      </c>
      <c r="I1280" s="62" t="s">
        <v>825</v>
      </c>
      <c r="J1280" s="62" t="s">
        <v>378</v>
      </c>
      <c r="K1280" s="62" t="s">
        <v>371</v>
      </c>
      <c r="L1280" s="62" t="s">
        <v>2421</v>
      </c>
      <c r="M1280" s="66" t="s">
        <v>1972</v>
      </c>
    </row>
    <row r="1281" spans="1:13" x14ac:dyDescent="0.3">
      <c r="A1281" s="61" t="s">
        <v>2174</v>
      </c>
      <c r="B1281" s="62" t="s">
        <v>1299</v>
      </c>
      <c r="C1281" s="62" t="s">
        <v>1300</v>
      </c>
      <c r="D1281" s="63">
        <v>45505</v>
      </c>
      <c r="E1281" s="63">
        <v>46234</v>
      </c>
      <c r="F1281" s="62" t="s">
        <v>286</v>
      </c>
      <c r="G1281" s="62" t="s">
        <v>474</v>
      </c>
      <c r="H1281" s="62" t="s">
        <v>1071</v>
      </c>
      <c r="I1281" s="62" t="s">
        <v>825</v>
      </c>
      <c r="J1281" s="62" t="s">
        <v>378</v>
      </c>
      <c r="K1281" s="62" t="s">
        <v>371</v>
      </c>
      <c r="L1281" s="62" t="s">
        <v>2421</v>
      </c>
      <c r="M1281" s="66" t="s">
        <v>1972</v>
      </c>
    </row>
    <row r="1282" spans="1:13" x14ac:dyDescent="0.3">
      <c r="A1282" s="61" t="s">
        <v>2175</v>
      </c>
      <c r="B1282" s="62" t="s">
        <v>1301</v>
      </c>
      <c r="C1282" s="62" t="s">
        <v>1302</v>
      </c>
      <c r="D1282" s="63">
        <v>45536</v>
      </c>
      <c r="E1282" s="63">
        <v>47361</v>
      </c>
      <c r="F1282" s="62" t="s">
        <v>1987</v>
      </c>
      <c r="G1282" s="62" t="s">
        <v>1108</v>
      </c>
      <c r="H1282" s="62" t="s">
        <v>1303</v>
      </c>
      <c r="I1282" s="62" t="s">
        <v>1518</v>
      </c>
      <c r="J1282" s="62" t="s">
        <v>969</v>
      </c>
      <c r="K1282" s="62" t="s">
        <v>744</v>
      </c>
      <c r="L1282" s="62" t="s">
        <v>2421</v>
      </c>
      <c r="M1282" s="66" t="s">
        <v>1971</v>
      </c>
    </row>
    <row r="1283" spans="1:13" x14ac:dyDescent="0.3">
      <c r="A1283" s="61" t="s">
        <v>2175</v>
      </c>
      <c r="B1283" s="62" t="s">
        <v>1301</v>
      </c>
      <c r="C1283" s="62" t="s">
        <v>1302</v>
      </c>
      <c r="D1283" s="63">
        <v>45536</v>
      </c>
      <c r="E1283" s="63">
        <v>47361</v>
      </c>
      <c r="F1283" s="62" t="s">
        <v>1987</v>
      </c>
      <c r="G1283" s="62" t="s">
        <v>962</v>
      </c>
      <c r="H1283" s="62" t="s">
        <v>1303</v>
      </c>
      <c r="I1283" s="62" t="s">
        <v>1518</v>
      </c>
      <c r="J1283" s="62" t="s">
        <v>969</v>
      </c>
      <c r="K1283" s="62" t="s">
        <v>744</v>
      </c>
      <c r="L1283" s="62" t="s">
        <v>2421</v>
      </c>
      <c r="M1283" s="66" t="s">
        <v>1971</v>
      </c>
    </row>
    <row r="1284" spans="1:13" x14ac:dyDescent="0.3">
      <c r="A1284" s="61" t="s">
        <v>2175</v>
      </c>
      <c r="B1284" s="62" t="s">
        <v>1301</v>
      </c>
      <c r="C1284" s="62" t="s">
        <v>1302</v>
      </c>
      <c r="D1284" s="63">
        <v>45536</v>
      </c>
      <c r="E1284" s="63">
        <v>47361</v>
      </c>
      <c r="F1284" s="62" t="s">
        <v>348</v>
      </c>
      <c r="G1284" s="62" t="s">
        <v>348</v>
      </c>
      <c r="H1284" s="62" t="s">
        <v>1303</v>
      </c>
      <c r="I1284" s="62" t="s">
        <v>1518</v>
      </c>
      <c r="J1284" s="62" t="s">
        <v>969</v>
      </c>
      <c r="K1284" s="62" t="s">
        <v>744</v>
      </c>
      <c r="L1284" s="62" t="s">
        <v>2421</v>
      </c>
      <c r="M1284" s="66" t="s">
        <v>1971</v>
      </c>
    </row>
    <row r="1285" spans="1:13" x14ac:dyDescent="0.3">
      <c r="A1285" s="61" t="s">
        <v>2175</v>
      </c>
      <c r="B1285" s="62" t="s">
        <v>1301</v>
      </c>
      <c r="C1285" s="62" t="s">
        <v>1302</v>
      </c>
      <c r="D1285" s="63">
        <v>45536</v>
      </c>
      <c r="E1285" s="63">
        <v>47361</v>
      </c>
      <c r="F1285" s="62" t="s">
        <v>1987</v>
      </c>
      <c r="G1285" s="62" t="s">
        <v>1108</v>
      </c>
      <c r="H1285" s="62" t="s">
        <v>2481</v>
      </c>
      <c r="I1285" s="62" t="s">
        <v>1518</v>
      </c>
      <c r="J1285" s="62" t="s">
        <v>969</v>
      </c>
      <c r="K1285" s="62" t="s">
        <v>744</v>
      </c>
      <c r="L1285" s="62" t="s">
        <v>2421</v>
      </c>
      <c r="M1285" s="66" t="s">
        <v>1971</v>
      </c>
    </row>
    <row r="1286" spans="1:13" x14ac:dyDescent="0.3">
      <c r="A1286" s="61" t="s">
        <v>2175</v>
      </c>
      <c r="B1286" s="62" t="s">
        <v>1301</v>
      </c>
      <c r="C1286" s="62" t="s">
        <v>1302</v>
      </c>
      <c r="D1286" s="63">
        <v>45536</v>
      </c>
      <c r="E1286" s="63">
        <v>47361</v>
      </c>
      <c r="F1286" s="62" t="s">
        <v>1987</v>
      </c>
      <c r="G1286" s="62" t="s">
        <v>962</v>
      </c>
      <c r="H1286" s="62" t="s">
        <v>2481</v>
      </c>
      <c r="I1286" s="62" t="s">
        <v>1518</v>
      </c>
      <c r="J1286" s="62" t="s">
        <v>969</v>
      </c>
      <c r="K1286" s="62" t="s">
        <v>744</v>
      </c>
      <c r="L1286" s="62" t="s">
        <v>2421</v>
      </c>
      <c r="M1286" s="66" t="s">
        <v>1971</v>
      </c>
    </row>
    <row r="1287" spans="1:13" x14ac:dyDescent="0.3">
      <c r="A1287" s="61" t="s">
        <v>2175</v>
      </c>
      <c r="B1287" s="62" t="s">
        <v>1301</v>
      </c>
      <c r="C1287" s="62" t="s">
        <v>1302</v>
      </c>
      <c r="D1287" s="63">
        <v>45536</v>
      </c>
      <c r="E1287" s="63">
        <v>47361</v>
      </c>
      <c r="F1287" s="62" t="s">
        <v>348</v>
      </c>
      <c r="G1287" s="62" t="s">
        <v>348</v>
      </c>
      <c r="H1287" s="62" t="s">
        <v>2481</v>
      </c>
      <c r="I1287" s="62" t="s">
        <v>1518</v>
      </c>
      <c r="J1287" s="62" t="s">
        <v>969</v>
      </c>
      <c r="K1287" s="62" t="s">
        <v>744</v>
      </c>
      <c r="L1287" s="62" t="s">
        <v>2421</v>
      </c>
      <c r="M1287" s="66" t="s">
        <v>1971</v>
      </c>
    </row>
    <row r="1288" spans="1:13" x14ac:dyDescent="0.3">
      <c r="A1288" s="61" t="s">
        <v>2176</v>
      </c>
      <c r="B1288" s="62" t="s">
        <v>1304</v>
      </c>
      <c r="C1288" s="62" t="s">
        <v>1305</v>
      </c>
      <c r="D1288" s="63">
        <v>45245</v>
      </c>
      <c r="E1288" s="63">
        <v>46460</v>
      </c>
      <c r="F1288" s="62" t="s">
        <v>1934</v>
      </c>
      <c r="G1288" s="62" t="s">
        <v>304</v>
      </c>
      <c r="H1288" s="62" t="s">
        <v>490</v>
      </c>
      <c r="I1288" s="62" t="s">
        <v>825</v>
      </c>
      <c r="J1288" s="62" t="s">
        <v>314</v>
      </c>
      <c r="K1288" s="62" t="s">
        <v>315</v>
      </c>
      <c r="L1288" s="62" t="s">
        <v>2421</v>
      </c>
      <c r="M1288" s="66" t="s">
        <v>1969</v>
      </c>
    </row>
    <row r="1289" spans="1:13" x14ac:dyDescent="0.3">
      <c r="A1289" s="61" t="s">
        <v>2176</v>
      </c>
      <c r="B1289" s="62" t="s">
        <v>1304</v>
      </c>
      <c r="C1289" s="62" t="s">
        <v>1305</v>
      </c>
      <c r="D1289" s="63">
        <v>45245</v>
      </c>
      <c r="E1289" s="63">
        <v>46460</v>
      </c>
      <c r="F1289" s="62" t="s">
        <v>1958</v>
      </c>
      <c r="G1289" s="62" t="s">
        <v>304</v>
      </c>
      <c r="H1289" s="62" t="s">
        <v>490</v>
      </c>
      <c r="I1289" s="62" t="s">
        <v>825</v>
      </c>
      <c r="J1289" s="62" t="s">
        <v>314</v>
      </c>
      <c r="K1289" s="62" t="s">
        <v>315</v>
      </c>
      <c r="L1289" s="62" t="s">
        <v>2421</v>
      </c>
      <c r="M1289" s="66" t="s">
        <v>1969</v>
      </c>
    </row>
    <row r="1290" spans="1:13" x14ac:dyDescent="0.3">
      <c r="A1290" s="61" t="s">
        <v>2176</v>
      </c>
      <c r="B1290" s="62" t="s">
        <v>1304</v>
      </c>
      <c r="C1290" s="62" t="s">
        <v>1305</v>
      </c>
      <c r="D1290" s="63">
        <v>45245</v>
      </c>
      <c r="E1290" s="63">
        <v>46460</v>
      </c>
      <c r="F1290" s="62" t="s">
        <v>1938</v>
      </c>
      <c r="G1290" s="62" t="s">
        <v>304</v>
      </c>
      <c r="H1290" s="62" t="s">
        <v>490</v>
      </c>
      <c r="I1290" s="62" t="s">
        <v>825</v>
      </c>
      <c r="J1290" s="62" t="s">
        <v>314</v>
      </c>
      <c r="K1290" s="62" t="s">
        <v>315</v>
      </c>
      <c r="L1290" s="62" t="s">
        <v>2421</v>
      </c>
      <c r="M1290" s="66" t="s">
        <v>1969</v>
      </c>
    </row>
    <row r="1291" spans="1:13" x14ac:dyDescent="0.3">
      <c r="A1291" s="61" t="s">
        <v>2176</v>
      </c>
      <c r="B1291" s="62" t="s">
        <v>1304</v>
      </c>
      <c r="C1291" s="62" t="s">
        <v>1305</v>
      </c>
      <c r="D1291" s="63">
        <v>45245</v>
      </c>
      <c r="E1291" s="63">
        <v>46460</v>
      </c>
      <c r="F1291" s="62" t="s">
        <v>1934</v>
      </c>
      <c r="G1291" s="62" t="s">
        <v>304</v>
      </c>
      <c r="H1291" s="62" t="s">
        <v>1306</v>
      </c>
      <c r="I1291" s="62" t="s">
        <v>825</v>
      </c>
      <c r="J1291" s="62" t="s">
        <v>314</v>
      </c>
      <c r="K1291" s="62" t="s">
        <v>315</v>
      </c>
      <c r="L1291" s="62" t="s">
        <v>2421</v>
      </c>
      <c r="M1291" s="66" t="s">
        <v>1969</v>
      </c>
    </row>
    <row r="1292" spans="1:13" x14ac:dyDescent="0.3">
      <c r="A1292" s="61" t="s">
        <v>2176</v>
      </c>
      <c r="B1292" s="62" t="s">
        <v>1304</v>
      </c>
      <c r="C1292" s="62" t="s">
        <v>1305</v>
      </c>
      <c r="D1292" s="63">
        <v>45245</v>
      </c>
      <c r="E1292" s="63">
        <v>46460</v>
      </c>
      <c r="F1292" s="62" t="s">
        <v>1958</v>
      </c>
      <c r="G1292" s="62" t="s">
        <v>304</v>
      </c>
      <c r="H1292" s="62" t="s">
        <v>1306</v>
      </c>
      <c r="I1292" s="62" t="s">
        <v>825</v>
      </c>
      <c r="J1292" s="62" t="s">
        <v>314</v>
      </c>
      <c r="K1292" s="62" t="s">
        <v>315</v>
      </c>
      <c r="L1292" s="62" t="s">
        <v>2421</v>
      </c>
      <c r="M1292" s="66" t="s">
        <v>1969</v>
      </c>
    </row>
    <row r="1293" spans="1:13" x14ac:dyDescent="0.3">
      <c r="A1293" s="61" t="s">
        <v>2176</v>
      </c>
      <c r="B1293" s="62" t="s">
        <v>1304</v>
      </c>
      <c r="C1293" s="62" t="s">
        <v>1305</v>
      </c>
      <c r="D1293" s="63">
        <v>45245</v>
      </c>
      <c r="E1293" s="63">
        <v>46460</v>
      </c>
      <c r="F1293" s="62" t="s">
        <v>1938</v>
      </c>
      <c r="G1293" s="62" t="s">
        <v>304</v>
      </c>
      <c r="H1293" s="62" t="s">
        <v>1306</v>
      </c>
      <c r="I1293" s="62" t="s">
        <v>825</v>
      </c>
      <c r="J1293" s="62" t="s">
        <v>314</v>
      </c>
      <c r="K1293" s="62" t="s">
        <v>315</v>
      </c>
      <c r="L1293" s="62" t="s">
        <v>2421</v>
      </c>
      <c r="M1293" s="66" t="s">
        <v>1969</v>
      </c>
    </row>
    <row r="1294" spans="1:13" x14ac:dyDescent="0.3">
      <c r="A1294" s="61" t="s">
        <v>2177</v>
      </c>
      <c r="B1294" s="62" t="s">
        <v>1307</v>
      </c>
      <c r="C1294" s="62" t="s">
        <v>1308</v>
      </c>
      <c r="D1294" s="63">
        <v>45292</v>
      </c>
      <c r="E1294" s="63">
        <v>46387</v>
      </c>
      <c r="F1294" s="62" t="s">
        <v>1921</v>
      </c>
      <c r="G1294" s="62" t="s">
        <v>304</v>
      </c>
      <c r="H1294" s="62" t="s">
        <v>1309</v>
      </c>
      <c r="I1294" s="62" t="s">
        <v>424</v>
      </c>
      <c r="J1294" s="62" t="s">
        <v>1014</v>
      </c>
      <c r="K1294" s="62" t="s">
        <v>365</v>
      </c>
      <c r="L1294" s="62" t="s">
        <v>2421</v>
      </c>
      <c r="M1294" s="66" t="s">
        <v>1968</v>
      </c>
    </row>
    <row r="1295" spans="1:13" x14ac:dyDescent="0.3">
      <c r="A1295" s="61" t="s">
        <v>2177</v>
      </c>
      <c r="B1295" s="62" t="s">
        <v>1307</v>
      </c>
      <c r="C1295" s="62" t="s">
        <v>1308</v>
      </c>
      <c r="D1295" s="63">
        <v>45292</v>
      </c>
      <c r="E1295" s="63">
        <v>46387</v>
      </c>
      <c r="F1295" s="62" t="s">
        <v>1940</v>
      </c>
      <c r="G1295" s="62" t="s">
        <v>304</v>
      </c>
      <c r="H1295" s="62" t="s">
        <v>1309</v>
      </c>
      <c r="I1295" s="62" t="s">
        <v>424</v>
      </c>
      <c r="J1295" s="62" t="s">
        <v>1014</v>
      </c>
      <c r="K1295" s="62" t="s">
        <v>365</v>
      </c>
      <c r="L1295" s="62" t="s">
        <v>2421</v>
      </c>
      <c r="M1295" s="66" t="s">
        <v>1968</v>
      </c>
    </row>
    <row r="1296" spans="1:13" x14ac:dyDescent="0.3">
      <c r="A1296" s="61" t="s">
        <v>2177</v>
      </c>
      <c r="B1296" s="62" t="s">
        <v>1307</v>
      </c>
      <c r="C1296" s="62" t="s">
        <v>1308</v>
      </c>
      <c r="D1296" s="63">
        <v>45292</v>
      </c>
      <c r="E1296" s="63">
        <v>46387</v>
      </c>
      <c r="F1296" s="62" t="s">
        <v>1958</v>
      </c>
      <c r="G1296" s="62" t="s">
        <v>304</v>
      </c>
      <c r="H1296" s="62" t="s">
        <v>1309</v>
      </c>
      <c r="I1296" s="62" t="s">
        <v>424</v>
      </c>
      <c r="J1296" s="62" t="s">
        <v>1014</v>
      </c>
      <c r="K1296" s="62" t="s">
        <v>365</v>
      </c>
      <c r="L1296" s="62" t="s">
        <v>2421</v>
      </c>
      <c r="M1296" s="66" t="s">
        <v>1968</v>
      </c>
    </row>
    <row r="1297" spans="1:13" x14ac:dyDescent="0.3">
      <c r="A1297" s="61" t="s">
        <v>2178</v>
      </c>
      <c r="B1297" s="62" t="s">
        <v>1310</v>
      </c>
      <c r="C1297" s="62" t="s">
        <v>1311</v>
      </c>
      <c r="D1297" s="63">
        <v>45456</v>
      </c>
      <c r="E1297" s="63">
        <v>46186</v>
      </c>
      <c r="F1297" s="62" t="s">
        <v>1936</v>
      </c>
      <c r="G1297" s="62" t="s">
        <v>1312</v>
      </c>
      <c r="H1297" s="62" t="s">
        <v>468</v>
      </c>
      <c r="I1297" s="62" t="s">
        <v>825</v>
      </c>
      <c r="J1297" s="62" t="s">
        <v>639</v>
      </c>
      <c r="K1297" s="62" t="s">
        <v>371</v>
      </c>
      <c r="L1297" s="62" t="s">
        <v>2421</v>
      </c>
      <c r="M1297" s="66" t="s">
        <v>1970</v>
      </c>
    </row>
    <row r="1298" spans="1:13" x14ac:dyDescent="0.3">
      <c r="A1298" s="61" t="s">
        <v>2178</v>
      </c>
      <c r="B1298" s="62" t="s">
        <v>1310</v>
      </c>
      <c r="C1298" s="62" t="s">
        <v>1311</v>
      </c>
      <c r="D1298" s="63">
        <v>45456</v>
      </c>
      <c r="E1298" s="63">
        <v>46186</v>
      </c>
      <c r="F1298" s="62" t="s">
        <v>1936</v>
      </c>
      <c r="G1298" s="62" t="s">
        <v>730</v>
      </c>
      <c r="H1298" s="62" t="s">
        <v>468</v>
      </c>
      <c r="I1298" s="62" t="s">
        <v>825</v>
      </c>
      <c r="J1298" s="62" t="s">
        <v>639</v>
      </c>
      <c r="K1298" s="62" t="s">
        <v>371</v>
      </c>
      <c r="L1298" s="62" t="s">
        <v>2421</v>
      </c>
      <c r="M1298" s="66" t="s">
        <v>1970</v>
      </c>
    </row>
    <row r="1299" spans="1:13" x14ac:dyDescent="0.3">
      <c r="A1299" s="61" t="s">
        <v>2178</v>
      </c>
      <c r="B1299" s="62" t="s">
        <v>1310</v>
      </c>
      <c r="C1299" s="62" t="s">
        <v>1311</v>
      </c>
      <c r="D1299" s="63">
        <v>45456</v>
      </c>
      <c r="E1299" s="63">
        <v>46186</v>
      </c>
      <c r="F1299" s="62" t="s">
        <v>1936</v>
      </c>
      <c r="G1299" s="62" t="s">
        <v>749</v>
      </c>
      <c r="H1299" s="62" t="s">
        <v>468</v>
      </c>
      <c r="I1299" s="62" t="s">
        <v>825</v>
      </c>
      <c r="J1299" s="62" t="s">
        <v>639</v>
      </c>
      <c r="K1299" s="62" t="s">
        <v>371</v>
      </c>
      <c r="L1299" s="62" t="s">
        <v>2421</v>
      </c>
      <c r="M1299" s="66" t="s">
        <v>1970</v>
      </c>
    </row>
    <row r="1300" spans="1:13" x14ac:dyDescent="0.3">
      <c r="A1300" s="61" t="s">
        <v>2178</v>
      </c>
      <c r="B1300" s="62" t="s">
        <v>1310</v>
      </c>
      <c r="C1300" s="62" t="s">
        <v>1311</v>
      </c>
      <c r="D1300" s="63">
        <v>45456</v>
      </c>
      <c r="E1300" s="63">
        <v>46186</v>
      </c>
      <c r="F1300" s="62" t="s">
        <v>1936</v>
      </c>
      <c r="G1300" s="62" t="s">
        <v>865</v>
      </c>
      <c r="H1300" s="62" t="s">
        <v>468</v>
      </c>
      <c r="I1300" s="62" t="s">
        <v>825</v>
      </c>
      <c r="J1300" s="62" t="s">
        <v>639</v>
      </c>
      <c r="K1300" s="62" t="s">
        <v>371</v>
      </c>
      <c r="L1300" s="62" t="s">
        <v>2421</v>
      </c>
      <c r="M1300" s="66" t="s">
        <v>1970</v>
      </c>
    </row>
    <row r="1301" spans="1:13" x14ac:dyDescent="0.3">
      <c r="A1301" s="61" t="s">
        <v>2178</v>
      </c>
      <c r="B1301" s="62" t="s">
        <v>1310</v>
      </c>
      <c r="C1301" s="62" t="s">
        <v>1311</v>
      </c>
      <c r="D1301" s="63">
        <v>45456</v>
      </c>
      <c r="E1301" s="63">
        <v>46186</v>
      </c>
      <c r="F1301" s="62" t="s">
        <v>1936</v>
      </c>
      <c r="G1301" s="62" t="s">
        <v>1313</v>
      </c>
      <c r="H1301" s="62" t="s">
        <v>468</v>
      </c>
      <c r="I1301" s="62" t="s">
        <v>825</v>
      </c>
      <c r="J1301" s="62" t="s">
        <v>639</v>
      </c>
      <c r="K1301" s="62" t="s">
        <v>371</v>
      </c>
      <c r="L1301" s="62" t="s">
        <v>2421</v>
      </c>
      <c r="M1301" s="66" t="s">
        <v>1970</v>
      </c>
    </row>
    <row r="1302" spans="1:13" x14ac:dyDescent="0.3">
      <c r="A1302" s="61" t="s">
        <v>2178</v>
      </c>
      <c r="B1302" s="62" t="s">
        <v>1310</v>
      </c>
      <c r="C1302" s="62" t="s">
        <v>1311</v>
      </c>
      <c r="D1302" s="63">
        <v>45456</v>
      </c>
      <c r="E1302" s="63">
        <v>46186</v>
      </c>
      <c r="F1302" s="62" t="s">
        <v>1936</v>
      </c>
      <c r="G1302" s="62" t="s">
        <v>709</v>
      </c>
      <c r="H1302" s="62" t="s">
        <v>468</v>
      </c>
      <c r="I1302" s="62" t="s">
        <v>825</v>
      </c>
      <c r="J1302" s="62" t="s">
        <v>639</v>
      </c>
      <c r="K1302" s="62" t="s">
        <v>371</v>
      </c>
      <c r="L1302" s="62" t="s">
        <v>2421</v>
      </c>
      <c r="M1302" s="66" t="s">
        <v>1970</v>
      </c>
    </row>
    <row r="1303" spans="1:13" x14ac:dyDescent="0.3">
      <c r="A1303" s="61" t="s">
        <v>2178</v>
      </c>
      <c r="B1303" s="62" t="s">
        <v>1310</v>
      </c>
      <c r="C1303" s="62" t="s">
        <v>1311</v>
      </c>
      <c r="D1303" s="63">
        <v>45456</v>
      </c>
      <c r="E1303" s="63">
        <v>46186</v>
      </c>
      <c r="F1303" s="62" t="s">
        <v>1936</v>
      </c>
      <c r="G1303" s="62" t="s">
        <v>745</v>
      </c>
      <c r="H1303" s="62" t="s">
        <v>468</v>
      </c>
      <c r="I1303" s="62" t="s">
        <v>825</v>
      </c>
      <c r="J1303" s="62" t="s">
        <v>639</v>
      </c>
      <c r="K1303" s="62" t="s">
        <v>371</v>
      </c>
      <c r="L1303" s="62" t="s">
        <v>2421</v>
      </c>
      <c r="M1303" s="66" t="s">
        <v>1970</v>
      </c>
    </row>
    <row r="1304" spans="1:13" x14ac:dyDescent="0.3">
      <c r="A1304" s="61" t="s">
        <v>2178</v>
      </c>
      <c r="B1304" s="62" t="s">
        <v>1310</v>
      </c>
      <c r="C1304" s="62" t="s">
        <v>1311</v>
      </c>
      <c r="D1304" s="63">
        <v>45456</v>
      </c>
      <c r="E1304" s="63">
        <v>46186</v>
      </c>
      <c r="F1304" s="62" t="s">
        <v>1936</v>
      </c>
      <c r="G1304" s="62" t="s">
        <v>602</v>
      </c>
      <c r="H1304" s="62" t="s">
        <v>468</v>
      </c>
      <c r="I1304" s="62" t="s">
        <v>825</v>
      </c>
      <c r="J1304" s="62" t="s">
        <v>639</v>
      </c>
      <c r="K1304" s="62" t="s">
        <v>371</v>
      </c>
      <c r="L1304" s="62" t="s">
        <v>2421</v>
      </c>
      <c r="M1304" s="66" t="s">
        <v>1970</v>
      </c>
    </row>
    <row r="1305" spans="1:13" x14ac:dyDescent="0.3">
      <c r="A1305" s="61" t="s">
        <v>2178</v>
      </c>
      <c r="B1305" s="62" t="s">
        <v>1310</v>
      </c>
      <c r="C1305" s="62" t="s">
        <v>1311</v>
      </c>
      <c r="D1305" s="63">
        <v>45456</v>
      </c>
      <c r="E1305" s="63">
        <v>46186</v>
      </c>
      <c r="F1305" s="62" t="s">
        <v>1936</v>
      </c>
      <c r="G1305" s="62" t="s">
        <v>797</v>
      </c>
      <c r="H1305" s="62" t="s">
        <v>468</v>
      </c>
      <c r="I1305" s="62" t="s">
        <v>825</v>
      </c>
      <c r="J1305" s="62" t="s">
        <v>639</v>
      </c>
      <c r="K1305" s="62" t="s">
        <v>371</v>
      </c>
      <c r="L1305" s="62" t="s">
        <v>2421</v>
      </c>
      <c r="M1305" s="66" t="s">
        <v>1970</v>
      </c>
    </row>
    <row r="1306" spans="1:13" x14ac:dyDescent="0.3">
      <c r="A1306" s="61" t="s">
        <v>2178</v>
      </c>
      <c r="B1306" s="62" t="s">
        <v>1310</v>
      </c>
      <c r="C1306" s="62" t="s">
        <v>1311</v>
      </c>
      <c r="D1306" s="63">
        <v>45456</v>
      </c>
      <c r="E1306" s="63">
        <v>46186</v>
      </c>
      <c r="F1306" s="62" t="s">
        <v>1936</v>
      </c>
      <c r="G1306" s="62" t="s">
        <v>866</v>
      </c>
      <c r="H1306" s="62" t="s">
        <v>468</v>
      </c>
      <c r="I1306" s="62" t="s">
        <v>825</v>
      </c>
      <c r="J1306" s="62" t="s">
        <v>639</v>
      </c>
      <c r="K1306" s="62" t="s">
        <v>371</v>
      </c>
      <c r="L1306" s="62" t="s">
        <v>2421</v>
      </c>
      <c r="M1306" s="66" t="s">
        <v>1970</v>
      </c>
    </row>
    <row r="1307" spans="1:13" x14ac:dyDescent="0.3">
      <c r="A1307" s="61" t="s">
        <v>2178</v>
      </c>
      <c r="B1307" s="62" t="s">
        <v>1310</v>
      </c>
      <c r="C1307" s="62" t="s">
        <v>1311</v>
      </c>
      <c r="D1307" s="63">
        <v>45456</v>
      </c>
      <c r="E1307" s="63">
        <v>46186</v>
      </c>
      <c r="F1307" s="62" t="s">
        <v>1936</v>
      </c>
      <c r="G1307" s="62" t="s">
        <v>761</v>
      </c>
      <c r="H1307" s="62" t="s">
        <v>468</v>
      </c>
      <c r="I1307" s="62" t="s">
        <v>825</v>
      </c>
      <c r="J1307" s="62" t="s">
        <v>639</v>
      </c>
      <c r="K1307" s="62" t="s">
        <v>371</v>
      </c>
      <c r="L1307" s="62" t="s">
        <v>2421</v>
      </c>
      <c r="M1307" s="66" t="s">
        <v>1970</v>
      </c>
    </row>
    <row r="1308" spans="1:13" x14ac:dyDescent="0.3">
      <c r="A1308" s="61" t="s">
        <v>2178</v>
      </c>
      <c r="B1308" s="62" t="s">
        <v>1310</v>
      </c>
      <c r="C1308" s="62" t="s">
        <v>1311</v>
      </c>
      <c r="D1308" s="63">
        <v>45456</v>
      </c>
      <c r="E1308" s="63">
        <v>46186</v>
      </c>
      <c r="F1308" s="62" t="s">
        <v>1936</v>
      </c>
      <c r="G1308" s="62" t="s">
        <v>867</v>
      </c>
      <c r="H1308" s="62" t="s">
        <v>468</v>
      </c>
      <c r="I1308" s="62" t="s">
        <v>825</v>
      </c>
      <c r="J1308" s="62" t="s">
        <v>639</v>
      </c>
      <c r="K1308" s="62" t="s">
        <v>371</v>
      </c>
      <c r="L1308" s="62" t="s">
        <v>2421</v>
      </c>
      <c r="M1308" s="66" t="s">
        <v>1970</v>
      </c>
    </row>
    <row r="1309" spans="1:13" x14ac:dyDescent="0.3">
      <c r="A1309" s="61" t="s">
        <v>2178</v>
      </c>
      <c r="B1309" s="62" t="s">
        <v>1310</v>
      </c>
      <c r="C1309" s="62" t="s">
        <v>1311</v>
      </c>
      <c r="D1309" s="63">
        <v>45456</v>
      </c>
      <c r="E1309" s="63">
        <v>46186</v>
      </c>
      <c r="F1309" s="62" t="s">
        <v>1936</v>
      </c>
      <c r="G1309" s="62" t="s">
        <v>710</v>
      </c>
      <c r="H1309" s="62" t="s">
        <v>468</v>
      </c>
      <c r="I1309" s="62" t="s">
        <v>825</v>
      </c>
      <c r="J1309" s="62" t="s">
        <v>639</v>
      </c>
      <c r="K1309" s="62" t="s">
        <v>371</v>
      </c>
      <c r="L1309" s="62" t="s">
        <v>2421</v>
      </c>
      <c r="M1309" s="66" t="s">
        <v>1970</v>
      </c>
    </row>
    <row r="1310" spans="1:13" x14ac:dyDescent="0.3">
      <c r="A1310" s="61" t="s">
        <v>2178</v>
      </c>
      <c r="B1310" s="62" t="s">
        <v>1310</v>
      </c>
      <c r="C1310" s="62" t="s">
        <v>1311</v>
      </c>
      <c r="D1310" s="63">
        <v>45456</v>
      </c>
      <c r="E1310" s="63">
        <v>46186</v>
      </c>
      <c r="F1310" s="62" t="s">
        <v>1936</v>
      </c>
      <c r="G1310" s="62" t="s">
        <v>746</v>
      </c>
      <c r="H1310" s="62" t="s">
        <v>468</v>
      </c>
      <c r="I1310" s="62" t="s">
        <v>825</v>
      </c>
      <c r="J1310" s="62" t="s">
        <v>639</v>
      </c>
      <c r="K1310" s="62" t="s">
        <v>371</v>
      </c>
      <c r="L1310" s="62" t="s">
        <v>2421</v>
      </c>
      <c r="M1310" s="66" t="s">
        <v>1970</v>
      </c>
    </row>
    <row r="1311" spans="1:13" x14ac:dyDescent="0.3">
      <c r="A1311" s="61" t="s">
        <v>2178</v>
      </c>
      <c r="B1311" s="62" t="s">
        <v>1310</v>
      </c>
      <c r="C1311" s="62" t="s">
        <v>1311</v>
      </c>
      <c r="D1311" s="63">
        <v>45456</v>
      </c>
      <c r="E1311" s="63">
        <v>46186</v>
      </c>
      <c r="F1311" s="62" t="s">
        <v>1936</v>
      </c>
      <c r="G1311" s="62" t="s">
        <v>604</v>
      </c>
      <c r="H1311" s="62" t="s">
        <v>468</v>
      </c>
      <c r="I1311" s="62" t="s">
        <v>825</v>
      </c>
      <c r="J1311" s="62" t="s">
        <v>639</v>
      </c>
      <c r="K1311" s="62" t="s">
        <v>371</v>
      </c>
      <c r="L1311" s="62" t="s">
        <v>2421</v>
      </c>
      <c r="M1311" s="66" t="s">
        <v>1970</v>
      </c>
    </row>
    <row r="1312" spans="1:13" x14ac:dyDescent="0.3">
      <c r="A1312" s="61" t="s">
        <v>2178</v>
      </c>
      <c r="B1312" s="62" t="s">
        <v>1310</v>
      </c>
      <c r="C1312" s="62" t="s">
        <v>1311</v>
      </c>
      <c r="D1312" s="63">
        <v>45456</v>
      </c>
      <c r="E1312" s="63">
        <v>46186</v>
      </c>
      <c r="F1312" s="62" t="s">
        <v>1936</v>
      </c>
      <c r="G1312" s="62" t="s">
        <v>747</v>
      </c>
      <c r="H1312" s="62" t="s">
        <v>468</v>
      </c>
      <c r="I1312" s="62" t="s">
        <v>825</v>
      </c>
      <c r="J1312" s="62" t="s">
        <v>639</v>
      </c>
      <c r="K1312" s="62" t="s">
        <v>371</v>
      </c>
      <c r="L1312" s="62" t="s">
        <v>2421</v>
      </c>
      <c r="M1312" s="66" t="s">
        <v>1970</v>
      </c>
    </row>
    <row r="1313" spans="1:13" x14ac:dyDescent="0.3">
      <c r="A1313" s="61" t="s">
        <v>2178</v>
      </c>
      <c r="B1313" s="62" t="s">
        <v>1310</v>
      </c>
      <c r="C1313" s="62" t="s">
        <v>1311</v>
      </c>
      <c r="D1313" s="63">
        <v>45456</v>
      </c>
      <c r="E1313" s="63">
        <v>46186</v>
      </c>
      <c r="F1313" s="62" t="s">
        <v>1936</v>
      </c>
      <c r="G1313" s="62" t="s">
        <v>868</v>
      </c>
      <c r="H1313" s="62" t="s">
        <v>468</v>
      </c>
      <c r="I1313" s="62" t="s">
        <v>825</v>
      </c>
      <c r="J1313" s="62" t="s">
        <v>639</v>
      </c>
      <c r="K1313" s="62" t="s">
        <v>371</v>
      </c>
      <c r="L1313" s="62" t="s">
        <v>2421</v>
      </c>
      <c r="M1313" s="66" t="s">
        <v>1970</v>
      </c>
    </row>
    <row r="1314" spans="1:13" x14ac:dyDescent="0.3">
      <c r="A1314" s="61" t="s">
        <v>2178</v>
      </c>
      <c r="B1314" s="62" t="s">
        <v>1310</v>
      </c>
      <c r="C1314" s="62" t="s">
        <v>1311</v>
      </c>
      <c r="D1314" s="63">
        <v>45456</v>
      </c>
      <c r="E1314" s="63">
        <v>46186</v>
      </c>
      <c r="F1314" s="62" t="s">
        <v>1936</v>
      </c>
      <c r="G1314" s="62" t="s">
        <v>1223</v>
      </c>
      <c r="H1314" s="62" t="s">
        <v>468</v>
      </c>
      <c r="I1314" s="62" t="s">
        <v>825</v>
      </c>
      <c r="J1314" s="62" t="s">
        <v>639</v>
      </c>
      <c r="K1314" s="62" t="s">
        <v>371</v>
      </c>
      <c r="L1314" s="62" t="s">
        <v>2421</v>
      </c>
      <c r="M1314" s="66" t="s">
        <v>1970</v>
      </c>
    </row>
    <row r="1315" spans="1:13" x14ac:dyDescent="0.3">
      <c r="A1315" s="61" t="s">
        <v>2178</v>
      </c>
      <c r="B1315" s="62" t="s">
        <v>1310</v>
      </c>
      <c r="C1315" s="62" t="s">
        <v>1311</v>
      </c>
      <c r="D1315" s="63">
        <v>45456</v>
      </c>
      <c r="E1315" s="63">
        <v>46186</v>
      </c>
      <c r="F1315" s="62" t="s">
        <v>1936</v>
      </c>
      <c r="G1315" s="62" t="s">
        <v>750</v>
      </c>
      <c r="H1315" s="62" t="s">
        <v>468</v>
      </c>
      <c r="I1315" s="62" t="s">
        <v>825</v>
      </c>
      <c r="J1315" s="62" t="s">
        <v>639</v>
      </c>
      <c r="K1315" s="62" t="s">
        <v>371</v>
      </c>
      <c r="L1315" s="62" t="s">
        <v>2421</v>
      </c>
      <c r="M1315" s="66" t="s">
        <v>1970</v>
      </c>
    </row>
    <row r="1316" spans="1:13" x14ac:dyDescent="0.3">
      <c r="A1316" s="61" t="s">
        <v>2178</v>
      </c>
      <c r="B1316" s="62" t="s">
        <v>1310</v>
      </c>
      <c r="C1316" s="62" t="s">
        <v>1311</v>
      </c>
      <c r="D1316" s="63">
        <v>45456</v>
      </c>
      <c r="E1316" s="63">
        <v>46186</v>
      </c>
      <c r="F1316" s="62" t="s">
        <v>1936</v>
      </c>
      <c r="G1316" s="62" t="s">
        <v>711</v>
      </c>
      <c r="H1316" s="62" t="s">
        <v>468</v>
      </c>
      <c r="I1316" s="62" t="s">
        <v>825</v>
      </c>
      <c r="J1316" s="62" t="s">
        <v>639</v>
      </c>
      <c r="K1316" s="62" t="s">
        <v>371</v>
      </c>
      <c r="L1316" s="62" t="s">
        <v>2421</v>
      </c>
      <c r="M1316" s="66" t="s">
        <v>1970</v>
      </c>
    </row>
    <row r="1317" spans="1:13" x14ac:dyDescent="0.3">
      <c r="A1317" s="61" t="s">
        <v>2178</v>
      </c>
      <c r="B1317" s="62" t="s">
        <v>1310</v>
      </c>
      <c r="C1317" s="62" t="s">
        <v>1311</v>
      </c>
      <c r="D1317" s="63">
        <v>45456</v>
      </c>
      <c r="E1317" s="63">
        <v>46186</v>
      </c>
      <c r="F1317" s="62" t="s">
        <v>1936</v>
      </c>
      <c r="G1317" s="62" t="s">
        <v>798</v>
      </c>
      <c r="H1317" s="62" t="s">
        <v>468</v>
      </c>
      <c r="I1317" s="62" t="s">
        <v>825</v>
      </c>
      <c r="J1317" s="62" t="s">
        <v>639</v>
      </c>
      <c r="K1317" s="62" t="s">
        <v>371</v>
      </c>
      <c r="L1317" s="62" t="s">
        <v>2421</v>
      </c>
      <c r="M1317" s="66" t="s">
        <v>1970</v>
      </c>
    </row>
    <row r="1318" spans="1:13" x14ac:dyDescent="0.3">
      <c r="A1318" s="61" t="s">
        <v>2178</v>
      </c>
      <c r="B1318" s="62" t="s">
        <v>1310</v>
      </c>
      <c r="C1318" s="62" t="s">
        <v>1311</v>
      </c>
      <c r="D1318" s="63">
        <v>45456</v>
      </c>
      <c r="E1318" s="63">
        <v>46186</v>
      </c>
      <c r="F1318" s="62" t="s">
        <v>1936</v>
      </c>
      <c r="G1318" s="62" t="s">
        <v>748</v>
      </c>
      <c r="H1318" s="62" t="s">
        <v>468</v>
      </c>
      <c r="I1318" s="62" t="s">
        <v>825</v>
      </c>
      <c r="J1318" s="62" t="s">
        <v>639</v>
      </c>
      <c r="K1318" s="62" t="s">
        <v>371</v>
      </c>
      <c r="L1318" s="62" t="s">
        <v>2421</v>
      </c>
      <c r="M1318" s="66" t="s">
        <v>1970</v>
      </c>
    </row>
    <row r="1319" spans="1:13" x14ac:dyDescent="0.3">
      <c r="A1319" s="61" t="s">
        <v>2178</v>
      </c>
      <c r="B1319" s="62" t="s">
        <v>1310</v>
      </c>
      <c r="C1319" s="62" t="s">
        <v>1311</v>
      </c>
      <c r="D1319" s="63">
        <v>45456</v>
      </c>
      <c r="E1319" s="63">
        <v>46186</v>
      </c>
      <c r="F1319" s="62" t="s">
        <v>1936</v>
      </c>
      <c r="G1319" s="62" t="s">
        <v>411</v>
      </c>
      <c r="H1319" s="62" t="s">
        <v>468</v>
      </c>
      <c r="I1319" s="62" t="s">
        <v>825</v>
      </c>
      <c r="J1319" s="62" t="s">
        <v>639</v>
      </c>
      <c r="K1319" s="62" t="s">
        <v>371</v>
      </c>
      <c r="L1319" s="62" t="s">
        <v>2421</v>
      </c>
      <c r="M1319" s="66" t="s">
        <v>1970</v>
      </c>
    </row>
    <row r="1320" spans="1:13" x14ac:dyDescent="0.3">
      <c r="A1320" s="61" t="s">
        <v>2178</v>
      </c>
      <c r="B1320" s="62" t="s">
        <v>1310</v>
      </c>
      <c r="C1320" s="62" t="s">
        <v>1311</v>
      </c>
      <c r="D1320" s="63">
        <v>45456</v>
      </c>
      <c r="E1320" s="63">
        <v>46186</v>
      </c>
      <c r="F1320" s="62" t="s">
        <v>1936</v>
      </c>
      <c r="G1320" s="62" t="s">
        <v>1314</v>
      </c>
      <c r="H1320" s="62" t="s">
        <v>468</v>
      </c>
      <c r="I1320" s="62" t="s">
        <v>825</v>
      </c>
      <c r="J1320" s="62" t="s">
        <v>639</v>
      </c>
      <c r="K1320" s="62" t="s">
        <v>371</v>
      </c>
      <c r="L1320" s="62" t="s">
        <v>2421</v>
      </c>
      <c r="M1320" s="66" t="s">
        <v>1970</v>
      </c>
    </row>
    <row r="1321" spans="1:13" x14ac:dyDescent="0.3">
      <c r="A1321" s="61" t="s">
        <v>2178</v>
      </c>
      <c r="B1321" s="62" t="s">
        <v>1310</v>
      </c>
      <c r="C1321" s="62" t="s">
        <v>1311</v>
      </c>
      <c r="D1321" s="63">
        <v>45456</v>
      </c>
      <c r="E1321" s="63">
        <v>46186</v>
      </c>
      <c r="F1321" s="62" t="s">
        <v>1936</v>
      </c>
      <c r="G1321" s="62" t="s">
        <v>605</v>
      </c>
      <c r="H1321" s="62" t="s">
        <v>468</v>
      </c>
      <c r="I1321" s="62" t="s">
        <v>825</v>
      </c>
      <c r="J1321" s="62" t="s">
        <v>639</v>
      </c>
      <c r="K1321" s="62" t="s">
        <v>371</v>
      </c>
      <c r="L1321" s="62" t="s">
        <v>2421</v>
      </c>
      <c r="M1321" s="66" t="s">
        <v>1970</v>
      </c>
    </row>
    <row r="1322" spans="1:13" x14ac:dyDescent="0.3">
      <c r="A1322" s="61" t="s">
        <v>2178</v>
      </c>
      <c r="B1322" s="62" t="s">
        <v>1310</v>
      </c>
      <c r="C1322" s="62" t="s">
        <v>1311</v>
      </c>
      <c r="D1322" s="63">
        <v>45456</v>
      </c>
      <c r="E1322" s="63">
        <v>46186</v>
      </c>
      <c r="F1322" s="62" t="s">
        <v>1936</v>
      </c>
      <c r="G1322" s="62" t="s">
        <v>412</v>
      </c>
      <c r="H1322" s="62" t="s">
        <v>468</v>
      </c>
      <c r="I1322" s="62" t="s">
        <v>825</v>
      </c>
      <c r="J1322" s="62" t="s">
        <v>639</v>
      </c>
      <c r="K1322" s="62" t="s">
        <v>371</v>
      </c>
      <c r="L1322" s="62" t="s">
        <v>2421</v>
      </c>
      <c r="M1322" s="66" t="s">
        <v>1970</v>
      </c>
    </row>
    <row r="1323" spans="1:13" x14ac:dyDescent="0.3">
      <c r="A1323" s="61" t="s">
        <v>2178</v>
      </c>
      <c r="B1323" s="62" t="s">
        <v>1310</v>
      </c>
      <c r="C1323" s="62" t="s">
        <v>1311</v>
      </c>
      <c r="D1323" s="63">
        <v>45456</v>
      </c>
      <c r="E1323" s="63">
        <v>46186</v>
      </c>
      <c r="F1323" s="62" t="s">
        <v>1936</v>
      </c>
      <c r="G1323" s="62" t="s">
        <v>413</v>
      </c>
      <c r="H1323" s="62" t="s">
        <v>468</v>
      </c>
      <c r="I1323" s="62" t="s">
        <v>825</v>
      </c>
      <c r="J1323" s="62" t="s">
        <v>639</v>
      </c>
      <c r="K1323" s="62" t="s">
        <v>371</v>
      </c>
      <c r="L1323" s="62" t="s">
        <v>2421</v>
      </c>
      <c r="M1323" s="66" t="s">
        <v>1970</v>
      </c>
    </row>
    <row r="1324" spans="1:13" x14ac:dyDescent="0.3">
      <c r="A1324" s="61" t="s">
        <v>2178</v>
      </c>
      <c r="B1324" s="62" t="s">
        <v>1310</v>
      </c>
      <c r="C1324" s="62" t="s">
        <v>1311</v>
      </c>
      <c r="D1324" s="63">
        <v>45456</v>
      </c>
      <c r="E1324" s="63">
        <v>46186</v>
      </c>
      <c r="F1324" s="62" t="s">
        <v>1936</v>
      </c>
      <c r="G1324" s="62" t="s">
        <v>1261</v>
      </c>
      <c r="H1324" s="62" t="s">
        <v>468</v>
      </c>
      <c r="I1324" s="62" t="s">
        <v>825</v>
      </c>
      <c r="J1324" s="62" t="s">
        <v>639</v>
      </c>
      <c r="K1324" s="62" t="s">
        <v>371</v>
      </c>
      <c r="L1324" s="62" t="s">
        <v>2421</v>
      </c>
      <c r="M1324" s="66" t="s">
        <v>1970</v>
      </c>
    </row>
    <row r="1325" spans="1:13" x14ac:dyDescent="0.3">
      <c r="A1325" s="61" t="s">
        <v>2178</v>
      </c>
      <c r="B1325" s="62" t="s">
        <v>1310</v>
      </c>
      <c r="C1325" s="62" t="s">
        <v>1311</v>
      </c>
      <c r="D1325" s="63">
        <v>45456</v>
      </c>
      <c r="E1325" s="63">
        <v>46186</v>
      </c>
      <c r="F1325" s="62" t="s">
        <v>1936</v>
      </c>
      <c r="G1325" s="62" t="s">
        <v>414</v>
      </c>
      <c r="H1325" s="62" t="s">
        <v>468</v>
      </c>
      <c r="I1325" s="62" t="s">
        <v>825</v>
      </c>
      <c r="J1325" s="62" t="s">
        <v>639</v>
      </c>
      <c r="K1325" s="62" t="s">
        <v>371</v>
      </c>
      <c r="L1325" s="62" t="s">
        <v>2421</v>
      </c>
      <c r="M1325" s="66" t="s">
        <v>1970</v>
      </c>
    </row>
    <row r="1326" spans="1:13" x14ac:dyDescent="0.3">
      <c r="A1326" s="61" t="s">
        <v>2178</v>
      </c>
      <c r="B1326" s="62" t="s">
        <v>1310</v>
      </c>
      <c r="C1326" s="62" t="s">
        <v>1311</v>
      </c>
      <c r="D1326" s="63">
        <v>45456</v>
      </c>
      <c r="E1326" s="63">
        <v>46186</v>
      </c>
      <c r="F1326" s="62" t="s">
        <v>1936</v>
      </c>
      <c r="G1326" s="62" t="s">
        <v>547</v>
      </c>
      <c r="H1326" s="62" t="s">
        <v>468</v>
      </c>
      <c r="I1326" s="62" t="s">
        <v>825</v>
      </c>
      <c r="J1326" s="62" t="s">
        <v>639</v>
      </c>
      <c r="K1326" s="62" t="s">
        <v>371</v>
      </c>
      <c r="L1326" s="62" t="s">
        <v>2421</v>
      </c>
      <c r="M1326" s="66" t="s">
        <v>1970</v>
      </c>
    </row>
    <row r="1327" spans="1:13" x14ac:dyDescent="0.3">
      <c r="A1327" s="61" t="s">
        <v>2178</v>
      </c>
      <c r="B1327" s="62" t="s">
        <v>1310</v>
      </c>
      <c r="C1327" s="62" t="s">
        <v>1311</v>
      </c>
      <c r="D1327" s="63">
        <v>45456</v>
      </c>
      <c r="E1327" s="63">
        <v>46186</v>
      </c>
      <c r="F1327" s="62" t="s">
        <v>1936</v>
      </c>
      <c r="G1327" s="62" t="s">
        <v>869</v>
      </c>
      <c r="H1327" s="62" t="s">
        <v>468</v>
      </c>
      <c r="I1327" s="62" t="s">
        <v>825</v>
      </c>
      <c r="J1327" s="62" t="s">
        <v>639</v>
      </c>
      <c r="K1327" s="62" t="s">
        <v>371</v>
      </c>
      <c r="L1327" s="62" t="s">
        <v>2421</v>
      </c>
      <c r="M1327" s="66" t="s">
        <v>1970</v>
      </c>
    </row>
    <row r="1328" spans="1:13" x14ac:dyDescent="0.3">
      <c r="A1328" s="61" t="s">
        <v>2179</v>
      </c>
      <c r="B1328" s="62" t="s">
        <v>1315</v>
      </c>
      <c r="C1328" s="62" t="s">
        <v>1316</v>
      </c>
      <c r="D1328" s="63">
        <v>45292</v>
      </c>
      <c r="E1328" s="63">
        <v>46752</v>
      </c>
      <c r="F1328" s="62" t="s">
        <v>348</v>
      </c>
      <c r="G1328" s="62" t="s">
        <v>348</v>
      </c>
      <c r="H1328" s="62" t="s">
        <v>363</v>
      </c>
      <c r="I1328" s="62" t="s">
        <v>825</v>
      </c>
      <c r="J1328" s="62" t="s">
        <v>948</v>
      </c>
      <c r="K1328" s="62" t="s">
        <v>428</v>
      </c>
      <c r="L1328" s="62" t="s">
        <v>2421</v>
      </c>
      <c r="M1328" s="66" t="s">
        <v>2021</v>
      </c>
    </row>
    <row r="1329" spans="1:13" x14ac:dyDescent="0.3">
      <c r="A1329" s="61" t="s">
        <v>2180</v>
      </c>
      <c r="B1329" s="62" t="s">
        <v>1317</v>
      </c>
      <c r="C1329" s="62" t="s">
        <v>1318</v>
      </c>
      <c r="D1329" s="63">
        <v>45322</v>
      </c>
      <c r="E1329" s="63">
        <v>46661</v>
      </c>
      <c r="F1329" s="62" t="s">
        <v>350</v>
      </c>
      <c r="G1329" s="62" t="s">
        <v>304</v>
      </c>
      <c r="H1329" s="62" t="s">
        <v>601</v>
      </c>
      <c r="I1329" s="62" t="s">
        <v>1518</v>
      </c>
      <c r="J1329" s="62" t="s">
        <v>949</v>
      </c>
      <c r="K1329" s="62" t="s">
        <v>309</v>
      </c>
      <c r="L1329" s="62" t="s">
        <v>2421</v>
      </c>
      <c r="M1329" s="66" t="s">
        <v>1971</v>
      </c>
    </row>
    <row r="1330" spans="1:13" x14ac:dyDescent="0.3">
      <c r="A1330" s="61" t="s">
        <v>2181</v>
      </c>
      <c r="B1330" s="62" t="s">
        <v>1319</v>
      </c>
      <c r="C1330" s="62" t="s">
        <v>1320</v>
      </c>
      <c r="D1330" s="63">
        <v>45526</v>
      </c>
      <c r="E1330" s="63">
        <v>46255</v>
      </c>
      <c r="F1330" s="62" t="s">
        <v>1943</v>
      </c>
      <c r="G1330" s="62" t="s">
        <v>341</v>
      </c>
      <c r="H1330" s="62" t="s">
        <v>1321</v>
      </c>
      <c r="I1330" s="62" t="s">
        <v>825</v>
      </c>
      <c r="J1330" s="62" t="s">
        <v>416</v>
      </c>
      <c r="K1330" s="62" t="s">
        <v>417</v>
      </c>
      <c r="L1330" s="62" t="s">
        <v>2421</v>
      </c>
      <c r="M1330" s="66" t="s">
        <v>1972</v>
      </c>
    </row>
    <row r="1331" spans="1:13" x14ac:dyDescent="0.3">
      <c r="A1331" s="61" t="s">
        <v>2182</v>
      </c>
      <c r="B1331" s="62" t="s">
        <v>1323</v>
      </c>
      <c r="C1331" s="62" t="s">
        <v>1324</v>
      </c>
      <c r="D1331" s="63">
        <v>45536</v>
      </c>
      <c r="E1331" s="63">
        <v>46266</v>
      </c>
      <c r="F1331" s="62" t="s">
        <v>350</v>
      </c>
      <c r="G1331" s="62" t="s">
        <v>304</v>
      </c>
      <c r="H1331" s="62" t="s">
        <v>468</v>
      </c>
      <c r="I1331" s="62" t="s">
        <v>825</v>
      </c>
      <c r="J1331" s="62" t="s">
        <v>639</v>
      </c>
      <c r="K1331" s="62" t="s">
        <v>371</v>
      </c>
      <c r="L1331" s="62" t="s">
        <v>2421</v>
      </c>
      <c r="M1331" s="66" t="s">
        <v>1972</v>
      </c>
    </row>
    <row r="1332" spans="1:13" x14ac:dyDescent="0.3">
      <c r="A1332" s="61" t="s">
        <v>2183</v>
      </c>
      <c r="B1332" s="62" t="s">
        <v>1325</v>
      </c>
      <c r="C1332" s="62" t="s">
        <v>1326</v>
      </c>
      <c r="D1332" s="63">
        <v>44613</v>
      </c>
      <c r="E1332" s="63">
        <v>46265</v>
      </c>
      <c r="F1332" s="62" t="s">
        <v>1961</v>
      </c>
      <c r="G1332" s="62" t="s">
        <v>304</v>
      </c>
      <c r="H1332" s="62" t="s">
        <v>490</v>
      </c>
      <c r="I1332" s="62" t="s">
        <v>457</v>
      </c>
      <c r="J1332" s="62" t="s">
        <v>364</v>
      </c>
      <c r="K1332" s="62" t="s">
        <v>365</v>
      </c>
      <c r="L1332" s="62" t="s">
        <v>2421</v>
      </c>
      <c r="M1332" s="66" t="s">
        <v>1971</v>
      </c>
    </row>
    <row r="1333" spans="1:13" x14ac:dyDescent="0.3">
      <c r="A1333" s="61" t="s">
        <v>2183</v>
      </c>
      <c r="B1333" s="62" t="s">
        <v>1325</v>
      </c>
      <c r="C1333" s="62" t="s">
        <v>1326</v>
      </c>
      <c r="D1333" s="63">
        <v>44613</v>
      </c>
      <c r="E1333" s="63">
        <v>46265</v>
      </c>
      <c r="F1333" s="62" t="s">
        <v>1938</v>
      </c>
      <c r="G1333" s="62" t="s">
        <v>304</v>
      </c>
      <c r="H1333" s="62" t="s">
        <v>490</v>
      </c>
      <c r="I1333" s="62" t="s">
        <v>457</v>
      </c>
      <c r="J1333" s="62" t="s">
        <v>364</v>
      </c>
      <c r="K1333" s="62" t="s">
        <v>365</v>
      </c>
      <c r="L1333" s="62" t="s">
        <v>2421</v>
      </c>
      <c r="M1333" s="66" t="s">
        <v>1971</v>
      </c>
    </row>
    <row r="1334" spans="1:13" x14ac:dyDescent="0.3">
      <c r="A1334" s="61" t="s">
        <v>2183</v>
      </c>
      <c r="B1334" s="62" t="s">
        <v>1325</v>
      </c>
      <c r="C1334" s="62" t="s">
        <v>1326</v>
      </c>
      <c r="D1334" s="63">
        <v>44613</v>
      </c>
      <c r="E1334" s="63">
        <v>46265</v>
      </c>
      <c r="F1334" s="62" t="s">
        <v>1963</v>
      </c>
      <c r="G1334" s="62" t="s">
        <v>304</v>
      </c>
      <c r="H1334" s="62" t="s">
        <v>490</v>
      </c>
      <c r="I1334" s="62" t="s">
        <v>457</v>
      </c>
      <c r="J1334" s="62" t="s">
        <v>364</v>
      </c>
      <c r="K1334" s="62" t="s">
        <v>365</v>
      </c>
      <c r="L1334" s="62" t="s">
        <v>2421</v>
      </c>
      <c r="M1334" s="66" t="s">
        <v>1971</v>
      </c>
    </row>
    <row r="1335" spans="1:13" x14ac:dyDescent="0.3">
      <c r="A1335" s="61" t="s">
        <v>2183</v>
      </c>
      <c r="B1335" s="62" t="s">
        <v>1325</v>
      </c>
      <c r="C1335" s="62" t="s">
        <v>1326</v>
      </c>
      <c r="D1335" s="63">
        <v>44613</v>
      </c>
      <c r="E1335" s="63">
        <v>46265</v>
      </c>
      <c r="F1335" s="62" t="s">
        <v>1948</v>
      </c>
      <c r="G1335" s="62" t="s">
        <v>304</v>
      </c>
      <c r="H1335" s="62" t="s">
        <v>490</v>
      </c>
      <c r="I1335" s="62" t="s">
        <v>457</v>
      </c>
      <c r="J1335" s="62" t="s">
        <v>364</v>
      </c>
      <c r="K1335" s="62" t="s">
        <v>365</v>
      </c>
      <c r="L1335" s="62" t="s">
        <v>2421</v>
      </c>
      <c r="M1335" s="66" t="s">
        <v>1971</v>
      </c>
    </row>
    <row r="1336" spans="1:13" x14ac:dyDescent="0.3">
      <c r="A1336" s="61" t="s">
        <v>2184</v>
      </c>
      <c r="B1336" s="62" t="s">
        <v>1327</v>
      </c>
      <c r="C1336" s="62" t="s">
        <v>1328</v>
      </c>
      <c r="D1336" s="63">
        <v>45292</v>
      </c>
      <c r="E1336" s="63">
        <v>46752</v>
      </c>
      <c r="F1336" s="62" t="s">
        <v>350</v>
      </c>
      <c r="G1336" s="62" t="s">
        <v>304</v>
      </c>
      <c r="H1336" s="62" t="s">
        <v>373</v>
      </c>
      <c r="I1336" s="62" t="s">
        <v>1518</v>
      </c>
      <c r="J1336" s="62" t="s">
        <v>949</v>
      </c>
      <c r="K1336" s="62" t="s">
        <v>309</v>
      </c>
      <c r="L1336" s="62" t="s">
        <v>2421</v>
      </c>
      <c r="M1336" s="66" t="s">
        <v>1971</v>
      </c>
    </row>
    <row r="1337" spans="1:13" x14ac:dyDescent="0.3">
      <c r="A1337" s="61" t="s">
        <v>2185</v>
      </c>
      <c r="B1337" s="62" t="s">
        <v>1331</v>
      </c>
      <c r="C1337" s="62" t="s">
        <v>1332</v>
      </c>
      <c r="D1337" s="63">
        <v>45444</v>
      </c>
      <c r="E1337" s="63">
        <v>46173</v>
      </c>
      <c r="F1337" s="62" t="s">
        <v>1936</v>
      </c>
      <c r="G1337" s="62" t="s">
        <v>730</v>
      </c>
      <c r="H1337" s="62" t="s">
        <v>1333</v>
      </c>
      <c r="I1337" s="62" t="s">
        <v>2443</v>
      </c>
      <c r="J1337" s="62" t="s">
        <v>558</v>
      </c>
      <c r="K1337" s="62" t="s">
        <v>426</v>
      </c>
      <c r="L1337" s="62" t="s">
        <v>2421</v>
      </c>
      <c r="M1337" s="66" t="s">
        <v>1972</v>
      </c>
    </row>
    <row r="1338" spans="1:13" x14ac:dyDescent="0.3">
      <c r="A1338" s="61" t="s">
        <v>2185</v>
      </c>
      <c r="B1338" s="62" t="s">
        <v>1331</v>
      </c>
      <c r="C1338" s="62" t="s">
        <v>1332</v>
      </c>
      <c r="D1338" s="63">
        <v>45444</v>
      </c>
      <c r="E1338" s="63">
        <v>46173</v>
      </c>
      <c r="F1338" s="62" t="s">
        <v>1936</v>
      </c>
      <c r="G1338" s="62" t="s">
        <v>749</v>
      </c>
      <c r="H1338" s="62" t="s">
        <v>1333</v>
      </c>
      <c r="I1338" s="62" t="s">
        <v>2443</v>
      </c>
      <c r="J1338" s="62" t="s">
        <v>558</v>
      </c>
      <c r="K1338" s="62" t="s">
        <v>426</v>
      </c>
      <c r="L1338" s="62" t="s">
        <v>2421</v>
      </c>
      <c r="M1338" s="66" t="s">
        <v>1972</v>
      </c>
    </row>
    <row r="1339" spans="1:13" x14ac:dyDescent="0.3">
      <c r="A1339" s="61" t="s">
        <v>2185</v>
      </c>
      <c r="B1339" s="62" t="s">
        <v>1331</v>
      </c>
      <c r="C1339" s="62" t="s">
        <v>1332</v>
      </c>
      <c r="D1339" s="63">
        <v>45444</v>
      </c>
      <c r="E1339" s="63">
        <v>46173</v>
      </c>
      <c r="F1339" s="62" t="s">
        <v>1936</v>
      </c>
      <c r="G1339" s="62" t="s">
        <v>604</v>
      </c>
      <c r="H1339" s="62" t="s">
        <v>1333</v>
      </c>
      <c r="I1339" s="62" t="s">
        <v>2443</v>
      </c>
      <c r="J1339" s="62" t="s">
        <v>558</v>
      </c>
      <c r="K1339" s="62" t="s">
        <v>426</v>
      </c>
      <c r="L1339" s="62" t="s">
        <v>2421</v>
      </c>
      <c r="M1339" s="66" t="s">
        <v>1972</v>
      </c>
    </row>
    <row r="1340" spans="1:13" x14ac:dyDescent="0.3">
      <c r="A1340" s="61" t="s">
        <v>2185</v>
      </c>
      <c r="B1340" s="62" t="s">
        <v>1331</v>
      </c>
      <c r="C1340" s="62" t="s">
        <v>1332</v>
      </c>
      <c r="D1340" s="63">
        <v>45444</v>
      </c>
      <c r="E1340" s="63">
        <v>46173</v>
      </c>
      <c r="F1340" s="62" t="s">
        <v>1936</v>
      </c>
      <c r="G1340" s="62" t="s">
        <v>750</v>
      </c>
      <c r="H1340" s="62" t="s">
        <v>1333</v>
      </c>
      <c r="I1340" s="62" t="s">
        <v>2443</v>
      </c>
      <c r="J1340" s="62" t="s">
        <v>558</v>
      </c>
      <c r="K1340" s="62" t="s">
        <v>426</v>
      </c>
      <c r="L1340" s="62" t="s">
        <v>2421</v>
      </c>
      <c r="M1340" s="66" t="s">
        <v>1972</v>
      </c>
    </row>
    <row r="1341" spans="1:13" x14ac:dyDescent="0.3">
      <c r="A1341" s="61" t="s">
        <v>2185</v>
      </c>
      <c r="B1341" s="62" t="s">
        <v>1331</v>
      </c>
      <c r="C1341" s="62" t="s">
        <v>1332</v>
      </c>
      <c r="D1341" s="63">
        <v>45444</v>
      </c>
      <c r="E1341" s="63">
        <v>46173</v>
      </c>
      <c r="F1341" s="62" t="s">
        <v>1936</v>
      </c>
      <c r="G1341" s="62" t="s">
        <v>411</v>
      </c>
      <c r="H1341" s="62" t="s">
        <v>1333</v>
      </c>
      <c r="I1341" s="62" t="s">
        <v>2443</v>
      </c>
      <c r="J1341" s="62" t="s">
        <v>558</v>
      </c>
      <c r="K1341" s="62" t="s">
        <v>426</v>
      </c>
      <c r="L1341" s="62" t="s">
        <v>2421</v>
      </c>
      <c r="M1341" s="66" t="s">
        <v>1972</v>
      </c>
    </row>
    <row r="1342" spans="1:13" x14ac:dyDescent="0.3">
      <c r="A1342" s="61" t="s">
        <v>2185</v>
      </c>
      <c r="B1342" s="62" t="s">
        <v>1331</v>
      </c>
      <c r="C1342" s="62" t="s">
        <v>1332</v>
      </c>
      <c r="D1342" s="63">
        <v>45444</v>
      </c>
      <c r="E1342" s="63">
        <v>46173</v>
      </c>
      <c r="F1342" s="62" t="s">
        <v>1930</v>
      </c>
      <c r="G1342" s="62" t="s">
        <v>723</v>
      </c>
      <c r="H1342" s="62" t="s">
        <v>1333</v>
      </c>
      <c r="I1342" s="62" t="s">
        <v>2443</v>
      </c>
      <c r="J1342" s="62" t="s">
        <v>558</v>
      </c>
      <c r="K1342" s="62" t="s">
        <v>426</v>
      </c>
      <c r="L1342" s="62" t="s">
        <v>2421</v>
      </c>
      <c r="M1342" s="66" t="s">
        <v>1972</v>
      </c>
    </row>
    <row r="1343" spans="1:13" x14ac:dyDescent="0.3">
      <c r="A1343" s="61" t="s">
        <v>2185</v>
      </c>
      <c r="B1343" s="62" t="s">
        <v>1331</v>
      </c>
      <c r="C1343" s="62" t="s">
        <v>1332</v>
      </c>
      <c r="D1343" s="63">
        <v>45444</v>
      </c>
      <c r="E1343" s="63">
        <v>46173</v>
      </c>
      <c r="F1343" s="62" t="s">
        <v>1930</v>
      </c>
      <c r="G1343" s="62" t="s">
        <v>546</v>
      </c>
      <c r="H1343" s="62" t="s">
        <v>1333</v>
      </c>
      <c r="I1343" s="62" t="s">
        <v>2443</v>
      </c>
      <c r="J1343" s="62" t="s">
        <v>558</v>
      </c>
      <c r="K1343" s="62" t="s">
        <v>426</v>
      </c>
      <c r="L1343" s="62" t="s">
        <v>2421</v>
      </c>
      <c r="M1343" s="66" t="s">
        <v>1972</v>
      </c>
    </row>
    <row r="1344" spans="1:13" x14ac:dyDescent="0.3">
      <c r="A1344" s="61" t="s">
        <v>2185</v>
      </c>
      <c r="B1344" s="62" t="s">
        <v>1331</v>
      </c>
      <c r="C1344" s="62" t="s">
        <v>1332</v>
      </c>
      <c r="D1344" s="63">
        <v>45444</v>
      </c>
      <c r="E1344" s="63">
        <v>46173</v>
      </c>
      <c r="F1344" s="62" t="s">
        <v>280</v>
      </c>
      <c r="G1344" s="62" t="s">
        <v>280</v>
      </c>
      <c r="H1344" s="62" t="s">
        <v>1333</v>
      </c>
      <c r="I1344" s="62" t="s">
        <v>2443</v>
      </c>
      <c r="J1344" s="62" t="s">
        <v>558</v>
      </c>
      <c r="K1344" s="62" t="s">
        <v>426</v>
      </c>
      <c r="L1344" s="62" t="s">
        <v>2421</v>
      </c>
      <c r="M1344" s="66" t="s">
        <v>1972</v>
      </c>
    </row>
    <row r="1345" spans="1:13" x14ac:dyDescent="0.3">
      <c r="A1345" s="61" t="s">
        <v>2185</v>
      </c>
      <c r="B1345" s="62" t="s">
        <v>1331</v>
      </c>
      <c r="C1345" s="62" t="s">
        <v>1332</v>
      </c>
      <c r="D1345" s="63">
        <v>45444</v>
      </c>
      <c r="E1345" s="63">
        <v>46173</v>
      </c>
      <c r="F1345" s="62" t="s">
        <v>280</v>
      </c>
      <c r="G1345" s="62" t="s">
        <v>406</v>
      </c>
      <c r="H1345" s="62" t="s">
        <v>1333</v>
      </c>
      <c r="I1345" s="62" t="s">
        <v>2443</v>
      </c>
      <c r="J1345" s="62" t="s">
        <v>558</v>
      </c>
      <c r="K1345" s="62" t="s">
        <v>426</v>
      </c>
      <c r="L1345" s="62" t="s">
        <v>2421</v>
      </c>
      <c r="M1345" s="66" t="s">
        <v>1972</v>
      </c>
    </row>
    <row r="1346" spans="1:13" x14ac:dyDescent="0.3">
      <c r="A1346" s="61" t="s">
        <v>2185</v>
      </c>
      <c r="B1346" s="62" t="s">
        <v>1331</v>
      </c>
      <c r="C1346" s="62" t="s">
        <v>1332</v>
      </c>
      <c r="D1346" s="63">
        <v>45444</v>
      </c>
      <c r="E1346" s="63">
        <v>46173</v>
      </c>
      <c r="F1346" s="62" t="s">
        <v>1948</v>
      </c>
      <c r="G1346" s="62" t="s">
        <v>368</v>
      </c>
      <c r="H1346" s="62" t="s">
        <v>1333</v>
      </c>
      <c r="I1346" s="62" t="s">
        <v>2443</v>
      </c>
      <c r="J1346" s="62" t="s">
        <v>558</v>
      </c>
      <c r="K1346" s="62" t="s">
        <v>426</v>
      </c>
      <c r="L1346" s="62" t="s">
        <v>2421</v>
      </c>
      <c r="M1346" s="66" t="s">
        <v>1972</v>
      </c>
    </row>
    <row r="1347" spans="1:13" x14ac:dyDescent="0.3">
      <c r="A1347" s="61" t="s">
        <v>2185</v>
      </c>
      <c r="B1347" s="62" t="s">
        <v>1331</v>
      </c>
      <c r="C1347" s="62" t="s">
        <v>1332</v>
      </c>
      <c r="D1347" s="63">
        <v>45444</v>
      </c>
      <c r="E1347" s="63">
        <v>46173</v>
      </c>
      <c r="F1347" s="62" t="s">
        <v>1948</v>
      </c>
      <c r="G1347" s="62" t="s">
        <v>369</v>
      </c>
      <c r="H1347" s="62" t="s">
        <v>1333</v>
      </c>
      <c r="I1347" s="62" t="s">
        <v>2443</v>
      </c>
      <c r="J1347" s="62" t="s">
        <v>558</v>
      </c>
      <c r="K1347" s="62" t="s">
        <v>426</v>
      </c>
      <c r="L1347" s="62" t="s">
        <v>2421</v>
      </c>
      <c r="M1347" s="66" t="s">
        <v>1972</v>
      </c>
    </row>
    <row r="1348" spans="1:13" x14ac:dyDescent="0.3">
      <c r="A1348" s="61" t="s">
        <v>2185</v>
      </c>
      <c r="B1348" s="62" t="s">
        <v>1331</v>
      </c>
      <c r="C1348" s="62" t="s">
        <v>1332</v>
      </c>
      <c r="D1348" s="63">
        <v>45444</v>
      </c>
      <c r="E1348" s="63">
        <v>46173</v>
      </c>
      <c r="F1348" s="62" t="s">
        <v>1959</v>
      </c>
      <c r="G1348" s="62" t="s">
        <v>511</v>
      </c>
      <c r="H1348" s="62" t="s">
        <v>1333</v>
      </c>
      <c r="I1348" s="62" t="s">
        <v>2443</v>
      </c>
      <c r="J1348" s="62" t="s">
        <v>558</v>
      </c>
      <c r="K1348" s="62" t="s">
        <v>426</v>
      </c>
      <c r="L1348" s="62" t="s">
        <v>2421</v>
      </c>
      <c r="M1348" s="66" t="s">
        <v>1972</v>
      </c>
    </row>
    <row r="1349" spans="1:13" x14ac:dyDescent="0.3">
      <c r="A1349" s="61" t="s">
        <v>2185</v>
      </c>
      <c r="B1349" s="62" t="s">
        <v>1331</v>
      </c>
      <c r="C1349" s="62" t="s">
        <v>1332</v>
      </c>
      <c r="D1349" s="63">
        <v>45444</v>
      </c>
      <c r="E1349" s="63">
        <v>46173</v>
      </c>
      <c r="F1349" s="62" t="s">
        <v>1959</v>
      </c>
      <c r="G1349" s="62" t="s">
        <v>665</v>
      </c>
      <c r="H1349" s="62" t="s">
        <v>1333</v>
      </c>
      <c r="I1349" s="62" t="s">
        <v>2443</v>
      </c>
      <c r="J1349" s="62" t="s">
        <v>558</v>
      </c>
      <c r="K1349" s="62" t="s">
        <v>426</v>
      </c>
      <c r="L1349" s="62" t="s">
        <v>2421</v>
      </c>
      <c r="M1349" s="66" t="s">
        <v>1972</v>
      </c>
    </row>
    <row r="1350" spans="1:13" x14ac:dyDescent="0.3">
      <c r="A1350" s="61" t="s">
        <v>2185</v>
      </c>
      <c r="B1350" s="62" t="s">
        <v>1331</v>
      </c>
      <c r="C1350" s="62" t="s">
        <v>1332</v>
      </c>
      <c r="D1350" s="63">
        <v>45444</v>
      </c>
      <c r="E1350" s="63">
        <v>46173</v>
      </c>
      <c r="F1350" s="62" t="s">
        <v>1922</v>
      </c>
      <c r="G1350" s="62" t="s">
        <v>304</v>
      </c>
      <c r="H1350" s="62" t="s">
        <v>1333</v>
      </c>
      <c r="I1350" s="62" t="s">
        <v>2443</v>
      </c>
      <c r="J1350" s="62" t="s">
        <v>558</v>
      </c>
      <c r="K1350" s="62" t="s">
        <v>426</v>
      </c>
      <c r="L1350" s="62" t="s">
        <v>2421</v>
      </c>
      <c r="M1350" s="66" t="s">
        <v>1972</v>
      </c>
    </row>
    <row r="1351" spans="1:13" x14ac:dyDescent="0.3">
      <c r="A1351" s="61" t="s">
        <v>2185</v>
      </c>
      <c r="B1351" s="62" t="s">
        <v>1331</v>
      </c>
      <c r="C1351" s="62" t="s">
        <v>1332</v>
      </c>
      <c r="D1351" s="63">
        <v>45444</v>
      </c>
      <c r="E1351" s="63">
        <v>46173</v>
      </c>
      <c r="F1351" s="62" t="s">
        <v>1943</v>
      </c>
      <c r="G1351" s="62" t="s">
        <v>304</v>
      </c>
      <c r="H1351" s="62" t="s">
        <v>1333</v>
      </c>
      <c r="I1351" s="62" t="s">
        <v>2443</v>
      </c>
      <c r="J1351" s="62" t="s">
        <v>558</v>
      </c>
      <c r="K1351" s="62" t="s">
        <v>426</v>
      </c>
      <c r="L1351" s="62" t="s">
        <v>2421</v>
      </c>
      <c r="M1351" s="66" t="s">
        <v>1972</v>
      </c>
    </row>
    <row r="1352" spans="1:13" x14ac:dyDescent="0.3">
      <c r="A1352" s="61" t="s">
        <v>2185</v>
      </c>
      <c r="B1352" s="62" t="s">
        <v>1331</v>
      </c>
      <c r="C1352" s="62" t="s">
        <v>1332</v>
      </c>
      <c r="D1352" s="63">
        <v>45444</v>
      </c>
      <c r="E1352" s="63">
        <v>46173</v>
      </c>
      <c r="F1352" s="62" t="s">
        <v>1961</v>
      </c>
      <c r="G1352" s="62" t="s">
        <v>634</v>
      </c>
      <c r="H1352" s="62" t="s">
        <v>1333</v>
      </c>
      <c r="I1352" s="62" t="s">
        <v>2443</v>
      </c>
      <c r="J1352" s="62" t="s">
        <v>558</v>
      </c>
      <c r="K1352" s="62" t="s">
        <v>426</v>
      </c>
      <c r="L1352" s="62" t="s">
        <v>2421</v>
      </c>
      <c r="M1352" s="66" t="s">
        <v>1972</v>
      </c>
    </row>
    <row r="1353" spans="1:13" x14ac:dyDescent="0.3">
      <c r="A1353" s="61" t="s">
        <v>2185</v>
      </c>
      <c r="B1353" s="62" t="s">
        <v>1331</v>
      </c>
      <c r="C1353" s="62" t="s">
        <v>1332</v>
      </c>
      <c r="D1353" s="63">
        <v>45444</v>
      </c>
      <c r="E1353" s="63">
        <v>46173</v>
      </c>
      <c r="F1353" s="62" t="s">
        <v>1936</v>
      </c>
      <c r="G1353" s="62" t="s">
        <v>730</v>
      </c>
      <c r="H1353" s="62" t="s">
        <v>1189</v>
      </c>
      <c r="I1353" s="62" t="s">
        <v>2443</v>
      </c>
      <c r="J1353" s="62" t="s">
        <v>558</v>
      </c>
      <c r="K1353" s="62" t="s">
        <v>426</v>
      </c>
      <c r="L1353" s="62" t="s">
        <v>2421</v>
      </c>
      <c r="M1353" s="66" t="s">
        <v>1972</v>
      </c>
    </row>
    <row r="1354" spans="1:13" x14ac:dyDescent="0.3">
      <c r="A1354" s="61" t="s">
        <v>2185</v>
      </c>
      <c r="B1354" s="62" t="s">
        <v>1331</v>
      </c>
      <c r="C1354" s="62" t="s">
        <v>1332</v>
      </c>
      <c r="D1354" s="63">
        <v>45444</v>
      </c>
      <c r="E1354" s="63">
        <v>46173</v>
      </c>
      <c r="F1354" s="62" t="s">
        <v>1936</v>
      </c>
      <c r="G1354" s="62" t="s">
        <v>749</v>
      </c>
      <c r="H1354" s="62" t="s">
        <v>1189</v>
      </c>
      <c r="I1354" s="62" t="s">
        <v>2443</v>
      </c>
      <c r="J1354" s="62" t="s">
        <v>558</v>
      </c>
      <c r="K1354" s="62" t="s">
        <v>426</v>
      </c>
      <c r="L1354" s="62" t="s">
        <v>2421</v>
      </c>
      <c r="M1354" s="66" t="s">
        <v>1972</v>
      </c>
    </row>
    <row r="1355" spans="1:13" x14ac:dyDescent="0.3">
      <c r="A1355" s="61" t="s">
        <v>2185</v>
      </c>
      <c r="B1355" s="62" t="s">
        <v>1331</v>
      </c>
      <c r="C1355" s="62" t="s">
        <v>1332</v>
      </c>
      <c r="D1355" s="63">
        <v>45444</v>
      </c>
      <c r="E1355" s="63">
        <v>46173</v>
      </c>
      <c r="F1355" s="62" t="s">
        <v>1936</v>
      </c>
      <c r="G1355" s="62" t="s">
        <v>604</v>
      </c>
      <c r="H1355" s="62" t="s">
        <v>1189</v>
      </c>
      <c r="I1355" s="62" t="s">
        <v>2443</v>
      </c>
      <c r="J1355" s="62" t="s">
        <v>558</v>
      </c>
      <c r="K1355" s="62" t="s">
        <v>426</v>
      </c>
      <c r="L1355" s="62" t="s">
        <v>2421</v>
      </c>
      <c r="M1355" s="66" t="s">
        <v>1972</v>
      </c>
    </row>
    <row r="1356" spans="1:13" x14ac:dyDescent="0.3">
      <c r="A1356" s="61" t="s">
        <v>2185</v>
      </c>
      <c r="B1356" s="62" t="s">
        <v>1331</v>
      </c>
      <c r="C1356" s="62" t="s">
        <v>1332</v>
      </c>
      <c r="D1356" s="63">
        <v>45444</v>
      </c>
      <c r="E1356" s="63">
        <v>46173</v>
      </c>
      <c r="F1356" s="62" t="s">
        <v>1936</v>
      </c>
      <c r="G1356" s="62" t="s">
        <v>750</v>
      </c>
      <c r="H1356" s="62" t="s">
        <v>1189</v>
      </c>
      <c r="I1356" s="62" t="s">
        <v>2443</v>
      </c>
      <c r="J1356" s="62" t="s">
        <v>558</v>
      </c>
      <c r="K1356" s="62" t="s">
        <v>426</v>
      </c>
      <c r="L1356" s="62" t="s">
        <v>2421</v>
      </c>
      <c r="M1356" s="66" t="s">
        <v>1972</v>
      </c>
    </row>
    <row r="1357" spans="1:13" x14ac:dyDescent="0.3">
      <c r="A1357" s="61" t="s">
        <v>2185</v>
      </c>
      <c r="B1357" s="62" t="s">
        <v>1331</v>
      </c>
      <c r="C1357" s="62" t="s">
        <v>1332</v>
      </c>
      <c r="D1357" s="63">
        <v>45444</v>
      </c>
      <c r="E1357" s="63">
        <v>46173</v>
      </c>
      <c r="F1357" s="62" t="s">
        <v>1936</v>
      </c>
      <c r="G1357" s="62" t="s">
        <v>411</v>
      </c>
      <c r="H1357" s="62" t="s">
        <v>1189</v>
      </c>
      <c r="I1357" s="62" t="s">
        <v>2443</v>
      </c>
      <c r="J1357" s="62" t="s">
        <v>558</v>
      </c>
      <c r="K1357" s="62" t="s">
        <v>426</v>
      </c>
      <c r="L1357" s="62" t="s">
        <v>2421</v>
      </c>
      <c r="M1357" s="66" t="s">
        <v>1972</v>
      </c>
    </row>
    <row r="1358" spans="1:13" x14ac:dyDescent="0.3">
      <c r="A1358" s="61" t="s">
        <v>2185</v>
      </c>
      <c r="B1358" s="62" t="s">
        <v>1331</v>
      </c>
      <c r="C1358" s="62" t="s">
        <v>1332</v>
      </c>
      <c r="D1358" s="63">
        <v>45444</v>
      </c>
      <c r="E1358" s="63">
        <v>46173</v>
      </c>
      <c r="F1358" s="62" t="s">
        <v>1930</v>
      </c>
      <c r="G1358" s="62" t="s">
        <v>723</v>
      </c>
      <c r="H1358" s="62" t="s">
        <v>1189</v>
      </c>
      <c r="I1358" s="62" t="s">
        <v>2443</v>
      </c>
      <c r="J1358" s="62" t="s">
        <v>558</v>
      </c>
      <c r="K1358" s="62" t="s">
        <v>426</v>
      </c>
      <c r="L1358" s="62" t="s">
        <v>2421</v>
      </c>
      <c r="M1358" s="66" t="s">
        <v>1972</v>
      </c>
    </row>
    <row r="1359" spans="1:13" x14ac:dyDescent="0.3">
      <c r="A1359" s="61" t="s">
        <v>2185</v>
      </c>
      <c r="B1359" s="62" t="s">
        <v>1331</v>
      </c>
      <c r="C1359" s="62" t="s">
        <v>1332</v>
      </c>
      <c r="D1359" s="63">
        <v>45444</v>
      </c>
      <c r="E1359" s="63">
        <v>46173</v>
      </c>
      <c r="F1359" s="62" t="s">
        <v>1930</v>
      </c>
      <c r="G1359" s="62" t="s">
        <v>546</v>
      </c>
      <c r="H1359" s="62" t="s">
        <v>1189</v>
      </c>
      <c r="I1359" s="62" t="s">
        <v>2443</v>
      </c>
      <c r="J1359" s="62" t="s">
        <v>558</v>
      </c>
      <c r="K1359" s="62" t="s">
        <v>426</v>
      </c>
      <c r="L1359" s="62" t="s">
        <v>2421</v>
      </c>
      <c r="M1359" s="66" t="s">
        <v>1972</v>
      </c>
    </row>
    <row r="1360" spans="1:13" x14ac:dyDescent="0.3">
      <c r="A1360" s="61" t="s">
        <v>2185</v>
      </c>
      <c r="B1360" s="62" t="s">
        <v>1331</v>
      </c>
      <c r="C1360" s="62" t="s">
        <v>1332</v>
      </c>
      <c r="D1360" s="63">
        <v>45444</v>
      </c>
      <c r="E1360" s="63">
        <v>46173</v>
      </c>
      <c r="F1360" s="62" t="s">
        <v>280</v>
      </c>
      <c r="G1360" s="62" t="s">
        <v>280</v>
      </c>
      <c r="H1360" s="62" t="s">
        <v>1189</v>
      </c>
      <c r="I1360" s="62" t="s">
        <v>2443</v>
      </c>
      <c r="J1360" s="62" t="s">
        <v>558</v>
      </c>
      <c r="K1360" s="62" t="s">
        <v>426</v>
      </c>
      <c r="L1360" s="62" t="s">
        <v>2421</v>
      </c>
      <c r="M1360" s="66" t="s">
        <v>1972</v>
      </c>
    </row>
    <row r="1361" spans="1:13" x14ac:dyDescent="0.3">
      <c r="A1361" s="61" t="s">
        <v>2185</v>
      </c>
      <c r="B1361" s="62" t="s">
        <v>1331</v>
      </c>
      <c r="C1361" s="62" t="s">
        <v>1332</v>
      </c>
      <c r="D1361" s="63">
        <v>45444</v>
      </c>
      <c r="E1361" s="63">
        <v>46173</v>
      </c>
      <c r="F1361" s="62" t="s">
        <v>280</v>
      </c>
      <c r="G1361" s="62" t="s">
        <v>406</v>
      </c>
      <c r="H1361" s="62" t="s">
        <v>1189</v>
      </c>
      <c r="I1361" s="62" t="s">
        <v>2443</v>
      </c>
      <c r="J1361" s="62" t="s">
        <v>558</v>
      </c>
      <c r="K1361" s="62" t="s">
        <v>426</v>
      </c>
      <c r="L1361" s="62" t="s">
        <v>2421</v>
      </c>
      <c r="M1361" s="66" t="s">
        <v>1972</v>
      </c>
    </row>
    <row r="1362" spans="1:13" x14ac:dyDescent="0.3">
      <c r="A1362" s="61" t="s">
        <v>2185</v>
      </c>
      <c r="B1362" s="62" t="s">
        <v>1331</v>
      </c>
      <c r="C1362" s="62" t="s">
        <v>1332</v>
      </c>
      <c r="D1362" s="63">
        <v>45444</v>
      </c>
      <c r="E1362" s="63">
        <v>46173</v>
      </c>
      <c r="F1362" s="62" t="s">
        <v>1948</v>
      </c>
      <c r="G1362" s="62" t="s">
        <v>368</v>
      </c>
      <c r="H1362" s="62" t="s">
        <v>1189</v>
      </c>
      <c r="I1362" s="62" t="s">
        <v>2443</v>
      </c>
      <c r="J1362" s="62" t="s">
        <v>558</v>
      </c>
      <c r="K1362" s="62" t="s">
        <v>426</v>
      </c>
      <c r="L1362" s="62" t="s">
        <v>2421</v>
      </c>
      <c r="M1362" s="66" t="s">
        <v>1972</v>
      </c>
    </row>
    <row r="1363" spans="1:13" x14ac:dyDescent="0.3">
      <c r="A1363" s="61" t="s">
        <v>2185</v>
      </c>
      <c r="B1363" s="62" t="s">
        <v>1331</v>
      </c>
      <c r="C1363" s="62" t="s">
        <v>1332</v>
      </c>
      <c r="D1363" s="63">
        <v>45444</v>
      </c>
      <c r="E1363" s="63">
        <v>46173</v>
      </c>
      <c r="F1363" s="62" t="s">
        <v>1948</v>
      </c>
      <c r="G1363" s="62" t="s">
        <v>369</v>
      </c>
      <c r="H1363" s="62" t="s">
        <v>1189</v>
      </c>
      <c r="I1363" s="62" t="s">
        <v>2443</v>
      </c>
      <c r="J1363" s="62" t="s">
        <v>558</v>
      </c>
      <c r="K1363" s="62" t="s">
        <v>426</v>
      </c>
      <c r="L1363" s="62" t="s">
        <v>2421</v>
      </c>
      <c r="M1363" s="66" t="s">
        <v>1972</v>
      </c>
    </row>
    <row r="1364" spans="1:13" x14ac:dyDescent="0.3">
      <c r="A1364" s="61" t="s">
        <v>2185</v>
      </c>
      <c r="B1364" s="62" t="s">
        <v>1331</v>
      </c>
      <c r="C1364" s="62" t="s">
        <v>1332</v>
      </c>
      <c r="D1364" s="63">
        <v>45444</v>
      </c>
      <c r="E1364" s="63">
        <v>46173</v>
      </c>
      <c r="F1364" s="62" t="s">
        <v>1959</v>
      </c>
      <c r="G1364" s="62" t="s">
        <v>511</v>
      </c>
      <c r="H1364" s="62" t="s">
        <v>1189</v>
      </c>
      <c r="I1364" s="62" t="s">
        <v>2443</v>
      </c>
      <c r="J1364" s="62" t="s">
        <v>558</v>
      </c>
      <c r="K1364" s="62" t="s">
        <v>426</v>
      </c>
      <c r="L1364" s="62" t="s">
        <v>2421</v>
      </c>
      <c r="M1364" s="66" t="s">
        <v>1972</v>
      </c>
    </row>
    <row r="1365" spans="1:13" x14ac:dyDescent="0.3">
      <c r="A1365" s="61" t="s">
        <v>2185</v>
      </c>
      <c r="B1365" s="62" t="s">
        <v>1331</v>
      </c>
      <c r="C1365" s="62" t="s">
        <v>1332</v>
      </c>
      <c r="D1365" s="63">
        <v>45444</v>
      </c>
      <c r="E1365" s="63">
        <v>46173</v>
      </c>
      <c r="F1365" s="62" t="s">
        <v>1959</v>
      </c>
      <c r="G1365" s="62" t="s">
        <v>665</v>
      </c>
      <c r="H1365" s="62" t="s">
        <v>1189</v>
      </c>
      <c r="I1365" s="62" t="s">
        <v>2443</v>
      </c>
      <c r="J1365" s="62" t="s">
        <v>558</v>
      </c>
      <c r="K1365" s="62" t="s">
        <v>426</v>
      </c>
      <c r="L1365" s="62" t="s">
        <v>2421</v>
      </c>
      <c r="M1365" s="66" t="s">
        <v>1972</v>
      </c>
    </row>
    <row r="1366" spans="1:13" x14ac:dyDescent="0.3">
      <c r="A1366" s="61" t="s">
        <v>2185</v>
      </c>
      <c r="B1366" s="62" t="s">
        <v>1331</v>
      </c>
      <c r="C1366" s="62" t="s">
        <v>1332</v>
      </c>
      <c r="D1366" s="63">
        <v>45444</v>
      </c>
      <c r="E1366" s="63">
        <v>46173</v>
      </c>
      <c r="F1366" s="62" t="s">
        <v>1922</v>
      </c>
      <c r="G1366" s="62" t="s">
        <v>304</v>
      </c>
      <c r="H1366" s="62" t="s">
        <v>1189</v>
      </c>
      <c r="I1366" s="62" t="s">
        <v>2443</v>
      </c>
      <c r="J1366" s="62" t="s">
        <v>558</v>
      </c>
      <c r="K1366" s="62" t="s">
        <v>426</v>
      </c>
      <c r="L1366" s="62" t="s">
        <v>2421</v>
      </c>
      <c r="M1366" s="66" t="s">
        <v>1972</v>
      </c>
    </row>
    <row r="1367" spans="1:13" x14ac:dyDescent="0.3">
      <c r="A1367" s="61" t="s">
        <v>2185</v>
      </c>
      <c r="B1367" s="62" t="s">
        <v>1331</v>
      </c>
      <c r="C1367" s="62" t="s">
        <v>1332</v>
      </c>
      <c r="D1367" s="63">
        <v>45444</v>
      </c>
      <c r="E1367" s="63">
        <v>46173</v>
      </c>
      <c r="F1367" s="62" t="s">
        <v>1943</v>
      </c>
      <c r="G1367" s="62" t="s">
        <v>304</v>
      </c>
      <c r="H1367" s="62" t="s">
        <v>1189</v>
      </c>
      <c r="I1367" s="62" t="s">
        <v>2443</v>
      </c>
      <c r="J1367" s="62" t="s">
        <v>558</v>
      </c>
      <c r="K1367" s="62" t="s">
        <v>426</v>
      </c>
      <c r="L1367" s="62" t="s">
        <v>2421</v>
      </c>
      <c r="M1367" s="66" t="s">
        <v>1972</v>
      </c>
    </row>
    <row r="1368" spans="1:13" x14ac:dyDescent="0.3">
      <c r="A1368" s="61" t="s">
        <v>2185</v>
      </c>
      <c r="B1368" s="62" t="s">
        <v>1331</v>
      </c>
      <c r="C1368" s="62" t="s">
        <v>1332</v>
      </c>
      <c r="D1368" s="63">
        <v>45444</v>
      </c>
      <c r="E1368" s="63">
        <v>46173</v>
      </c>
      <c r="F1368" s="62" t="s">
        <v>1961</v>
      </c>
      <c r="G1368" s="62" t="s">
        <v>634</v>
      </c>
      <c r="H1368" s="62" t="s">
        <v>1189</v>
      </c>
      <c r="I1368" s="62" t="s">
        <v>2443</v>
      </c>
      <c r="J1368" s="62" t="s">
        <v>558</v>
      </c>
      <c r="K1368" s="62" t="s">
        <v>426</v>
      </c>
      <c r="L1368" s="62" t="s">
        <v>2421</v>
      </c>
      <c r="M1368" s="66" t="s">
        <v>1972</v>
      </c>
    </row>
    <row r="1369" spans="1:13" x14ac:dyDescent="0.3">
      <c r="A1369" s="61" t="s">
        <v>2185</v>
      </c>
      <c r="B1369" s="62" t="s">
        <v>1331</v>
      </c>
      <c r="C1369" s="62" t="s">
        <v>1332</v>
      </c>
      <c r="D1369" s="63">
        <v>45444</v>
      </c>
      <c r="E1369" s="63">
        <v>46173</v>
      </c>
      <c r="F1369" s="62" t="s">
        <v>1936</v>
      </c>
      <c r="G1369" s="62" t="s">
        <v>730</v>
      </c>
      <c r="H1369" s="62" t="s">
        <v>373</v>
      </c>
      <c r="I1369" s="62" t="s">
        <v>2443</v>
      </c>
      <c r="J1369" s="62" t="s">
        <v>558</v>
      </c>
      <c r="K1369" s="62" t="s">
        <v>426</v>
      </c>
      <c r="L1369" s="62" t="s">
        <v>2421</v>
      </c>
      <c r="M1369" s="66" t="s">
        <v>1972</v>
      </c>
    </row>
    <row r="1370" spans="1:13" x14ac:dyDescent="0.3">
      <c r="A1370" s="61" t="s">
        <v>2185</v>
      </c>
      <c r="B1370" s="62" t="s">
        <v>1331</v>
      </c>
      <c r="C1370" s="62" t="s">
        <v>1332</v>
      </c>
      <c r="D1370" s="63">
        <v>45444</v>
      </c>
      <c r="E1370" s="63">
        <v>46173</v>
      </c>
      <c r="F1370" s="62" t="s">
        <v>1936</v>
      </c>
      <c r="G1370" s="62" t="s">
        <v>749</v>
      </c>
      <c r="H1370" s="62" t="s">
        <v>373</v>
      </c>
      <c r="I1370" s="62" t="s">
        <v>2443</v>
      </c>
      <c r="J1370" s="62" t="s">
        <v>558</v>
      </c>
      <c r="K1370" s="62" t="s">
        <v>426</v>
      </c>
      <c r="L1370" s="62" t="s">
        <v>2421</v>
      </c>
      <c r="M1370" s="66" t="s">
        <v>1972</v>
      </c>
    </row>
    <row r="1371" spans="1:13" x14ac:dyDescent="0.3">
      <c r="A1371" s="61" t="s">
        <v>2185</v>
      </c>
      <c r="B1371" s="62" t="s">
        <v>1331</v>
      </c>
      <c r="C1371" s="62" t="s">
        <v>1332</v>
      </c>
      <c r="D1371" s="63">
        <v>45444</v>
      </c>
      <c r="E1371" s="63">
        <v>46173</v>
      </c>
      <c r="F1371" s="62" t="s">
        <v>1936</v>
      </c>
      <c r="G1371" s="62" t="s">
        <v>604</v>
      </c>
      <c r="H1371" s="62" t="s">
        <v>373</v>
      </c>
      <c r="I1371" s="62" t="s">
        <v>2443</v>
      </c>
      <c r="J1371" s="62" t="s">
        <v>558</v>
      </c>
      <c r="K1371" s="62" t="s">
        <v>426</v>
      </c>
      <c r="L1371" s="62" t="s">
        <v>2421</v>
      </c>
      <c r="M1371" s="66" t="s">
        <v>1972</v>
      </c>
    </row>
    <row r="1372" spans="1:13" x14ac:dyDescent="0.3">
      <c r="A1372" s="61" t="s">
        <v>2185</v>
      </c>
      <c r="B1372" s="62" t="s">
        <v>1331</v>
      </c>
      <c r="C1372" s="62" t="s">
        <v>1332</v>
      </c>
      <c r="D1372" s="63">
        <v>45444</v>
      </c>
      <c r="E1372" s="63">
        <v>46173</v>
      </c>
      <c r="F1372" s="62" t="s">
        <v>1936</v>
      </c>
      <c r="G1372" s="62" t="s">
        <v>750</v>
      </c>
      <c r="H1372" s="62" t="s">
        <v>373</v>
      </c>
      <c r="I1372" s="62" t="s">
        <v>2443</v>
      </c>
      <c r="J1372" s="62" t="s">
        <v>558</v>
      </c>
      <c r="K1372" s="62" t="s">
        <v>426</v>
      </c>
      <c r="L1372" s="62" t="s">
        <v>2421</v>
      </c>
      <c r="M1372" s="66" t="s">
        <v>1972</v>
      </c>
    </row>
    <row r="1373" spans="1:13" x14ac:dyDescent="0.3">
      <c r="A1373" s="61" t="s">
        <v>2185</v>
      </c>
      <c r="B1373" s="62" t="s">
        <v>1331</v>
      </c>
      <c r="C1373" s="62" t="s">
        <v>1332</v>
      </c>
      <c r="D1373" s="63">
        <v>45444</v>
      </c>
      <c r="E1373" s="63">
        <v>46173</v>
      </c>
      <c r="F1373" s="62" t="s">
        <v>1936</v>
      </c>
      <c r="G1373" s="62" t="s">
        <v>411</v>
      </c>
      <c r="H1373" s="62" t="s">
        <v>373</v>
      </c>
      <c r="I1373" s="62" t="s">
        <v>2443</v>
      </c>
      <c r="J1373" s="62" t="s">
        <v>558</v>
      </c>
      <c r="K1373" s="62" t="s">
        <v>426</v>
      </c>
      <c r="L1373" s="62" t="s">
        <v>2421</v>
      </c>
      <c r="M1373" s="66" t="s">
        <v>1972</v>
      </c>
    </row>
    <row r="1374" spans="1:13" x14ac:dyDescent="0.3">
      <c r="A1374" s="61" t="s">
        <v>2185</v>
      </c>
      <c r="B1374" s="62" t="s">
        <v>1331</v>
      </c>
      <c r="C1374" s="62" t="s">
        <v>1332</v>
      </c>
      <c r="D1374" s="63">
        <v>45444</v>
      </c>
      <c r="E1374" s="63">
        <v>46173</v>
      </c>
      <c r="F1374" s="62" t="s">
        <v>1930</v>
      </c>
      <c r="G1374" s="62" t="s">
        <v>723</v>
      </c>
      <c r="H1374" s="62" t="s">
        <v>373</v>
      </c>
      <c r="I1374" s="62" t="s">
        <v>2443</v>
      </c>
      <c r="J1374" s="62" t="s">
        <v>558</v>
      </c>
      <c r="K1374" s="62" t="s">
        <v>426</v>
      </c>
      <c r="L1374" s="62" t="s">
        <v>2421</v>
      </c>
      <c r="M1374" s="66" t="s">
        <v>1972</v>
      </c>
    </row>
    <row r="1375" spans="1:13" x14ac:dyDescent="0.3">
      <c r="A1375" s="61" t="s">
        <v>2185</v>
      </c>
      <c r="B1375" s="62" t="s">
        <v>1331</v>
      </c>
      <c r="C1375" s="62" t="s">
        <v>1332</v>
      </c>
      <c r="D1375" s="63">
        <v>45444</v>
      </c>
      <c r="E1375" s="63">
        <v>46173</v>
      </c>
      <c r="F1375" s="62" t="s">
        <v>1930</v>
      </c>
      <c r="G1375" s="62" t="s">
        <v>546</v>
      </c>
      <c r="H1375" s="62" t="s">
        <v>373</v>
      </c>
      <c r="I1375" s="62" t="s">
        <v>2443</v>
      </c>
      <c r="J1375" s="62" t="s">
        <v>558</v>
      </c>
      <c r="K1375" s="62" t="s">
        <v>426</v>
      </c>
      <c r="L1375" s="62" t="s">
        <v>2421</v>
      </c>
      <c r="M1375" s="66" t="s">
        <v>1972</v>
      </c>
    </row>
    <row r="1376" spans="1:13" x14ac:dyDescent="0.3">
      <c r="A1376" s="61" t="s">
        <v>2185</v>
      </c>
      <c r="B1376" s="62" t="s">
        <v>1331</v>
      </c>
      <c r="C1376" s="62" t="s">
        <v>1332</v>
      </c>
      <c r="D1376" s="63">
        <v>45444</v>
      </c>
      <c r="E1376" s="63">
        <v>46173</v>
      </c>
      <c r="F1376" s="62" t="s">
        <v>280</v>
      </c>
      <c r="G1376" s="62" t="s">
        <v>280</v>
      </c>
      <c r="H1376" s="62" t="s">
        <v>373</v>
      </c>
      <c r="I1376" s="62" t="s">
        <v>2443</v>
      </c>
      <c r="J1376" s="62" t="s">
        <v>558</v>
      </c>
      <c r="K1376" s="62" t="s">
        <v>426</v>
      </c>
      <c r="L1376" s="62" t="s">
        <v>2421</v>
      </c>
      <c r="M1376" s="66" t="s">
        <v>1972</v>
      </c>
    </row>
    <row r="1377" spans="1:13" x14ac:dyDescent="0.3">
      <c r="A1377" s="61" t="s">
        <v>2185</v>
      </c>
      <c r="B1377" s="62" t="s">
        <v>1331</v>
      </c>
      <c r="C1377" s="62" t="s">
        <v>1332</v>
      </c>
      <c r="D1377" s="63">
        <v>45444</v>
      </c>
      <c r="E1377" s="63">
        <v>46173</v>
      </c>
      <c r="F1377" s="62" t="s">
        <v>280</v>
      </c>
      <c r="G1377" s="62" t="s">
        <v>406</v>
      </c>
      <c r="H1377" s="62" t="s">
        <v>373</v>
      </c>
      <c r="I1377" s="62" t="s">
        <v>2443</v>
      </c>
      <c r="J1377" s="62" t="s">
        <v>558</v>
      </c>
      <c r="K1377" s="62" t="s">
        <v>426</v>
      </c>
      <c r="L1377" s="62" t="s">
        <v>2421</v>
      </c>
      <c r="M1377" s="66" t="s">
        <v>1972</v>
      </c>
    </row>
    <row r="1378" spans="1:13" x14ac:dyDescent="0.3">
      <c r="A1378" s="61" t="s">
        <v>2185</v>
      </c>
      <c r="B1378" s="62" t="s">
        <v>1331</v>
      </c>
      <c r="C1378" s="62" t="s">
        <v>1332</v>
      </c>
      <c r="D1378" s="63">
        <v>45444</v>
      </c>
      <c r="E1378" s="63">
        <v>46173</v>
      </c>
      <c r="F1378" s="62" t="s">
        <v>1948</v>
      </c>
      <c r="G1378" s="62" t="s">
        <v>368</v>
      </c>
      <c r="H1378" s="62" t="s">
        <v>373</v>
      </c>
      <c r="I1378" s="62" t="s">
        <v>2443</v>
      </c>
      <c r="J1378" s="62" t="s">
        <v>558</v>
      </c>
      <c r="K1378" s="62" t="s">
        <v>426</v>
      </c>
      <c r="L1378" s="62" t="s">
        <v>2421</v>
      </c>
      <c r="M1378" s="66" t="s">
        <v>1972</v>
      </c>
    </row>
    <row r="1379" spans="1:13" x14ac:dyDescent="0.3">
      <c r="A1379" s="61" t="s">
        <v>2185</v>
      </c>
      <c r="B1379" s="62" t="s">
        <v>1331</v>
      </c>
      <c r="C1379" s="62" t="s">
        <v>1332</v>
      </c>
      <c r="D1379" s="63">
        <v>45444</v>
      </c>
      <c r="E1379" s="63">
        <v>46173</v>
      </c>
      <c r="F1379" s="62" t="s">
        <v>1948</v>
      </c>
      <c r="G1379" s="62" t="s">
        <v>369</v>
      </c>
      <c r="H1379" s="62" t="s">
        <v>373</v>
      </c>
      <c r="I1379" s="62" t="s">
        <v>2443</v>
      </c>
      <c r="J1379" s="62" t="s">
        <v>558</v>
      </c>
      <c r="K1379" s="62" t="s">
        <v>426</v>
      </c>
      <c r="L1379" s="62" t="s">
        <v>2421</v>
      </c>
      <c r="M1379" s="66" t="s">
        <v>1972</v>
      </c>
    </row>
    <row r="1380" spans="1:13" x14ac:dyDescent="0.3">
      <c r="A1380" s="61" t="s">
        <v>2185</v>
      </c>
      <c r="B1380" s="62" t="s">
        <v>1331</v>
      </c>
      <c r="C1380" s="62" t="s">
        <v>1332</v>
      </c>
      <c r="D1380" s="63">
        <v>45444</v>
      </c>
      <c r="E1380" s="63">
        <v>46173</v>
      </c>
      <c r="F1380" s="62" t="s">
        <v>1959</v>
      </c>
      <c r="G1380" s="62" t="s">
        <v>511</v>
      </c>
      <c r="H1380" s="62" t="s">
        <v>373</v>
      </c>
      <c r="I1380" s="62" t="s">
        <v>2443</v>
      </c>
      <c r="J1380" s="62" t="s">
        <v>558</v>
      </c>
      <c r="K1380" s="62" t="s">
        <v>426</v>
      </c>
      <c r="L1380" s="62" t="s">
        <v>2421</v>
      </c>
      <c r="M1380" s="66" t="s">
        <v>1972</v>
      </c>
    </row>
    <row r="1381" spans="1:13" x14ac:dyDescent="0.3">
      <c r="A1381" s="61" t="s">
        <v>2185</v>
      </c>
      <c r="B1381" s="62" t="s">
        <v>1331</v>
      </c>
      <c r="C1381" s="62" t="s">
        <v>1332</v>
      </c>
      <c r="D1381" s="63">
        <v>45444</v>
      </c>
      <c r="E1381" s="63">
        <v>46173</v>
      </c>
      <c r="F1381" s="62" t="s">
        <v>1959</v>
      </c>
      <c r="G1381" s="62" t="s">
        <v>665</v>
      </c>
      <c r="H1381" s="62" t="s">
        <v>373</v>
      </c>
      <c r="I1381" s="62" t="s">
        <v>2443</v>
      </c>
      <c r="J1381" s="62" t="s">
        <v>558</v>
      </c>
      <c r="K1381" s="62" t="s">
        <v>426</v>
      </c>
      <c r="L1381" s="62" t="s">
        <v>2421</v>
      </c>
      <c r="M1381" s="66" t="s">
        <v>1972</v>
      </c>
    </row>
    <row r="1382" spans="1:13" x14ac:dyDescent="0.3">
      <c r="A1382" s="61" t="s">
        <v>2185</v>
      </c>
      <c r="B1382" s="62" t="s">
        <v>1331</v>
      </c>
      <c r="C1382" s="62" t="s">
        <v>1332</v>
      </c>
      <c r="D1382" s="63">
        <v>45444</v>
      </c>
      <c r="E1382" s="63">
        <v>46173</v>
      </c>
      <c r="F1382" s="62" t="s">
        <v>1922</v>
      </c>
      <c r="G1382" s="62" t="s">
        <v>304</v>
      </c>
      <c r="H1382" s="62" t="s">
        <v>373</v>
      </c>
      <c r="I1382" s="62" t="s">
        <v>2443</v>
      </c>
      <c r="J1382" s="62" t="s">
        <v>558</v>
      </c>
      <c r="K1382" s="62" t="s">
        <v>426</v>
      </c>
      <c r="L1382" s="62" t="s">
        <v>2421</v>
      </c>
      <c r="M1382" s="66" t="s">
        <v>1972</v>
      </c>
    </row>
    <row r="1383" spans="1:13" x14ac:dyDescent="0.3">
      <c r="A1383" s="61" t="s">
        <v>2185</v>
      </c>
      <c r="B1383" s="62" t="s">
        <v>1331</v>
      </c>
      <c r="C1383" s="62" t="s">
        <v>1332</v>
      </c>
      <c r="D1383" s="63">
        <v>45444</v>
      </c>
      <c r="E1383" s="63">
        <v>46173</v>
      </c>
      <c r="F1383" s="62" t="s">
        <v>1943</v>
      </c>
      <c r="G1383" s="62" t="s">
        <v>304</v>
      </c>
      <c r="H1383" s="62" t="s">
        <v>373</v>
      </c>
      <c r="I1383" s="62" t="s">
        <v>2443</v>
      </c>
      <c r="J1383" s="62" t="s">
        <v>558</v>
      </c>
      <c r="K1383" s="62" t="s">
        <v>426</v>
      </c>
      <c r="L1383" s="62" t="s">
        <v>2421</v>
      </c>
      <c r="M1383" s="66" t="s">
        <v>1972</v>
      </c>
    </row>
    <row r="1384" spans="1:13" x14ac:dyDescent="0.3">
      <c r="A1384" s="61" t="s">
        <v>2185</v>
      </c>
      <c r="B1384" s="62" t="s">
        <v>1331</v>
      </c>
      <c r="C1384" s="62" t="s">
        <v>1332</v>
      </c>
      <c r="D1384" s="63">
        <v>45444</v>
      </c>
      <c r="E1384" s="63">
        <v>46173</v>
      </c>
      <c r="F1384" s="62" t="s">
        <v>1961</v>
      </c>
      <c r="G1384" s="62" t="s">
        <v>634</v>
      </c>
      <c r="H1384" s="62" t="s">
        <v>373</v>
      </c>
      <c r="I1384" s="62" t="s">
        <v>2443</v>
      </c>
      <c r="J1384" s="62" t="s">
        <v>558</v>
      </c>
      <c r="K1384" s="62" t="s">
        <v>426</v>
      </c>
      <c r="L1384" s="62" t="s">
        <v>2421</v>
      </c>
      <c r="M1384" s="66" t="s">
        <v>1972</v>
      </c>
    </row>
    <row r="1385" spans="1:13" x14ac:dyDescent="0.3">
      <c r="A1385" s="61" t="s">
        <v>2186</v>
      </c>
      <c r="B1385" s="62" t="s">
        <v>1334</v>
      </c>
      <c r="C1385" s="62" t="s">
        <v>1335</v>
      </c>
      <c r="D1385" s="63">
        <v>45689</v>
      </c>
      <c r="E1385" s="63">
        <v>46053</v>
      </c>
      <c r="F1385" s="62" t="s">
        <v>287</v>
      </c>
      <c r="G1385" s="62" t="s">
        <v>930</v>
      </c>
      <c r="H1385" s="62" t="s">
        <v>932</v>
      </c>
      <c r="I1385" s="62" t="s">
        <v>1518</v>
      </c>
      <c r="J1385" s="62" t="s">
        <v>558</v>
      </c>
      <c r="K1385" s="62" t="s">
        <v>426</v>
      </c>
      <c r="L1385" s="62" t="s">
        <v>2421</v>
      </c>
      <c r="M1385" s="66" t="s">
        <v>1969</v>
      </c>
    </row>
    <row r="1386" spans="1:13" x14ac:dyDescent="0.3">
      <c r="A1386" s="61" t="s">
        <v>2186</v>
      </c>
      <c r="B1386" s="62" t="s">
        <v>1334</v>
      </c>
      <c r="C1386" s="62" t="s">
        <v>1335</v>
      </c>
      <c r="D1386" s="63">
        <v>45689</v>
      </c>
      <c r="E1386" s="63">
        <v>46053</v>
      </c>
      <c r="F1386" s="62" t="s">
        <v>287</v>
      </c>
      <c r="G1386" s="62" t="s">
        <v>554</v>
      </c>
      <c r="H1386" s="62" t="s">
        <v>932</v>
      </c>
      <c r="I1386" s="62" t="s">
        <v>1518</v>
      </c>
      <c r="J1386" s="62" t="s">
        <v>558</v>
      </c>
      <c r="K1386" s="62" t="s">
        <v>426</v>
      </c>
      <c r="L1386" s="62" t="s">
        <v>2421</v>
      </c>
      <c r="M1386" s="66" t="s">
        <v>1969</v>
      </c>
    </row>
    <row r="1387" spans="1:13" x14ac:dyDescent="0.3">
      <c r="A1387" s="61" t="s">
        <v>2187</v>
      </c>
      <c r="B1387" s="62" t="s">
        <v>1336</v>
      </c>
      <c r="C1387" s="62" t="s">
        <v>1337</v>
      </c>
      <c r="D1387" s="63">
        <v>45292</v>
      </c>
      <c r="E1387" s="63">
        <v>46112</v>
      </c>
      <c r="F1387" s="62" t="s">
        <v>350</v>
      </c>
      <c r="G1387" s="62" t="s">
        <v>304</v>
      </c>
      <c r="H1387" s="62" t="s">
        <v>549</v>
      </c>
      <c r="I1387" s="62" t="s">
        <v>2443</v>
      </c>
      <c r="J1387" s="62" t="s">
        <v>469</v>
      </c>
      <c r="K1387" s="62" t="s">
        <v>315</v>
      </c>
      <c r="L1387" s="62" t="s">
        <v>2421</v>
      </c>
      <c r="M1387" s="66" t="s">
        <v>1969</v>
      </c>
    </row>
    <row r="1388" spans="1:13" x14ac:dyDescent="0.3">
      <c r="A1388" s="61" t="s">
        <v>2188</v>
      </c>
      <c r="B1388" s="62" t="s">
        <v>1338</v>
      </c>
      <c r="C1388" s="62" t="s">
        <v>1339</v>
      </c>
      <c r="D1388" s="63">
        <v>45474</v>
      </c>
      <c r="E1388" s="63">
        <v>46234</v>
      </c>
      <c r="F1388" s="62" t="s">
        <v>286</v>
      </c>
      <c r="G1388" s="62" t="s">
        <v>672</v>
      </c>
      <c r="H1388" s="62" t="s">
        <v>1071</v>
      </c>
      <c r="I1388" s="62" t="s">
        <v>825</v>
      </c>
      <c r="J1388" s="62" t="s">
        <v>378</v>
      </c>
      <c r="K1388" s="62" t="s">
        <v>371</v>
      </c>
      <c r="L1388" s="62" t="s">
        <v>2421</v>
      </c>
      <c r="M1388" s="66" t="s">
        <v>1972</v>
      </c>
    </row>
    <row r="1389" spans="1:13" x14ac:dyDescent="0.3">
      <c r="A1389" s="61" t="s">
        <v>2188</v>
      </c>
      <c r="B1389" s="62" t="s">
        <v>1338</v>
      </c>
      <c r="C1389" s="62" t="s">
        <v>1339</v>
      </c>
      <c r="D1389" s="63">
        <v>45474</v>
      </c>
      <c r="E1389" s="63">
        <v>46234</v>
      </c>
      <c r="F1389" s="62" t="s">
        <v>286</v>
      </c>
      <c r="G1389" s="62" t="s">
        <v>811</v>
      </c>
      <c r="H1389" s="62" t="s">
        <v>1071</v>
      </c>
      <c r="I1389" s="62" t="s">
        <v>825</v>
      </c>
      <c r="J1389" s="62" t="s">
        <v>378</v>
      </c>
      <c r="K1389" s="62" t="s">
        <v>371</v>
      </c>
      <c r="L1389" s="62" t="s">
        <v>2421</v>
      </c>
      <c r="M1389" s="66" t="s">
        <v>1972</v>
      </c>
    </row>
    <row r="1390" spans="1:13" x14ac:dyDescent="0.3">
      <c r="A1390" s="61" t="s">
        <v>2188</v>
      </c>
      <c r="B1390" s="62" t="s">
        <v>1338</v>
      </c>
      <c r="C1390" s="62" t="s">
        <v>1339</v>
      </c>
      <c r="D1390" s="63">
        <v>45474</v>
      </c>
      <c r="E1390" s="63">
        <v>46234</v>
      </c>
      <c r="F1390" s="62" t="s">
        <v>1930</v>
      </c>
      <c r="G1390" s="62" t="s">
        <v>1221</v>
      </c>
      <c r="H1390" s="62" t="s">
        <v>1071</v>
      </c>
      <c r="I1390" s="62" t="s">
        <v>825</v>
      </c>
      <c r="J1390" s="62" t="s">
        <v>378</v>
      </c>
      <c r="K1390" s="62" t="s">
        <v>371</v>
      </c>
      <c r="L1390" s="62" t="s">
        <v>2421</v>
      </c>
      <c r="M1390" s="66" t="s">
        <v>1972</v>
      </c>
    </row>
    <row r="1391" spans="1:13" x14ac:dyDescent="0.3">
      <c r="A1391" s="61" t="s">
        <v>2188</v>
      </c>
      <c r="B1391" s="62" t="s">
        <v>1338</v>
      </c>
      <c r="C1391" s="62" t="s">
        <v>1339</v>
      </c>
      <c r="D1391" s="63">
        <v>45474</v>
      </c>
      <c r="E1391" s="63">
        <v>46234</v>
      </c>
      <c r="F1391" s="62" t="s">
        <v>1948</v>
      </c>
      <c r="G1391" s="62" t="s">
        <v>368</v>
      </c>
      <c r="H1391" s="62" t="s">
        <v>1071</v>
      </c>
      <c r="I1391" s="62" t="s">
        <v>825</v>
      </c>
      <c r="J1391" s="62" t="s">
        <v>378</v>
      </c>
      <c r="K1391" s="62" t="s">
        <v>371</v>
      </c>
      <c r="L1391" s="62" t="s">
        <v>2421</v>
      </c>
      <c r="M1391" s="66" t="s">
        <v>1972</v>
      </c>
    </row>
    <row r="1392" spans="1:13" x14ac:dyDescent="0.3">
      <c r="A1392" s="61" t="s">
        <v>2189</v>
      </c>
      <c r="B1392" s="62" t="s">
        <v>1340</v>
      </c>
      <c r="C1392" s="62" t="s">
        <v>1341</v>
      </c>
      <c r="D1392" s="63">
        <v>45474</v>
      </c>
      <c r="E1392" s="63">
        <v>46568</v>
      </c>
      <c r="F1392" s="62" t="s">
        <v>287</v>
      </c>
      <c r="G1392" s="62" t="s">
        <v>1342</v>
      </c>
      <c r="H1392" s="62" t="s">
        <v>363</v>
      </c>
      <c r="I1392" s="62" t="s">
        <v>2443</v>
      </c>
      <c r="J1392" s="62" t="s">
        <v>314</v>
      </c>
      <c r="K1392" s="62" t="s">
        <v>315</v>
      </c>
      <c r="L1392" s="62" t="s">
        <v>2421</v>
      </c>
      <c r="M1392" s="66" t="s">
        <v>1969</v>
      </c>
    </row>
    <row r="1393" spans="1:13" x14ac:dyDescent="0.3">
      <c r="A1393" s="61" t="s">
        <v>2189</v>
      </c>
      <c r="B1393" s="62" t="s">
        <v>1340</v>
      </c>
      <c r="C1393" s="62" t="s">
        <v>1341</v>
      </c>
      <c r="D1393" s="63">
        <v>45474</v>
      </c>
      <c r="E1393" s="63">
        <v>46568</v>
      </c>
      <c r="F1393" s="62" t="s">
        <v>287</v>
      </c>
      <c r="G1393" s="62" t="s">
        <v>1343</v>
      </c>
      <c r="H1393" s="62" t="s">
        <v>363</v>
      </c>
      <c r="I1393" s="62" t="s">
        <v>2443</v>
      </c>
      <c r="J1393" s="62" t="s">
        <v>314</v>
      </c>
      <c r="K1393" s="62" t="s">
        <v>315</v>
      </c>
      <c r="L1393" s="62" t="s">
        <v>2421</v>
      </c>
      <c r="M1393" s="66" t="s">
        <v>1969</v>
      </c>
    </row>
    <row r="1394" spans="1:13" x14ac:dyDescent="0.3">
      <c r="A1394" s="61" t="s">
        <v>2189</v>
      </c>
      <c r="B1394" s="62" t="s">
        <v>1340</v>
      </c>
      <c r="C1394" s="62" t="s">
        <v>1341</v>
      </c>
      <c r="D1394" s="63">
        <v>45474</v>
      </c>
      <c r="E1394" s="63">
        <v>46568</v>
      </c>
      <c r="F1394" s="62" t="s">
        <v>287</v>
      </c>
      <c r="G1394" s="62" t="s">
        <v>1344</v>
      </c>
      <c r="H1394" s="62" t="s">
        <v>363</v>
      </c>
      <c r="I1394" s="62" t="s">
        <v>2443</v>
      </c>
      <c r="J1394" s="62" t="s">
        <v>314</v>
      </c>
      <c r="K1394" s="62" t="s">
        <v>315</v>
      </c>
      <c r="L1394" s="62" t="s">
        <v>2421</v>
      </c>
      <c r="M1394" s="66" t="s">
        <v>1969</v>
      </c>
    </row>
    <row r="1395" spans="1:13" x14ac:dyDescent="0.3">
      <c r="A1395" s="61" t="s">
        <v>2189</v>
      </c>
      <c r="B1395" s="62" t="s">
        <v>1340</v>
      </c>
      <c r="C1395" s="62" t="s">
        <v>1341</v>
      </c>
      <c r="D1395" s="63">
        <v>45474</v>
      </c>
      <c r="E1395" s="63">
        <v>46568</v>
      </c>
      <c r="F1395" s="62" t="s">
        <v>287</v>
      </c>
      <c r="G1395" s="62" t="s">
        <v>964</v>
      </c>
      <c r="H1395" s="62" t="s">
        <v>363</v>
      </c>
      <c r="I1395" s="62" t="s">
        <v>2443</v>
      </c>
      <c r="J1395" s="62" t="s">
        <v>314</v>
      </c>
      <c r="K1395" s="62" t="s">
        <v>315</v>
      </c>
      <c r="L1395" s="62" t="s">
        <v>2421</v>
      </c>
      <c r="M1395" s="66" t="s">
        <v>1969</v>
      </c>
    </row>
    <row r="1396" spans="1:13" x14ac:dyDescent="0.3">
      <c r="A1396" s="61" t="s">
        <v>2189</v>
      </c>
      <c r="B1396" s="62" t="s">
        <v>1340</v>
      </c>
      <c r="C1396" s="62" t="s">
        <v>1341</v>
      </c>
      <c r="D1396" s="63">
        <v>45474</v>
      </c>
      <c r="E1396" s="63">
        <v>46568</v>
      </c>
      <c r="F1396" s="62" t="s">
        <v>287</v>
      </c>
      <c r="G1396" s="62" t="s">
        <v>554</v>
      </c>
      <c r="H1396" s="62" t="s">
        <v>363</v>
      </c>
      <c r="I1396" s="62" t="s">
        <v>2443</v>
      </c>
      <c r="J1396" s="62" t="s">
        <v>314</v>
      </c>
      <c r="K1396" s="62" t="s">
        <v>315</v>
      </c>
      <c r="L1396" s="62" t="s">
        <v>2421</v>
      </c>
      <c r="M1396" s="66" t="s">
        <v>1969</v>
      </c>
    </row>
    <row r="1397" spans="1:13" x14ac:dyDescent="0.3">
      <c r="A1397" s="61" t="s">
        <v>2189</v>
      </c>
      <c r="B1397" s="62" t="s">
        <v>1340</v>
      </c>
      <c r="C1397" s="62" t="s">
        <v>1341</v>
      </c>
      <c r="D1397" s="63">
        <v>45474</v>
      </c>
      <c r="E1397" s="63">
        <v>46568</v>
      </c>
      <c r="F1397" s="62" t="s">
        <v>287</v>
      </c>
      <c r="G1397" s="62" t="s">
        <v>933</v>
      </c>
      <c r="H1397" s="62" t="s">
        <v>363</v>
      </c>
      <c r="I1397" s="62" t="s">
        <v>2443</v>
      </c>
      <c r="J1397" s="62" t="s">
        <v>314</v>
      </c>
      <c r="K1397" s="62" t="s">
        <v>315</v>
      </c>
      <c r="L1397" s="62" t="s">
        <v>2421</v>
      </c>
      <c r="M1397" s="66" t="s">
        <v>1969</v>
      </c>
    </row>
    <row r="1398" spans="1:13" x14ac:dyDescent="0.3">
      <c r="A1398" s="61" t="s">
        <v>2189</v>
      </c>
      <c r="B1398" s="62" t="s">
        <v>1340</v>
      </c>
      <c r="C1398" s="62" t="s">
        <v>1341</v>
      </c>
      <c r="D1398" s="63">
        <v>45474</v>
      </c>
      <c r="E1398" s="63">
        <v>46568</v>
      </c>
      <c r="F1398" s="62" t="s">
        <v>287</v>
      </c>
      <c r="G1398" s="62" t="s">
        <v>786</v>
      </c>
      <c r="H1398" s="62" t="s">
        <v>363</v>
      </c>
      <c r="I1398" s="62" t="s">
        <v>2443</v>
      </c>
      <c r="J1398" s="62" t="s">
        <v>314</v>
      </c>
      <c r="K1398" s="62" t="s">
        <v>315</v>
      </c>
      <c r="L1398" s="62" t="s">
        <v>2421</v>
      </c>
      <c r="M1398" s="66" t="s">
        <v>1969</v>
      </c>
    </row>
    <row r="1399" spans="1:13" x14ac:dyDescent="0.3">
      <c r="A1399" s="61" t="s">
        <v>2189</v>
      </c>
      <c r="B1399" s="62" t="s">
        <v>1340</v>
      </c>
      <c r="C1399" s="62" t="s">
        <v>1341</v>
      </c>
      <c r="D1399" s="63">
        <v>45474</v>
      </c>
      <c r="E1399" s="63">
        <v>46568</v>
      </c>
      <c r="F1399" s="62" t="s">
        <v>287</v>
      </c>
      <c r="G1399" s="62" t="s">
        <v>1345</v>
      </c>
      <c r="H1399" s="62" t="s">
        <v>363</v>
      </c>
      <c r="I1399" s="62" t="s">
        <v>2443</v>
      </c>
      <c r="J1399" s="62" t="s">
        <v>314</v>
      </c>
      <c r="K1399" s="62" t="s">
        <v>315</v>
      </c>
      <c r="L1399" s="62" t="s">
        <v>2421</v>
      </c>
      <c r="M1399" s="66" t="s">
        <v>1969</v>
      </c>
    </row>
    <row r="1400" spans="1:13" x14ac:dyDescent="0.3">
      <c r="A1400" s="61" t="s">
        <v>2189</v>
      </c>
      <c r="B1400" s="62" t="s">
        <v>1340</v>
      </c>
      <c r="C1400" s="62" t="s">
        <v>1341</v>
      </c>
      <c r="D1400" s="63">
        <v>45474</v>
      </c>
      <c r="E1400" s="63">
        <v>46568</v>
      </c>
      <c r="F1400" s="62" t="s">
        <v>1958</v>
      </c>
      <c r="G1400" s="62" t="s">
        <v>1343</v>
      </c>
      <c r="H1400" s="62" t="s">
        <v>363</v>
      </c>
      <c r="I1400" s="62" t="s">
        <v>2443</v>
      </c>
      <c r="J1400" s="62" t="s">
        <v>314</v>
      </c>
      <c r="K1400" s="62" t="s">
        <v>315</v>
      </c>
      <c r="L1400" s="62" t="s">
        <v>2421</v>
      </c>
      <c r="M1400" s="66" t="s">
        <v>1969</v>
      </c>
    </row>
    <row r="1401" spans="1:13" x14ac:dyDescent="0.3">
      <c r="A1401" s="61" t="s">
        <v>2189</v>
      </c>
      <c r="B1401" s="62" t="s">
        <v>1340</v>
      </c>
      <c r="C1401" s="62" t="s">
        <v>1341</v>
      </c>
      <c r="D1401" s="63">
        <v>45474</v>
      </c>
      <c r="E1401" s="63">
        <v>46568</v>
      </c>
      <c r="F1401" s="62" t="s">
        <v>1958</v>
      </c>
      <c r="G1401" s="62" t="s">
        <v>517</v>
      </c>
      <c r="H1401" s="62" t="s">
        <v>363</v>
      </c>
      <c r="I1401" s="62" t="s">
        <v>2443</v>
      </c>
      <c r="J1401" s="62" t="s">
        <v>314</v>
      </c>
      <c r="K1401" s="62" t="s">
        <v>315</v>
      </c>
      <c r="L1401" s="62" t="s">
        <v>2421</v>
      </c>
      <c r="M1401" s="66" t="s">
        <v>1969</v>
      </c>
    </row>
    <row r="1402" spans="1:13" x14ac:dyDescent="0.3">
      <c r="A1402" s="61" t="s">
        <v>2189</v>
      </c>
      <c r="B1402" s="62" t="s">
        <v>1340</v>
      </c>
      <c r="C1402" s="62" t="s">
        <v>1341</v>
      </c>
      <c r="D1402" s="63">
        <v>45474</v>
      </c>
      <c r="E1402" s="63">
        <v>46568</v>
      </c>
      <c r="F1402" s="62" t="s">
        <v>1958</v>
      </c>
      <c r="G1402" s="62" t="s">
        <v>1346</v>
      </c>
      <c r="H1402" s="62" t="s">
        <v>363</v>
      </c>
      <c r="I1402" s="62" t="s">
        <v>2443</v>
      </c>
      <c r="J1402" s="62" t="s">
        <v>314</v>
      </c>
      <c r="K1402" s="62" t="s">
        <v>315</v>
      </c>
      <c r="L1402" s="62" t="s">
        <v>2421</v>
      </c>
      <c r="M1402" s="66" t="s">
        <v>1969</v>
      </c>
    </row>
    <row r="1403" spans="1:13" x14ac:dyDescent="0.3">
      <c r="A1403" s="61" t="s">
        <v>2189</v>
      </c>
      <c r="B1403" s="62" t="s">
        <v>1340</v>
      </c>
      <c r="C1403" s="62" t="s">
        <v>1341</v>
      </c>
      <c r="D1403" s="63">
        <v>45474</v>
      </c>
      <c r="E1403" s="63">
        <v>46568</v>
      </c>
      <c r="F1403" s="62" t="s">
        <v>1958</v>
      </c>
      <c r="G1403" s="62" t="s">
        <v>843</v>
      </c>
      <c r="H1403" s="62" t="s">
        <v>363</v>
      </c>
      <c r="I1403" s="62" t="s">
        <v>2443</v>
      </c>
      <c r="J1403" s="62" t="s">
        <v>314</v>
      </c>
      <c r="K1403" s="62" t="s">
        <v>315</v>
      </c>
      <c r="L1403" s="62" t="s">
        <v>2421</v>
      </c>
      <c r="M1403" s="66" t="s">
        <v>1969</v>
      </c>
    </row>
    <row r="1404" spans="1:13" x14ac:dyDescent="0.3">
      <c r="A1404" s="61" t="s">
        <v>2189</v>
      </c>
      <c r="B1404" s="62" t="s">
        <v>1340</v>
      </c>
      <c r="C1404" s="62" t="s">
        <v>1341</v>
      </c>
      <c r="D1404" s="63">
        <v>45474</v>
      </c>
      <c r="E1404" s="63">
        <v>46568</v>
      </c>
      <c r="F1404" s="62" t="s">
        <v>287</v>
      </c>
      <c r="G1404" s="62" t="s">
        <v>1342</v>
      </c>
      <c r="H1404" s="62" t="s">
        <v>2482</v>
      </c>
      <c r="I1404" s="62" t="s">
        <v>2443</v>
      </c>
      <c r="J1404" s="62" t="s">
        <v>314</v>
      </c>
      <c r="K1404" s="62" t="s">
        <v>315</v>
      </c>
      <c r="L1404" s="62" t="s">
        <v>2421</v>
      </c>
      <c r="M1404" s="66" t="s">
        <v>1969</v>
      </c>
    </row>
    <row r="1405" spans="1:13" x14ac:dyDescent="0.3">
      <c r="A1405" s="61" t="s">
        <v>2189</v>
      </c>
      <c r="B1405" s="62" t="s">
        <v>1340</v>
      </c>
      <c r="C1405" s="62" t="s">
        <v>1341</v>
      </c>
      <c r="D1405" s="63">
        <v>45474</v>
      </c>
      <c r="E1405" s="63">
        <v>46568</v>
      </c>
      <c r="F1405" s="62" t="s">
        <v>287</v>
      </c>
      <c r="G1405" s="62" t="s">
        <v>1343</v>
      </c>
      <c r="H1405" s="62" t="s">
        <v>2482</v>
      </c>
      <c r="I1405" s="62" t="s">
        <v>2443</v>
      </c>
      <c r="J1405" s="62" t="s">
        <v>314</v>
      </c>
      <c r="K1405" s="62" t="s">
        <v>315</v>
      </c>
      <c r="L1405" s="62" t="s">
        <v>2421</v>
      </c>
      <c r="M1405" s="66" t="s">
        <v>1969</v>
      </c>
    </row>
    <row r="1406" spans="1:13" x14ac:dyDescent="0.3">
      <c r="A1406" s="61" t="s">
        <v>2189</v>
      </c>
      <c r="B1406" s="62" t="s">
        <v>1340</v>
      </c>
      <c r="C1406" s="62" t="s">
        <v>1341</v>
      </c>
      <c r="D1406" s="63">
        <v>45474</v>
      </c>
      <c r="E1406" s="63">
        <v>46568</v>
      </c>
      <c r="F1406" s="62" t="s">
        <v>287</v>
      </c>
      <c r="G1406" s="62" t="s">
        <v>1344</v>
      </c>
      <c r="H1406" s="62" t="s">
        <v>2482</v>
      </c>
      <c r="I1406" s="62" t="s">
        <v>2443</v>
      </c>
      <c r="J1406" s="62" t="s">
        <v>314</v>
      </c>
      <c r="K1406" s="62" t="s">
        <v>315</v>
      </c>
      <c r="L1406" s="62" t="s">
        <v>2421</v>
      </c>
      <c r="M1406" s="66" t="s">
        <v>1969</v>
      </c>
    </row>
    <row r="1407" spans="1:13" x14ac:dyDescent="0.3">
      <c r="A1407" s="61" t="s">
        <v>2189</v>
      </c>
      <c r="B1407" s="62" t="s">
        <v>1340</v>
      </c>
      <c r="C1407" s="62" t="s">
        <v>1341</v>
      </c>
      <c r="D1407" s="63">
        <v>45474</v>
      </c>
      <c r="E1407" s="63">
        <v>46568</v>
      </c>
      <c r="F1407" s="62" t="s">
        <v>287</v>
      </c>
      <c r="G1407" s="62" t="s">
        <v>964</v>
      </c>
      <c r="H1407" s="62" t="s">
        <v>2482</v>
      </c>
      <c r="I1407" s="62" t="s">
        <v>2443</v>
      </c>
      <c r="J1407" s="62" t="s">
        <v>314</v>
      </c>
      <c r="K1407" s="62" t="s">
        <v>315</v>
      </c>
      <c r="L1407" s="62" t="s">
        <v>2421</v>
      </c>
      <c r="M1407" s="66" t="s">
        <v>1969</v>
      </c>
    </row>
    <row r="1408" spans="1:13" x14ac:dyDescent="0.3">
      <c r="A1408" s="61" t="s">
        <v>2189</v>
      </c>
      <c r="B1408" s="62" t="s">
        <v>1340</v>
      </c>
      <c r="C1408" s="62" t="s">
        <v>1341</v>
      </c>
      <c r="D1408" s="63">
        <v>45474</v>
      </c>
      <c r="E1408" s="63">
        <v>46568</v>
      </c>
      <c r="F1408" s="62" t="s">
        <v>287</v>
      </c>
      <c r="G1408" s="62" t="s">
        <v>554</v>
      </c>
      <c r="H1408" s="62" t="s">
        <v>2482</v>
      </c>
      <c r="I1408" s="62" t="s">
        <v>2443</v>
      </c>
      <c r="J1408" s="62" t="s">
        <v>314</v>
      </c>
      <c r="K1408" s="62" t="s">
        <v>315</v>
      </c>
      <c r="L1408" s="62" t="s">
        <v>2421</v>
      </c>
      <c r="M1408" s="66" t="s">
        <v>1969</v>
      </c>
    </row>
    <row r="1409" spans="1:13" x14ac:dyDescent="0.3">
      <c r="A1409" s="61" t="s">
        <v>2189</v>
      </c>
      <c r="B1409" s="62" t="s">
        <v>1340</v>
      </c>
      <c r="C1409" s="62" t="s">
        <v>1341</v>
      </c>
      <c r="D1409" s="63">
        <v>45474</v>
      </c>
      <c r="E1409" s="63">
        <v>46568</v>
      </c>
      <c r="F1409" s="62" t="s">
        <v>287</v>
      </c>
      <c r="G1409" s="62" t="s">
        <v>933</v>
      </c>
      <c r="H1409" s="62" t="s">
        <v>2482</v>
      </c>
      <c r="I1409" s="62" t="s">
        <v>2443</v>
      </c>
      <c r="J1409" s="62" t="s">
        <v>314</v>
      </c>
      <c r="K1409" s="62" t="s">
        <v>315</v>
      </c>
      <c r="L1409" s="62" t="s">
        <v>2421</v>
      </c>
      <c r="M1409" s="66" t="s">
        <v>1969</v>
      </c>
    </row>
    <row r="1410" spans="1:13" x14ac:dyDescent="0.3">
      <c r="A1410" s="61" t="s">
        <v>2189</v>
      </c>
      <c r="B1410" s="62" t="s">
        <v>1340</v>
      </c>
      <c r="C1410" s="62" t="s">
        <v>1341</v>
      </c>
      <c r="D1410" s="63">
        <v>45474</v>
      </c>
      <c r="E1410" s="63">
        <v>46568</v>
      </c>
      <c r="F1410" s="62" t="s">
        <v>287</v>
      </c>
      <c r="G1410" s="62" t="s">
        <v>786</v>
      </c>
      <c r="H1410" s="62" t="s">
        <v>2482</v>
      </c>
      <c r="I1410" s="62" t="s">
        <v>2443</v>
      </c>
      <c r="J1410" s="62" t="s">
        <v>314</v>
      </c>
      <c r="K1410" s="62" t="s">
        <v>315</v>
      </c>
      <c r="L1410" s="62" t="s">
        <v>2421</v>
      </c>
      <c r="M1410" s="66" t="s">
        <v>1969</v>
      </c>
    </row>
    <row r="1411" spans="1:13" x14ac:dyDescent="0.3">
      <c r="A1411" s="61" t="s">
        <v>2189</v>
      </c>
      <c r="B1411" s="62" t="s">
        <v>1340</v>
      </c>
      <c r="C1411" s="62" t="s">
        <v>1341</v>
      </c>
      <c r="D1411" s="63">
        <v>45474</v>
      </c>
      <c r="E1411" s="63">
        <v>46568</v>
      </c>
      <c r="F1411" s="62" t="s">
        <v>287</v>
      </c>
      <c r="G1411" s="62" t="s">
        <v>1345</v>
      </c>
      <c r="H1411" s="62" t="s">
        <v>2482</v>
      </c>
      <c r="I1411" s="62" t="s">
        <v>2443</v>
      </c>
      <c r="J1411" s="62" t="s">
        <v>314</v>
      </c>
      <c r="K1411" s="62" t="s">
        <v>315</v>
      </c>
      <c r="L1411" s="62" t="s">
        <v>2421</v>
      </c>
      <c r="M1411" s="66" t="s">
        <v>1969</v>
      </c>
    </row>
    <row r="1412" spans="1:13" x14ac:dyDescent="0.3">
      <c r="A1412" s="61" t="s">
        <v>2189</v>
      </c>
      <c r="B1412" s="62" t="s">
        <v>1340</v>
      </c>
      <c r="C1412" s="62" t="s">
        <v>1341</v>
      </c>
      <c r="D1412" s="63">
        <v>45474</v>
      </c>
      <c r="E1412" s="63">
        <v>46568</v>
      </c>
      <c r="F1412" s="62" t="s">
        <v>1958</v>
      </c>
      <c r="G1412" s="62" t="s">
        <v>1343</v>
      </c>
      <c r="H1412" s="62" t="s">
        <v>2482</v>
      </c>
      <c r="I1412" s="62" t="s">
        <v>2443</v>
      </c>
      <c r="J1412" s="62" t="s">
        <v>314</v>
      </c>
      <c r="K1412" s="62" t="s">
        <v>315</v>
      </c>
      <c r="L1412" s="62" t="s">
        <v>2421</v>
      </c>
      <c r="M1412" s="66" t="s">
        <v>1969</v>
      </c>
    </row>
    <row r="1413" spans="1:13" x14ac:dyDescent="0.3">
      <c r="A1413" s="61" t="s">
        <v>2189</v>
      </c>
      <c r="B1413" s="62" t="s">
        <v>1340</v>
      </c>
      <c r="C1413" s="62" t="s">
        <v>1341</v>
      </c>
      <c r="D1413" s="63">
        <v>45474</v>
      </c>
      <c r="E1413" s="63">
        <v>46568</v>
      </c>
      <c r="F1413" s="62" t="s">
        <v>1958</v>
      </c>
      <c r="G1413" s="62" t="s">
        <v>517</v>
      </c>
      <c r="H1413" s="62" t="s">
        <v>2482</v>
      </c>
      <c r="I1413" s="62" t="s">
        <v>2443</v>
      </c>
      <c r="J1413" s="62" t="s">
        <v>314</v>
      </c>
      <c r="K1413" s="62" t="s">
        <v>315</v>
      </c>
      <c r="L1413" s="62" t="s">
        <v>2421</v>
      </c>
      <c r="M1413" s="66" t="s">
        <v>1969</v>
      </c>
    </row>
    <row r="1414" spans="1:13" x14ac:dyDescent="0.3">
      <c r="A1414" s="61" t="s">
        <v>2189</v>
      </c>
      <c r="B1414" s="62" t="s">
        <v>1340</v>
      </c>
      <c r="C1414" s="62" t="s">
        <v>1341</v>
      </c>
      <c r="D1414" s="63">
        <v>45474</v>
      </c>
      <c r="E1414" s="63">
        <v>46568</v>
      </c>
      <c r="F1414" s="62" t="s">
        <v>1958</v>
      </c>
      <c r="G1414" s="62" t="s">
        <v>1346</v>
      </c>
      <c r="H1414" s="62" t="s">
        <v>2482</v>
      </c>
      <c r="I1414" s="62" t="s">
        <v>2443</v>
      </c>
      <c r="J1414" s="62" t="s">
        <v>314</v>
      </c>
      <c r="K1414" s="62" t="s">
        <v>315</v>
      </c>
      <c r="L1414" s="62" t="s">
        <v>2421</v>
      </c>
      <c r="M1414" s="66" t="s">
        <v>1969</v>
      </c>
    </row>
    <row r="1415" spans="1:13" x14ac:dyDescent="0.3">
      <c r="A1415" s="61" t="s">
        <v>2189</v>
      </c>
      <c r="B1415" s="62" t="s">
        <v>1340</v>
      </c>
      <c r="C1415" s="62" t="s">
        <v>1341</v>
      </c>
      <c r="D1415" s="63">
        <v>45474</v>
      </c>
      <c r="E1415" s="63">
        <v>46568</v>
      </c>
      <c r="F1415" s="62" t="s">
        <v>1958</v>
      </c>
      <c r="G1415" s="62" t="s">
        <v>843</v>
      </c>
      <c r="H1415" s="62" t="s">
        <v>2482</v>
      </c>
      <c r="I1415" s="62" t="s">
        <v>2443</v>
      </c>
      <c r="J1415" s="62" t="s">
        <v>314</v>
      </c>
      <c r="K1415" s="62" t="s">
        <v>315</v>
      </c>
      <c r="L1415" s="62" t="s">
        <v>2421</v>
      </c>
      <c r="M1415" s="66" t="s">
        <v>1969</v>
      </c>
    </row>
    <row r="1416" spans="1:13" x14ac:dyDescent="0.3">
      <c r="A1416" s="61" t="s">
        <v>2190</v>
      </c>
      <c r="B1416" s="62" t="s">
        <v>1347</v>
      </c>
      <c r="C1416" s="62" t="s">
        <v>1348</v>
      </c>
      <c r="D1416" s="63">
        <v>45539</v>
      </c>
      <c r="E1416" s="63">
        <v>46816</v>
      </c>
      <c r="F1416" s="62" t="s">
        <v>287</v>
      </c>
      <c r="G1416" s="62" t="s">
        <v>589</v>
      </c>
      <c r="H1416" s="62" t="s">
        <v>468</v>
      </c>
      <c r="I1416" s="62" t="s">
        <v>825</v>
      </c>
      <c r="J1416" s="62" t="s">
        <v>416</v>
      </c>
      <c r="K1416" s="62" t="s">
        <v>417</v>
      </c>
      <c r="L1416" s="62" t="s">
        <v>2421</v>
      </c>
      <c r="M1416" s="66" t="s">
        <v>2021</v>
      </c>
    </row>
    <row r="1417" spans="1:13" x14ac:dyDescent="0.3">
      <c r="A1417" s="61" t="s">
        <v>2190</v>
      </c>
      <c r="B1417" s="62" t="s">
        <v>1347</v>
      </c>
      <c r="C1417" s="62" t="s">
        <v>1348</v>
      </c>
      <c r="D1417" s="63">
        <v>45539</v>
      </c>
      <c r="E1417" s="63">
        <v>46816</v>
      </c>
      <c r="F1417" s="62" t="s">
        <v>287</v>
      </c>
      <c r="G1417" s="62" t="s">
        <v>1083</v>
      </c>
      <c r="H1417" s="62" t="s">
        <v>468</v>
      </c>
      <c r="I1417" s="62" t="s">
        <v>825</v>
      </c>
      <c r="J1417" s="62" t="s">
        <v>416</v>
      </c>
      <c r="K1417" s="62" t="s">
        <v>417</v>
      </c>
      <c r="L1417" s="62" t="s">
        <v>2421</v>
      </c>
      <c r="M1417" s="66" t="s">
        <v>2021</v>
      </c>
    </row>
    <row r="1418" spans="1:13" x14ac:dyDescent="0.3">
      <c r="A1418" s="61" t="s">
        <v>2190</v>
      </c>
      <c r="B1418" s="62" t="s">
        <v>1347</v>
      </c>
      <c r="C1418" s="62" t="s">
        <v>1348</v>
      </c>
      <c r="D1418" s="63">
        <v>45539</v>
      </c>
      <c r="E1418" s="63">
        <v>46816</v>
      </c>
      <c r="F1418" s="62" t="s">
        <v>287</v>
      </c>
      <c r="G1418" s="62" t="s">
        <v>592</v>
      </c>
      <c r="H1418" s="62" t="s">
        <v>468</v>
      </c>
      <c r="I1418" s="62" t="s">
        <v>825</v>
      </c>
      <c r="J1418" s="62" t="s">
        <v>416</v>
      </c>
      <c r="K1418" s="62" t="s">
        <v>417</v>
      </c>
      <c r="L1418" s="62" t="s">
        <v>2421</v>
      </c>
      <c r="M1418" s="66" t="s">
        <v>2021</v>
      </c>
    </row>
    <row r="1419" spans="1:13" x14ac:dyDescent="0.3">
      <c r="A1419" s="61" t="s">
        <v>2190</v>
      </c>
      <c r="B1419" s="62" t="s">
        <v>1347</v>
      </c>
      <c r="C1419" s="62" t="s">
        <v>1348</v>
      </c>
      <c r="D1419" s="63">
        <v>45539</v>
      </c>
      <c r="E1419" s="63">
        <v>46816</v>
      </c>
      <c r="F1419" s="62" t="s">
        <v>287</v>
      </c>
      <c r="G1419" s="62" t="s">
        <v>593</v>
      </c>
      <c r="H1419" s="62" t="s">
        <v>468</v>
      </c>
      <c r="I1419" s="62" t="s">
        <v>825</v>
      </c>
      <c r="J1419" s="62" t="s">
        <v>416</v>
      </c>
      <c r="K1419" s="62" t="s">
        <v>417</v>
      </c>
      <c r="L1419" s="62" t="s">
        <v>2421</v>
      </c>
      <c r="M1419" s="66" t="s">
        <v>2021</v>
      </c>
    </row>
    <row r="1420" spans="1:13" x14ac:dyDescent="0.3">
      <c r="A1420" s="61" t="s">
        <v>2190</v>
      </c>
      <c r="B1420" s="62" t="s">
        <v>1347</v>
      </c>
      <c r="C1420" s="62" t="s">
        <v>1348</v>
      </c>
      <c r="D1420" s="63">
        <v>45539</v>
      </c>
      <c r="E1420" s="63">
        <v>46816</v>
      </c>
      <c r="F1420" s="62" t="s">
        <v>287</v>
      </c>
      <c r="G1420" s="62" t="s">
        <v>396</v>
      </c>
      <c r="H1420" s="62" t="s">
        <v>468</v>
      </c>
      <c r="I1420" s="62" t="s">
        <v>825</v>
      </c>
      <c r="J1420" s="62" t="s">
        <v>416</v>
      </c>
      <c r="K1420" s="62" t="s">
        <v>417</v>
      </c>
      <c r="L1420" s="62" t="s">
        <v>2421</v>
      </c>
      <c r="M1420" s="66" t="s">
        <v>2021</v>
      </c>
    </row>
    <row r="1421" spans="1:13" x14ac:dyDescent="0.3">
      <c r="A1421" s="61" t="s">
        <v>2191</v>
      </c>
      <c r="B1421" s="62" t="s">
        <v>1349</v>
      </c>
      <c r="C1421" s="62" t="s">
        <v>1348</v>
      </c>
      <c r="D1421" s="63">
        <v>45658</v>
      </c>
      <c r="E1421" s="63">
        <v>46816</v>
      </c>
      <c r="F1421" s="62" t="s">
        <v>287</v>
      </c>
      <c r="G1421" s="62" t="s">
        <v>589</v>
      </c>
      <c r="H1421" s="62" t="s">
        <v>468</v>
      </c>
      <c r="I1421" s="62" t="s">
        <v>825</v>
      </c>
      <c r="J1421" s="62" t="s">
        <v>416</v>
      </c>
      <c r="K1421" s="62" t="s">
        <v>417</v>
      </c>
      <c r="L1421" s="62" t="s">
        <v>2421</v>
      </c>
      <c r="M1421" s="66" t="s">
        <v>2021</v>
      </c>
    </row>
    <row r="1422" spans="1:13" x14ac:dyDescent="0.3">
      <c r="A1422" s="61" t="s">
        <v>2191</v>
      </c>
      <c r="B1422" s="62" t="s">
        <v>1349</v>
      </c>
      <c r="C1422" s="62" t="s">
        <v>1348</v>
      </c>
      <c r="D1422" s="63">
        <v>45658</v>
      </c>
      <c r="E1422" s="63">
        <v>46816</v>
      </c>
      <c r="F1422" s="62" t="s">
        <v>287</v>
      </c>
      <c r="G1422" s="62" t="s">
        <v>1083</v>
      </c>
      <c r="H1422" s="62" t="s">
        <v>468</v>
      </c>
      <c r="I1422" s="62" t="s">
        <v>825</v>
      </c>
      <c r="J1422" s="62" t="s">
        <v>416</v>
      </c>
      <c r="K1422" s="62" t="s">
        <v>417</v>
      </c>
      <c r="L1422" s="62" t="s">
        <v>2421</v>
      </c>
      <c r="M1422" s="66" t="s">
        <v>2021</v>
      </c>
    </row>
    <row r="1423" spans="1:13" x14ac:dyDescent="0.3">
      <c r="A1423" s="61" t="s">
        <v>2191</v>
      </c>
      <c r="B1423" s="62" t="s">
        <v>1349</v>
      </c>
      <c r="C1423" s="62" t="s">
        <v>1348</v>
      </c>
      <c r="D1423" s="63">
        <v>45658</v>
      </c>
      <c r="E1423" s="63">
        <v>46816</v>
      </c>
      <c r="F1423" s="62" t="s">
        <v>287</v>
      </c>
      <c r="G1423" s="62" t="s">
        <v>592</v>
      </c>
      <c r="H1423" s="62" t="s">
        <v>468</v>
      </c>
      <c r="I1423" s="62" t="s">
        <v>825</v>
      </c>
      <c r="J1423" s="62" t="s">
        <v>416</v>
      </c>
      <c r="K1423" s="62" t="s">
        <v>417</v>
      </c>
      <c r="L1423" s="62" t="s">
        <v>2421</v>
      </c>
      <c r="M1423" s="66" t="s">
        <v>2021</v>
      </c>
    </row>
    <row r="1424" spans="1:13" x14ac:dyDescent="0.3">
      <c r="A1424" s="61" t="s">
        <v>2191</v>
      </c>
      <c r="B1424" s="62" t="s">
        <v>1349</v>
      </c>
      <c r="C1424" s="62" t="s">
        <v>1348</v>
      </c>
      <c r="D1424" s="63">
        <v>45658</v>
      </c>
      <c r="E1424" s="63">
        <v>46816</v>
      </c>
      <c r="F1424" s="62" t="s">
        <v>287</v>
      </c>
      <c r="G1424" s="62" t="s">
        <v>593</v>
      </c>
      <c r="H1424" s="62" t="s">
        <v>468</v>
      </c>
      <c r="I1424" s="62" t="s">
        <v>825</v>
      </c>
      <c r="J1424" s="62" t="s">
        <v>416</v>
      </c>
      <c r="K1424" s="62" t="s">
        <v>417</v>
      </c>
      <c r="L1424" s="62" t="s">
        <v>2421</v>
      </c>
      <c r="M1424" s="66" t="s">
        <v>2021</v>
      </c>
    </row>
    <row r="1425" spans="1:13" x14ac:dyDescent="0.3">
      <c r="A1425" s="61" t="s">
        <v>2191</v>
      </c>
      <c r="B1425" s="62" t="s">
        <v>1349</v>
      </c>
      <c r="C1425" s="62" t="s">
        <v>1348</v>
      </c>
      <c r="D1425" s="63">
        <v>45658</v>
      </c>
      <c r="E1425" s="63">
        <v>46816</v>
      </c>
      <c r="F1425" s="62" t="s">
        <v>287</v>
      </c>
      <c r="G1425" s="62" t="s">
        <v>396</v>
      </c>
      <c r="H1425" s="62" t="s">
        <v>468</v>
      </c>
      <c r="I1425" s="62" t="s">
        <v>825</v>
      </c>
      <c r="J1425" s="62" t="s">
        <v>416</v>
      </c>
      <c r="K1425" s="62" t="s">
        <v>417</v>
      </c>
      <c r="L1425" s="62" t="s">
        <v>2421</v>
      </c>
      <c r="M1425" s="66" t="s">
        <v>2021</v>
      </c>
    </row>
    <row r="1426" spans="1:13" x14ac:dyDescent="0.3">
      <c r="A1426" s="61" t="s">
        <v>2192</v>
      </c>
      <c r="B1426" s="62" t="s">
        <v>1353</v>
      </c>
      <c r="C1426" s="62" t="s">
        <v>1354</v>
      </c>
      <c r="D1426" s="63">
        <v>45517</v>
      </c>
      <c r="E1426" s="63">
        <v>46796</v>
      </c>
      <c r="F1426" s="62" t="s">
        <v>1936</v>
      </c>
      <c r="G1426" s="62" t="s">
        <v>1313</v>
      </c>
      <c r="H1426" s="62" t="s">
        <v>468</v>
      </c>
      <c r="I1426" s="62" t="s">
        <v>825</v>
      </c>
      <c r="J1426" s="62" t="s">
        <v>663</v>
      </c>
      <c r="K1426" s="62" t="s">
        <v>371</v>
      </c>
      <c r="L1426" s="62" t="s">
        <v>2421</v>
      </c>
      <c r="M1426" s="66" t="s">
        <v>1972</v>
      </c>
    </row>
    <row r="1427" spans="1:13" x14ac:dyDescent="0.3">
      <c r="A1427" s="61" t="s">
        <v>2192</v>
      </c>
      <c r="B1427" s="62" t="s">
        <v>1353</v>
      </c>
      <c r="C1427" s="62" t="s">
        <v>1354</v>
      </c>
      <c r="D1427" s="63">
        <v>45517</v>
      </c>
      <c r="E1427" s="63">
        <v>46796</v>
      </c>
      <c r="F1427" s="62" t="s">
        <v>1936</v>
      </c>
      <c r="G1427" s="62" t="s">
        <v>747</v>
      </c>
      <c r="H1427" s="62" t="s">
        <v>468</v>
      </c>
      <c r="I1427" s="62" t="s">
        <v>825</v>
      </c>
      <c r="J1427" s="62" t="s">
        <v>663</v>
      </c>
      <c r="K1427" s="62" t="s">
        <v>371</v>
      </c>
      <c r="L1427" s="62" t="s">
        <v>2421</v>
      </c>
      <c r="M1427" s="66" t="s">
        <v>1972</v>
      </c>
    </row>
    <row r="1428" spans="1:13" x14ac:dyDescent="0.3">
      <c r="A1428" s="61" t="s">
        <v>2192</v>
      </c>
      <c r="B1428" s="62" t="s">
        <v>1353</v>
      </c>
      <c r="C1428" s="62" t="s">
        <v>1354</v>
      </c>
      <c r="D1428" s="63">
        <v>45517</v>
      </c>
      <c r="E1428" s="63">
        <v>46796</v>
      </c>
      <c r="F1428" s="62" t="s">
        <v>287</v>
      </c>
      <c r="G1428" s="62" t="s">
        <v>589</v>
      </c>
      <c r="H1428" s="62" t="s">
        <v>468</v>
      </c>
      <c r="I1428" s="62" t="s">
        <v>825</v>
      </c>
      <c r="J1428" s="62" t="s">
        <v>663</v>
      </c>
      <c r="K1428" s="62" t="s">
        <v>371</v>
      </c>
      <c r="L1428" s="62" t="s">
        <v>2421</v>
      </c>
      <c r="M1428" s="66" t="s">
        <v>1972</v>
      </c>
    </row>
    <row r="1429" spans="1:13" x14ac:dyDescent="0.3">
      <c r="A1429" s="61" t="s">
        <v>2192</v>
      </c>
      <c r="B1429" s="62" t="s">
        <v>1353</v>
      </c>
      <c r="C1429" s="62" t="s">
        <v>1354</v>
      </c>
      <c r="D1429" s="63">
        <v>45517</v>
      </c>
      <c r="E1429" s="63">
        <v>46796</v>
      </c>
      <c r="F1429" s="62" t="s">
        <v>287</v>
      </c>
      <c r="G1429" s="62" t="s">
        <v>396</v>
      </c>
      <c r="H1429" s="62" t="s">
        <v>468</v>
      </c>
      <c r="I1429" s="62" t="s">
        <v>825</v>
      </c>
      <c r="J1429" s="62" t="s">
        <v>663</v>
      </c>
      <c r="K1429" s="62" t="s">
        <v>371</v>
      </c>
      <c r="L1429" s="62" t="s">
        <v>2421</v>
      </c>
      <c r="M1429" s="66" t="s">
        <v>1972</v>
      </c>
    </row>
    <row r="1430" spans="1:13" x14ac:dyDescent="0.3">
      <c r="A1430" s="61" t="s">
        <v>2192</v>
      </c>
      <c r="B1430" s="62" t="s">
        <v>1353</v>
      </c>
      <c r="C1430" s="62" t="s">
        <v>1354</v>
      </c>
      <c r="D1430" s="63">
        <v>45517</v>
      </c>
      <c r="E1430" s="63">
        <v>46796</v>
      </c>
      <c r="F1430" s="62" t="s">
        <v>1959</v>
      </c>
      <c r="G1430" s="62" t="s">
        <v>588</v>
      </c>
      <c r="H1430" s="62" t="s">
        <v>468</v>
      </c>
      <c r="I1430" s="62" t="s">
        <v>825</v>
      </c>
      <c r="J1430" s="62" t="s">
        <v>663</v>
      </c>
      <c r="K1430" s="62" t="s">
        <v>371</v>
      </c>
      <c r="L1430" s="62" t="s">
        <v>2421</v>
      </c>
      <c r="M1430" s="66" t="s">
        <v>1972</v>
      </c>
    </row>
    <row r="1431" spans="1:13" x14ac:dyDescent="0.3">
      <c r="A1431" s="61" t="s">
        <v>2193</v>
      </c>
      <c r="B1431" s="62" t="s">
        <v>1355</v>
      </c>
      <c r="C1431" s="62" t="s">
        <v>1354</v>
      </c>
      <c r="D1431" s="63">
        <v>45658</v>
      </c>
      <c r="E1431" s="63">
        <v>46796</v>
      </c>
      <c r="F1431" s="62" t="s">
        <v>1936</v>
      </c>
      <c r="G1431" s="62" t="s">
        <v>1313</v>
      </c>
      <c r="H1431" s="62" t="s">
        <v>468</v>
      </c>
      <c r="I1431" s="62" t="s">
        <v>825</v>
      </c>
      <c r="J1431" s="62" t="s">
        <v>663</v>
      </c>
      <c r="K1431" s="62" t="s">
        <v>371</v>
      </c>
      <c r="L1431" s="62" t="s">
        <v>2421</v>
      </c>
      <c r="M1431" s="66" t="s">
        <v>1972</v>
      </c>
    </row>
    <row r="1432" spans="1:13" x14ac:dyDescent="0.3">
      <c r="A1432" s="61" t="s">
        <v>2193</v>
      </c>
      <c r="B1432" s="62" t="s">
        <v>1355</v>
      </c>
      <c r="C1432" s="62" t="s">
        <v>1354</v>
      </c>
      <c r="D1432" s="63">
        <v>45658</v>
      </c>
      <c r="E1432" s="63">
        <v>46796</v>
      </c>
      <c r="F1432" s="62" t="s">
        <v>1936</v>
      </c>
      <c r="G1432" s="62" t="s">
        <v>747</v>
      </c>
      <c r="H1432" s="62" t="s">
        <v>468</v>
      </c>
      <c r="I1432" s="62" t="s">
        <v>825</v>
      </c>
      <c r="J1432" s="62" t="s">
        <v>663</v>
      </c>
      <c r="K1432" s="62" t="s">
        <v>371</v>
      </c>
      <c r="L1432" s="62" t="s">
        <v>2421</v>
      </c>
      <c r="M1432" s="66" t="s">
        <v>1972</v>
      </c>
    </row>
    <row r="1433" spans="1:13" x14ac:dyDescent="0.3">
      <c r="A1433" s="61" t="s">
        <v>2193</v>
      </c>
      <c r="B1433" s="62" t="s">
        <v>1355</v>
      </c>
      <c r="C1433" s="62" t="s">
        <v>1354</v>
      </c>
      <c r="D1433" s="63">
        <v>45658</v>
      </c>
      <c r="E1433" s="63">
        <v>46796</v>
      </c>
      <c r="F1433" s="62" t="s">
        <v>287</v>
      </c>
      <c r="G1433" s="62" t="s">
        <v>589</v>
      </c>
      <c r="H1433" s="62" t="s">
        <v>468</v>
      </c>
      <c r="I1433" s="62" t="s">
        <v>825</v>
      </c>
      <c r="J1433" s="62" t="s">
        <v>663</v>
      </c>
      <c r="K1433" s="62" t="s">
        <v>371</v>
      </c>
      <c r="L1433" s="62" t="s">
        <v>2421</v>
      </c>
      <c r="M1433" s="66" t="s">
        <v>1972</v>
      </c>
    </row>
    <row r="1434" spans="1:13" x14ac:dyDescent="0.3">
      <c r="A1434" s="61" t="s">
        <v>2193</v>
      </c>
      <c r="B1434" s="62" t="s">
        <v>1355</v>
      </c>
      <c r="C1434" s="62" t="s">
        <v>1354</v>
      </c>
      <c r="D1434" s="63">
        <v>45658</v>
      </c>
      <c r="E1434" s="63">
        <v>46796</v>
      </c>
      <c r="F1434" s="62" t="s">
        <v>287</v>
      </c>
      <c r="G1434" s="62" t="s">
        <v>396</v>
      </c>
      <c r="H1434" s="62" t="s">
        <v>468</v>
      </c>
      <c r="I1434" s="62" t="s">
        <v>825</v>
      </c>
      <c r="J1434" s="62" t="s">
        <v>663</v>
      </c>
      <c r="K1434" s="62" t="s">
        <v>371</v>
      </c>
      <c r="L1434" s="62" t="s">
        <v>2421</v>
      </c>
      <c r="M1434" s="66" t="s">
        <v>1972</v>
      </c>
    </row>
    <row r="1435" spans="1:13" x14ac:dyDescent="0.3">
      <c r="A1435" s="61" t="s">
        <v>2193</v>
      </c>
      <c r="B1435" s="62" t="s">
        <v>1355</v>
      </c>
      <c r="C1435" s="62" t="s">
        <v>1354</v>
      </c>
      <c r="D1435" s="63">
        <v>45658</v>
      </c>
      <c r="E1435" s="63">
        <v>46796</v>
      </c>
      <c r="F1435" s="62" t="s">
        <v>1959</v>
      </c>
      <c r="G1435" s="62" t="s">
        <v>588</v>
      </c>
      <c r="H1435" s="62" t="s">
        <v>468</v>
      </c>
      <c r="I1435" s="62" t="s">
        <v>825</v>
      </c>
      <c r="J1435" s="62" t="s">
        <v>663</v>
      </c>
      <c r="K1435" s="62" t="s">
        <v>371</v>
      </c>
      <c r="L1435" s="62" t="s">
        <v>2421</v>
      </c>
      <c r="M1435" s="66" t="s">
        <v>1972</v>
      </c>
    </row>
    <row r="1436" spans="1:13" x14ac:dyDescent="0.3">
      <c r="A1436" s="61" t="s">
        <v>2194</v>
      </c>
      <c r="B1436" s="62" t="s">
        <v>1356</v>
      </c>
      <c r="C1436" s="62" t="s">
        <v>1357</v>
      </c>
      <c r="D1436" s="63">
        <v>44477</v>
      </c>
      <c r="E1436" s="63">
        <v>46303</v>
      </c>
      <c r="F1436" s="62" t="s">
        <v>350</v>
      </c>
      <c r="G1436" s="62" t="s">
        <v>304</v>
      </c>
      <c r="H1436" s="62" t="s">
        <v>2425</v>
      </c>
      <c r="I1436" s="62" t="s">
        <v>457</v>
      </c>
      <c r="J1436" s="62" t="s">
        <v>458</v>
      </c>
      <c r="K1436" s="62" t="s">
        <v>459</v>
      </c>
      <c r="L1436" s="62" t="s">
        <v>2421</v>
      </c>
      <c r="M1436" s="66" t="s">
        <v>1971</v>
      </c>
    </row>
    <row r="1437" spans="1:13" x14ac:dyDescent="0.3">
      <c r="A1437" s="61" t="s">
        <v>2195</v>
      </c>
      <c r="B1437" s="62" t="s">
        <v>1358</v>
      </c>
      <c r="C1437" s="62" t="s">
        <v>1359</v>
      </c>
      <c r="D1437" s="63">
        <v>45525</v>
      </c>
      <c r="E1437" s="63">
        <v>46439</v>
      </c>
      <c r="F1437" s="62" t="s">
        <v>1936</v>
      </c>
      <c r="G1437" s="62" t="s">
        <v>602</v>
      </c>
      <c r="H1437" s="62" t="s">
        <v>468</v>
      </c>
      <c r="I1437" s="62" t="s">
        <v>825</v>
      </c>
      <c r="J1437" s="62" t="s">
        <v>416</v>
      </c>
      <c r="K1437" s="62" t="s">
        <v>417</v>
      </c>
      <c r="L1437" s="62" t="s">
        <v>2421</v>
      </c>
      <c r="M1437" s="66" t="s">
        <v>2021</v>
      </c>
    </row>
    <row r="1438" spans="1:13" x14ac:dyDescent="0.3">
      <c r="A1438" s="61" t="s">
        <v>2195</v>
      </c>
      <c r="B1438" s="62" t="s">
        <v>1358</v>
      </c>
      <c r="C1438" s="62" t="s">
        <v>1359</v>
      </c>
      <c r="D1438" s="63">
        <v>45525</v>
      </c>
      <c r="E1438" s="63">
        <v>46439</v>
      </c>
      <c r="F1438" s="62" t="s">
        <v>1936</v>
      </c>
      <c r="G1438" s="62" t="s">
        <v>605</v>
      </c>
      <c r="H1438" s="62" t="s">
        <v>468</v>
      </c>
      <c r="I1438" s="62" t="s">
        <v>825</v>
      </c>
      <c r="J1438" s="62" t="s">
        <v>416</v>
      </c>
      <c r="K1438" s="62" t="s">
        <v>417</v>
      </c>
      <c r="L1438" s="62" t="s">
        <v>2421</v>
      </c>
      <c r="M1438" s="66" t="s">
        <v>2021</v>
      </c>
    </row>
    <row r="1439" spans="1:13" x14ac:dyDescent="0.3">
      <c r="A1439" s="61" t="s">
        <v>2195</v>
      </c>
      <c r="B1439" s="62" t="s">
        <v>1358</v>
      </c>
      <c r="C1439" s="62" t="s">
        <v>1359</v>
      </c>
      <c r="D1439" s="63">
        <v>45525</v>
      </c>
      <c r="E1439" s="63">
        <v>46439</v>
      </c>
      <c r="F1439" s="62" t="s">
        <v>1936</v>
      </c>
      <c r="G1439" s="62" t="s">
        <v>602</v>
      </c>
      <c r="H1439" s="62" t="s">
        <v>1360</v>
      </c>
      <c r="I1439" s="62" t="s">
        <v>825</v>
      </c>
      <c r="J1439" s="62" t="s">
        <v>416</v>
      </c>
      <c r="K1439" s="62" t="s">
        <v>417</v>
      </c>
      <c r="L1439" s="62" t="s">
        <v>2421</v>
      </c>
      <c r="M1439" s="66" t="s">
        <v>2021</v>
      </c>
    </row>
    <row r="1440" spans="1:13" x14ac:dyDescent="0.3">
      <c r="A1440" s="61" t="s">
        <v>2195</v>
      </c>
      <c r="B1440" s="62" t="s">
        <v>1358</v>
      </c>
      <c r="C1440" s="62" t="s">
        <v>1359</v>
      </c>
      <c r="D1440" s="63">
        <v>45525</v>
      </c>
      <c r="E1440" s="63">
        <v>46439</v>
      </c>
      <c r="F1440" s="62" t="s">
        <v>1936</v>
      </c>
      <c r="G1440" s="62" t="s">
        <v>605</v>
      </c>
      <c r="H1440" s="62" t="s">
        <v>1360</v>
      </c>
      <c r="I1440" s="62" t="s">
        <v>825</v>
      </c>
      <c r="J1440" s="62" t="s">
        <v>416</v>
      </c>
      <c r="K1440" s="62" t="s">
        <v>417</v>
      </c>
      <c r="L1440" s="62" t="s">
        <v>2421</v>
      </c>
      <c r="M1440" s="66" t="s">
        <v>2021</v>
      </c>
    </row>
    <row r="1441" spans="1:13" x14ac:dyDescent="0.3">
      <c r="A1441" s="61" t="s">
        <v>2196</v>
      </c>
      <c r="B1441" s="62" t="s">
        <v>1361</v>
      </c>
      <c r="C1441" s="62" t="s">
        <v>1362</v>
      </c>
      <c r="D1441" s="63">
        <v>45413</v>
      </c>
      <c r="E1441" s="63">
        <v>46172</v>
      </c>
      <c r="F1441" s="62" t="s">
        <v>1959</v>
      </c>
      <c r="G1441" s="62" t="s">
        <v>466</v>
      </c>
      <c r="H1441" s="62" t="s">
        <v>999</v>
      </c>
      <c r="I1441" s="62" t="s">
        <v>825</v>
      </c>
      <c r="J1441" s="62" t="s">
        <v>799</v>
      </c>
      <c r="K1441" s="62" t="s">
        <v>428</v>
      </c>
      <c r="L1441" s="62" t="s">
        <v>2421</v>
      </c>
      <c r="M1441" s="66" t="s">
        <v>2021</v>
      </c>
    </row>
    <row r="1442" spans="1:13" x14ac:dyDescent="0.3">
      <c r="A1442" s="61" t="s">
        <v>2196</v>
      </c>
      <c r="B1442" s="62" t="s">
        <v>1361</v>
      </c>
      <c r="C1442" s="62" t="s">
        <v>1362</v>
      </c>
      <c r="D1442" s="63">
        <v>45413</v>
      </c>
      <c r="E1442" s="63">
        <v>46172</v>
      </c>
      <c r="F1442" s="62" t="s">
        <v>1959</v>
      </c>
      <c r="G1442" s="62" t="s">
        <v>583</v>
      </c>
      <c r="H1442" s="62" t="s">
        <v>999</v>
      </c>
      <c r="I1442" s="62" t="s">
        <v>825</v>
      </c>
      <c r="J1442" s="62" t="s">
        <v>799</v>
      </c>
      <c r="K1442" s="62" t="s">
        <v>428</v>
      </c>
      <c r="L1442" s="62" t="s">
        <v>2421</v>
      </c>
      <c r="M1442" s="66" t="s">
        <v>2021</v>
      </c>
    </row>
    <row r="1443" spans="1:13" x14ac:dyDescent="0.3">
      <c r="A1443" s="61" t="s">
        <v>2196</v>
      </c>
      <c r="B1443" s="62" t="s">
        <v>1361</v>
      </c>
      <c r="C1443" s="62" t="s">
        <v>1362</v>
      </c>
      <c r="D1443" s="63">
        <v>45413</v>
      </c>
      <c r="E1443" s="63">
        <v>46172</v>
      </c>
      <c r="F1443" s="62" t="s">
        <v>1959</v>
      </c>
      <c r="G1443" s="62" t="s">
        <v>475</v>
      </c>
      <c r="H1443" s="62" t="s">
        <v>999</v>
      </c>
      <c r="I1443" s="62" t="s">
        <v>825</v>
      </c>
      <c r="J1443" s="62" t="s">
        <v>799</v>
      </c>
      <c r="K1443" s="62" t="s">
        <v>428</v>
      </c>
      <c r="L1443" s="62" t="s">
        <v>2421</v>
      </c>
      <c r="M1443" s="66" t="s">
        <v>2021</v>
      </c>
    </row>
    <row r="1444" spans="1:13" x14ac:dyDescent="0.3">
      <c r="A1444" s="61" t="s">
        <v>2197</v>
      </c>
      <c r="B1444" s="62" t="s">
        <v>1363</v>
      </c>
      <c r="C1444" s="62" t="s">
        <v>1364</v>
      </c>
      <c r="D1444" s="63">
        <v>45566</v>
      </c>
      <c r="E1444" s="63">
        <v>46661</v>
      </c>
      <c r="F1444" s="62" t="s">
        <v>350</v>
      </c>
      <c r="G1444" s="62" t="s">
        <v>350</v>
      </c>
      <c r="H1444" s="62" t="s">
        <v>468</v>
      </c>
      <c r="I1444" s="62" t="s">
        <v>825</v>
      </c>
      <c r="J1444" s="62" t="s">
        <v>883</v>
      </c>
      <c r="K1444" s="62" t="s">
        <v>347</v>
      </c>
      <c r="L1444" s="62" t="s">
        <v>2421</v>
      </c>
      <c r="M1444" s="66" t="s">
        <v>1965</v>
      </c>
    </row>
    <row r="1445" spans="1:13" x14ac:dyDescent="0.3">
      <c r="A1445" s="61" t="s">
        <v>2197</v>
      </c>
      <c r="B1445" s="62" t="s">
        <v>1363</v>
      </c>
      <c r="C1445" s="62" t="s">
        <v>1364</v>
      </c>
      <c r="D1445" s="63">
        <v>45566</v>
      </c>
      <c r="E1445" s="63">
        <v>46661</v>
      </c>
      <c r="F1445" s="62" t="s">
        <v>350</v>
      </c>
      <c r="G1445" s="62" t="s">
        <v>350</v>
      </c>
      <c r="H1445" s="62" t="s">
        <v>2483</v>
      </c>
      <c r="I1445" s="62" t="s">
        <v>825</v>
      </c>
      <c r="J1445" s="62" t="s">
        <v>883</v>
      </c>
      <c r="K1445" s="62" t="s">
        <v>347</v>
      </c>
      <c r="L1445" s="62" t="s">
        <v>2421</v>
      </c>
      <c r="M1445" s="66" t="s">
        <v>1965</v>
      </c>
    </row>
    <row r="1446" spans="1:13" x14ac:dyDescent="0.3">
      <c r="A1446" s="61" t="s">
        <v>2198</v>
      </c>
      <c r="B1446" s="62" t="s">
        <v>1365</v>
      </c>
      <c r="C1446" s="62" t="s">
        <v>1366</v>
      </c>
      <c r="D1446" s="63">
        <v>45586</v>
      </c>
      <c r="E1446" s="63">
        <v>46498</v>
      </c>
      <c r="F1446" s="62" t="s">
        <v>1922</v>
      </c>
      <c r="G1446" s="62" t="s">
        <v>349</v>
      </c>
      <c r="H1446" s="62" t="s">
        <v>468</v>
      </c>
      <c r="I1446" s="62" t="s">
        <v>825</v>
      </c>
      <c r="J1446" s="62" t="s">
        <v>2424</v>
      </c>
      <c r="K1446" s="62" t="s">
        <v>426</v>
      </c>
      <c r="L1446" s="62" t="s">
        <v>2421</v>
      </c>
      <c r="M1446" s="66" t="s">
        <v>1975</v>
      </c>
    </row>
    <row r="1447" spans="1:13" x14ac:dyDescent="0.3">
      <c r="A1447" s="61" t="s">
        <v>2198</v>
      </c>
      <c r="B1447" s="62" t="s">
        <v>1365</v>
      </c>
      <c r="C1447" s="62" t="s">
        <v>1366</v>
      </c>
      <c r="D1447" s="63">
        <v>45586</v>
      </c>
      <c r="E1447" s="63">
        <v>46498</v>
      </c>
      <c r="F1447" s="62" t="s">
        <v>1959</v>
      </c>
      <c r="G1447" s="62" t="s">
        <v>612</v>
      </c>
      <c r="H1447" s="62" t="s">
        <v>468</v>
      </c>
      <c r="I1447" s="62" t="s">
        <v>825</v>
      </c>
      <c r="J1447" s="62" t="s">
        <v>2424</v>
      </c>
      <c r="K1447" s="62" t="s">
        <v>426</v>
      </c>
      <c r="L1447" s="62" t="s">
        <v>2421</v>
      </c>
      <c r="M1447" s="66" t="s">
        <v>1975</v>
      </c>
    </row>
    <row r="1448" spans="1:13" x14ac:dyDescent="0.3">
      <c r="A1448" s="61" t="s">
        <v>2198</v>
      </c>
      <c r="B1448" s="62" t="s">
        <v>1365</v>
      </c>
      <c r="C1448" s="62" t="s">
        <v>1366</v>
      </c>
      <c r="D1448" s="63">
        <v>45586</v>
      </c>
      <c r="E1448" s="63">
        <v>46498</v>
      </c>
      <c r="F1448" s="62" t="s">
        <v>1945</v>
      </c>
      <c r="G1448" s="62" t="s">
        <v>403</v>
      </c>
      <c r="H1448" s="62" t="s">
        <v>468</v>
      </c>
      <c r="I1448" s="62" t="s">
        <v>825</v>
      </c>
      <c r="J1448" s="62" t="s">
        <v>2424</v>
      </c>
      <c r="K1448" s="62" t="s">
        <v>426</v>
      </c>
      <c r="L1448" s="62" t="s">
        <v>2421</v>
      </c>
      <c r="M1448" s="66" t="s">
        <v>1975</v>
      </c>
    </row>
    <row r="1449" spans="1:13" x14ac:dyDescent="0.3">
      <c r="A1449" s="61" t="s">
        <v>2199</v>
      </c>
      <c r="B1449" s="62" t="s">
        <v>1368</v>
      </c>
      <c r="C1449" s="62" t="s">
        <v>1366</v>
      </c>
      <c r="D1449" s="63">
        <v>45658</v>
      </c>
      <c r="E1449" s="63">
        <v>46498</v>
      </c>
      <c r="F1449" s="62" t="s">
        <v>1922</v>
      </c>
      <c r="G1449" s="62" t="s">
        <v>349</v>
      </c>
      <c r="H1449" s="62" t="s">
        <v>468</v>
      </c>
      <c r="I1449" s="62" t="s">
        <v>825</v>
      </c>
      <c r="J1449" s="62" t="s">
        <v>2424</v>
      </c>
      <c r="K1449" s="62" t="s">
        <v>426</v>
      </c>
      <c r="L1449" s="62" t="s">
        <v>2421</v>
      </c>
      <c r="M1449" s="66" t="s">
        <v>1976</v>
      </c>
    </row>
    <row r="1450" spans="1:13" x14ac:dyDescent="0.3">
      <c r="A1450" s="61" t="s">
        <v>2199</v>
      </c>
      <c r="B1450" s="62" t="s">
        <v>1368</v>
      </c>
      <c r="C1450" s="62" t="s">
        <v>1366</v>
      </c>
      <c r="D1450" s="63">
        <v>45658</v>
      </c>
      <c r="E1450" s="63">
        <v>46498</v>
      </c>
      <c r="F1450" s="62" t="s">
        <v>1959</v>
      </c>
      <c r="G1450" s="62" t="s">
        <v>612</v>
      </c>
      <c r="H1450" s="62" t="s">
        <v>468</v>
      </c>
      <c r="I1450" s="62" t="s">
        <v>825</v>
      </c>
      <c r="J1450" s="62" t="s">
        <v>2424</v>
      </c>
      <c r="K1450" s="62" t="s">
        <v>426</v>
      </c>
      <c r="L1450" s="62" t="s">
        <v>2421</v>
      </c>
      <c r="M1450" s="66" t="s">
        <v>1976</v>
      </c>
    </row>
    <row r="1451" spans="1:13" x14ac:dyDescent="0.3">
      <c r="A1451" s="61" t="s">
        <v>2199</v>
      </c>
      <c r="B1451" s="62" t="s">
        <v>1368</v>
      </c>
      <c r="C1451" s="62" t="s">
        <v>1366</v>
      </c>
      <c r="D1451" s="63">
        <v>45658</v>
      </c>
      <c r="E1451" s="63">
        <v>46498</v>
      </c>
      <c r="F1451" s="62" t="s">
        <v>1945</v>
      </c>
      <c r="G1451" s="62" t="s">
        <v>403</v>
      </c>
      <c r="H1451" s="62" t="s">
        <v>468</v>
      </c>
      <c r="I1451" s="62" t="s">
        <v>825</v>
      </c>
      <c r="J1451" s="62" t="s">
        <v>2424</v>
      </c>
      <c r="K1451" s="62" t="s">
        <v>426</v>
      </c>
      <c r="L1451" s="62" t="s">
        <v>2421</v>
      </c>
      <c r="M1451" s="66" t="s">
        <v>1976</v>
      </c>
    </row>
    <row r="1452" spans="1:13" x14ac:dyDescent="0.3">
      <c r="A1452" s="61" t="s">
        <v>2200</v>
      </c>
      <c r="B1452" s="62" t="s">
        <v>1369</v>
      </c>
      <c r="C1452" s="62" t="s">
        <v>1370</v>
      </c>
      <c r="D1452" s="63">
        <v>45475</v>
      </c>
      <c r="E1452" s="63">
        <v>46024</v>
      </c>
      <c r="F1452" s="62" t="s">
        <v>1938</v>
      </c>
      <c r="G1452" s="62" t="s">
        <v>504</v>
      </c>
      <c r="H1452" s="62" t="s">
        <v>2425</v>
      </c>
      <c r="I1452" s="62" t="s">
        <v>1518</v>
      </c>
      <c r="J1452" s="62" t="s">
        <v>1230</v>
      </c>
      <c r="K1452" s="62" t="s">
        <v>459</v>
      </c>
      <c r="L1452" s="62" t="s">
        <v>2421</v>
      </c>
      <c r="M1452" s="66" t="s">
        <v>1971</v>
      </c>
    </row>
    <row r="1453" spans="1:13" x14ac:dyDescent="0.3">
      <c r="A1453" s="61" t="s">
        <v>2201</v>
      </c>
      <c r="B1453" s="62" t="s">
        <v>1371</v>
      </c>
      <c r="C1453" s="62" t="s">
        <v>1372</v>
      </c>
      <c r="D1453" s="63">
        <v>45467</v>
      </c>
      <c r="E1453" s="63">
        <v>46197</v>
      </c>
      <c r="F1453" s="62" t="s">
        <v>1935</v>
      </c>
      <c r="G1453" s="62" t="s">
        <v>304</v>
      </c>
      <c r="H1453" s="62" t="s">
        <v>939</v>
      </c>
      <c r="I1453" s="62" t="s">
        <v>825</v>
      </c>
      <c r="J1453" s="62" t="s">
        <v>558</v>
      </c>
      <c r="K1453" s="62" t="s">
        <v>426</v>
      </c>
      <c r="L1453" s="62" t="s">
        <v>2421</v>
      </c>
      <c r="M1453" s="66" t="s">
        <v>1972</v>
      </c>
    </row>
    <row r="1454" spans="1:13" x14ac:dyDescent="0.3">
      <c r="A1454" s="61" t="s">
        <v>2201</v>
      </c>
      <c r="B1454" s="62" t="s">
        <v>1371</v>
      </c>
      <c r="C1454" s="62" t="s">
        <v>1372</v>
      </c>
      <c r="D1454" s="63">
        <v>45467</v>
      </c>
      <c r="E1454" s="63">
        <v>46197</v>
      </c>
      <c r="F1454" s="62" t="s">
        <v>1921</v>
      </c>
      <c r="G1454" s="62" t="s">
        <v>304</v>
      </c>
      <c r="H1454" s="62" t="s">
        <v>939</v>
      </c>
      <c r="I1454" s="62" t="s">
        <v>825</v>
      </c>
      <c r="J1454" s="62" t="s">
        <v>558</v>
      </c>
      <c r="K1454" s="62" t="s">
        <v>426</v>
      </c>
      <c r="L1454" s="62" t="s">
        <v>2421</v>
      </c>
      <c r="M1454" s="66" t="s">
        <v>1972</v>
      </c>
    </row>
    <row r="1455" spans="1:13" x14ac:dyDescent="0.3">
      <c r="A1455" s="61" t="s">
        <v>2201</v>
      </c>
      <c r="B1455" s="62" t="s">
        <v>1371</v>
      </c>
      <c r="C1455" s="62" t="s">
        <v>1372</v>
      </c>
      <c r="D1455" s="63">
        <v>45467</v>
      </c>
      <c r="E1455" s="63">
        <v>46197</v>
      </c>
      <c r="F1455" s="62" t="s">
        <v>348</v>
      </c>
      <c r="G1455" s="62" t="s">
        <v>304</v>
      </c>
      <c r="H1455" s="62" t="s">
        <v>939</v>
      </c>
      <c r="I1455" s="62" t="s">
        <v>825</v>
      </c>
      <c r="J1455" s="62" t="s">
        <v>558</v>
      </c>
      <c r="K1455" s="62" t="s">
        <v>426</v>
      </c>
      <c r="L1455" s="62" t="s">
        <v>2421</v>
      </c>
      <c r="M1455" s="66" t="s">
        <v>1972</v>
      </c>
    </row>
    <row r="1456" spans="1:13" x14ac:dyDescent="0.3">
      <c r="A1456" s="61" t="s">
        <v>2201</v>
      </c>
      <c r="B1456" s="62" t="s">
        <v>1371</v>
      </c>
      <c r="C1456" s="62" t="s">
        <v>1372</v>
      </c>
      <c r="D1456" s="63">
        <v>45467</v>
      </c>
      <c r="E1456" s="63">
        <v>46197</v>
      </c>
      <c r="F1456" s="62" t="s">
        <v>1933</v>
      </c>
      <c r="G1456" s="62" t="s">
        <v>304</v>
      </c>
      <c r="H1456" s="62" t="s">
        <v>939</v>
      </c>
      <c r="I1456" s="62" t="s">
        <v>825</v>
      </c>
      <c r="J1456" s="62" t="s">
        <v>558</v>
      </c>
      <c r="K1456" s="62" t="s">
        <v>426</v>
      </c>
      <c r="L1456" s="62" t="s">
        <v>2421</v>
      </c>
      <c r="M1456" s="66" t="s">
        <v>1972</v>
      </c>
    </row>
    <row r="1457" spans="1:13" x14ac:dyDescent="0.3">
      <c r="A1457" s="61" t="s">
        <v>2201</v>
      </c>
      <c r="B1457" s="62" t="s">
        <v>1371</v>
      </c>
      <c r="C1457" s="62" t="s">
        <v>1372</v>
      </c>
      <c r="D1457" s="63">
        <v>45467</v>
      </c>
      <c r="E1457" s="63">
        <v>46197</v>
      </c>
      <c r="F1457" s="62" t="s">
        <v>1937</v>
      </c>
      <c r="G1457" s="62" t="s">
        <v>304</v>
      </c>
      <c r="H1457" s="62" t="s">
        <v>939</v>
      </c>
      <c r="I1457" s="62" t="s">
        <v>825</v>
      </c>
      <c r="J1457" s="62" t="s">
        <v>558</v>
      </c>
      <c r="K1457" s="62" t="s">
        <v>426</v>
      </c>
      <c r="L1457" s="62" t="s">
        <v>2421</v>
      </c>
      <c r="M1457" s="66" t="s">
        <v>1972</v>
      </c>
    </row>
    <row r="1458" spans="1:13" x14ac:dyDescent="0.3">
      <c r="A1458" s="61" t="s">
        <v>2201</v>
      </c>
      <c r="B1458" s="62" t="s">
        <v>1371</v>
      </c>
      <c r="C1458" s="62" t="s">
        <v>1372</v>
      </c>
      <c r="D1458" s="63">
        <v>45467</v>
      </c>
      <c r="E1458" s="63">
        <v>46197</v>
      </c>
      <c r="F1458" s="62" t="s">
        <v>1944</v>
      </c>
      <c r="G1458" s="62" t="s">
        <v>304</v>
      </c>
      <c r="H1458" s="62" t="s">
        <v>939</v>
      </c>
      <c r="I1458" s="62" t="s">
        <v>825</v>
      </c>
      <c r="J1458" s="62" t="s">
        <v>558</v>
      </c>
      <c r="K1458" s="62" t="s">
        <v>426</v>
      </c>
      <c r="L1458" s="62" t="s">
        <v>2421</v>
      </c>
      <c r="M1458" s="66" t="s">
        <v>1972</v>
      </c>
    </row>
    <row r="1459" spans="1:13" x14ac:dyDescent="0.3">
      <c r="A1459" s="61" t="s">
        <v>2201</v>
      </c>
      <c r="B1459" s="62" t="s">
        <v>1371</v>
      </c>
      <c r="C1459" s="62" t="s">
        <v>1372</v>
      </c>
      <c r="D1459" s="63">
        <v>45467</v>
      </c>
      <c r="E1459" s="63">
        <v>46197</v>
      </c>
      <c r="F1459" s="62" t="s">
        <v>1930</v>
      </c>
      <c r="G1459" s="62" t="s">
        <v>304</v>
      </c>
      <c r="H1459" s="62" t="s">
        <v>939</v>
      </c>
      <c r="I1459" s="62" t="s">
        <v>825</v>
      </c>
      <c r="J1459" s="62" t="s">
        <v>558</v>
      </c>
      <c r="K1459" s="62" t="s">
        <v>426</v>
      </c>
      <c r="L1459" s="62" t="s">
        <v>2421</v>
      </c>
      <c r="M1459" s="66" t="s">
        <v>1972</v>
      </c>
    </row>
    <row r="1460" spans="1:13" x14ac:dyDescent="0.3">
      <c r="A1460" s="61" t="s">
        <v>2201</v>
      </c>
      <c r="B1460" s="62" t="s">
        <v>1371</v>
      </c>
      <c r="C1460" s="62" t="s">
        <v>1372</v>
      </c>
      <c r="D1460" s="63">
        <v>45467</v>
      </c>
      <c r="E1460" s="63">
        <v>46197</v>
      </c>
      <c r="F1460" s="62" t="s">
        <v>288</v>
      </c>
      <c r="G1460" s="62" t="s">
        <v>304</v>
      </c>
      <c r="H1460" s="62" t="s">
        <v>939</v>
      </c>
      <c r="I1460" s="62" t="s">
        <v>825</v>
      </c>
      <c r="J1460" s="62" t="s">
        <v>558</v>
      </c>
      <c r="K1460" s="62" t="s">
        <v>426</v>
      </c>
      <c r="L1460" s="62" t="s">
        <v>2421</v>
      </c>
      <c r="M1460" s="66" t="s">
        <v>1972</v>
      </c>
    </row>
    <row r="1461" spans="1:13" x14ac:dyDescent="0.3">
      <c r="A1461" s="61" t="s">
        <v>2201</v>
      </c>
      <c r="B1461" s="62" t="s">
        <v>1371</v>
      </c>
      <c r="C1461" s="62" t="s">
        <v>1372</v>
      </c>
      <c r="D1461" s="63">
        <v>45467</v>
      </c>
      <c r="E1461" s="63">
        <v>46197</v>
      </c>
      <c r="F1461" s="62" t="s">
        <v>280</v>
      </c>
      <c r="G1461" s="62" t="s">
        <v>304</v>
      </c>
      <c r="H1461" s="62" t="s">
        <v>939</v>
      </c>
      <c r="I1461" s="62" t="s">
        <v>825</v>
      </c>
      <c r="J1461" s="62" t="s">
        <v>558</v>
      </c>
      <c r="K1461" s="62" t="s">
        <v>426</v>
      </c>
      <c r="L1461" s="62" t="s">
        <v>2421</v>
      </c>
      <c r="M1461" s="66" t="s">
        <v>1972</v>
      </c>
    </row>
    <row r="1462" spans="1:13" x14ac:dyDescent="0.3">
      <c r="A1462" s="61" t="s">
        <v>2201</v>
      </c>
      <c r="B1462" s="62" t="s">
        <v>1371</v>
      </c>
      <c r="C1462" s="62" t="s">
        <v>1372</v>
      </c>
      <c r="D1462" s="63">
        <v>45467</v>
      </c>
      <c r="E1462" s="63">
        <v>46197</v>
      </c>
      <c r="F1462" s="62" t="s">
        <v>1960</v>
      </c>
      <c r="G1462" s="62" t="s">
        <v>304</v>
      </c>
      <c r="H1462" s="62" t="s">
        <v>939</v>
      </c>
      <c r="I1462" s="62" t="s">
        <v>825</v>
      </c>
      <c r="J1462" s="62" t="s">
        <v>558</v>
      </c>
      <c r="K1462" s="62" t="s">
        <v>426</v>
      </c>
      <c r="L1462" s="62" t="s">
        <v>2421</v>
      </c>
      <c r="M1462" s="66" t="s">
        <v>1972</v>
      </c>
    </row>
    <row r="1463" spans="1:13" x14ac:dyDescent="0.3">
      <c r="A1463" s="61" t="s">
        <v>2201</v>
      </c>
      <c r="B1463" s="62" t="s">
        <v>1371</v>
      </c>
      <c r="C1463" s="62" t="s">
        <v>1372</v>
      </c>
      <c r="D1463" s="63">
        <v>45467</v>
      </c>
      <c r="E1463" s="63">
        <v>46197</v>
      </c>
      <c r="F1463" s="62" t="s">
        <v>1938</v>
      </c>
      <c r="G1463" s="62" t="s">
        <v>304</v>
      </c>
      <c r="H1463" s="62" t="s">
        <v>939</v>
      </c>
      <c r="I1463" s="62" t="s">
        <v>825</v>
      </c>
      <c r="J1463" s="62" t="s">
        <v>558</v>
      </c>
      <c r="K1463" s="62" t="s">
        <v>426</v>
      </c>
      <c r="L1463" s="62" t="s">
        <v>2421</v>
      </c>
      <c r="M1463" s="66" t="s">
        <v>1972</v>
      </c>
    </row>
    <row r="1464" spans="1:13" x14ac:dyDescent="0.3">
      <c r="A1464" s="61" t="s">
        <v>2201</v>
      </c>
      <c r="B1464" s="62" t="s">
        <v>1371</v>
      </c>
      <c r="C1464" s="62" t="s">
        <v>1372</v>
      </c>
      <c r="D1464" s="63">
        <v>45467</v>
      </c>
      <c r="E1464" s="63">
        <v>46197</v>
      </c>
      <c r="F1464" s="62" t="s">
        <v>1959</v>
      </c>
      <c r="G1464" s="62" t="s">
        <v>304</v>
      </c>
      <c r="H1464" s="62" t="s">
        <v>939</v>
      </c>
      <c r="I1464" s="62" t="s">
        <v>825</v>
      </c>
      <c r="J1464" s="62" t="s">
        <v>558</v>
      </c>
      <c r="K1464" s="62" t="s">
        <v>426</v>
      </c>
      <c r="L1464" s="62" t="s">
        <v>2421</v>
      </c>
      <c r="M1464" s="66" t="s">
        <v>1972</v>
      </c>
    </row>
    <row r="1465" spans="1:13" x14ac:dyDescent="0.3">
      <c r="A1465" s="61" t="s">
        <v>2201</v>
      </c>
      <c r="B1465" s="62" t="s">
        <v>1371</v>
      </c>
      <c r="C1465" s="62" t="s">
        <v>1372</v>
      </c>
      <c r="D1465" s="63">
        <v>45467</v>
      </c>
      <c r="E1465" s="63">
        <v>46197</v>
      </c>
      <c r="F1465" s="62" t="s">
        <v>1936</v>
      </c>
      <c r="G1465" s="62" t="s">
        <v>304</v>
      </c>
      <c r="H1465" s="62" t="s">
        <v>939</v>
      </c>
      <c r="I1465" s="62" t="s">
        <v>825</v>
      </c>
      <c r="J1465" s="62" t="s">
        <v>558</v>
      </c>
      <c r="K1465" s="62" t="s">
        <v>426</v>
      </c>
      <c r="L1465" s="62" t="s">
        <v>2421</v>
      </c>
      <c r="M1465" s="66" t="s">
        <v>1972</v>
      </c>
    </row>
    <row r="1466" spans="1:13" x14ac:dyDescent="0.3">
      <c r="A1466" s="61" t="s">
        <v>2201</v>
      </c>
      <c r="B1466" s="62" t="s">
        <v>1371</v>
      </c>
      <c r="C1466" s="62" t="s">
        <v>1372</v>
      </c>
      <c r="D1466" s="63">
        <v>45467</v>
      </c>
      <c r="E1466" s="63">
        <v>46197</v>
      </c>
      <c r="F1466" s="62" t="s">
        <v>287</v>
      </c>
      <c r="G1466" s="62" t="s">
        <v>304</v>
      </c>
      <c r="H1466" s="62" t="s">
        <v>939</v>
      </c>
      <c r="I1466" s="62" t="s">
        <v>825</v>
      </c>
      <c r="J1466" s="62" t="s">
        <v>558</v>
      </c>
      <c r="K1466" s="62" t="s">
        <v>426</v>
      </c>
      <c r="L1466" s="62" t="s">
        <v>2421</v>
      </c>
      <c r="M1466" s="66" t="s">
        <v>1972</v>
      </c>
    </row>
    <row r="1467" spans="1:13" x14ac:dyDescent="0.3">
      <c r="A1467" s="61" t="s">
        <v>2201</v>
      </c>
      <c r="B1467" s="62" t="s">
        <v>1371</v>
      </c>
      <c r="C1467" s="62" t="s">
        <v>1372</v>
      </c>
      <c r="D1467" s="63">
        <v>45467</v>
      </c>
      <c r="E1467" s="63">
        <v>46197</v>
      </c>
      <c r="F1467" s="62" t="s">
        <v>1945</v>
      </c>
      <c r="G1467" s="62" t="s">
        <v>304</v>
      </c>
      <c r="H1467" s="62" t="s">
        <v>939</v>
      </c>
      <c r="I1467" s="62" t="s">
        <v>825</v>
      </c>
      <c r="J1467" s="62" t="s">
        <v>558</v>
      </c>
      <c r="K1467" s="62" t="s">
        <v>426</v>
      </c>
      <c r="L1467" s="62" t="s">
        <v>2421</v>
      </c>
      <c r="M1467" s="66" t="s">
        <v>1972</v>
      </c>
    </row>
    <row r="1468" spans="1:13" x14ac:dyDescent="0.3">
      <c r="A1468" s="61" t="s">
        <v>2202</v>
      </c>
      <c r="B1468" s="62" t="s">
        <v>1373</v>
      </c>
      <c r="C1468" s="62" t="s">
        <v>1374</v>
      </c>
      <c r="D1468" s="63">
        <v>45366</v>
      </c>
      <c r="E1468" s="63">
        <v>46279</v>
      </c>
      <c r="F1468" s="62" t="s">
        <v>287</v>
      </c>
      <c r="G1468" s="62" t="s">
        <v>589</v>
      </c>
      <c r="H1468" s="62" t="s">
        <v>468</v>
      </c>
      <c r="I1468" s="62" t="s">
        <v>825</v>
      </c>
      <c r="J1468" s="62" t="s">
        <v>378</v>
      </c>
      <c r="K1468" s="62" t="s">
        <v>371</v>
      </c>
      <c r="L1468" s="62" t="s">
        <v>2421</v>
      </c>
      <c r="M1468" s="66" t="s">
        <v>1972</v>
      </c>
    </row>
    <row r="1469" spans="1:13" x14ac:dyDescent="0.3">
      <c r="A1469" s="61" t="s">
        <v>2202</v>
      </c>
      <c r="B1469" s="62" t="s">
        <v>1373</v>
      </c>
      <c r="C1469" s="62" t="s">
        <v>1374</v>
      </c>
      <c r="D1469" s="63">
        <v>45366</v>
      </c>
      <c r="E1469" s="63">
        <v>46279</v>
      </c>
      <c r="F1469" s="62" t="s">
        <v>287</v>
      </c>
      <c r="G1469" s="62" t="s">
        <v>396</v>
      </c>
      <c r="H1469" s="62" t="s">
        <v>468</v>
      </c>
      <c r="I1469" s="62" t="s">
        <v>825</v>
      </c>
      <c r="J1469" s="62" t="s">
        <v>378</v>
      </c>
      <c r="K1469" s="62" t="s">
        <v>371</v>
      </c>
      <c r="L1469" s="62" t="s">
        <v>2421</v>
      </c>
      <c r="M1469" s="66" t="s">
        <v>1972</v>
      </c>
    </row>
    <row r="1470" spans="1:13" x14ac:dyDescent="0.3">
      <c r="A1470" s="61" t="s">
        <v>2203</v>
      </c>
      <c r="B1470" s="62" t="s">
        <v>1376</v>
      </c>
      <c r="C1470" s="62" t="s">
        <v>1377</v>
      </c>
      <c r="D1470" s="63">
        <v>45614</v>
      </c>
      <c r="E1470" s="63">
        <v>46521</v>
      </c>
      <c r="F1470" s="62" t="s">
        <v>1933</v>
      </c>
      <c r="G1470" s="62" t="s">
        <v>304</v>
      </c>
      <c r="H1470" s="62" t="s">
        <v>2425</v>
      </c>
      <c r="I1470" s="62" t="s">
        <v>2443</v>
      </c>
      <c r="J1470" s="62" t="s">
        <v>364</v>
      </c>
      <c r="K1470" s="62" t="s">
        <v>365</v>
      </c>
      <c r="L1470" s="62" t="s">
        <v>2421</v>
      </c>
      <c r="M1470" s="66" t="s">
        <v>1969</v>
      </c>
    </row>
    <row r="1471" spans="1:13" x14ac:dyDescent="0.3">
      <c r="A1471" s="61" t="s">
        <v>2203</v>
      </c>
      <c r="B1471" s="62" t="s">
        <v>1376</v>
      </c>
      <c r="C1471" s="62" t="s">
        <v>1377</v>
      </c>
      <c r="D1471" s="63">
        <v>45614</v>
      </c>
      <c r="E1471" s="63">
        <v>46521</v>
      </c>
      <c r="F1471" s="62" t="s">
        <v>1943</v>
      </c>
      <c r="G1471" s="62" t="s">
        <v>304</v>
      </c>
      <c r="H1471" s="62" t="s">
        <v>2425</v>
      </c>
      <c r="I1471" s="62" t="s">
        <v>2443</v>
      </c>
      <c r="J1471" s="62" t="s">
        <v>364</v>
      </c>
      <c r="K1471" s="62" t="s">
        <v>365</v>
      </c>
      <c r="L1471" s="62" t="s">
        <v>2421</v>
      </c>
      <c r="M1471" s="66" t="s">
        <v>1969</v>
      </c>
    </row>
    <row r="1472" spans="1:13" x14ac:dyDescent="0.3">
      <c r="A1472" s="61" t="s">
        <v>2203</v>
      </c>
      <c r="B1472" s="62" t="s">
        <v>1376</v>
      </c>
      <c r="C1472" s="62" t="s">
        <v>1377</v>
      </c>
      <c r="D1472" s="63">
        <v>45614</v>
      </c>
      <c r="E1472" s="63">
        <v>46521</v>
      </c>
      <c r="F1472" s="62" t="s">
        <v>1934</v>
      </c>
      <c r="G1472" s="62" t="s">
        <v>304</v>
      </c>
      <c r="H1472" s="62" t="s">
        <v>2425</v>
      </c>
      <c r="I1472" s="62" t="s">
        <v>2443</v>
      </c>
      <c r="J1472" s="62" t="s">
        <v>364</v>
      </c>
      <c r="K1472" s="62" t="s">
        <v>365</v>
      </c>
      <c r="L1472" s="62" t="s">
        <v>2421</v>
      </c>
      <c r="M1472" s="66" t="s">
        <v>1969</v>
      </c>
    </row>
    <row r="1473" spans="1:13" x14ac:dyDescent="0.3">
      <c r="A1473" s="61" t="s">
        <v>2203</v>
      </c>
      <c r="B1473" s="62" t="s">
        <v>1376</v>
      </c>
      <c r="C1473" s="62" t="s">
        <v>1377</v>
      </c>
      <c r="D1473" s="63">
        <v>45614</v>
      </c>
      <c r="E1473" s="63">
        <v>46521</v>
      </c>
      <c r="F1473" s="62" t="s">
        <v>280</v>
      </c>
      <c r="G1473" s="62" t="s">
        <v>304</v>
      </c>
      <c r="H1473" s="62" t="s">
        <v>2425</v>
      </c>
      <c r="I1473" s="62" t="s">
        <v>2443</v>
      </c>
      <c r="J1473" s="62" t="s">
        <v>364</v>
      </c>
      <c r="K1473" s="62" t="s">
        <v>365</v>
      </c>
      <c r="L1473" s="62" t="s">
        <v>2421</v>
      </c>
      <c r="M1473" s="66" t="s">
        <v>1969</v>
      </c>
    </row>
    <row r="1474" spans="1:13" x14ac:dyDescent="0.3">
      <c r="A1474" s="61" t="s">
        <v>2203</v>
      </c>
      <c r="B1474" s="62" t="s">
        <v>1376</v>
      </c>
      <c r="C1474" s="62" t="s">
        <v>1377</v>
      </c>
      <c r="D1474" s="63">
        <v>45614</v>
      </c>
      <c r="E1474" s="63">
        <v>46521</v>
      </c>
      <c r="F1474" s="62" t="s">
        <v>1941</v>
      </c>
      <c r="G1474" s="62" t="s">
        <v>304</v>
      </c>
      <c r="H1474" s="62" t="s">
        <v>2425</v>
      </c>
      <c r="I1474" s="62" t="s">
        <v>2443</v>
      </c>
      <c r="J1474" s="62" t="s">
        <v>364</v>
      </c>
      <c r="K1474" s="62" t="s">
        <v>365</v>
      </c>
      <c r="L1474" s="62" t="s">
        <v>2421</v>
      </c>
      <c r="M1474" s="66" t="s">
        <v>1969</v>
      </c>
    </row>
    <row r="1475" spans="1:13" x14ac:dyDescent="0.3">
      <c r="A1475" s="61" t="s">
        <v>2204</v>
      </c>
      <c r="B1475" s="62" t="s">
        <v>1378</v>
      </c>
      <c r="C1475" s="62" t="s">
        <v>1379</v>
      </c>
      <c r="D1475" s="63">
        <v>45427</v>
      </c>
      <c r="E1475" s="63">
        <v>46521</v>
      </c>
      <c r="F1475" s="62" t="s">
        <v>287</v>
      </c>
      <c r="G1475" s="62" t="s">
        <v>589</v>
      </c>
      <c r="H1475" s="62" t="s">
        <v>999</v>
      </c>
      <c r="I1475" s="62" t="s">
        <v>825</v>
      </c>
      <c r="J1475" s="62" t="s">
        <v>671</v>
      </c>
      <c r="K1475" s="62" t="s">
        <v>426</v>
      </c>
      <c r="L1475" s="62" t="s">
        <v>2421</v>
      </c>
      <c r="M1475" s="66" t="s">
        <v>1970</v>
      </c>
    </row>
    <row r="1476" spans="1:13" x14ac:dyDescent="0.3">
      <c r="A1476" s="61" t="s">
        <v>2204</v>
      </c>
      <c r="B1476" s="62" t="s">
        <v>1378</v>
      </c>
      <c r="C1476" s="62" t="s">
        <v>1379</v>
      </c>
      <c r="D1476" s="63">
        <v>45427</v>
      </c>
      <c r="E1476" s="63">
        <v>46521</v>
      </c>
      <c r="F1476" s="62" t="s">
        <v>287</v>
      </c>
      <c r="G1476" s="62" t="s">
        <v>396</v>
      </c>
      <c r="H1476" s="62" t="s">
        <v>999</v>
      </c>
      <c r="I1476" s="62" t="s">
        <v>825</v>
      </c>
      <c r="J1476" s="62" t="s">
        <v>671</v>
      </c>
      <c r="K1476" s="62" t="s">
        <v>426</v>
      </c>
      <c r="L1476" s="62" t="s">
        <v>2421</v>
      </c>
      <c r="M1476" s="66" t="s">
        <v>1970</v>
      </c>
    </row>
    <row r="1477" spans="1:13" x14ac:dyDescent="0.3">
      <c r="A1477" s="61" t="s">
        <v>2205</v>
      </c>
      <c r="B1477" s="62" t="s">
        <v>1380</v>
      </c>
      <c r="C1477" s="62" t="s">
        <v>1381</v>
      </c>
      <c r="D1477" s="63">
        <v>45292</v>
      </c>
      <c r="E1477" s="63">
        <v>47118</v>
      </c>
      <c r="F1477" s="62" t="s">
        <v>1931</v>
      </c>
      <c r="G1477" s="62" t="s">
        <v>304</v>
      </c>
      <c r="H1477" s="62" t="s">
        <v>1382</v>
      </c>
      <c r="I1477" s="62" t="s">
        <v>424</v>
      </c>
      <c r="J1477" s="62" t="s">
        <v>909</v>
      </c>
      <c r="K1477" s="62" t="s">
        <v>637</v>
      </c>
      <c r="L1477" s="62" t="s">
        <v>2421</v>
      </c>
      <c r="M1477" s="66" t="s">
        <v>1968</v>
      </c>
    </row>
    <row r="1478" spans="1:13" x14ac:dyDescent="0.3">
      <c r="A1478" s="61" t="s">
        <v>2205</v>
      </c>
      <c r="B1478" s="62" t="s">
        <v>1380</v>
      </c>
      <c r="C1478" s="62" t="s">
        <v>1381</v>
      </c>
      <c r="D1478" s="63">
        <v>45292</v>
      </c>
      <c r="E1478" s="63">
        <v>47118</v>
      </c>
      <c r="F1478" s="62" t="s">
        <v>282</v>
      </c>
      <c r="G1478" s="62" t="s">
        <v>304</v>
      </c>
      <c r="H1478" s="62" t="s">
        <v>1382</v>
      </c>
      <c r="I1478" s="62" t="s">
        <v>424</v>
      </c>
      <c r="J1478" s="62" t="s">
        <v>909</v>
      </c>
      <c r="K1478" s="62" t="s">
        <v>637</v>
      </c>
      <c r="L1478" s="62" t="s">
        <v>2421</v>
      </c>
      <c r="M1478" s="66" t="s">
        <v>1968</v>
      </c>
    </row>
    <row r="1479" spans="1:13" x14ac:dyDescent="0.3">
      <c r="A1479" s="61" t="s">
        <v>2205</v>
      </c>
      <c r="B1479" s="62" t="s">
        <v>1380</v>
      </c>
      <c r="C1479" s="62" t="s">
        <v>1381</v>
      </c>
      <c r="D1479" s="63">
        <v>45292</v>
      </c>
      <c r="E1479" s="63">
        <v>47118</v>
      </c>
      <c r="F1479" s="62" t="s">
        <v>348</v>
      </c>
      <c r="G1479" s="62" t="s">
        <v>304</v>
      </c>
      <c r="H1479" s="62" t="s">
        <v>1382</v>
      </c>
      <c r="I1479" s="62" t="s">
        <v>424</v>
      </c>
      <c r="J1479" s="62" t="s">
        <v>909</v>
      </c>
      <c r="K1479" s="62" t="s">
        <v>637</v>
      </c>
      <c r="L1479" s="62" t="s">
        <v>2421</v>
      </c>
      <c r="M1479" s="66" t="s">
        <v>1968</v>
      </c>
    </row>
    <row r="1480" spans="1:13" x14ac:dyDescent="0.3">
      <c r="A1480" s="61" t="s">
        <v>2205</v>
      </c>
      <c r="B1480" s="62" t="s">
        <v>1380</v>
      </c>
      <c r="C1480" s="62" t="s">
        <v>1381</v>
      </c>
      <c r="D1480" s="63">
        <v>45292</v>
      </c>
      <c r="E1480" s="63">
        <v>47118</v>
      </c>
      <c r="F1480" s="62" t="s">
        <v>1937</v>
      </c>
      <c r="G1480" s="62" t="s">
        <v>304</v>
      </c>
      <c r="H1480" s="62" t="s">
        <v>1382</v>
      </c>
      <c r="I1480" s="62" t="s">
        <v>424</v>
      </c>
      <c r="J1480" s="62" t="s">
        <v>909</v>
      </c>
      <c r="K1480" s="62" t="s">
        <v>637</v>
      </c>
      <c r="L1480" s="62" t="s">
        <v>2421</v>
      </c>
      <c r="M1480" s="66" t="s">
        <v>1968</v>
      </c>
    </row>
    <row r="1481" spans="1:13" x14ac:dyDescent="0.3">
      <c r="A1481" s="61" t="s">
        <v>2205</v>
      </c>
      <c r="B1481" s="62" t="s">
        <v>1380</v>
      </c>
      <c r="C1481" s="62" t="s">
        <v>1381</v>
      </c>
      <c r="D1481" s="63">
        <v>45292</v>
      </c>
      <c r="E1481" s="63">
        <v>47118</v>
      </c>
      <c r="F1481" s="62" t="s">
        <v>1943</v>
      </c>
      <c r="G1481" s="62" t="s">
        <v>304</v>
      </c>
      <c r="H1481" s="62" t="s">
        <v>1382</v>
      </c>
      <c r="I1481" s="62" t="s">
        <v>424</v>
      </c>
      <c r="J1481" s="62" t="s">
        <v>909</v>
      </c>
      <c r="K1481" s="62" t="s">
        <v>637</v>
      </c>
      <c r="L1481" s="62" t="s">
        <v>2421</v>
      </c>
      <c r="M1481" s="66" t="s">
        <v>1968</v>
      </c>
    </row>
    <row r="1482" spans="1:13" x14ac:dyDescent="0.3">
      <c r="A1482" s="61" t="s">
        <v>2205</v>
      </c>
      <c r="B1482" s="62" t="s">
        <v>1380</v>
      </c>
      <c r="C1482" s="62" t="s">
        <v>1381</v>
      </c>
      <c r="D1482" s="63">
        <v>45292</v>
      </c>
      <c r="E1482" s="63">
        <v>47118</v>
      </c>
      <c r="F1482" s="62" t="s">
        <v>1959</v>
      </c>
      <c r="G1482" s="62" t="s">
        <v>304</v>
      </c>
      <c r="H1482" s="62" t="s">
        <v>1382</v>
      </c>
      <c r="I1482" s="62" t="s">
        <v>424</v>
      </c>
      <c r="J1482" s="62" t="s">
        <v>909</v>
      </c>
      <c r="K1482" s="62" t="s">
        <v>637</v>
      </c>
      <c r="L1482" s="62" t="s">
        <v>2421</v>
      </c>
      <c r="M1482" s="66" t="s">
        <v>1968</v>
      </c>
    </row>
    <row r="1483" spans="1:13" x14ac:dyDescent="0.3">
      <c r="A1483" s="61" t="s">
        <v>2205</v>
      </c>
      <c r="B1483" s="62" t="s">
        <v>1380</v>
      </c>
      <c r="C1483" s="62" t="s">
        <v>1381</v>
      </c>
      <c r="D1483" s="63">
        <v>45292</v>
      </c>
      <c r="E1483" s="63">
        <v>47118</v>
      </c>
      <c r="F1483" s="62" t="s">
        <v>1945</v>
      </c>
      <c r="G1483" s="62" t="s">
        <v>304</v>
      </c>
      <c r="H1483" s="62" t="s">
        <v>1382</v>
      </c>
      <c r="I1483" s="62" t="s">
        <v>424</v>
      </c>
      <c r="J1483" s="62" t="s">
        <v>909</v>
      </c>
      <c r="K1483" s="62" t="s">
        <v>637</v>
      </c>
      <c r="L1483" s="62" t="s">
        <v>2421</v>
      </c>
      <c r="M1483" s="66" t="s">
        <v>1968</v>
      </c>
    </row>
    <row r="1484" spans="1:13" x14ac:dyDescent="0.3">
      <c r="A1484" s="61" t="s">
        <v>2205</v>
      </c>
      <c r="B1484" s="62" t="s">
        <v>1380</v>
      </c>
      <c r="C1484" s="62" t="s">
        <v>1381</v>
      </c>
      <c r="D1484" s="63">
        <v>45292</v>
      </c>
      <c r="E1484" s="63">
        <v>47118</v>
      </c>
      <c r="F1484" s="62" t="s">
        <v>1931</v>
      </c>
      <c r="G1484" s="62" t="s">
        <v>304</v>
      </c>
      <c r="H1484" s="62" t="s">
        <v>361</v>
      </c>
      <c r="I1484" s="62" t="s">
        <v>424</v>
      </c>
      <c r="J1484" s="62" t="s">
        <v>909</v>
      </c>
      <c r="K1484" s="62" t="s">
        <v>637</v>
      </c>
      <c r="L1484" s="62" t="s">
        <v>2421</v>
      </c>
      <c r="M1484" s="66" t="s">
        <v>1968</v>
      </c>
    </row>
    <row r="1485" spans="1:13" x14ac:dyDescent="0.3">
      <c r="A1485" s="61" t="s">
        <v>2205</v>
      </c>
      <c r="B1485" s="62" t="s">
        <v>1380</v>
      </c>
      <c r="C1485" s="62" t="s">
        <v>1381</v>
      </c>
      <c r="D1485" s="63">
        <v>45292</v>
      </c>
      <c r="E1485" s="63">
        <v>47118</v>
      </c>
      <c r="F1485" s="62" t="s">
        <v>282</v>
      </c>
      <c r="G1485" s="62" t="s">
        <v>304</v>
      </c>
      <c r="H1485" s="62" t="s">
        <v>361</v>
      </c>
      <c r="I1485" s="62" t="s">
        <v>424</v>
      </c>
      <c r="J1485" s="62" t="s">
        <v>909</v>
      </c>
      <c r="K1485" s="62" t="s">
        <v>637</v>
      </c>
      <c r="L1485" s="62" t="s">
        <v>2421</v>
      </c>
      <c r="M1485" s="66" t="s">
        <v>1968</v>
      </c>
    </row>
    <row r="1486" spans="1:13" x14ac:dyDescent="0.3">
      <c r="A1486" s="61" t="s">
        <v>2205</v>
      </c>
      <c r="B1486" s="62" t="s">
        <v>1380</v>
      </c>
      <c r="C1486" s="62" t="s">
        <v>1381</v>
      </c>
      <c r="D1486" s="63">
        <v>45292</v>
      </c>
      <c r="E1486" s="63">
        <v>47118</v>
      </c>
      <c r="F1486" s="62" t="s">
        <v>348</v>
      </c>
      <c r="G1486" s="62" t="s">
        <v>304</v>
      </c>
      <c r="H1486" s="62" t="s">
        <v>361</v>
      </c>
      <c r="I1486" s="62" t="s">
        <v>424</v>
      </c>
      <c r="J1486" s="62" t="s">
        <v>909</v>
      </c>
      <c r="K1486" s="62" t="s">
        <v>637</v>
      </c>
      <c r="L1486" s="62" t="s">
        <v>2421</v>
      </c>
      <c r="M1486" s="66" t="s">
        <v>1968</v>
      </c>
    </row>
    <row r="1487" spans="1:13" x14ac:dyDescent="0.3">
      <c r="A1487" s="61" t="s">
        <v>2205</v>
      </c>
      <c r="B1487" s="62" t="s">
        <v>1380</v>
      </c>
      <c r="C1487" s="62" t="s">
        <v>1381</v>
      </c>
      <c r="D1487" s="63">
        <v>45292</v>
      </c>
      <c r="E1487" s="63">
        <v>47118</v>
      </c>
      <c r="F1487" s="62" t="s">
        <v>1937</v>
      </c>
      <c r="G1487" s="62" t="s">
        <v>304</v>
      </c>
      <c r="H1487" s="62" t="s">
        <v>361</v>
      </c>
      <c r="I1487" s="62" t="s">
        <v>424</v>
      </c>
      <c r="J1487" s="62" t="s">
        <v>909</v>
      </c>
      <c r="K1487" s="62" t="s">
        <v>637</v>
      </c>
      <c r="L1487" s="62" t="s">
        <v>2421</v>
      </c>
      <c r="M1487" s="66" t="s">
        <v>1968</v>
      </c>
    </row>
    <row r="1488" spans="1:13" x14ac:dyDescent="0.3">
      <c r="A1488" s="61" t="s">
        <v>2205</v>
      </c>
      <c r="B1488" s="62" t="s">
        <v>1380</v>
      </c>
      <c r="C1488" s="62" t="s">
        <v>1381</v>
      </c>
      <c r="D1488" s="63">
        <v>45292</v>
      </c>
      <c r="E1488" s="63">
        <v>47118</v>
      </c>
      <c r="F1488" s="62" t="s">
        <v>1943</v>
      </c>
      <c r="G1488" s="62" t="s">
        <v>304</v>
      </c>
      <c r="H1488" s="62" t="s">
        <v>361</v>
      </c>
      <c r="I1488" s="62" t="s">
        <v>424</v>
      </c>
      <c r="J1488" s="62" t="s">
        <v>909</v>
      </c>
      <c r="K1488" s="62" t="s">
        <v>637</v>
      </c>
      <c r="L1488" s="62" t="s">
        <v>2421</v>
      </c>
      <c r="M1488" s="66" t="s">
        <v>1968</v>
      </c>
    </row>
    <row r="1489" spans="1:13" x14ac:dyDescent="0.3">
      <c r="A1489" s="61" t="s">
        <v>2205</v>
      </c>
      <c r="B1489" s="62" t="s">
        <v>1380</v>
      </c>
      <c r="C1489" s="62" t="s">
        <v>1381</v>
      </c>
      <c r="D1489" s="63">
        <v>45292</v>
      </c>
      <c r="E1489" s="63">
        <v>47118</v>
      </c>
      <c r="F1489" s="62" t="s">
        <v>1959</v>
      </c>
      <c r="G1489" s="62" t="s">
        <v>304</v>
      </c>
      <c r="H1489" s="62" t="s">
        <v>361</v>
      </c>
      <c r="I1489" s="62" t="s">
        <v>424</v>
      </c>
      <c r="J1489" s="62" t="s">
        <v>909</v>
      </c>
      <c r="K1489" s="62" t="s">
        <v>637</v>
      </c>
      <c r="L1489" s="62" t="s">
        <v>2421</v>
      </c>
      <c r="M1489" s="66" t="s">
        <v>1968</v>
      </c>
    </row>
    <row r="1490" spans="1:13" x14ac:dyDescent="0.3">
      <c r="A1490" s="61" t="s">
        <v>2205</v>
      </c>
      <c r="B1490" s="62" t="s">
        <v>1380</v>
      </c>
      <c r="C1490" s="62" t="s">
        <v>1381</v>
      </c>
      <c r="D1490" s="63">
        <v>45292</v>
      </c>
      <c r="E1490" s="63">
        <v>47118</v>
      </c>
      <c r="F1490" s="62" t="s">
        <v>1945</v>
      </c>
      <c r="G1490" s="62" t="s">
        <v>304</v>
      </c>
      <c r="H1490" s="62" t="s">
        <v>361</v>
      </c>
      <c r="I1490" s="62" t="s">
        <v>424</v>
      </c>
      <c r="J1490" s="62" t="s">
        <v>909</v>
      </c>
      <c r="K1490" s="62" t="s">
        <v>637</v>
      </c>
      <c r="L1490" s="62" t="s">
        <v>2421</v>
      </c>
      <c r="M1490" s="66" t="s">
        <v>1968</v>
      </c>
    </row>
    <row r="1491" spans="1:13" x14ac:dyDescent="0.3">
      <c r="A1491" s="61" t="s">
        <v>2206</v>
      </c>
      <c r="B1491" s="62" t="s">
        <v>1383</v>
      </c>
      <c r="C1491" s="62" t="s">
        <v>1384</v>
      </c>
      <c r="D1491" s="63">
        <v>44972</v>
      </c>
      <c r="E1491" s="63">
        <v>46357</v>
      </c>
      <c r="F1491" s="62" t="s">
        <v>282</v>
      </c>
      <c r="G1491" s="62" t="s">
        <v>283</v>
      </c>
      <c r="H1491" s="62" t="s">
        <v>1385</v>
      </c>
      <c r="I1491" s="62" t="s">
        <v>1518</v>
      </c>
      <c r="J1491" s="62" t="s">
        <v>486</v>
      </c>
      <c r="K1491" s="62" t="s">
        <v>465</v>
      </c>
      <c r="L1491" s="62" t="s">
        <v>2421</v>
      </c>
      <c r="M1491" s="66" t="s">
        <v>1964</v>
      </c>
    </row>
    <row r="1492" spans="1:13" x14ac:dyDescent="0.3">
      <c r="A1492" s="61" t="s">
        <v>2207</v>
      </c>
      <c r="B1492" s="62" t="s">
        <v>1386</v>
      </c>
      <c r="C1492" s="62" t="s">
        <v>1387</v>
      </c>
      <c r="D1492" s="63">
        <v>45481</v>
      </c>
      <c r="E1492" s="63">
        <v>46053</v>
      </c>
      <c r="F1492" s="62" t="s">
        <v>1940</v>
      </c>
      <c r="G1492" s="62" t="s">
        <v>304</v>
      </c>
      <c r="H1492" s="62" t="s">
        <v>1385</v>
      </c>
      <c r="I1492" s="62" t="s">
        <v>1518</v>
      </c>
      <c r="J1492" s="62" t="s">
        <v>486</v>
      </c>
      <c r="K1492" s="62" t="s">
        <v>465</v>
      </c>
      <c r="L1492" s="62" t="s">
        <v>2421</v>
      </c>
      <c r="M1492" s="66" t="s">
        <v>1964</v>
      </c>
    </row>
    <row r="1493" spans="1:13" x14ac:dyDescent="0.3">
      <c r="A1493" s="61" t="s">
        <v>2208</v>
      </c>
      <c r="B1493" s="62" t="s">
        <v>1388</v>
      </c>
      <c r="C1493" s="62" t="s">
        <v>1389</v>
      </c>
      <c r="D1493" s="63">
        <v>45627</v>
      </c>
      <c r="E1493" s="63">
        <v>46173</v>
      </c>
      <c r="F1493" s="62" t="s">
        <v>350</v>
      </c>
      <c r="G1493" s="62" t="s">
        <v>350</v>
      </c>
      <c r="H1493" s="62" t="s">
        <v>2484</v>
      </c>
      <c r="I1493" s="62" t="s">
        <v>825</v>
      </c>
      <c r="J1493" s="62" t="s">
        <v>558</v>
      </c>
      <c r="K1493" s="62" t="s">
        <v>426</v>
      </c>
      <c r="L1493" s="62" t="s">
        <v>2421</v>
      </c>
      <c r="M1493" s="66" t="s">
        <v>2021</v>
      </c>
    </row>
    <row r="1494" spans="1:13" x14ac:dyDescent="0.3">
      <c r="A1494" s="61" t="s">
        <v>2208</v>
      </c>
      <c r="B1494" s="62" t="s">
        <v>1388</v>
      </c>
      <c r="C1494" s="62" t="s">
        <v>1389</v>
      </c>
      <c r="D1494" s="63">
        <v>45627</v>
      </c>
      <c r="E1494" s="63">
        <v>46173</v>
      </c>
      <c r="F1494" s="62" t="s">
        <v>350</v>
      </c>
      <c r="G1494" s="62" t="s">
        <v>350</v>
      </c>
      <c r="H1494" s="62" t="s">
        <v>468</v>
      </c>
      <c r="I1494" s="62" t="s">
        <v>825</v>
      </c>
      <c r="J1494" s="62" t="s">
        <v>558</v>
      </c>
      <c r="K1494" s="62" t="s">
        <v>426</v>
      </c>
      <c r="L1494" s="62" t="s">
        <v>2421</v>
      </c>
      <c r="M1494" s="66" t="s">
        <v>2021</v>
      </c>
    </row>
    <row r="1495" spans="1:13" x14ac:dyDescent="0.3">
      <c r="A1495" s="61" t="s">
        <v>2209</v>
      </c>
      <c r="B1495" s="62" t="s">
        <v>1390</v>
      </c>
      <c r="C1495" s="62" t="s">
        <v>1391</v>
      </c>
      <c r="D1495" s="63">
        <v>45363</v>
      </c>
      <c r="E1495" s="63">
        <v>46402</v>
      </c>
      <c r="F1495" s="62" t="s">
        <v>350</v>
      </c>
      <c r="G1495" s="62" t="s">
        <v>304</v>
      </c>
      <c r="H1495" s="62" t="s">
        <v>601</v>
      </c>
      <c r="I1495" s="62" t="s">
        <v>1518</v>
      </c>
      <c r="J1495" s="62" t="s">
        <v>531</v>
      </c>
      <c r="K1495" s="62" t="s">
        <v>459</v>
      </c>
      <c r="L1495" s="62" t="s">
        <v>2421</v>
      </c>
      <c r="M1495" s="66" t="s">
        <v>1971</v>
      </c>
    </row>
    <row r="1496" spans="1:13" x14ac:dyDescent="0.3">
      <c r="A1496" s="61" t="s">
        <v>2209</v>
      </c>
      <c r="B1496" s="62" t="s">
        <v>1390</v>
      </c>
      <c r="C1496" s="62" t="s">
        <v>1391</v>
      </c>
      <c r="D1496" s="63">
        <v>45363</v>
      </c>
      <c r="E1496" s="63">
        <v>46402</v>
      </c>
      <c r="F1496" s="62" t="s">
        <v>1930</v>
      </c>
      <c r="G1496" s="62" t="s">
        <v>304</v>
      </c>
      <c r="H1496" s="62" t="s">
        <v>601</v>
      </c>
      <c r="I1496" s="62" t="s">
        <v>1518</v>
      </c>
      <c r="J1496" s="62" t="s">
        <v>531</v>
      </c>
      <c r="K1496" s="62" t="s">
        <v>459</v>
      </c>
      <c r="L1496" s="62" t="s">
        <v>2421</v>
      </c>
      <c r="M1496" s="66" t="s">
        <v>1971</v>
      </c>
    </row>
    <row r="1497" spans="1:13" x14ac:dyDescent="0.3">
      <c r="A1497" s="61" t="s">
        <v>2209</v>
      </c>
      <c r="B1497" s="62" t="s">
        <v>1390</v>
      </c>
      <c r="C1497" s="62" t="s">
        <v>1391</v>
      </c>
      <c r="D1497" s="63">
        <v>45363</v>
      </c>
      <c r="E1497" s="63">
        <v>46402</v>
      </c>
      <c r="F1497" s="62" t="s">
        <v>1959</v>
      </c>
      <c r="G1497" s="62" t="s">
        <v>304</v>
      </c>
      <c r="H1497" s="62" t="s">
        <v>601</v>
      </c>
      <c r="I1497" s="62" t="s">
        <v>1518</v>
      </c>
      <c r="J1497" s="62" t="s">
        <v>531</v>
      </c>
      <c r="K1497" s="62" t="s">
        <v>459</v>
      </c>
      <c r="L1497" s="62" t="s">
        <v>2421</v>
      </c>
      <c r="M1497" s="66" t="s">
        <v>1971</v>
      </c>
    </row>
    <row r="1498" spans="1:13" x14ac:dyDescent="0.3">
      <c r="A1498" s="61" t="s">
        <v>2209</v>
      </c>
      <c r="B1498" s="62" t="s">
        <v>1390</v>
      </c>
      <c r="C1498" s="62" t="s">
        <v>1391</v>
      </c>
      <c r="D1498" s="63">
        <v>45363</v>
      </c>
      <c r="E1498" s="63">
        <v>46402</v>
      </c>
      <c r="F1498" s="62" t="s">
        <v>1945</v>
      </c>
      <c r="G1498" s="62" t="s">
        <v>304</v>
      </c>
      <c r="H1498" s="62" t="s">
        <v>601</v>
      </c>
      <c r="I1498" s="62" t="s">
        <v>1518</v>
      </c>
      <c r="J1498" s="62" t="s">
        <v>531</v>
      </c>
      <c r="K1498" s="62" t="s">
        <v>459</v>
      </c>
      <c r="L1498" s="62" t="s">
        <v>2421</v>
      </c>
      <c r="M1498" s="66" t="s">
        <v>1971</v>
      </c>
    </row>
    <row r="1499" spans="1:13" x14ac:dyDescent="0.3">
      <c r="A1499" s="61" t="s">
        <v>2210</v>
      </c>
      <c r="B1499" s="62" t="s">
        <v>1392</v>
      </c>
      <c r="C1499" s="62" t="s">
        <v>1393</v>
      </c>
      <c r="D1499" s="63">
        <v>45531</v>
      </c>
      <c r="E1499" s="63">
        <v>46626</v>
      </c>
      <c r="F1499" s="62" t="s">
        <v>348</v>
      </c>
      <c r="G1499" s="62" t="s">
        <v>304</v>
      </c>
      <c r="H1499" s="62" t="s">
        <v>542</v>
      </c>
      <c r="I1499" s="62" t="s">
        <v>825</v>
      </c>
      <c r="J1499" s="62" t="s">
        <v>673</v>
      </c>
      <c r="K1499" s="62" t="s">
        <v>371</v>
      </c>
      <c r="L1499" s="62" t="s">
        <v>2421</v>
      </c>
      <c r="M1499" s="66" t="s">
        <v>1978</v>
      </c>
    </row>
    <row r="1500" spans="1:13" x14ac:dyDescent="0.3">
      <c r="A1500" s="61" t="s">
        <v>2211</v>
      </c>
      <c r="B1500" s="62" t="s">
        <v>1396</v>
      </c>
      <c r="C1500" s="62" t="s">
        <v>1397</v>
      </c>
      <c r="D1500" s="63">
        <v>45566</v>
      </c>
      <c r="E1500" s="63">
        <v>46053</v>
      </c>
      <c r="F1500" s="62" t="s">
        <v>350</v>
      </c>
      <c r="G1500" s="62" t="s">
        <v>304</v>
      </c>
      <c r="H1500" s="62" t="s">
        <v>1385</v>
      </c>
      <c r="I1500" s="62" t="s">
        <v>1518</v>
      </c>
      <c r="J1500" s="62" t="s">
        <v>743</v>
      </c>
      <c r="K1500" s="62" t="s">
        <v>744</v>
      </c>
      <c r="L1500" s="62" t="s">
        <v>2421</v>
      </c>
      <c r="M1500" s="66" t="s">
        <v>1971</v>
      </c>
    </row>
    <row r="1501" spans="1:13" x14ac:dyDescent="0.3">
      <c r="A1501" s="61" t="s">
        <v>2212</v>
      </c>
      <c r="B1501" s="62" t="s">
        <v>1398</v>
      </c>
      <c r="C1501" s="62" t="s">
        <v>1399</v>
      </c>
      <c r="D1501" s="63">
        <v>45621</v>
      </c>
      <c r="E1501" s="63">
        <v>46351</v>
      </c>
      <c r="F1501" s="62" t="s">
        <v>282</v>
      </c>
      <c r="G1501" s="62" t="s">
        <v>283</v>
      </c>
      <c r="H1501" s="62" t="s">
        <v>468</v>
      </c>
      <c r="I1501" s="62" t="s">
        <v>2443</v>
      </c>
      <c r="J1501" s="62" t="s">
        <v>1272</v>
      </c>
      <c r="K1501" s="62" t="s">
        <v>571</v>
      </c>
      <c r="L1501" s="62" t="s">
        <v>2421</v>
      </c>
      <c r="M1501" s="66" t="s">
        <v>1975</v>
      </c>
    </row>
    <row r="1502" spans="1:13" x14ac:dyDescent="0.3">
      <c r="A1502" s="61" t="s">
        <v>2212</v>
      </c>
      <c r="B1502" s="62" t="s">
        <v>1398</v>
      </c>
      <c r="C1502" s="62" t="s">
        <v>1399</v>
      </c>
      <c r="D1502" s="63">
        <v>45621</v>
      </c>
      <c r="E1502" s="63">
        <v>46351</v>
      </c>
      <c r="F1502" s="62" t="s">
        <v>282</v>
      </c>
      <c r="G1502" s="62" t="s">
        <v>816</v>
      </c>
      <c r="H1502" s="62" t="s">
        <v>468</v>
      </c>
      <c r="I1502" s="62" t="s">
        <v>2443</v>
      </c>
      <c r="J1502" s="62" t="s">
        <v>1272</v>
      </c>
      <c r="K1502" s="62" t="s">
        <v>571</v>
      </c>
      <c r="L1502" s="62" t="s">
        <v>2421</v>
      </c>
      <c r="M1502" s="66" t="s">
        <v>1975</v>
      </c>
    </row>
    <row r="1503" spans="1:13" x14ac:dyDescent="0.3">
      <c r="A1503" s="61" t="s">
        <v>2212</v>
      </c>
      <c r="B1503" s="62" t="s">
        <v>1398</v>
      </c>
      <c r="C1503" s="62" t="s">
        <v>1399</v>
      </c>
      <c r="D1503" s="63">
        <v>45621</v>
      </c>
      <c r="E1503" s="63">
        <v>46351</v>
      </c>
      <c r="F1503" s="62" t="s">
        <v>1959</v>
      </c>
      <c r="G1503" s="62" t="s">
        <v>612</v>
      </c>
      <c r="H1503" s="62" t="s">
        <v>468</v>
      </c>
      <c r="I1503" s="62" t="s">
        <v>2443</v>
      </c>
      <c r="J1503" s="62" t="s">
        <v>1272</v>
      </c>
      <c r="K1503" s="62" t="s">
        <v>571</v>
      </c>
      <c r="L1503" s="62" t="s">
        <v>2421</v>
      </c>
      <c r="M1503" s="66" t="s">
        <v>1975</v>
      </c>
    </row>
    <row r="1504" spans="1:13" x14ac:dyDescent="0.3">
      <c r="A1504" s="61" t="s">
        <v>2212</v>
      </c>
      <c r="B1504" s="62" t="s">
        <v>1398</v>
      </c>
      <c r="C1504" s="62" t="s">
        <v>1399</v>
      </c>
      <c r="D1504" s="63">
        <v>45621</v>
      </c>
      <c r="E1504" s="63">
        <v>46351</v>
      </c>
      <c r="F1504" s="62" t="s">
        <v>1959</v>
      </c>
      <c r="G1504" s="62" t="s">
        <v>795</v>
      </c>
      <c r="H1504" s="62" t="s">
        <v>468</v>
      </c>
      <c r="I1504" s="62" t="s">
        <v>2443</v>
      </c>
      <c r="J1504" s="62" t="s">
        <v>1272</v>
      </c>
      <c r="K1504" s="62" t="s">
        <v>571</v>
      </c>
      <c r="L1504" s="62" t="s">
        <v>2421</v>
      </c>
      <c r="M1504" s="66" t="s">
        <v>1975</v>
      </c>
    </row>
    <row r="1505" spans="1:13" x14ac:dyDescent="0.3">
      <c r="A1505" s="61" t="s">
        <v>2212</v>
      </c>
      <c r="B1505" s="62" t="s">
        <v>1398</v>
      </c>
      <c r="C1505" s="62" t="s">
        <v>1399</v>
      </c>
      <c r="D1505" s="63">
        <v>45621</v>
      </c>
      <c r="E1505" s="63">
        <v>46351</v>
      </c>
      <c r="F1505" s="62" t="s">
        <v>1931</v>
      </c>
      <c r="G1505" s="62" t="s">
        <v>1400</v>
      </c>
      <c r="H1505" s="62" t="s">
        <v>468</v>
      </c>
      <c r="I1505" s="62" t="s">
        <v>2443</v>
      </c>
      <c r="J1505" s="62" t="s">
        <v>1272</v>
      </c>
      <c r="K1505" s="62" t="s">
        <v>571</v>
      </c>
      <c r="L1505" s="62" t="s">
        <v>2421</v>
      </c>
      <c r="M1505" s="66" t="s">
        <v>1975</v>
      </c>
    </row>
    <row r="1506" spans="1:13" x14ac:dyDescent="0.3">
      <c r="A1506" s="61" t="s">
        <v>2212</v>
      </c>
      <c r="B1506" s="62" t="s">
        <v>1398</v>
      </c>
      <c r="C1506" s="62" t="s">
        <v>1399</v>
      </c>
      <c r="D1506" s="63">
        <v>45621</v>
      </c>
      <c r="E1506" s="63">
        <v>46351</v>
      </c>
      <c r="F1506" s="62" t="s">
        <v>1921</v>
      </c>
      <c r="G1506" s="62" t="s">
        <v>487</v>
      </c>
      <c r="H1506" s="62" t="s">
        <v>468</v>
      </c>
      <c r="I1506" s="62" t="s">
        <v>2443</v>
      </c>
      <c r="J1506" s="62" t="s">
        <v>1272</v>
      </c>
      <c r="K1506" s="62" t="s">
        <v>571</v>
      </c>
      <c r="L1506" s="62" t="s">
        <v>2421</v>
      </c>
      <c r="M1506" s="66" t="s">
        <v>1975</v>
      </c>
    </row>
    <row r="1507" spans="1:13" x14ac:dyDescent="0.3">
      <c r="A1507" s="61" t="s">
        <v>2212</v>
      </c>
      <c r="B1507" s="62" t="s">
        <v>1398</v>
      </c>
      <c r="C1507" s="62" t="s">
        <v>1399</v>
      </c>
      <c r="D1507" s="63">
        <v>45621</v>
      </c>
      <c r="E1507" s="63">
        <v>46351</v>
      </c>
      <c r="F1507" s="62" t="s">
        <v>348</v>
      </c>
      <c r="G1507" s="62" t="s">
        <v>348</v>
      </c>
      <c r="H1507" s="62" t="s">
        <v>468</v>
      </c>
      <c r="I1507" s="62" t="s">
        <v>2443</v>
      </c>
      <c r="J1507" s="62" t="s">
        <v>1272</v>
      </c>
      <c r="K1507" s="62" t="s">
        <v>571</v>
      </c>
      <c r="L1507" s="62" t="s">
        <v>2421</v>
      </c>
      <c r="M1507" s="66" t="s">
        <v>1975</v>
      </c>
    </row>
    <row r="1508" spans="1:13" x14ac:dyDescent="0.3">
      <c r="A1508" s="61" t="s">
        <v>2212</v>
      </c>
      <c r="B1508" s="62" t="s">
        <v>1398</v>
      </c>
      <c r="C1508" s="62" t="s">
        <v>1399</v>
      </c>
      <c r="D1508" s="63">
        <v>45621</v>
      </c>
      <c r="E1508" s="63">
        <v>46351</v>
      </c>
      <c r="F1508" s="62" t="s">
        <v>1933</v>
      </c>
      <c r="G1508" s="62" t="s">
        <v>756</v>
      </c>
      <c r="H1508" s="62" t="s">
        <v>468</v>
      </c>
      <c r="I1508" s="62" t="s">
        <v>2443</v>
      </c>
      <c r="J1508" s="62" t="s">
        <v>1272</v>
      </c>
      <c r="K1508" s="62" t="s">
        <v>571</v>
      </c>
      <c r="L1508" s="62" t="s">
        <v>2421</v>
      </c>
      <c r="M1508" s="66" t="s">
        <v>1975</v>
      </c>
    </row>
    <row r="1509" spans="1:13" x14ac:dyDescent="0.3">
      <c r="A1509" s="61" t="s">
        <v>2212</v>
      </c>
      <c r="B1509" s="62" t="s">
        <v>1398</v>
      </c>
      <c r="C1509" s="62" t="s">
        <v>1399</v>
      </c>
      <c r="D1509" s="63">
        <v>45621</v>
      </c>
      <c r="E1509" s="63">
        <v>46351</v>
      </c>
      <c r="F1509" s="62" t="s">
        <v>1922</v>
      </c>
      <c r="G1509" s="62" t="s">
        <v>553</v>
      </c>
      <c r="H1509" s="62" t="s">
        <v>468</v>
      </c>
      <c r="I1509" s="62" t="s">
        <v>2443</v>
      </c>
      <c r="J1509" s="62" t="s">
        <v>1272</v>
      </c>
      <c r="K1509" s="62" t="s">
        <v>571</v>
      </c>
      <c r="L1509" s="62" t="s">
        <v>2421</v>
      </c>
      <c r="M1509" s="66" t="s">
        <v>1975</v>
      </c>
    </row>
    <row r="1510" spans="1:13" x14ac:dyDescent="0.3">
      <c r="A1510" s="61" t="s">
        <v>2212</v>
      </c>
      <c r="B1510" s="62" t="s">
        <v>1398</v>
      </c>
      <c r="C1510" s="62" t="s">
        <v>1399</v>
      </c>
      <c r="D1510" s="63">
        <v>45621</v>
      </c>
      <c r="E1510" s="63">
        <v>46351</v>
      </c>
      <c r="F1510" s="62" t="s">
        <v>1943</v>
      </c>
      <c r="G1510" s="62" t="s">
        <v>817</v>
      </c>
      <c r="H1510" s="62" t="s">
        <v>468</v>
      </c>
      <c r="I1510" s="62" t="s">
        <v>2443</v>
      </c>
      <c r="J1510" s="62" t="s">
        <v>1272</v>
      </c>
      <c r="K1510" s="62" t="s">
        <v>571</v>
      </c>
      <c r="L1510" s="62" t="s">
        <v>2421</v>
      </c>
      <c r="M1510" s="66" t="s">
        <v>1975</v>
      </c>
    </row>
    <row r="1511" spans="1:13" x14ac:dyDescent="0.3">
      <c r="A1511" s="61" t="s">
        <v>2212</v>
      </c>
      <c r="B1511" s="62" t="s">
        <v>1398</v>
      </c>
      <c r="C1511" s="62" t="s">
        <v>1399</v>
      </c>
      <c r="D1511" s="63">
        <v>45621</v>
      </c>
      <c r="E1511" s="63">
        <v>46351</v>
      </c>
      <c r="F1511" s="62" t="s">
        <v>1936</v>
      </c>
      <c r="G1511" s="62" t="s">
        <v>411</v>
      </c>
      <c r="H1511" s="62" t="s">
        <v>468</v>
      </c>
      <c r="I1511" s="62" t="s">
        <v>2443</v>
      </c>
      <c r="J1511" s="62" t="s">
        <v>1272</v>
      </c>
      <c r="K1511" s="62" t="s">
        <v>571</v>
      </c>
      <c r="L1511" s="62" t="s">
        <v>2421</v>
      </c>
      <c r="M1511" s="66" t="s">
        <v>1975</v>
      </c>
    </row>
    <row r="1512" spans="1:13" x14ac:dyDescent="0.3">
      <c r="A1512" s="61" t="s">
        <v>2212</v>
      </c>
      <c r="B1512" s="62" t="s">
        <v>1398</v>
      </c>
      <c r="C1512" s="62" t="s">
        <v>1399</v>
      </c>
      <c r="D1512" s="63">
        <v>45621</v>
      </c>
      <c r="E1512" s="63">
        <v>46351</v>
      </c>
      <c r="F1512" s="62" t="s">
        <v>287</v>
      </c>
      <c r="G1512" s="62" t="s">
        <v>396</v>
      </c>
      <c r="H1512" s="62" t="s">
        <v>468</v>
      </c>
      <c r="I1512" s="62" t="s">
        <v>2443</v>
      </c>
      <c r="J1512" s="62" t="s">
        <v>1272</v>
      </c>
      <c r="K1512" s="62" t="s">
        <v>571</v>
      </c>
      <c r="L1512" s="62" t="s">
        <v>2421</v>
      </c>
      <c r="M1512" s="66" t="s">
        <v>1975</v>
      </c>
    </row>
    <row r="1513" spans="1:13" x14ac:dyDescent="0.3">
      <c r="A1513" s="61" t="s">
        <v>2212</v>
      </c>
      <c r="B1513" s="62" t="s">
        <v>1398</v>
      </c>
      <c r="C1513" s="62" t="s">
        <v>1399</v>
      </c>
      <c r="D1513" s="63">
        <v>45621</v>
      </c>
      <c r="E1513" s="63">
        <v>46351</v>
      </c>
      <c r="F1513" s="62" t="s">
        <v>1945</v>
      </c>
      <c r="G1513" s="62" t="s">
        <v>400</v>
      </c>
      <c r="H1513" s="62" t="s">
        <v>468</v>
      </c>
      <c r="I1513" s="62" t="s">
        <v>2443</v>
      </c>
      <c r="J1513" s="62" t="s">
        <v>1272</v>
      </c>
      <c r="K1513" s="62" t="s">
        <v>571</v>
      </c>
      <c r="L1513" s="62" t="s">
        <v>2421</v>
      </c>
      <c r="M1513" s="66" t="s">
        <v>1975</v>
      </c>
    </row>
    <row r="1514" spans="1:13" x14ac:dyDescent="0.3">
      <c r="A1514" s="61" t="s">
        <v>2213</v>
      </c>
      <c r="B1514" s="62" t="s">
        <v>1401</v>
      </c>
      <c r="C1514" s="62" t="s">
        <v>1402</v>
      </c>
      <c r="D1514" s="63">
        <v>45594</v>
      </c>
      <c r="E1514" s="63">
        <v>47055</v>
      </c>
      <c r="F1514" s="62" t="s">
        <v>350</v>
      </c>
      <c r="G1514" s="62" t="s">
        <v>304</v>
      </c>
      <c r="H1514" s="62" t="s">
        <v>363</v>
      </c>
      <c r="I1514" s="62" t="s">
        <v>1518</v>
      </c>
      <c r="J1514" s="62" t="s">
        <v>911</v>
      </c>
      <c r="K1514" s="62" t="s">
        <v>375</v>
      </c>
      <c r="L1514" s="62" t="s">
        <v>2421</v>
      </c>
      <c r="M1514" s="66" t="s">
        <v>1968</v>
      </c>
    </row>
    <row r="1515" spans="1:13" x14ac:dyDescent="0.3">
      <c r="A1515" s="61" t="s">
        <v>2214</v>
      </c>
      <c r="B1515" s="62" t="s">
        <v>1403</v>
      </c>
      <c r="C1515" s="62" t="s">
        <v>1404</v>
      </c>
      <c r="D1515" s="63">
        <v>45587</v>
      </c>
      <c r="E1515" s="63">
        <v>46093</v>
      </c>
      <c r="F1515" s="62" t="s">
        <v>1922</v>
      </c>
      <c r="G1515" s="62" t="s">
        <v>304</v>
      </c>
      <c r="H1515" s="62" t="s">
        <v>1394</v>
      </c>
      <c r="I1515" s="62" t="s">
        <v>2443</v>
      </c>
      <c r="J1515" s="62" t="s">
        <v>558</v>
      </c>
      <c r="K1515" s="62" t="s">
        <v>426</v>
      </c>
      <c r="L1515" s="62" t="s">
        <v>2421</v>
      </c>
      <c r="M1515" s="66" t="s">
        <v>2021</v>
      </c>
    </row>
    <row r="1516" spans="1:13" x14ac:dyDescent="0.3">
      <c r="A1516" s="61" t="s">
        <v>2214</v>
      </c>
      <c r="B1516" s="62" t="s">
        <v>1403</v>
      </c>
      <c r="C1516" s="62" t="s">
        <v>1404</v>
      </c>
      <c r="D1516" s="63">
        <v>45587</v>
      </c>
      <c r="E1516" s="63">
        <v>46093</v>
      </c>
      <c r="F1516" s="62" t="s">
        <v>1922</v>
      </c>
      <c r="G1516" s="62" t="s">
        <v>304</v>
      </c>
      <c r="H1516" s="62" t="s">
        <v>802</v>
      </c>
      <c r="I1516" s="62" t="s">
        <v>2443</v>
      </c>
      <c r="J1516" s="62" t="s">
        <v>558</v>
      </c>
      <c r="K1516" s="62" t="s">
        <v>426</v>
      </c>
      <c r="L1516" s="62" t="s">
        <v>2421</v>
      </c>
      <c r="M1516" s="66" t="s">
        <v>2021</v>
      </c>
    </row>
    <row r="1517" spans="1:13" x14ac:dyDescent="0.3">
      <c r="A1517" s="61" t="s">
        <v>2215</v>
      </c>
      <c r="B1517" s="62" t="s">
        <v>1405</v>
      </c>
      <c r="C1517" s="62" t="s">
        <v>1406</v>
      </c>
      <c r="D1517" s="63">
        <v>44197</v>
      </c>
      <c r="E1517" s="63">
        <v>46387</v>
      </c>
      <c r="F1517" s="62" t="s">
        <v>1939</v>
      </c>
      <c r="G1517" s="62" t="s">
        <v>304</v>
      </c>
      <c r="H1517" s="62" t="s">
        <v>534</v>
      </c>
      <c r="I1517" s="62" t="s">
        <v>509</v>
      </c>
      <c r="J1517" s="62" t="s">
        <v>1407</v>
      </c>
      <c r="K1517" s="62" t="s">
        <v>744</v>
      </c>
      <c r="L1517" s="62" t="s">
        <v>2421</v>
      </c>
      <c r="M1517" s="66" t="s">
        <v>1969</v>
      </c>
    </row>
    <row r="1518" spans="1:13" x14ac:dyDescent="0.3">
      <c r="A1518" s="61" t="s">
        <v>2215</v>
      </c>
      <c r="B1518" s="62" t="s">
        <v>1405</v>
      </c>
      <c r="C1518" s="62" t="s">
        <v>1406</v>
      </c>
      <c r="D1518" s="63">
        <v>44197</v>
      </c>
      <c r="E1518" s="63">
        <v>46387</v>
      </c>
      <c r="F1518" s="62" t="s">
        <v>287</v>
      </c>
      <c r="G1518" s="62" t="s">
        <v>304</v>
      </c>
      <c r="H1518" s="62" t="s">
        <v>534</v>
      </c>
      <c r="I1518" s="62" t="s">
        <v>509</v>
      </c>
      <c r="J1518" s="62" t="s">
        <v>1407</v>
      </c>
      <c r="K1518" s="62" t="s">
        <v>744</v>
      </c>
      <c r="L1518" s="62" t="s">
        <v>2421</v>
      </c>
      <c r="M1518" s="66" t="s">
        <v>1969</v>
      </c>
    </row>
    <row r="1519" spans="1:13" x14ac:dyDescent="0.3">
      <c r="A1519" s="61" t="s">
        <v>2216</v>
      </c>
      <c r="B1519" s="62" t="s">
        <v>1408</v>
      </c>
      <c r="C1519" s="62" t="s">
        <v>1409</v>
      </c>
      <c r="D1519" s="63">
        <v>45542</v>
      </c>
      <c r="E1519" s="63">
        <v>46083</v>
      </c>
      <c r="F1519" s="62" t="s">
        <v>1935</v>
      </c>
      <c r="G1519" s="62" t="s">
        <v>337</v>
      </c>
      <c r="H1519" s="62" t="s">
        <v>939</v>
      </c>
      <c r="I1519" s="62" t="s">
        <v>825</v>
      </c>
      <c r="J1519" s="62" t="s">
        <v>938</v>
      </c>
      <c r="K1519" s="62" t="s">
        <v>371</v>
      </c>
      <c r="L1519" s="62" t="s">
        <v>2421</v>
      </c>
      <c r="M1519" s="66" t="s">
        <v>1972</v>
      </c>
    </row>
    <row r="1520" spans="1:13" x14ac:dyDescent="0.3">
      <c r="A1520" s="61" t="s">
        <v>2216</v>
      </c>
      <c r="B1520" s="62" t="s">
        <v>1408</v>
      </c>
      <c r="C1520" s="62" t="s">
        <v>1409</v>
      </c>
      <c r="D1520" s="63">
        <v>45542</v>
      </c>
      <c r="E1520" s="63">
        <v>46083</v>
      </c>
      <c r="F1520" s="62" t="s">
        <v>1935</v>
      </c>
      <c r="G1520" s="62" t="s">
        <v>1375</v>
      </c>
      <c r="H1520" s="62" t="s">
        <v>939</v>
      </c>
      <c r="I1520" s="62" t="s">
        <v>825</v>
      </c>
      <c r="J1520" s="62" t="s">
        <v>938</v>
      </c>
      <c r="K1520" s="62" t="s">
        <v>371</v>
      </c>
      <c r="L1520" s="62" t="s">
        <v>2421</v>
      </c>
      <c r="M1520" s="66" t="s">
        <v>1972</v>
      </c>
    </row>
    <row r="1521" spans="1:13" x14ac:dyDescent="0.3">
      <c r="A1521" s="61" t="s">
        <v>2217</v>
      </c>
      <c r="B1521" s="62" t="s">
        <v>1410</v>
      </c>
      <c r="C1521" s="62" t="s">
        <v>1411</v>
      </c>
      <c r="D1521" s="63">
        <v>45672</v>
      </c>
      <c r="E1521" s="63">
        <v>46767</v>
      </c>
      <c r="F1521" s="62" t="s">
        <v>284</v>
      </c>
      <c r="G1521" s="62" t="s">
        <v>1350</v>
      </c>
      <c r="H1521" s="62" t="s">
        <v>373</v>
      </c>
      <c r="I1521" s="62" t="s">
        <v>1518</v>
      </c>
      <c r="J1521" s="62" t="s">
        <v>416</v>
      </c>
      <c r="K1521" s="62" t="s">
        <v>417</v>
      </c>
      <c r="L1521" s="62" t="s">
        <v>2421</v>
      </c>
      <c r="M1521" s="66" t="s">
        <v>1989</v>
      </c>
    </row>
    <row r="1522" spans="1:13" x14ac:dyDescent="0.3">
      <c r="A1522" s="61" t="s">
        <v>2217</v>
      </c>
      <c r="B1522" s="62" t="s">
        <v>1410</v>
      </c>
      <c r="C1522" s="62" t="s">
        <v>1411</v>
      </c>
      <c r="D1522" s="63">
        <v>45672</v>
      </c>
      <c r="E1522" s="63">
        <v>46767</v>
      </c>
      <c r="F1522" s="62" t="s">
        <v>284</v>
      </c>
      <c r="G1522" s="62" t="s">
        <v>1412</v>
      </c>
      <c r="H1522" s="62" t="s">
        <v>373</v>
      </c>
      <c r="I1522" s="62" t="s">
        <v>1518</v>
      </c>
      <c r="J1522" s="62" t="s">
        <v>416</v>
      </c>
      <c r="K1522" s="62" t="s">
        <v>417</v>
      </c>
      <c r="L1522" s="62" t="s">
        <v>2421</v>
      </c>
      <c r="M1522" s="66" t="s">
        <v>1989</v>
      </c>
    </row>
    <row r="1523" spans="1:13" x14ac:dyDescent="0.3">
      <c r="A1523" s="61" t="s">
        <v>2217</v>
      </c>
      <c r="B1523" s="62" t="s">
        <v>1410</v>
      </c>
      <c r="C1523" s="62" t="s">
        <v>1411</v>
      </c>
      <c r="D1523" s="63">
        <v>45672</v>
      </c>
      <c r="E1523" s="63">
        <v>46767</v>
      </c>
      <c r="F1523" s="62" t="s">
        <v>284</v>
      </c>
      <c r="G1523" s="62" t="s">
        <v>1413</v>
      </c>
      <c r="H1523" s="62" t="s">
        <v>373</v>
      </c>
      <c r="I1523" s="62" t="s">
        <v>1518</v>
      </c>
      <c r="J1523" s="62" t="s">
        <v>416</v>
      </c>
      <c r="K1523" s="62" t="s">
        <v>417</v>
      </c>
      <c r="L1523" s="62" t="s">
        <v>2421</v>
      </c>
      <c r="M1523" s="66" t="s">
        <v>1989</v>
      </c>
    </row>
    <row r="1524" spans="1:13" x14ac:dyDescent="0.3">
      <c r="A1524" s="61" t="s">
        <v>2217</v>
      </c>
      <c r="B1524" s="62" t="s">
        <v>1410</v>
      </c>
      <c r="C1524" s="62" t="s">
        <v>1411</v>
      </c>
      <c r="D1524" s="63">
        <v>45672</v>
      </c>
      <c r="E1524" s="63">
        <v>46767</v>
      </c>
      <c r="F1524" s="62" t="s">
        <v>284</v>
      </c>
      <c r="G1524" s="62" t="s">
        <v>1414</v>
      </c>
      <c r="H1524" s="62" t="s">
        <v>373</v>
      </c>
      <c r="I1524" s="62" t="s">
        <v>1518</v>
      </c>
      <c r="J1524" s="62" t="s">
        <v>416</v>
      </c>
      <c r="K1524" s="62" t="s">
        <v>417</v>
      </c>
      <c r="L1524" s="62" t="s">
        <v>2421</v>
      </c>
      <c r="M1524" s="66" t="s">
        <v>1989</v>
      </c>
    </row>
    <row r="1525" spans="1:13" x14ac:dyDescent="0.3">
      <c r="A1525" s="61" t="s">
        <v>2217</v>
      </c>
      <c r="B1525" s="62" t="s">
        <v>1410</v>
      </c>
      <c r="C1525" s="62" t="s">
        <v>1411</v>
      </c>
      <c r="D1525" s="63">
        <v>45672</v>
      </c>
      <c r="E1525" s="63">
        <v>46767</v>
      </c>
      <c r="F1525" s="62" t="s">
        <v>284</v>
      </c>
      <c r="G1525" s="62" t="s">
        <v>1415</v>
      </c>
      <c r="H1525" s="62" t="s">
        <v>373</v>
      </c>
      <c r="I1525" s="62" t="s">
        <v>1518</v>
      </c>
      <c r="J1525" s="62" t="s">
        <v>416</v>
      </c>
      <c r="K1525" s="62" t="s">
        <v>417</v>
      </c>
      <c r="L1525" s="62" t="s">
        <v>2421</v>
      </c>
      <c r="M1525" s="66" t="s">
        <v>1989</v>
      </c>
    </row>
    <row r="1526" spans="1:13" x14ac:dyDescent="0.3">
      <c r="A1526" s="61" t="s">
        <v>2217</v>
      </c>
      <c r="B1526" s="62" t="s">
        <v>1410</v>
      </c>
      <c r="C1526" s="62" t="s">
        <v>1411</v>
      </c>
      <c r="D1526" s="63">
        <v>45672</v>
      </c>
      <c r="E1526" s="63">
        <v>46767</v>
      </c>
      <c r="F1526" s="62" t="s">
        <v>284</v>
      </c>
      <c r="G1526" s="62" t="s">
        <v>412</v>
      </c>
      <c r="H1526" s="62" t="s">
        <v>373</v>
      </c>
      <c r="I1526" s="62" t="s">
        <v>1518</v>
      </c>
      <c r="J1526" s="62" t="s">
        <v>416</v>
      </c>
      <c r="K1526" s="62" t="s">
        <v>417</v>
      </c>
      <c r="L1526" s="62" t="s">
        <v>2421</v>
      </c>
      <c r="M1526" s="66" t="s">
        <v>1989</v>
      </c>
    </row>
    <row r="1527" spans="1:13" x14ac:dyDescent="0.3">
      <c r="A1527" s="61" t="s">
        <v>2217</v>
      </c>
      <c r="B1527" s="62" t="s">
        <v>1410</v>
      </c>
      <c r="C1527" s="62" t="s">
        <v>1411</v>
      </c>
      <c r="D1527" s="63">
        <v>45672</v>
      </c>
      <c r="E1527" s="63">
        <v>46767</v>
      </c>
      <c r="F1527" s="62" t="s">
        <v>284</v>
      </c>
      <c r="G1527" s="62" t="s">
        <v>288</v>
      </c>
      <c r="H1527" s="62" t="s">
        <v>373</v>
      </c>
      <c r="I1527" s="62" t="s">
        <v>1518</v>
      </c>
      <c r="J1527" s="62" t="s">
        <v>416</v>
      </c>
      <c r="K1527" s="62" t="s">
        <v>417</v>
      </c>
      <c r="L1527" s="62" t="s">
        <v>2421</v>
      </c>
      <c r="M1527" s="66" t="s">
        <v>1989</v>
      </c>
    </row>
    <row r="1528" spans="1:13" x14ac:dyDescent="0.3">
      <c r="A1528" s="61" t="s">
        <v>2217</v>
      </c>
      <c r="B1528" s="62" t="s">
        <v>1410</v>
      </c>
      <c r="C1528" s="62" t="s">
        <v>1411</v>
      </c>
      <c r="D1528" s="63">
        <v>45672</v>
      </c>
      <c r="E1528" s="63">
        <v>46767</v>
      </c>
      <c r="F1528" s="62" t="s">
        <v>284</v>
      </c>
      <c r="G1528" s="62" t="s">
        <v>1416</v>
      </c>
      <c r="H1528" s="62" t="s">
        <v>373</v>
      </c>
      <c r="I1528" s="62" t="s">
        <v>1518</v>
      </c>
      <c r="J1528" s="62" t="s">
        <v>416</v>
      </c>
      <c r="K1528" s="62" t="s">
        <v>417</v>
      </c>
      <c r="L1528" s="62" t="s">
        <v>2421</v>
      </c>
      <c r="M1528" s="66" t="s">
        <v>1989</v>
      </c>
    </row>
    <row r="1529" spans="1:13" x14ac:dyDescent="0.3">
      <c r="A1529" s="61" t="s">
        <v>2217</v>
      </c>
      <c r="B1529" s="62" t="s">
        <v>1410</v>
      </c>
      <c r="C1529" s="62" t="s">
        <v>1411</v>
      </c>
      <c r="D1529" s="63">
        <v>45672</v>
      </c>
      <c r="E1529" s="63">
        <v>46767</v>
      </c>
      <c r="F1529" s="62" t="s">
        <v>284</v>
      </c>
      <c r="G1529" s="62" t="s">
        <v>1417</v>
      </c>
      <c r="H1529" s="62" t="s">
        <v>373</v>
      </c>
      <c r="I1529" s="62" t="s">
        <v>1518</v>
      </c>
      <c r="J1529" s="62" t="s">
        <v>416</v>
      </c>
      <c r="K1529" s="62" t="s">
        <v>417</v>
      </c>
      <c r="L1529" s="62" t="s">
        <v>2421</v>
      </c>
      <c r="M1529" s="66" t="s">
        <v>1989</v>
      </c>
    </row>
    <row r="1530" spans="1:13" x14ac:dyDescent="0.3">
      <c r="A1530" s="61" t="s">
        <v>2217</v>
      </c>
      <c r="B1530" s="62" t="s">
        <v>1410</v>
      </c>
      <c r="C1530" s="62" t="s">
        <v>1411</v>
      </c>
      <c r="D1530" s="63">
        <v>45672</v>
      </c>
      <c r="E1530" s="63">
        <v>46767</v>
      </c>
      <c r="F1530" s="62" t="s">
        <v>284</v>
      </c>
      <c r="G1530" s="62" t="s">
        <v>1418</v>
      </c>
      <c r="H1530" s="62" t="s">
        <v>373</v>
      </c>
      <c r="I1530" s="62" t="s">
        <v>1518</v>
      </c>
      <c r="J1530" s="62" t="s">
        <v>416</v>
      </c>
      <c r="K1530" s="62" t="s">
        <v>417</v>
      </c>
      <c r="L1530" s="62" t="s">
        <v>2421</v>
      </c>
      <c r="M1530" s="66" t="s">
        <v>1989</v>
      </c>
    </row>
    <row r="1531" spans="1:13" x14ac:dyDescent="0.3">
      <c r="A1531" s="61" t="s">
        <v>2218</v>
      </c>
      <c r="B1531" s="62" t="s">
        <v>1419</v>
      </c>
      <c r="C1531" s="62" t="s">
        <v>1420</v>
      </c>
      <c r="D1531" s="63">
        <v>45474</v>
      </c>
      <c r="E1531" s="63">
        <v>46934</v>
      </c>
      <c r="F1531" s="62" t="s">
        <v>1922</v>
      </c>
      <c r="G1531" s="62" t="s">
        <v>1196</v>
      </c>
      <c r="H1531" s="62" t="s">
        <v>363</v>
      </c>
      <c r="I1531" s="62" t="s">
        <v>825</v>
      </c>
      <c r="J1531" s="62" t="s">
        <v>551</v>
      </c>
      <c r="K1531" s="62" t="s">
        <v>428</v>
      </c>
      <c r="L1531" s="62" t="s">
        <v>2421</v>
      </c>
      <c r="M1531" s="66" t="s">
        <v>2021</v>
      </c>
    </row>
    <row r="1532" spans="1:13" x14ac:dyDescent="0.3">
      <c r="A1532" s="61" t="s">
        <v>2218</v>
      </c>
      <c r="B1532" s="62" t="s">
        <v>1419</v>
      </c>
      <c r="C1532" s="62" t="s">
        <v>1420</v>
      </c>
      <c r="D1532" s="63">
        <v>45474</v>
      </c>
      <c r="E1532" s="63">
        <v>46934</v>
      </c>
      <c r="F1532" s="62" t="s">
        <v>1922</v>
      </c>
      <c r="G1532" s="62" t="s">
        <v>376</v>
      </c>
      <c r="H1532" s="62" t="s">
        <v>363</v>
      </c>
      <c r="I1532" s="62" t="s">
        <v>825</v>
      </c>
      <c r="J1532" s="62" t="s">
        <v>551</v>
      </c>
      <c r="K1532" s="62" t="s">
        <v>428</v>
      </c>
      <c r="L1532" s="62" t="s">
        <v>2421</v>
      </c>
      <c r="M1532" s="66" t="s">
        <v>2021</v>
      </c>
    </row>
    <row r="1533" spans="1:13" x14ac:dyDescent="0.3">
      <c r="A1533" s="61" t="s">
        <v>2218</v>
      </c>
      <c r="B1533" s="62" t="s">
        <v>1419</v>
      </c>
      <c r="C1533" s="62" t="s">
        <v>1420</v>
      </c>
      <c r="D1533" s="63">
        <v>45474</v>
      </c>
      <c r="E1533" s="63">
        <v>46934</v>
      </c>
      <c r="F1533" s="62" t="s">
        <v>1922</v>
      </c>
      <c r="G1533" s="62" t="s">
        <v>381</v>
      </c>
      <c r="H1533" s="62" t="s">
        <v>363</v>
      </c>
      <c r="I1533" s="62" t="s">
        <v>825</v>
      </c>
      <c r="J1533" s="62" t="s">
        <v>551</v>
      </c>
      <c r="K1533" s="62" t="s">
        <v>428</v>
      </c>
      <c r="L1533" s="62" t="s">
        <v>2421</v>
      </c>
      <c r="M1533" s="66" t="s">
        <v>2021</v>
      </c>
    </row>
    <row r="1534" spans="1:13" x14ac:dyDescent="0.3">
      <c r="A1534" s="61" t="s">
        <v>2218</v>
      </c>
      <c r="B1534" s="62" t="s">
        <v>1419</v>
      </c>
      <c r="C1534" s="62" t="s">
        <v>1420</v>
      </c>
      <c r="D1534" s="63">
        <v>45474</v>
      </c>
      <c r="E1534" s="63">
        <v>46934</v>
      </c>
      <c r="F1534" s="62" t="s">
        <v>1922</v>
      </c>
      <c r="G1534" s="62" t="s">
        <v>382</v>
      </c>
      <c r="H1534" s="62" t="s">
        <v>363</v>
      </c>
      <c r="I1534" s="62" t="s">
        <v>825</v>
      </c>
      <c r="J1534" s="62" t="s">
        <v>551</v>
      </c>
      <c r="K1534" s="62" t="s">
        <v>428</v>
      </c>
      <c r="L1534" s="62" t="s">
        <v>2421</v>
      </c>
      <c r="M1534" s="66" t="s">
        <v>2021</v>
      </c>
    </row>
    <row r="1535" spans="1:13" x14ac:dyDescent="0.3">
      <c r="A1535" s="61" t="s">
        <v>2218</v>
      </c>
      <c r="B1535" s="62" t="s">
        <v>1419</v>
      </c>
      <c r="C1535" s="62" t="s">
        <v>1420</v>
      </c>
      <c r="D1535" s="63">
        <v>45474</v>
      </c>
      <c r="E1535" s="63">
        <v>46934</v>
      </c>
      <c r="F1535" s="62" t="s">
        <v>1922</v>
      </c>
      <c r="G1535" s="62" t="s">
        <v>383</v>
      </c>
      <c r="H1535" s="62" t="s">
        <v>363</v>
      </c>
      <c r="I1535" s="62" t="s">
        <v>825</v>
      </c>
      <c r="J1535" s="62" t="s">
        <v>551</v>
      </c>
      <c r="K1535" s="62" t="s">
        <v>428</v>
      </c>
      <c r="L1535" s="62" t="s">
        <v>2421</v>
      </c>
      <c r="M1535" s="66" t="s">
        <v>2021</v>
      </c>
    </row>
    <row r="1536" spans="1:13" x14ac:dyDescent="0.3">
      <c r="A1536" s="61" t="s">
        <v>2218</v>
      </c>
      <c r="B1536" s="62" t="s">
        <v>1419</v>
      </c>
      <c r="C1536" s="62" t="s">
        <v>1420</v>
      </c>
      <c r="D1536" s="63">
        <v>45474</v>
      </c>
      <c r="E1536" s="63">
        <v>46934</v>
      </c>
      <c r="F1536" s="62" t="s">
        <v>1922</v>
      </c>
      <c r="G1536" s="62" t="s">
        <v>386</v>
      </c>
      <c r="H1536" s="62" t="s">
        <v>363</v>
      </c>
      <c r="I1536" s="62" t="s">
        <v>825</v>
      </c>
      <c r="J1536" s="62" t="s">
        <v>551</v>
      </c>
      <c r="K1536" s="62" t="s">
        <v>428</v>
      </c>
      <c r="L1536" s="62" t="s">
        <v>2421</v>
      </c>
      <c r="M1536" s="66" t="s">
        <v>2021</v>
      </c>
    </row>
    <row r="1537" spans="1:13" x14ac:dyDescent="0.3">
      <c r="A1537" s="61" t="s">
        <v>2218</v>
      </c>
      <c r="B1537" s="62" t="s">
        <v>1419</v>
      </c>
      <c r="C1537" s="62" t="s">
        <v>1420</v>
      </c>
      <c r="D1537" s="63">
        <v>45474</v>
      </c>
      <c r="E1537" s="63">
        <v>46934</v>
      </c>
      <c r="F1537" s="62" t="s">
        <v>1959</v>
      </c>
      <c r="G1537" s="62" t="s">
        <v>466</v>
      </c>
      <c r="H1537" s="62" t="s">
        <v>363</v>
      </c>
      <c r="I1537" s="62" t="s">
        <v>825</v>
      </c>
      <c r="J1537" s="62" t="s">
        <v>551</v>
      </c>
      <c r="K1537" s="62" t="s">
        <v>428</v>
      </c>
      <c r="L1537" s="62" t="s">
        <v>2421</v>
      </c>
      <c r="M1537" s="66" t="s">
        <v>2021</v>
      </c>
    </row>
    <row r="1538" spans="1:13" x14ac:dyDescent="0.3">
      <c r="A1538" s="61" t="s">
        <v>2218</v>
      </c>
      <c r="B1538" s="62" t="s">
        <v>1419</v>
      </c>
      <c r="C1538" s="62" t="s">
        <v>1420</v>
      </c>
      <c r="D1538" s="63">
        <v>45474</v>
      </c>
      <c r="E1538" s="63">
        <v>46934</v>
      </c>
      <c r="F1538" s="62" t="s">
        <v>1959</v>
      </c>
      <c r="G1538" s="62" t="s">
        <v>668</v>
      </c>
      <c r="H1538" s="62" t="s">
        <v>363</v>
      </c>
      <c r="I1538" s="62" t="s">
        <v>825</v>
      </c>
      <c r="J1538" s="62" t="s">
        <v>551</v>
      </c>
      <c r="K1538" s="62" t="s">
        <v>428</v>
      </c>
      <c r="L1538" s="62" t="s">
        <v>2421</v>
      </c>
      <c r="M1538" s="66" t="s">
        <v>2021</v>
      </c>
    </row>
    <row r="1539" spans="1:13" x14ac:dyDescent="0.3">
      <c r="A1539" s="61" t="s">
        <v>2218</v>
      </c>
      <c r="B1539" s="62" t="s">
        <v>1419</v>
      </c>
      <c r="C1539" s="62" t="s">
        <v>1420</v>
      </c>
      <c r="D1539" s="63">
        <v>45474</v>
      </c>
      <c r="E1539" s="63">
        <v>46934</v>
      </c>
      <c r="F1539" s="62" t="s">
        <v>1959</v>
      </c>
      <c r="G1539" s="62" t="s">
        <v>475</v>
      </c>
      <c r="H1539" s="62" t="s">
        <v>363</v>
      </c>
      <c r="I1539" s="62" t="s">
        <v>825</v>
      </c>
      <c r="J1539" s="62" t="s">
        <v>551</v>
      </c>
      <c r="K1539" s="62" t="s">
        <v>428</v>
      </c>
      <c r="L1539" s="62" t="s">
        <v>2421</v>
      </c>
      <c r="M1539" s="66" t="s">
        <v>2021</v>
      </c>
    </row>
    <row r="1540" spans="1:13" x14ac:dyDescent="0.3">
      <c r="A1540" s="61" t="s">
        <v>2218</v>
      </c>
      <c r="B1540" s="62" t="s">
        <v>1419</v>
      </c>
      <c r="C1540" s="62" t="s">
        <v>1420</v>
      </c>
      <c r="D1540" s="63">
        <v>45474</v>
      </c>
      <c r="E1540" s="63">
        <v>46934</v>
      </c>
      <c r="F1540" s="62" t="s">
        <v>1959</v>
      </c>
      <c r="G1540" s="62" t="s">
        <v>808</v>
      </c>
      <c r="H1540" s="62" t="s">
        <v>363</v>
      </c>
      <c r="I1540" s="62" t="s">
        <v>825</v>
      </c>
      <c r="J1540" s="62" t="s">
        <v>551</v>
      </c>
      <c r="K1540" s="62" t="s">
        <v>428</v>
      </c>
      <c r="L1540" s="62" t="s">
        <v>2421</v>
      </c>
      <c r="M1540" s="66" t="s">
        <v>2021</v>
      </c>
    </row>
    <row r="1541" spans="1:13" x14ac:dyDescent="0.3">
      <c r="A1541" s="61" t="s">
        <v>2219</v>
      </c>
      <c r="B1541" s="62" t="s">
        <v>1422</v>
      </c>
      <c r="C1541" s="62" t="s">
        <v>1423</v>
      </c>
      <c r="D1541" s="63">
        <v>44369</v>
      </c>
      <c r="E1541" s="63">
        <v>46740</v>
      </c>
      <c r="F1541" s="62" t="s">
        <v>1939</v>
      </c>
      <c r="G1541" s="62" t="s">
        <v>304</v>
      </c>
      <c r="H1541" s="62" t="s">
        <v>522</v>
      </c>
      <c r="I1541" s="62" t="s">
        <v>313</v>
      </c>
      <c r="J1541" s="62" t="s">
        <v>374</v>
      </c>
      <c r="K1541" s="62" t="s">
        <v>375</v>
      </c>
      <c r="L1541" s="62" t="s">
        <v>2421</v>
      </c>
      <c r="M1541" s="66" t="s">
        <v>1969</v>
      </c>
    </row>
    <row r="1542" spans="1:13" x14ac:dyDescent="0.3">
      <c r="A1542" s="61" t="s">
        <v>2219</v>
      </c>
      <c r="B1542" s="62" t="s">
        <v>1422</v>
      </c>
      <c r="C1542" s="62" t="s">
        <v>1423</v>
      </c>
      <c r="D1542" s="63">
        <v>44369</v>
      </c>
      <c r="E1542" s="63">
        <v>46740</v>
      </c>
      <c r="F1542" s="62" t="s">
        <v>1944</v>
      </c>
      <c r="G1542" s="62" t="s">
        <v>304</v>
      </c>
      <c r="H1542" s="62" t="s">
        <v>522</v>
      </c>
      <c r="I1542" s="62" t="s">
        <v>313</v>
      </c>
      <c r="J1542" s="62" t="s">
        <v>374</v>
      </c>
      <c r="K1542" s="62" t="s">
        <v>375</v>
      </c>
      <c r="L1542" s="62" t="s">
        <v>2421</v>
      </c>
      <c r="M1542" s="66" t="s">
        <v>1969</v>
      </c>
    </row>
    <row r="1543" spans="1:13" x14ac:dyDescent="0.3">
      <c r="A1543" s="61" t="s">
        <v>2219</v>
      </c>
      <c r="B1543" s="62" t="s">
        <v>1422</v>
      </c>
      <c r="C1543" s="62" t="s">
        <v>1423</v>
      </c>
      <c r="D1543" s="63">
        <v>44369</v>
      </c>
      <c r="E1543" s="63">
        <v>46740</v>
      </c>
      <c r="F1543" s="62" t="s">
        <v>280</v>
      </c>
      <c r="G1543" s="62" t="s">
        <v>304</v>
      </c>
      <c r="H1543" s="62" t="s">
        <v>522</v>
      </c>
      <c r="I1543" s="62" t="s">
        <v>313</v>
      </c>
      <c r="J1543" s="62" t="s">
        <v>374</v>
      </c>
      <c r="K1543" s="62" t="s">
        <v>375</v>
      </c>
      <c r="L1543" s="62" t="s">
        <v>2421</v>
      </c>
      <c r="M1543" s="66" t="s">
        <v>1969</v>
      </c>
    </row>
    <row r="1544" spans="1:13" x14ac:dyDescent="0.3">
      <c r="A1544" s="61" t="s">
        <v>2220</v>
      </c>
      <c r="B1544" s="62" t="s">
        <v>1424</v>
      </c>
      <c r="C1544" s="62" t="s">
        <v>1425</v>
      </c>
      <c r="D1544" s="63">
        <v>45658</v>
      </c>
      <c r="E1544" s="63">
        <v>46203</v>
      </c>
      <c r="F1544" s="62" t="s">
        <v>350</v>
      </c>
      <c r="G1544" s="62" t="s">
        <v>304</v>
      </c>
      <c r="H1544" s="62" t="s">
        <v>373</v>
      </c>
      <c r="I1544" s="62" t="s">
        <v>1518</v>
      </c>
      <c r="J1544" s="62" t="s">
        <v>355</v>
      </c>
      <c r="K1544" s="62" t="s">
        <v>309</v>
      </c>
      <c r="L1544" s="62" t="s">
        <v>2421</v>
      </c>
      <c r="M1544" s="66" t="s">
        <v>1972</v>
      </c>
    </row>
    <row r="1545" spans="1:13" x14ac:dyDescent="0.3">
      <c r="A1545" s="61" t="s">
        <v>2221</v>
      </c>
      <c r="B1545" s="62" t="s">
        <v>1426</v>
      </c>
      <c r="C1545" s="62" t="s">
        <v>1427</v>
      </c>
      <c r="D1545" s="63">
        <v>45597</v>
      </c>
      <c r="E1545" s="63">
        <v>46142</v>
      </c>
      <c r="F1545" s="62" t="s">
        <v>1940</v>
      </c>
      <c r="G1545" s="62" t="s">
        <v>304</v>
      </c>
      <c r="H1545" s="62" t="s">
        <v>2485</v>
      </c>
      <c r="I1545" s="62" t="s">
        <v>2443</v>
      </c>
      <c r="J1545" s="62" t="s">
        <v>314</v>
      </c>
      <c r="K1545" s="62" t="s">
        <v>315</v>
      </c>
      <c r="L1545" s="62" t="s">
        <v>2421</v>
      </c>
      <c r="M1545" s="66" t="s">
        <v>1969</v>
      </c>
    </row>
    <row r="1546" spans="1:13" x14ac:dyDescent="0.3">
      <c r="A1546" s="61" t="s">
        <v>2221</v>
      </c>
      <c r="B1546" s="62" t="s">
        <v>1426</v>
      </c>
      <c r="C1546" s="62" t="s">
        <v>1427</v>
      </c>
      <c r="D1546" s="63">
        <v>45597</v>
      </c>
      <c r="E1546" s="63">
        <v>46142</v>
      </c>
      <c r="F1546" s="62" t="s">
        <v>1933</v>
      </c>
      <c r="G1546" s="62" t="s">
        <v>304</v>
      </c>
      <c r="H1546" s="62" t="s">
        <v>2485</v>
      </c>
      <c r="I1546" s="62" t="s">
        <v>2443</v>
      </c>
      <c r="J1546" s="62" t="s">
        <v>314</v>
      </c>
      <c r="K1546" s="62" t="s">
        <v>315</v>
      </c>
      <c r="L1546" s="62" t="s">
        <v>2421</v>
      </c>
      <c r="M1546" s="66" t="s">
        <v>1969</v>
      </c>
    </row>
    <row r="1547" spans="1:13" x14ac:dyDescent="0.3">
      <c r="A1547" s="61" t="s">
        <v>2221</v>
      </c>
      <c r="B1547" s="62" t="s">
        <v>1426</v>
      </c>
      <c r="C1547" s="62" t="s">
        <v>1427</v>
      </c>
      <c r="D1547" s="63">
        <v>45597</v>
      </c>
      <c r="E1547" s="63">
        <v>46142</v>
      </c>
      <c r="F1547" s="62" t="s">
        <v>1934</v>
      </c>
      <c r="G1547" s="62" t="s">
        <v>304</v>
      </c>
      <c r="H1547" s="62" t="s">
        <v>2485</v>
      </c>
      <c r="I1547" s="62" t="s">
        <v>2443</v>
      </c>
      <c r="J1547" s="62" t="s">
        <v>314</v>
      </c>
      <c r="K1547" s="62" t="s">
        <v>315</v>
      </c>
      <c r="L1547" s="62" t="s">
        <v>2421</v>
      </c>
      <c r="M1547" s="66" t="s">
        <v>1969</v>
      </c>
    </row>
    <row r="1548" spans="1:13" x14ac:dyDescent="0.3">
      <c r="A1548" s="61" t="s">
        <v>2221</v>
      </c>
      <c r="B1548" s="62" t="s">
        <v>1426</v>
      </c>
      <c r="C1548" s="62" t="s">
        <v>1427</v>
      </c>
      <c r="D1548" s="63">
        <v>45597</v>
      </c>
      <c r="E1548" s="63">
        <v>46142</v>
      </c>
      <c r="F1548" s="62" t="s">
        <v>280</v>
      </c>
      <c r="G1548" s="62" t="s">
        <v>304</v>
      </c>
      <c r="H1548" s="62" t="s">
        <v>2485</v>
      </c>
      <c r="I1548" s="62" t="s">
        <v>2443</v>
      </c>
      <c r="J1548" s="62" t="s">
        <v>314</v>
      </c>
      <c r="K1548" s="62" t="s">
        <v>315</v>
      </c>
      <c r="L1548" s="62" t="s">
        <v>2421</v>
      </c>
      <c r="M1548" s="66" t="s">
        <v>1969</v>
      </c>
    </row>
    <row r="1549" spans="1:13" x14ac:dyDescent="0.3">
      <c r="A1549" s="61" t="s">
        <v>2221</v>
      </c>
      <c r="B1549" s="62" t="s">
        <v>1426</v>
      </c>
      <c r="C1549" s="62" t="s">
        <v>1427</v>
      </c>
      <c r="D1549" s="63">
        <v>45597</v>
      </c>
      <c r="E1549" s="63">
        <v>46142</v>
      </c>
      <c r="F1549" s="62" t="s">
        <v>1941</v>
      </c>
      <c r="G1549" s="62" t="s">
        <v>304</v>
      </c>
      <c r="H1549" s="62" t="s">
        <v>2485</v>
      </c>
      <c r="I1549" s="62" t="s">
        <v>2443</v>
      </c>
      <c r="J1549" s="62" t="s">
        <v>314</v>
      </c>
      <c r="K1549" s="62" t="s">
        <v>315</v>
      </c>
      <c r="L1549" s="62" t="s">
        <v>2421</v>
      </c>
      <c r="M1549" s="66" t="s">
        <v>1969</v>
      </c>
    </row>
    <row r="1550" spans="1:13" x14ac:dyDescent="0.3">
      <c r="A1550" s="61" t="s">
        <v>2221</v>
      </c>
      <c r="B1550" s="62" t="s">
        <v>1426</v>
      </c>
      <c r="C1550" s="62" t="s">
        <v>1427</v>
      </c>
      <c r="D1550" s="63">
        <v>45597</v>
      </c>
      <c r="E1550" s="63">
        <v>46142</v>
      </c>
      <c r="F1550" s="62" t="s">
        <v>1940</v>
      </c>
      <c r="G1550" s="62" t="s">
        <v>304</v>
      </c>
      <c r="H1550" s="62" t="s">
        <v>2486</v>
      </c>
      <c r="I1550" s="62" t="s">
        <v>2443</v>
      </c>
      <c r="J1550" s="62" t="s">
        <v>314</v>
      </c>
      <c r="K1550" s="62" t="s">
        <v>315</v>
      </c>
      <c r="L1550" s="62" t="s">
        <v>2421</v>
      </c>
      <c r="M1550" s="66" t="s">
        <v>1969</v>
      </c>
    </row>
    <row r="1551" spans="1:13" x14ac:dyDescent="0.3">
      <c r="A1551" s="61" t="s">
        <v>2221</v>
      </c>
      <c r="B1551" s="62" t="s">
        <v>1426</v>
      </c>
      <c r="C1551" s="62" t="s">
        <v>1427</v>
      </c>
      <c r="D1551" s="63">
        <v>45597</v>
      </c>
      <c r="E1551" s="63">
        <v>46142</v>
      </c>
      <c r="F1551" s="62" t="s">
        <v>1933</v>
      </c>
      <c r="G1551" s="62" t="s">
        <v>304</v>
      </c>
      <c r="H1551" s="62" t="s">
        <v>2486</v>
      </c>
      <c r="I1551" s="62" t="s">
        <v>2443</v>
      </c>
      <c r="J1551" s="62" t="s">
        <v>314</v>
      </c>
      <c r="K1551" s="62" t="s">
        <v>315</v>
      </c>
      <c r="L1551" s="62" t="s">
        <v>2421</v>
      </c>
      <c r="M1551" s="66" t="s">
        <v>1969</v>
      </c>
    </row>
    <row r="1552" spans="1:13" x14ac:dyDescent="0.3">
      <c r="A1552" s="61" t="s">
        <v>2221</v>
      </c>
      <c r="B1552" s="62" t="s">
        <v>1426</v>
      </c>
      <c r="C1552" s="62" t="s">
        <v>1427</v>
      </c>
      <c r="D1552" s="63">
        <v>45597</v>
      </c>
      <c r="E1552" s="63">
        <v>46142</v>
      </c>
      <c r="F1552" s="62" t="s">
        <v>1934</v>
      </c>
      <c r="G1552" s="62" t="s">
        <v>304</v>
      </c>
      <c r="H1552" s="62" t="s">
        <v>2486</v>
      </c>
      <c r="I1552" s="62" t="s">
        <v>2443</v>
      </c>
      <c r="J1552" s="62" t="s">
        <v>314</v>
      </c>
      <c r="K1552" s="62" t="s">
        <v>315</v>
      </c>
      <c r="L1552" s="62" t="s">
        <v>2421</v>
      </c>
      <c r="M1552" s="66" t="s">
        <v>1969</v>
      </c>
    </row>
    <row r="1553" spans="1:13" x14ac:dyDescent="0.3">
      <c r="A1553" s="61" t="s">
        <v>2221</v>
      </c>
      <c r="B1553" s="62" t="s">
        <v>1426</v>
      </c>
      <c r="C1553" s="62" t="s">
        <v>1427</v>
      </c>
      <c r="D1553" s="63">
        <v>45597</v>
      </c>
      <c r="E1553" s="63">
        <v>46142</v>
      </c>
      <c r="F1553" s="62" t="s">
        <v>280</v>
      </c>
      <c r="G1553" s="62" t="s">
        <v>304</v>
      </c>
      <c r="H1553" s="62" t="s">
        <v>2486</v>
      </c>
      <c r="I1553" s="62" t="s">
        <v>2443</v>
      </c>
      <c r="J1553" s="62" t="s">
        <v>314</v>
      </c>
      <c r="K1553" s="62" t="s">
        <v>315</v>
      </c>
      <c r="L1553" s="62" t="s">
        <v>2421</v>
      </c>
      <c r="M1553" s="66" t="s">
        <v>1969</v>
      </c>
    </row>
    <row r="1554" spans="1:13" x14ac:dyDescent="0.3">
      <c r="A1554" s="61" t="s">
        <v>2221</v>
      </c>
      <c r="B1554" s="62" t="s">
        <v>1426</v>
      </c>
      <c r="C1554" s="62" t="s">
        <v>1427</v>
      </c>
      <c r="D1554" s="63">
        <v>45597</v>
      </c>
      <c r="E1554" s="63">
        <v>46142</v>
      </c>
      <c r="F1554" s="62" t="s">
        <v>1941</v>
      </c>
      <c r="G1554" s="62" t="s">
        <v>304</v>
      </c>
      <c r="H1554" s="62" t="s">
        <v>2486</v>
      </c>
      <c r="I1554" s="62" t="s">
        <v>2443</v>
      </c>
      <c r="J1554" s="62" t="s">
        <v>314</v>
      </c>
      <c r="K1554" s="62" t="s">
        <v>315</v>
      </c>
      <c r="L1554" s="62" t="s">
        <v>2421</v>
      </c>
      <c r="M1554" s="66" t="s">
        <v>1969</v>
      </c>
    </row>
    <row r="1555" spans="1:13" x14ac:dyDescent="0.3">
      <c r="A1555" s="61" t="s">
        <v>2221</v>
      </c>
      <c r="B1555" s="62" t="s">
        <v>1426</v>
      </c>
      <c r="C1555" s="62" t="s">
        <v>1427</v>
      </c>
      <c r="D1555" s="63">
        <v>45597</v>
      </c>
      <c r="E1555" s="63">
        <v>46142</v>
      </c>
      <c r="F1555" s="62" t="s">
        <v>1940</v>
      </c>
      <c r="G1555" s="62" t="s">
        <v>304</v>
      </c>
      <c r="H1555" s="62" t="s">
        <v>373</v>
      </c>
      <c r="I1555" s="62" t="s">
        <v>2443</v>
      </c>
      <c r="J1555" s="62" t="s">
        <v>314</v>
      </c>
      <c r="K1555" s="62" t="s">
        <v>315</v>
      </c>
      <c r="L1555" s="62" t="s">
        <v>2421</v>
      </c>
      <c r="M1555" s="66" t="s">
        <v>1969</v>
      </c>
    </row>
    <row r="1556" spans="1:13" x14ac:dyDescent="0.3">
      <c r="A1556" s="61" t="s">
        <v>2221</v>
      </c>
      <c r="B1556" s="62" t="s">
        <v>1426</v>
      </c>
      <c r="C1556" s="62" t="s">
        <v>1427</v>
      </c>
      <c r="D1556" s="63">
        <v>45597</v>
      </c>
      <c r="E1556" s="63">
        <v>46142</v>
      </c>
      <c r="F1556" s="62" t="s">
        <v>1933</v>
      </c>
      <c r="G1556" s="62" t="s">
        <v>304</v>
      </c>
      <c r="H1556" s="62" t="s">
        <v>373</v>
      </c>
      <c r="I1556" s="62" t="s">
        <v>2443</v>
      </c>
      <c r="J1556" s="62" t="s">
        <v>314</v>
      </c>
      <c r="K1556" s="62" t="s">
        <v>315</v>
      </c>
      <c r="L1556" s="62" t="s">
        <v>2421</v>
      </c>
      <c r="M1556" s="66" t="s">
        <v>1969</v>
      </c>
    </row>
    <row r="1557" spans="1:13" x14ac:dyDescent="0.3">
      <c r="A1557" s="61" t="s">
        <v>2221</v>
      </c>
      <c r="B1557" s="62" t="s">
        <v>1426</v>
      </c>
      <c r="C1557" s="62" t="s">
        <v>1427</v>
      </c>
      <c r="D1557" s="63">
        <v>45597</v>
      </c>
      <c r="E1557" s="63">
        <v>46142</v>
      </c>
      <c r="F1557" s="62" t="s">
        <v>1934</v>
      </c>
      <c r="G1557" s="62" t="s">
        <v>304</v>
      </c>
      <c r="H1557" s="62" t="s">
        <v>373</v>
      </c>
      <c r="I1557" s="62" t="s">
        <v>2443</v>
      </c>
      <c r="J1557" s="62" t="s">
        <v>314</v>
      </c>
      <c r="K1557" s="62" t="s">
        <v>315</v>
      </c>
      <c r="L1557" s="62" t="s">
        <v>2421</v>
      </c>
      <c r="M1557" s="66" t="s">
        <v>1969</v>
      </c>
    </row>
    <row r="1558" spans="1:13" x14ac:dyDescent="0.3">
      <c r="A1558" s="61" t="s">
        <v>2221</v>
      </c>
      <c r="B1558" s="62" t="s">
        <v>1426</v>
      </c>
      <c r="C1558" s="62" t="s">
        <v>1427</v>
      </c>
      <c r="D1558" s="63">
        <v>45597</v>
      </c>
      <c r="E1558" s="63">
        <v>46142</v>
      </c>
      <c r="F1558" s="62" t="s">
        <v>280</v>
      </c>
      <c r="G1558" s="62" t="s">
        <v>304</v>
      </c>
      <c r="H1558" s="62" t="s">
        <v>373</v>
      </c>
      <c r="I1558" s="62" t="s">
        <v>2443</v>
      </c>
      <c r="J1558" s="62" t="s">
        <v>314</v>
      </c>
      <c r="K1558" s="62" t="s">
        <v>315</v>
      </c>
      <c r="L1558" s="62" t="s">
        <v>2421</v>
      </c>
      <c r="M1558" s="66" t="s">
        <v>1969</v>
      </c>
    </row>
    <row r="1559" spans="1:13" x14ac:dyDescent="0.3">
      <c r="A1559" s="61" t="s">
        <v>2221</v>
      </c>
      <c r="B1559" s="62" t="s">
        <v>1426</v>
      </c>
      <c r="C1559" s="62" t="s">
        <v>1427</v>
      </c>
      <c r="D1559" s="63">
        <v>45597</v>
      </c>
      <c r="E1559" s="63">
        <v>46142</v>
      </c>
      <c r="F1559" s="62" t="s">
        <v>1941</v>
      </c>
      <c r="G1559" s="62" t="s">
        <v>304</v>
      </c>
      <c r="H1559" s="62" t="s">
        <v>373</v>
      </c>
      <c r="I1559" s="62" t="s">
        <v>2443</v>
      </c>
      <c r="J1559" s="62" t="s">
        <v>314</v>
      </c>
      <c r="K1559" s="62" t="s">
        <v>315</v>
      </c>
      <c r="L1559" s="62" t="s">
        <v>2421</v>
      </c>
      <c r="M1559" s="66" t="s">
        <v>1969</v>
      </c>
    </row>
    <row r="1560" spans="1:13" x14ac:dyDescent="0.3">
      <c r="A1560" s="61" t="s">
        <v>2222</v>
      </c>
      <c r="B1560" s="62" t="s">
        <v>1428</v>
      </c>
      <c r="C1560" s="62" t="s">
        <v>1429</v>
      </c>
      <c r="D1560" s="63">
        <v>45658</v>
      </c>
      <c r="E1560" s="63">
        <v>46356</v>
      </c>
      <c r="F1560" s="62" t="s">
        <v>350</v>
      </c>
      <c r="G1560" s="62" t="s">
        <v>350</v>
      </c>
      <c r="H1560" s="62" t="s">
        <v>1430</v>
      </c>
      <c r="I1560" s="62" t="s">
        <v>424</v>
      </c>
      <c r="J1560" s="62" t="s">
        <v>663</v>
      </c>
      <c r="K1560" s="62" t="s">
        <v>371</v>
      </c>
      <c r="L1560" s="62" t="s">
        <v>2421</v>
      </c>
      <c r="M1560" s="66" t="s">
        <v>2016</v>
      </c>
    </row>
    <row r="1561" spans="1:13" x14ac:dyDescent="0.3">
      <c r="A1561" s="61" t="s">
        <v>2223</v>
      </c>
      <c r="B1561" s="62" t="s">
        <v>1431</v>
      </c>
      <c r="C1561" s="62" t="s">
        <v>1432</v>
      </c>
      <c r="D1561" s="63">
        <v>45519</v>
      </c>
      <c r="E1561" s="63">
        <v>46418</v>
      </c>
      <c r="F1561" s="62" t="s">
        <v>282</v>
      </c>
      <c r="G1561" s="62" t="s">
        <v>304</v>
      </c>
      <c r="H1561" s="62" t="s">
        <v>1434</v>
      </c>
      <c r="I1561" s="62" t="s">
        <v>2443</v>
      </c>
      <c r="J1561" s="62" t="s">
        <v>950</v>
      </c>
      <c r="K1561" s="62" t="s">
        <v>637</v>
      </c>
      <c r="L1561" s="62" t="s">
        <v>2421</v>
      </c>
      <c r="M1561" s="66" t="s">
        <v>1969</v>
      </c>
    </row>
    <row r="1562" spans="1:13" x14ac:dyDescent="0.3">
      <c r="A1562" s="61" t="s">
        <v>2223</v>
      </c>
      <c r="B1562" s="62" t="s">
        <v>1431</v>
      </c>
      <c r="C1562" s="62" t="s">
        <v>1432</v>
      </c>
      <c r="D1562" s="63">
        <v>45519</v>
      </c>
      <c r="E1562" s="63">
        <v>46418</v>
      </c>
      <c r="F1562" s="62" t="s">
        <v>1935</v>
      </c>
      <c r="G1562" s="62" t="s">
        <v>304</v>
      </c>
      <c r="H1562" s="62" t="s">
        <v>1434</v>
      </c>
      <c r="I1562" s="62" t="s">
        <v>2443</v>
      </c>
      <c r="J1562" s="62" t="s">
        <v>950</v>
      </c>
      <c r="K1562" s="62" t="s">
        <v>637</v>
      </c>
      <c r="L1562" s="62" t="s">
        <v>2421</v>
      </c>
      <c r="M1562" s="66" t="s">
        <v>1969</v>
      </c>
    </row>
    <row r="1563" spans="1:13" x14ac:dyDescent="0.3">
      <c r="A1563" s="61" t="s">
        <v>2223</v>
      </c>
      <c r="B1563" s="62" t="s">
        <v>1431</v>
      </c>
      <c r="C1563" s="62" t="s">
        <v>1432</v>
      </c>
      <c r="D1563" s="63">
        <v>45519</v>
      </c>
      <c r="E1563" s="63">
        <v>46418</v>
      </c>
      <c r="F1563" s="62" t="s">
        <v>286</v>
      </c>
      <c r="G1563" s="62" t="s">
        <v>304</v>
      </c>
      <c r="H1563" s="62" t="s">
        <v>1434</v>
      </c>
      <c r="I1563" s="62" t="s">
        <v>2443</v>
      </c>
      <c r="J1563" s="62" t="s">
        <v>950</v>
      </c>
      <c r="K1563" s="62" t="s">
        <v>637</v>
      </c>
      <c r="L1563" s="62" t="s">
        <v>2421</v>
      </c>
      <c r="M1563" s="66" t="s">
        <v>1969</v>
      </c>
    </row>
    <row r="1564" spans="1:13" x14ac:dyDescent="0.3">
      <c r="A1564" s="61" t="s">
        <v>2223</v>
      </c>
      <c r="B1564" s="62" t="s">
        <v>1431</v>
      </c>
      <c r="C1564" s="62" t="s">
        <v>1432</v>
      </c>
      <c r="D1564" s="63">
        <v>45519</v>
      </c>
      <c r="E1564" s="63">
        <v>46418</v>
      </c>
      <c r="F1564" s="62" t="s">
        <v>1940</v>
      </c>
      <c r="G1564" s="62" t="s">
        <v>304</v>
      </c>
      <c r="H1564" s="62" t="s">
        <v>1434</v>
      </c>
      <c r="I1564" s="62" t="s">
        <v>2443</v>
      </c>
      <c r="J1564" s="62" t="s">
        <v>950</v>
      </c>
      <c r="K1564" s="62" t="s">
        <v>637</v>
      </c>
      <c r="L1564" s="62" t="s">
        <v>2421</v>
      </c>
      <c r="M1564" s="66" t="s">
        <v>1969</v>
      </c>
    </row>
    <row r="1565" spans="1:13" x14ac:dyDescent="0.3">
      <c r="A1565" s="61" t="s">
        <v>2223</v>
      </c>
      <c r="B1565" s="62" t="s">
        <v>1431</v>
      </c>
      <c r="C1565" s="62" t="s">
        <v>1432</v>
      </c>
      <c r="D1565" s="63">
        <v>45519</v>
      </c>
      <c r="E1565" s="63">
        <v>46418</v>
      </c>
      <c r="F1565" s="62" t="s">
        <v>289</v>
      </c>
      <c r="G1565" s="62" t="s">
        <v>304</v>
      </c>
      <c r="H1565" s="62" t="s">
        <v>1434</v>
      </c>
      <c r="I1565" s="62" t="s">
        <v>2443</v>
      </c>
      <c r="J1565" s="62" t="s">
        <v>950</v>
      </c>
      <c r="K1565" s="62" t="s">
        <v>637</v>
      </c>
      <c r="L1565" s="62" t="s">
        <v>2421</v>
      </c>
      <c r="M1565" s="66" t="s">
        <v>1969</v>
      </c>
    </row>
    <row r="1566" spans="1:13" x14ac:dyDescent="0.3">
      <c r="A1566" s="61" t="s">
        <v>2223</v>
      </c>
      <c r="B1566" s="62" t="s">
        <v>1431</v>
      </c>
      <c r="C1566" s="62" t="s">
        <v>1432</v>
      </c>
      <c r="D1566" s="63">
        <v>45519</v>
      </c>
      <c r="E1566" s="63">
        <v>46418</v>
      </c>
      <c r="F1566" s="62" t="s">
        <v>1922</v>
      </c>
      <c r="G1566" s="62" t="s">
        <v>304</v>
      </c>
      <c r="H1566" s="62" t="s">
        <v>1434</v>
      </c>
      <c r="I1566" s="62" t="s">
        <v>2443</v>
      </c>
      <c r="J1566" s="62" t="s">
        <v>950</v>
      </c>
      <c r="K1566" s="62" t="s">
        <v>637</v>
      </c>
      <c r="L1566" s="62" t="s">
        <v>2421</v>
      </c>
      <c r="M1566" s="66" t="s">
        <v>1969</v>
      </c>
    </row>
    <row r="1567" spans="1:13" x14ac:dyDescent="0.3">
      <c r="A1567" s="61" t="s">
        <v>2223</v>
      </c>
      <c r="B1567" s="62" t="s">
        <v>1431</v>
      </c>
      <c r="C1567" s="62" t="s">
        <v>1432</v>
      </c>
      <c r="D1567" s="63">
        <v>45519</v>
      </c>
      <c r="E1567" s="63">
        <v>46418</v>
      </c>
      <c r="F1567" s="62" t="s">
        <v>1943</v>
      </c>
      <c r="G1567" s="62" t="s">
        <v>304</v>
      </c>
      <c r="H1567" s="62" t="s">
        <v>1434</v>
      </c>
      <c r="I1567" s="62" t="s">
        <v>2443</v>
      </c>
      <c r="J1567" s="62" t="s">
        <v>950</v>
      </c>
      <c r="K1567" s="62" t="s">
        <v>637</v>
      </c>
      <c r="L1567" s="62" t="s">
        <v>2421</v>
      </c>
      <c r="M1567" s="66" t="s">
        <v>1969</v>
      </c>
    </row>
    <row r="1568" spans="1:13" x14ac:dyDescent="0.3">
      <c r="A1568" s="61" t="s">
        <v>2223</v>
      </c>
      <c r="B1568" s="62" t="s">
        <v>1431</v>
      </c>
      <c r="C1568" s="62" t="s">
        <v>1432</v>
      </c>
      <c r="D1568" s="63">
        <v>45519</v>
      </c>
      <c r="E1568" s="63">
        <v>46418</v>
      </c>
      <c r="F1568" s="62" t="s">
        <v>1958</v>
      </c>
      <c r="G1568" s="62" t="s">
        <v>304</v>
      </c>
      <c r="H1568" s="62" t="s">
        <v>1434</v>
      </c>
      <c r="I1568" s="62" t="s">
        <v>2443</v>
      </c>
      <c r="J1568" s="62" t="s">
        <v>950</v>
      </c>
      <c r="K1568" s="62" t="s">
        <v>637</v>
      </c>
      <c r="L1568" s="62" t="s">
        <v>2421</v>
      </c>
      <c r="M1568" s="66" t="s">
        <v>1969</v>
      </c>
    </row>
    <row r="1569" spans="1:13" x14ac:dyDescent="0.3">
      <c r="A1569" s="61" t="s">
        <v>2223</v>
      </c>
      <c r="B1569" s="62" t="s">
        <v>1431</v>
      </c>
      <c r="C1569" s="62" t="s">
        <v>1432</v>
      </c>
      <c r="D1569" s="63">
        <v>45519</v>
      </c>
      <c r="E1569" s="63">
        <v>46418</v>
      </c>
      <c r="F1569" s="62" t="s">
        <v>1930</v>
      </c>
      <c r="G1569" s="62" t="s">
        <v>304</v>
      </c>
      <c r="H1569" s="62" t="s">
        <v>1434</v>
      </c>
      <c r="I1569" s="62" t="s">
        <v>2443</v>
      </c>
      <c r="J1569" s="62" t="s">
        <v>950</v>
      </c>
      <c r="K1569" s="62" t="s">
        <v>637</v>
      </c>
      <c r="L1569" s="62" t="s">
        <v>2421</v>
      </c>
      <c r="M1569" s="66" t="s">
        <v>1969</v>
      </c>
    </row>
    <row r="1570" spans="1:13" x14ac:dyDescent="0.3">
      <c r="A1570" s="61" t="s">
        <v>2223</v>
      </c>
      <c r="B1570" s="62" t="s">
        <v>1431</v>
      </c>
      <c r="C1570" s="62" t="s">
        <v>1432</v>
      </c>
      <c r="D1570" s="63">
        <v>45519</v>
      </c>
      <c r="E1570" s="63">
        <v>46418</v>
      </c>
      <c r="F1570" s="62" t="s">
        <v>280</v>
      </c>
      <c r="G1570" s="62" t="s">
        <v>304</v>
      </c>
      <c r="H1570" s="62" t="s">
        <v>1434</v>
      </c>
      <c r="I1570" s="62" t="s">
        <v>2443</v>
      </c>
      <c r="J1570" s="62" t="s">
        <v>950</v>
      </c>
      <c r="K1570" s="62" t="s">
        <v>637</v>
      </c>
      <c r="L1570" s="62" t="s">
        <v>2421</v>
      </c>
      <c r="M1570" s="66" t="s">
        <v>1969</v>
      </c>
    </row>
    <row r="1571" spans="1:13" x14ac:dyDescent="0.3">
      <c r="A1571" s="61" t="s">
        <v>2223</v>
      </c>
      <c r="B1571" s="62" t="s">
        <v>1431</v>
      </c>
      <c r="C1571" s="62" t="s">
        <v>1432</v>
      </c>
      <c r="D1571" s="63">
        <v>45519</v>
      </c>
      <c r="E1571" s="63">
        <v>46418</v>
      </c>
      <c r="F1571" s="62" t="s">
        <v>1960</v>
      </c>
      <c r="G1571" s="62" t="s">
        <v>304</v>
      </c>
      <c r="H1571" s="62" t="s">
        <v>1434</v>
      </c>
      <c r="I1571" s="62" t="s">
        <v>2443</v>
      </c>
      <c r="J1571" s="62" t="s">
        <v>950</v>
      </c>
      <c r="K1571" s="62" t="s">
        <v>637</v>
      </c>
      <c r="L1571" s="62" t="s">
        <v>2421</v>
      </c>
      <c r="M1571" s="66" t="s">
        <v>1969</v>
      </c>
    </row>
    <row r="1572" spans="1:13" x14ac:dyDescent="0.3">
      <c r="A1572" s="61" t="s">
        <v>2223</v>
      </c>
      <c r="B1572" s="62" t="s">
        <v>1431</v>
      </c>
      <c r="C1572" s="62" t="s">
        <v>1432</v>
      </c>
      <c r="D1572" s="63">
        <v>45519</v>
      </c>
      <c r="E1572" s="63">
        <v>46418</v>
      </c>
      <c r="F1572" s="62" t="s">
        <v>1941</v>
      </c>
      <c r="G1572" s="62" t="s">
        <v>304</v>
      </c>
      <c r="H1572" s="62" t="s">
        <v>1434</v>
      </c>
      <c r="I1572" s="62" t="s">
        <v>2443</v>
      </c>
      <c r="J1572" s="62" t="s">
        <v>950</v>
      </c>
      <c r="K1572" s="62" t="s">
        <v>637</v>
      </c>
      <c r="L1572" s="62" t="s">
        <v>2421</v>
      </c>
      <c r="M1572" s="66" t="s">
        <v>1969</v>
      </c>
    </row>
    <row r="1573" spans="1:13" x14ac:dyDescent="0.3">
      <c r="A1573" s="61" t="s">
        <v>2224</v>
      </c>
      <c r="B1573" s="62" t="s">
        <v>1435</v>
      </c>
      <c r="C1573" s="62" t="s">
        <v>1436</v>
      </c>
      <c r="D1573" s="63">
        <v>45623</v>
      </c>
      <c r="E1573" s="63">
        <v>46353</v>
      </c>
      <c r="F1573" s="62" t="s">
        <v>288</v>
      </c>
      <c r="G1573" s="62" t="s">
        <v>683</v>
      </c>
      <c r="H1573" s="62" t="s">
        <v>468</v>
      </c>
      <c r="I1573" s="62" t="s">
        <v>825</v>
      </c>
      <c r="J1573" s="62" t="s">
        <v>994</v>
      </c>
      <c r="K1573" s="62" t="s">
        <v>428</v>
      </c>
      <c r="L1573" s="62" t="s">
        <v>2421</v>
      </c>
      <c r="M1573" s="66" t="s">
        <v>1970</v>
      </c>
    </row>
    <row r="1574" spans="1:13" x14ac:dyDescent="0.3">
      <c r="A1574" s="61" t="s">
        <v>2224</v>
      </c>
      <c r="B1574" s="62" t="s">
        <v>1435</v>
      </c>
      <c r="C1574" s="62" t="s">
        <v>1436</v>
      </c>
      <c r="D1574" s="63">
        <v>45623</v>
      </c>
      <c r="E1574" s="63">
        <v>46353</v>
      </c>
      <c r="F1574" s="62" t="s">
        <v>288</v>
      </c>
      <c r="G1574" s="62" t="s">
        <v>1263</v>
      </c>
      <c r="H1574" s="62" t="s">
        <v>468</v>
      </c>
      <c r="I1574" s="62" t="s">
        <v>825</v>
      </c>
      <c r="J1574" s="62" t="s">
        <v>994</v>
      </c>
      <c r="K1574" s="62" t="s">
        <v>428</v>
      </c>
      <c r="L1574" s="62" t="s">
        <v>2421</v>
      </c>
      <c r="M1574" s="66" t="s">
        <v>1970</v>
      </c>
    </row>
    <row r="1575" spans="1:13" x14ac:dyDescent="0.3">
      <c r="A1575" s="61" t="s">
        <v>2224</v>
      </c>
      <c r="B1575" s="62" t="s">
        <v>1435</v>
      </c>
      <c r="C1575" s="62" t="s">
        <v>1436</v>
      </c>
      <c r="D1575" s="63">
        <v>45623</v>
      </c>
      <c r="E1575" s="63">
        <v>46353</v>
      </c>
      <c r="F1575" s="62" t="s">
        <v>288</v>
      </c>
      <c r="G1575" s="62" t="s">
        <v>826</v>
      </c>
      <c r="H1575" s="62" t="s">
        <v>468</v>
      </c>
      <c r="I1575" s="62" t="s">
        <v>825</v>
      </c>
      <c r="J1575" s="62" t="s">
        <v>994</v>
      </c>
      <c r="K1575" s="62" t="s">
        <v>428</v>
      </c>
      <c r="L1575" s="62" t="s">
        <v>2421</v>
      </c>
      <c r="M1575" s="66" t="s">
        <v>1970</v>
      </c>
    </row>
    <row r="1576" spans="1:13" x14ac:dyDescent="0.3">
      <c r="A1576" s="61" t="s">
        <v>2224</v>
      </c>
      <c r="B1576" s="62" t="s">
        <v>1435</v>
      </c>
      <c r="C1576" s="62" t="s">
        <v>1436</v>
      </c>
      <c r="D1576" s="63">
        <v>45623</v>
      </c>
      <c r="E1576" s="63">
        <v>46353</v>
      </c>
      <c r="F1576" s="62" t="s">
        <v>1921</v>
      </c>
      <c r="G1576" s="62" t="s">
        <v>713</v>
      </c>
      <c r="H1576" s="62" t="s">
        <v>468</v>
      </c>
      <c r="I1576" s="62" t="s">
        <v>825</v>
      </c>
      <c r="J1576" s="62" t="s">
        <v>994</v>
      </c>
      <c r="K1576" s="62" t="s">
        <v>428</v>
      </c>
      <c r="L1576" s="62" t="s">
        <v>2421</v>
      </c>
      <c r="M1576" s="66" t="s">
        <v>1970</v>
      </c>
    </row>
    <row r="1577" spans="1:13" x14ac:dyDescent="0.3">
      <c r="A1577" s="61" t="s">
        <v>2224</v>
      </c>
      <c r="B1577" s="62" t="s">
        <v>1435</v>
      </c>
      <c r="C1577" s="62" t="s">
        <v>1436</v>
      </c>
      <c r="D1577" s="63">
        <v>45623</v>
      </c>
      <c r="E1577" s="63">
        <v>46353</v>
      </c>
      <c r="F1577" s="62" t="s">
        <v>1921</v>
      </c>
      <c r="G1577" s="62" t="s">
        <v>714</v>
      </c>
      <c r="H1577" s="62" t="s">
        <v>468</v>
      </c>
      <c r="I1577" s="62" t="s">
        <v>825</v>
      </c>
      <c r="J1577" s="62" t="s">
        <v>994</v>
      </c>
      <c r="K1577" s="62" t="s">
        <v>428</v>
      </c>
      <c r="L1577" s="62" t="s">
        <v>2421</v>
      </c>
      <c r="M1577" s="66" t="s">
        <v>1970</v>
      </c>
    </row>
    <row r="1578" spans="1:13" x14ac:dyDescent="0.3">
      <c r="A1578" s="61" t="s">
        <v>2224</v>
      </c>
      <c r="B1578" s="62" t="s">
        <v>1435</v>
      </c>
      <c r="C1578" s="62" t="s">
        <v>1436</v>
      </c>
      <c r="D1578" s="63">
        <v>45623</v>
      </c>
      <c r="E1578" s="63">
        <v>46353</v>
      </c>
      <c r="F1578" s="62" t="s">
        <v>1936</v>
      </c>
      <c r="G1578" s="62" t="s">
        <v>304</v>
      </c>
      <c r="H1578" s="62" t="s">
        <v>468</v>
      </c>
      <c r="I1578" s="62" t="s">
        <v>825</v>
      </c>
      <c r="J1578" s="62" t="s">
        <v>994</v>
      </c>
      <c r="K1578" s="62" t="s">
        <v>428</v>
      </c>
      <c r="L1578" s="62" t="s">
        <v>2421</v>
      </c>
      <c r="M1578" s="66" t="s">
        <v>1970</v>
      </c>
    </row>
    <row r="1579" spans="1:13" x14ac:dyDescent="0.3">
      <c r="A1579" s="61" t="s">
        <v>2225</v>
      </c>
      <c r="B1579" s="62" t="s">
        <v>1437</v>
      </c>
      <c r="C1579" s="62" t="s">
        <v>1438</v>
      </c>
      <c r="D1579" s="63">
        <v>45608</v>
      </c>
      <c r="E1579" s="63">
        <v>46519</v>
      </c>
      <c r="F1579" s="62" t="s">
        <v>1959</v>
      </c>
      <c r="G1579" s="62" t="s">
        <v>679</v>
      </c>
      <c r="H1579" s="62" t="s">
        <v>468</v>
      </c>
      <c r="I1579" s="62" t="s">
        <v>1518</v>
      </c>
      <c r="J1579" s="62" t="s">
        <v>671</v>
      </c>
      <c r="K1579" s="62" t="s">
        <v>426</v>
      </c>
      <c r="L1579" s="62" t="s">
        <v>2421</v>
      </c>
      <c r="M1579" s="66" t="s">
        <v>1969</v>
      </c>
    </row>
    <row r="1580" spans="1:13" x14ac:dyDescent="0.3">
      <c r="A1580" s="61" t="s">
        <v>2225</v>
      </c>
      <c r="B1580" s="62" t="s">
        <v>1437</v>
      </c>
      <c r="C1580" s="62" t="s">
        <v>1438</v>
      </c>
      <c r="D1580" s="63">
        <v>45608</v>
      </c>
      <c r="E1580" s="63">
        <v>46519</v>
      </c>
      <c r="F1580" s="62" t="s">
        <v>1959</v>
      </c>
      <c r="G1580" s="62" t="s">
        <v>583</v>
      </c>
      <c r="H1580" s="62" t="s">
        <v>468</v>
      </c>
      <c r="I1580" s="62" t="s">
        <v>1518</v>
      </c>
      <c r="J1580" s="62" t="s">
        <v>671</v>
      </c>
      <c r="K1580" s="62" t="s">
        <v>426</v>
      </c>
      <c r="L1580" s="62" t="s">
        <v>2421</v>
      </c>
      <c r="M1580" s="66" t="s">
        <v>1969</v>
      </c>
    </row>
    <row r="1581" spans="1:13" x14ac:dyDescent="0.3">
      <c r="A1581" s="61" t="s">
        <v>2225</v>
      </c>
      <c r="B1581" s="62" t="s">
        <v>1437</v>
      </c>
      <c r="C1581" s="62" t="s">
        <v>1438</v>
      </c>
      <c r="D1581" s="63">
        <v>45608</v>
      </c>
      <c r="E1581" s="63">
        <v>46519</v>
      </c>
      <c r="F1581" s="62" t="s">
        <v>1959</v>
      </c>
      <c r="G1581" s="62" t="s">
        <v>794</v>
      </c>
      <c r="H1581" s="62" t="s">
        <v>468</v>
      </c>
      <c r="I1581" s="62" t="s">
        <v>1518</v>
      </c>
      <c r="J1581" s="62" t="s">
        <v>671</v>
      </c>
      <c r="K1581" s="62" t="s">
        <v>426</v>
      </c>
      <c r="L1581" s="62" t="s">
        <v>2421</v>
      </c>
      <c r="M1581" s="66" t="s">
        <v>1969</v>
      </c>
    </row>
    <row r="1582" spans="1:13" x14ac:dyDescent="0.3">
      <c r="A1582" s="61" t="s">
        <v>2225</v>
      </c>
      <c r="B1582" s="62" t="s">
        <v>1437</v>
      </c>
      <c r="C1582" s="62" t="s">
        <v>1438</v>
      </c>
      <c r="D1582" s="63">
        <v>45608</v>
      </c>
      <c r="E1582" s="63">
        <v>46519</v>
      </c>
      <c r="F1582" s="62" t="s">
        <v>1959</v>
      </c>
      <c r="G1582" s="62" t="s">
        <v>587</v>
      </c>
      <c r="H1582" s="62" t="s">
        <v>468</v>
      </c>
      <c r="I1582" s="62" t="s">
        <v>1518</v>
      </c>
      <c r="J1582" s="62" t="s">
        <v>671</v>
      </c>
      <c r="K1582" s="62" t="s">
        <v>426</v>
      </c>
      <c r="L1582" s="62" t="s">
        <v>2421</v>
      </c>
      <c r="M1582" s="66" t="s">
        <v>1969</v>
      </c>
    </row>
    <row r="1583" spans="1:13" x14ac:dyDescent="0.3">
      <c r="A1583" s="61" t="s">
        <v>2225</v>
      </c>
      <c r="B1583" s="62" t="s">
        <v>1437</v>
      </c>
      <c r="C1583" s="62" t="s">
        <v>1438</v>
      </c>
      <c r="D1583" s="63">
        <v>45608</v>
      </c>
      <c r="E1583" s="63">
        <v>46519</v>
      </c>
      <c r="F1583" s="62" t="s">
        <v>1959</v>
      </c>
      <c r="G1583" s="62" t="s">
        <v>805</v>
      </c>
      <c r="H1583" s="62" t="s">
        <v>468</v>
      </c>
      <c r="I1583" s="62" t="s">
        <v>1518</v>
      </c>
      <c r="J1583" s="62" t="s">
        <v>671</v>
      </c>
      <c r="K1583" s="62" t="s">
        <v>426</v>
      </c>
      <c r="L1583" s="62" t="s">
        <v>2421</v>
      </c>
      <c r="M1583" s="66" t="s">
        <v>1969</v>
      </c>
    </row>
    <row r="1584" spans="1:13" x14ac:dyDescent="0.3">
      <c r="A1584" s="61" t="s">
        <v>2226</v>
      </c>
      <c r="B1584" s="62" t="s">
        <v>1439</v>
      </c>
      <c r="C1584" s="62" t="s">
        <v>1440</v>
      </c>
      <c r="D1584" s="63">
        <v>45383</v>
      </c>
      <c r="E1584" s="63">
        <v>46843</v>
      </c>
      <c r="F1584" s="62" t="s">
        <v>286</v>
      </c>
      <c r="G1584" s="62" t="s">
        <v>674</v>
      </c>
      <c r="H1584" s="62" t="s">
        <v>661</v>
      </c>
      <c r="I1584" s="62" t="s">
        <v>825</v>
      </c>
      <c r="J1584" s="62" t="s">
        <v>639</v>
      </c>
      <c r="K1584" s="62" t="s">
        <v>371</v>
      </c>
      <c r="L1584" s="62" t="s">
        <v>2421</v>
      </c>
      <c r="M1584" s="66" t="s">
        <v>1970</v>
      </c>
    </row>
    <row r="1585" spans="1:13" x14ac:dyDescent="0.3">
      <c r="A1585" s="61" t="s">
        <v>2226</v>
      </c>
      <c r="B1585" s="62" t="s">
        <v>1439</v>
      </c>
      <c r="C1585" s="62" t="s">
        <v>1440</v>
      </c>
      <c r="D1585" s="63">
        <v>45383</v>
      </c>
      <c r="E1585" s="63">
        <v>46843</v>
      </c>
      <c r="F1585" s="62" t="s">
        <v>286</v>
      </c>
      <c r="G1585" s="62" t="s">
        <v>474</v>
      </c>
      <c r="H1585" s="62" t="s">
        <v>661</v>
      </c>
      <c r="I1585" s="62" t="s">
        <v>825</v>
      </c>
      <c r="J1585" s="62" t="s">
        <v>639</v>
      </c>
      <c r="K1585" s="62" t="s">
        <v>371</v>
      </c>
      <c r="L1585" s="62" t="s">
        <v>2421</v>
      </c>
      <c r="M1585" s="66" t="s">
        <v>1970</v>
      </c>
    </row>
    <row r="1586" spans="1:13" x14ac:dyDescent="0.3">
      <c r="A1586" s="61" t="s">
        <v>2227</v>
      </c>
      <c r="B1586" s="62" t="s">
        <v>1441</v>
      </c>
      <c r="C1586" s="62" t="s">
        <v>1442</v>
      </c>
      <c r="D1586" s="63">
        <v>45538</v>
      </c>
      <c r="E1586" s="63">
        <v>47363</v>
      </c>
      <c r="F1586" s="62" t="s">
        <v>350</v>
      </c>
      <c r="G1586" s="62" t="s">
        <v>304</v>
      </c>
      <c r="H1586" s="62" t="s">
        <v>312</v>
      </c>
      <c r="I1586" s="62" t="s">
        <v>2465</v>
      </c>
      <c r="J1586" s="62" t="s">
        <v>1227</v>
      </c>
      <c r="K1586" s="62" t="s">
        <v>596</v>
      </c>
      <c r="L1586" s="62" t="s">
        <v>2421</v>
      </c>
      <c r="M1586" s="66" t="s">
        <v>1985</v>
      </c>
    </row>
    <row r="1587" spans="1:13" x14ac:dyDescent="0.3">
      <c r="A1587" s="61" t="s">
        <v>2228</v>
      </c>
      <c r="B1587" s="62" t="s">
        <v>1443</v>
      </c>
      <c r="C1587" s="62" t="s">
        <v>1444</v>
      </c>
      <c r="D1587" s="63">
        <v>45352</v>
      </c>
      <c r="E1587" s="63">
        <v>46203</v>
      </c>
      <c r="F1587" s="62" t="s">
        <v>350</v>
      </c>
      <c r="G1587" s="62" t="s">
        <v>304</v>
      </c>
      <c r="H1587" s="62" t="s">
        <v>363</v>
      </c>
      <c r="I1587" s="62" t="s">
        <v>1518</v>
      </c>
      <c r="J1587" s="62" t="s">
        <v>364</v>
      </c>
      <c r="K1587" s="62" t="s">
        <v>365</v>
      </c>
      <c r="L1587" s="62" t="s">
        <v>2421</v>
      </c>
      <c r="M1587" s="66" t="s">
        <v>1974</v>
      </c>
    </row>
    <row r="1588" spans="1:13" x14ac:dyDescent="0.3">
      <c r="A1588" s="61" t="s">
        <v>2229</v>
      </c>
      <c r="B1588" s="62" t="s">
        <v>1445</v>
      </c>
      <c r="C1588" s="62" t="s">
        <v>1446</v>
      </c>
      <c r="D1588" s="63">
        <v>45660</v>
      </c>
      <c r="E1588" s="63">
        <v>47486</v>
      </c>
      <c r="F1588" s="62" t="s">
        <v>1931</v>
      </c>
      <c r="G1588" s="62" t="s">
        <v>304</v>
      </c>
      <c r="H1588" s="62" t="s">
        <v>2453</v>
      </c>
      <c r="I1588" s="62" t="s">
        <v>1518</v>
      </c>
      <c r="J1588" s="62" t="s">
        <v>947</v>
      </c>
      <c r="K1588" s="62" t="s">
        <v>646</v>
      </c>
      <c r="L1588" s="62" t="s">
        <v>2421</v>
      </c>
      <c r="M1588" s="66" t="s">
        <v>1971</v>
      </c>
    </row>
    <row r="1589" spans="1:13" x14ac:dyDescent="0.3">
      <c r="A1589" s="61" t="s">
        <v>2229</v>
      </c>
      <c r="B1589" s="62" t="s">
        <v>1445</v>
      </c>
      <c r="C1589" s="62" t="s">
        <v>1446</v>
      </c>
      <c r="D1589" s="63">
        <v>45660</v>
      </c>
      <c r="E1589" s="63">
        <v>47486</v>
      </c>
      <c r="F1589" s="62" t="s">
        <v>287</v>
      </c>
      <c r="G1589" s="62" t="s">
        <v>304</v>
      </c>
      <c r="H1589" s="62" t="s">
        <v>2453</v>
      </c>
      <c r="I1589" s="62" t="s">
        <v>1518</v>
      </c>
      <c r="J1589" s="62" t="s">
        <v>947</v>
      </c>
      <c r="K1589" s="62" t="s">
        <v>646</v>
      </c>
      <c r="L1589" s="62" t="s">
        <v>2421</v>
      </c>
      <c r="M1589" s="66" t="s">
        <v>1971</v>
      </c>
    </row>
    <row r="1590" spans="1:13" x14ac:dyDescent="0.3">
      <c r="A1590" s="61" t="s">
        <v>2229</v>
      </c>
      <c r="B1590" s="62" t="s">
        <v>1445</v>
      </c>
      <c r="C1590" s="62" t="s">
        <v>1446</v>
      </c>
      <c r="D1590" s="63">
        <v>45660</v>
      </c>
      <c r="E1590" s="63">
        <v>47486</v>
      </c>
      <c r="F1590" s="62" t="s">
        <v>1945</v>
      </c>
      <c r="G1590" s="62" t="s">
        <v>304</v>
      </c>
      <c r="H1590" s="62" t="s">
        <v>2453</v>
      </c>
      <c r="I1590" s="62" t="s">
        <v>1518</v>
      </c>
      <c r="J1590" s="62" t="s">
        <v>947</v>
      </c>
      <c r="K1590" s="62" t="s">
        <v>646</v>
      </c>
      <c r="L1590" s="62" t="s">
        <v>2421</v>
      </c>
      <c r="M1590" s="66" t="s">
        <v>1971</v>
      </c>
    </row>
    <row r="1591" spans="1:13" x14ac:dyDescent="0.3">
      <c r="A1591" s="61" t="s">
        <v>2230</v>
      </c>
      <c r="B1591" s="62" t="s">
        <v>1447</v>
      </c>
      <c r="C1591" s="62" t="s">
        <v>1448</v>
      </c>
      <c r="D1591" s="63">
        <v>45702</v>
      </c>
      <c r="E1591" s="63">
        <v>46067</v>
      </c>
      <c r="F1591" s="62" t="s">
        <v>1945</v>
      </c>
      <c r="G1591" s="62" t="s">
        <v>555</v>
      </c>
      <c r="H1591" s="62" t="s">
        <v>1110</v>
      </c>
      <c r="I1591" s="62" t="s">
        <v>1518</v>
      </c>
      <c r="J1591" s="62" t="s">
        <v>1111</v>
      </c>
      <c r="K1591" s="62" t="s">
        <v>571</v>
      </c>
      <c r="L1591" s="62" t="s">
        <v>2421</v>
      </c>
      <c r="M1591" s="66" t="s">
        <v>1966</v>
      </c>
    </row>
    <row r="1592" spans="1:13" x14ac:dyDescent="0.3">
      <c r="A1592" s="61" t="s">
        <v>2231</v>
      </c>
      <c r="B1592" s="62" t="s">
        <v>1449</v>
      </c>
      <c r="C1592" s="62" t="s">
        <v>1450</v>
      </c>
      <c r="D1592" s="63">
        <v>45689</v>
      </c>
      <c r="E1592" s="63">
        <v>46784</v>
      </c>
      <c r="F1592" s="62" t="s">
        <v>1945</v>
      </c>
      <c r="G1592" s="62" t="s">
        <v>400</v>
      </c>
      <c r="H1592" s="62" t="s">
        <v>372</v>
      </c>
      <c r="I1592" s="62" t="s">
        <v>825</v>
      </c>
      <c r="J1592" s="62" t="s">
        <v>416</v>
      </c>
      <c r="K1592" s="62" t="s">
        <v>417</v>
      </c>
      <c r="L1592" s="62" t="s">
        <v>2421</v>
      </c>
      <c r="M1592" s="66" t="s">
        <v>2021</v>
      </c>
    </row>
    <row r="1593" spans="1:13" x14ac:dyDescent="0.3">
      <c r="A1593" s="61" t="s">
        <v>2231</v>
      </c>
      <c r="B1593" s="62" t="s">
        <v>1449</v>
      </c>
      <c r="C1593" s="62" t="s">
        <v>1450</v>
      </c>
      <c r="D1593" s="63">
        <v>45689</v>
      </c>
      <c r="E1593" s="63">
        <v>46784</v>
      </c>
      <c r="F1593" s="62" t="s">
        <v>1945</v>
      </c>
      <c r="G1593" s="62" t="s">
        <v>555</v>
      </c>
      <c r="H1593" s="62" t="s">
        <v>372</v>
      </c>
      <c r="I1593" s="62" t="s">
        <v>825</v>
      </c>
      <c r="J1593" s="62" t="s">
        <v>416</v>
      </c>
      <c r="K1593" s="62" t="s">
        <v>417</v>
      </c>
      <c r="L1593" s="62" t="s">
        <v>2421</v>
      </c>
      <c r="M1593" s="66" t="s">
        <v>2021</v>
      </c>
    </row>
    <row r="1594" spans="1:13" x14ac:dyDescent="0.3">
      <c r="A1594" s="61" t="s">
        <v>2231</v>
      </c>
      <c r="B1594" s="62" t="s">
        <v>1449</v>
      </c>
      <c r="C1594" s="62" t="s">
        <v>1450</v>
      </c>
      <c r="D1594" s="63">
        <v>45689</v>
      </c>
      <c r="E1594" s="63">
        <v>46784</v>
      </c>
      <c r="F1594" s="62" t="s">
        <v>1936</v>
      </c>
      <c r="G1594" s="62" t="s">
        <v>411</v>
      </c>
      <c r="H1594" s="62" t="s">
        <v>372</v>
      </c>
      <c r="I1594" s="62" t="s">
        <v>825</v>
      </c>
      <c r="J1594" s="62" t="s">
        <v>416</v>
      </c>
      <c r="K1594" s="62" t="s">
        <v>417</v>
      </c>
      <c r="L1594" s="62" t="s">
        <v>2421</v>
      </c>
      <c r="M1594" s="66" t="s">
        <v>2021</v>
      </c>
    </row>
    <row r="1595" spans="1:13" x14ac:dyDescent="0.3">
      <c r="A1595" s="61" t="s">
        <v>2231</v>
      </c>
      <c r="B1595" s="62" t="s">
        <v>1449</v>
      </c>
      <c r="C1595" s="62" t="s">
        <v>1450</v>
      </c>
      <c r="D1595" s="63">
        <v>45689</v>
      </c>
      <c r="E1595" s="63">
        <v>46784</v>
      </c>
      <c r="F1595" s="62" t="s">
        <v>1945</v>
      </c>
      <c r="G1595" s="62" t="s">
        <v>400</v>
      </c>
      <c r="H1595" s="62" t="s">
        <v>373</v>
      </c>
      <c r="I1595" s="62" t="s">
        <v>825</v>
      </c>
      <c r="J1595" s="62" t="s">
        <v>416</v>
      </c>
      <c r="K1595" s="62" t="s">
        <v>417</v>
      </c>
      <c r="L1595" s="62" t="s">
        <v>2421</v>
      </c>
      <c r="M1595" s="66" t="s">
        <v>2021</v>
      </c>
    </row>
    <row r="1596" spans="1:13" x14ac:dyDescent="0.3">
      <c r="A1596" s="61" t="s">
        <v>2231</v>
      </c>
      <c r="B1596" s="62" t="s">
        <v>1449</v>
      </c>
      <c r="C1596" s="62" t="s">
        <v>1450</v>
      </c>
      <c r="D1596" s="63">
        <v>45689</v>
      </c>
      <c r="E1596" s="63">
        <v>46784</v>
      </c>
      <c r="F1596" s="62" t="s">
        <v>1945</v>
      </c>
      <c r="G1596" s="62" t="s">
        <v>555</v>
      </c>
      <c r="H1596" s="62" t="s">
        <v>373</v>
      </c>
      <c r="I1596" s="62" t="s">
        <v>825</v>
      </c>
      <c r="J1596" s="62" t="s">
        <v>416</v>
      </c>
      <c r="K1596" s="62" t="s">
        <v>417</v>
      </c>
      <c r="L1596" s="62" t="s">
        <v>2421</v>
      </c>
      <c r="M1596" s="66" t="s">
        <v>2021</v>
      </c>
    </row>
    <row r="1597" spans="1:13" x14ac:dyDescent="0.3">
      <c r="A1597" s="61" t="s">
        <v>2231</v>
      </c>
      <c r="B1597" s="62" t="s">
        <v>1449</v>
      </c>
      <c r="C1597" s="62" t="s">
        <v>1450</v>
      </c>
      <c r="D1597" s="63">
        <v>45689</v>
      </c>
      <c r="E1597" s="63">
        <v>46784</v>
      </c>
      <c r="F1597" s="62" t="s">
        <v>1936</v>
      </c>
      <c r="G1597" s="62" t="s">
        <v>411</v>
      </c>
      <c r="H1597" s="62" t="s">
        <v>373</v>
      </c>
      <c r="I1597" s="62" t="s">
        <v>825</v>
      </c>
      <c r="J1597" s="62" t="s">
        <v>416</v>
      </c>
      <c r="K1597" s="62" t="s">
        <v>417</v>
      </c>
      <c r="L1597" s="62" t="s">
        <v>2421</v>
      </c>
      <c r="M1597" s="66" t="s">
        <v>2021</v>
      </c>
    </row>
    <row r="1598" spans="1:13" x14ac:dyDescent="0.3">
      <c r="A1598" s="61" t="s">
        <v>2232</v>
      </c>
      <c r="B1598" s="62" t="s">
        <v>1451</v>
      </c>
      <c r="C1598" s="62" t="s">
        <v>1452</v>
      </c>
      <c r="D1598" s="63">
        <v>45629</v>
      </c>
      <c r="E1598" s="63">
        <v>46907</v>
      </c>
      <c r="F1598" s="62" t="s">
        <v>1922</v>
      </c>
      <c r="G1598" s="62" t="s">
        <v>304</v>
      </c>
      <c r="H1598" s="62" t="s">
        <v>468</v>
      </c>
      <c r="I1598" s="62" t="s">
        <v>2443</v>
      </c>
      <c r="J1598" s="62" t="s">
        <v>374</v>
      </c>
      <c r="K1598" s="62" t="s">
        <v>375</v>
      </c>
      <c r="L1598" s="62" t="s">
        <v>2421</v>
      </c>
      <c r="M1598" s="66" t="s">
        <v>1967</v>
      </c>
    </row>
    <row r="1599" spans="1:13" x14ac:dyDescent="0.3">
      <c r="A1599" s="61" t="s">
        <v>2233</v>
      </c>
      <c r="B1599" s="62" t="s">
        <v>1453</v>
      </c>
      <c r="C1599" s="62" t="s">
        <v>1454</v>
      </c>
      <c r="D1599" s="63">
        <v>45555</v>
      </c>
      <c r="E1599" s="63">
        <v>46407</v>
      </c>
      <c r="F1599" s="62" t="s">
        <v>350</v>
      </c>
      <c r="G1599" s="62" t="s">
        <v>350</v>
      </c>
      <c r="H1599" s="62" t="s">
        <v>373</v>
      </c>
      <c r="I1599" s="62" t="s">
        <v>825</v>
      </c>
      <c r="J1599" s="62" t="s">
        <v>416</v>
      </c>
      <c r="K1599" s="62" t="s">
        <v>417</v>
      </c>
      <c r="L1599" s="62" t="s">
        <v>2421</v>
      </c>
      <c r="M1599" s="66" t="s">
        <v>1989</v>
      </c>
    </row>
    <row r="1600" spans="1:13" x14ac:dyDescent="0.3">
      <c r="A1600" s="61" t="s">
        <v>2234</v>
      </c>
      <c r="B1600" s="62" t="s">
        <v>1455</v>
      </c>
      <c r="C1600" s="62" t="s">
        <v>1456</v>
      </c>
      <c r="D1600" s="63">
        <v>45444</v>
      </c>
      <c r="E1600" s="63">
        <v>46173</v>
      </c>
      <c r="F1600" s="62" t="s">
        <v>1922</v>
      </c>
      <c r="G1600" s="62" t="s">
        <v>643</v>
      </c>
      <c r="H1600" s="62" t="s">
        <v>373</v>
      </c>
      <c r="I1600" s="62" t="s">
        <v>825</v>
      </c>
      <c r="J1600" s="62" t="s">
        <v>935</v>
      </c>
      <c r="K1600" s="62" t="s">
        <v>347</v>
      </c>
      <c r="L1600" s="62" t="s">
        <v>2421</v>
      </c>
      <c r="M1600" s="66" t="s">
        <v>1965</v>
      </c>
    </row>
    <row r="1601" spans="1:13" x14ac:dyDescent="0.3">
      <c r="A1601" s="61" t="s">
        <v>2234</v>
      </c>
      <c r="B1601" s="62" t="s">
        <v>1455</v>
      </c>
      <c r="C1601" s="62" t="s">
        <v>1456</v>
      </c>
      <c r="D1601" s="63">
        <v>45444</v>
      </c>
      <c r="E1601" s="63">
        <v>46173</v>
      </c>
      <c r="F1601" s="62" t="s">
        <v>1922</v>
      </c>
      <c r="G1601" s="62" t="s">
        <v>889</v>
      </c>
      <c r="H1601" s="62" t="s">
        <v>373</v>
      </c>
      <c r="I1601" s="62" t="s">
        <v>825</v>
      </c>
      <c r="J1601" s="62" t="s">
        <v>935</v>
      </c>
      <c r="K1601" s="62" t="s">
        <v>347</v>
      </c>
      <c r="L1601" s="62" t="s">
        <v>2421</v>
      </c>
      <c r="M1601" s="66" t="s">
        <v>1965</v>
      </c>
    </row>
    <row r="1602" spans="1:13" x14ac:dyDescent="0.3">
      <c r="A1602" s="61" t="s">
        <v>2234</v>
      </c>
      <c r="B1602" s="62" t="s">
        <v>1455</v>
      </c>
      <c r="C1602" s="62" t="s">
        <v>1456</v>
      </c>
      <c r="D1602" s="63">
        <v>45444</v>
      </c>
      <c r="E1602" s="63">
        <v>46173</v>
      </c>
      <c r="F1602" s="62" t="s">
        <v>1922</v>
      </c>
      <c r="G1602" s="62" t="s">
        <v>553</v>
      </c>
      <c r="H1602" s="62" t="s">
        <v>373</v>
      </c>
      <c r="I1602" s="62" t="s">
        <v>825</v>
      </c>
      <c r="J1602" s="62" t="s">
        <v>935</v>
      </c>
      <c r="K1602" s="62" t="s">
        <v>347</v>
      </c>
      <c r="L1602" s="62" t="s">
        <v>2421</v>
      </c>
      <c r="M1602" s="66" t="s">
        <v>1965</v>
      </c>
    </row>
    <row r="1603" spans="1:13" x14ac:dyDescent="0.3">
      <c r="A1603" s="61" t="s">
        <v>2234</v>
      </c>
      <c r="B1603" s="62" t="s">
        <v>1455</v>
      </c>
      <c r="C1603" s="62" t="s">
        <v>1456</v>
      </c>
      <c r="D1603" s="63">
        <v>45444</v>
      </c>
      <c r="E1603" s="63">
        <v>46173</v>
      </c>
      <c r="F1603" s="62" t="s">
        <v>287</v>
      </c>
      <c r="G1603" s="62" t="s">
        <v>390</v>
      </c>
      <c r="H1603" s="62" t="s">
        <v>373</v>
      </c>
      <c r="I1603" s="62" t="s">
        <v>825</v>
      </c>
      <c r="J1603" s="62" t="s">
        <v>935</v>
      </c>
      <c r="K1603" s="62" t="s">
        <v>347</v>
      </c>
      <c r="L1603" s="62" t="s">
        <v>2421</v>
      </c>
      <c r="M1603" s="66" t="s">
        <v>1965</v>
      </c>
    </row>
    <row r="1604" spans="1:13" x14ac:dyDescent="0.3">
      <c r="A1604" s="61" t="s">
        <v>2235</v>
      </c>
      <c r="B1604" s="62" t="s">
        <v>1457</v>
      </c>
      <c r="C1604" s="62" t="s">
        <v>1458</v>
      </c>
      <c r="D1604" s="63">
        <v>45670</v>
      </c>
      <c r="E1604" s="63">
        <v>46764</v>
      </c>
      <c r="F1604" s="62" t="s">
        <v>1945</v>
      </c>
      <c r="G1604" s="62" t="s">
        <v>555</v>
      </c>
      <c r="H1604" s="62" t="s">
        <v>373</v>
      </c>
      <c r="I1604" s="62" t="s">
        <v>424</v>
      </c>
      <c r="J1604" s="62" t="s">
        <v>652</v>
      </c>
      <c r="K1604" s="62" t="s">
        <v>571</v>
      </c>
      <c r="L1604" s="62" t="s">
        <v>2421</v>
      </c>
      <c r="M1604" s="66" t="s">
        <v>1975</v>
      </c>
    </row>
    <row r="1605" spans="1:13" x14ac:dyDescent="0.3">
      <c r="A1605" s="61" t="s">
        <v>2235</v>
      </c>
      <c r="B1605" s="62" t="s">
        <v>1457</v>
      </c>
      <c r="C1605" s="62" t="s">
        <v>1458</v>
      </c>
      <c r="D1605" s="63">
        <v>45670</v>
      </c>
      <c r="E1605" s="63">
        <v>46764</v>
      </c>
      <c r="F1605" s="62" t="s">
        <v>1945</v>
      </c>
      <c r="G1605" s="62" t="s">
        <v>1139</v>
      </c>
      <c r="H1605" s="62" t="s">
        <v>373</v>
      </c>
      <c r="I1605" s="62" t="s">
        <v>424</v>
      </c>
      <c r="J1605" s="62" t="s">
        <v>652</v>
      </c>
      <c r="K1605" s="62" t="s">
        <v>571</v>
      </c>
      <c r="L1605" s="62" t="s">
        <v>2421</v>
      </c>
      <c r="M1605" s="66" t="s">
        <v>1975</v>
      </c>
    </row>
    <row r="1606" spans="1:13" x14ac:dyDescent="0.3">
      <c r="A1606" s="61" t="s">
        <v>2235</v>
      </c>
      <c r="B1606" s="62" t="s">
        <v>1457</v>
      </c>
      <c r="C1606" s="62" t="s">
        <v>1458</v>
      </c>
      <c r="D1606" s="63">
        <v>45670</v>
      </c>
      <c r="E1606" s="63">
        <v>46764</v>
      </c>
      <c r="F1606" s="62" t="s">
        <v>1945</v>
      </c>
      <c r="G1606" s="62" t="s">
        <v>404</v>
      </c>
      <c r="H1606" s="62" t="s">
        <v>373</v>
      </c>
      <c r="I1606" s="62" t="s">
        <v>424</v>
      </c>
      <c r="J1606" s="62" t="s">
        <v>652</v>
      </c>
      <c r="K1606" s="62" t="s">
        <v>571</v>
      </c>
      <c r="L1606" s="62" t="s">
        <v>2421</v>
      </c>
      <c r="M1606" s="66" t="s">
        <v>1975</v>
      </c>
    </row>
    <row r="1607" spans="1:13" x14ac:dyDescent="0.3">
      <c r="A1607" s="61" t="s">
        <v>2236</v>
      </c>
      <c r="B1607" s="62" t="s">
        <v>1459</v>
      </c>
      <c r="C1607" s="62" t="s">
        <v>1460</v>
      </c>
      <c r="D1607" s="63">
        <v>45639</v>
      </c>
      <c r="E1607" s="63">
        <v>46186</v>
      </c>
      <c r="F1607" s="62" t="s">
        <v>1936</v>
      </c>
      <c r="G1607" s="62" t="s">
        <v>730</v>
      </c>
      <c r="H1607" s="62" t="s">
        <v>2453</v>
      </c>
      <c r="I1607" s="62" t="s">
        <v>2443</v>
      </c>
      <c r="J1607" s="62" t="s">
        <v>1461</v>
      </c>
      <c r="K1607" s="62" t="s">
        <v>371</v>
      </c>
      <c r="L1607" s="62" t="s">
        <v>2421</v>
      </c>
      <c r="M1607" s="66" t="s">
        <v>1985</v>
      </c>
    </row>
    <row r="1608" spans="1:13" x14ac:dyDescent="0.3">
      <c r="A1608" s="61" t="s">
        <v>2236</v>
      </c>
      <c r="B1608" s="62" t="s">
        <v>1459</v>
      </c>
      <c r="C1608" s="62" t="s">
        <v>1460</v>
      </c>
      <c r="D1608" s="63">
        <v>45639</v>
      </c>
      <c r="E1608" s="63">
        <v>46186</v>
      </c>
      <c r="F1608" s="62" t="s">
        <v>1936</v>
      </c>
      <c r="G1608" s="62" t="s">
        <v>747</v>
      </c>
      <c r="H1608" s="62" t="s">
        <v>2453</v>
      </c>
      <c r="I1608" s="62" t="s">
        <v>2443</v>
      </c>
      <c r="J1608" s="62" t="s">
        <v>1461</v>
      </c>
      <c r="K1608" s="62" t="s">
        <v>371</v>
      </c>
      <c r="L1608" s="62" t="s">
        <v>2421</v>
      </c>
      <c r="M1608" s="66" t="s">
        <v>1985</v>
      </c>
    </row>
    <row r="1609" spans="1:13" x14ac:dyDescent="0.3">
      <c r="A1609" s="61" t="s">
        <v>2236</v>
      </c>
      <c r="B1609" s="62" t="s">
        <v>1459</v>
      </c>
      <c r="C1609" s="62" t="s">
        <v>1460</v>
      </c>
      <c r="D1609" s="63">
        <v>45639</v>
      </c>
      <c r="E1609" s="63">
        <v>46186</v>
      </c>
      <c r="F1609" s="62" t="s">
        <v>1921</v>
      </c>
      <c r="G1609" s="62" t="s">
        <v>559</v>
      </c>
      <c r="H1609" s="62" t="s">
        <v>2453</v>
      </c>
      <c r="I1609" s="62" t="s">
        <v>2443</v>
      </c>
      <c r="J1609" s="62" t="s">
        <v>1461</v>
      </c>
      <c r="K1609" s="62" t="s">
        <v>371</v>
      </c>
      <c r="L1609" s="62" t="s">
        <v>2421</v>
      </c>
      <c r="M1609" s="66" t="s">
        <v>1985</v>
      </c>
    </row>
    <row r="1610" spans="1:13" x14ac:dyDescent="0.3">
      <c r="A1610" s="61" t="s">
        <v>2236</v>
      </c>
      <c r="B1610" s="62" t="s">
        <v>1459</v>
      </c>
      <c r="C1610" s="62" t="s">
        <v>1460</v>
      </c>
      <c r="D1610" s="63">
        <v>45639</v>
      </c>
      <c r="E1610" s="63">
        <v>46186</v>
      </c>
      <c r="F1610" s="62" t="s">
        <v>1916</v>
      </c>
      <c r="G1610" s="62" t="s">
        <v>630</v>
      </c>
      <c r="H1610" s="62" t="s">
        <v>2453</v>
      </c>
      <c r="I1610" s="62" t="s">
        <v>2443</v>
      </c>
      <c r="J1610" s="62" t="s">
        <v>1461</v>
      </c>
      <c r="K1610" s="62" t="s">
        <v>371</v>
      </c>
      <c r="L1610" s="62" t="s">
        <v>2421</v>
      </c>
      <c r="M1610" s="66" t="s">
        <v>1985</v>
      </c>
    </row>
    <row r="1611" spans="1:13" x14ac:dyDescent="0.3">
      <c r="A1611" s="61" t="s">
        <v>2236</v>
      </c>
      <c r="B1611" s="62" t="s">
        <v>1459</v>
      </c>
      <c r="C1611" s="62" t="s">
        <v>1460</v>
      </c>
      <c r="D1611" s="63">
        <v>45639</v>
      </c>
      <c r="E1611" s="63">
        <v>46186</v>
      </c>
      <c r="F1611" s="62" t="s">
        <v>280</v>
      </c>
      <c r="G1611" s="62" t="s">
        <v>280</v>
      </c>
      <c r="H1611" s="62" t="s">
        <v>2453</v>
      </c>
      <c r="I1611" s="62" t="s">
        <v>2443</v>
      </c>
      <c r="J1611" s="62" t="s">
        <v>1461</v>
      </c>
      <c r="K1611" s="62" t="s">
        <v>371</v>
      </c>
      <c r="L1611" s="62" t="s">
        <v>2421</v>
      </c>
      <c r="M1611" s="66" t="s">
        <v>1985</v>
      </c>
    </row>
    <row r="1612" spans="1:13" x14ac:dyDescent="0.3">
      <c r="A1612" s="61" t="s">
        <v>2236</v>
      </c>
      <c r="B1612" s="62" t="s">
        <v>1459</v>
      </c>
      <c r="C1612" s="62" t="s">
        <v>1460</v>
      </c>
      <c r="D1612" s="63">
        <v>45639</v>
      </c>
      <c r="E1612" s="63">
        <v>46186</v>
      </c>
      <c r="F1612" s="62" t="s">
        <v>1948</v>
      </c>
      <c r="G1612" s="62" t="s">
        <v>369</v>
      </c>
      <c r="H1612" s="62" t="s">
        <v>2453</v>
      </c>
      <c r="I1612" s="62" t="s">
        <v>2443</v>
      </c>
      <c r="J1612" s="62" t="s">
        <v>1461</v>
      </c>
      <c r="K1612" s="62" t="s">
        <v>371</v>
      </c>
      <c r="L1612" s="62" t="s">
        <v>2421</v>
      </c>
      <c r="M1612" s="66" t="s">
        <v>1985</v>
      </c>
    </row>
    <row r="1613" spans="1:13" x14ac:dyDescent="0.3">
      <c r="A1613" s="61" t="s">
        <v>2237</v>
      </c>
      <c r="B1613" s="62" t="s">
        <v>1462</v>
      </c>
      <c r="C1613" s="62" t="s">
        <v>1463</v>
      </c>
      <c r="D1613" s="63">
        <v>45673</v>
      </c>
      <c r="E1613" s="63">
        <v>47134</v>
      </c>
      <c r="F1613" s="62" t="s">
        <v>1940</v>
      </c>
      <c r="G1613" s="62" t="s">
        <v>304</v>
      </c>
      <c r="H1613" s="62" t="s">
        <v>2487</v>
      </c>
      <c r="I1613" s="62" t="s">
        <v>825</v>
      </c>
      <c r="J1613" s="62" t="s">
        <v>617</v>
      </c>
      <c r="K1613" s="62" t="s">
        <v>596</v>
      </c>
      <c r="L1613" s="62" t="s">
        <v>2421</v>
      </c>
      <c r="M1613" s="66" t="s">
        <v>1970</v>
      </c>
    </row>
    <row r="1614" spans="1:13" x14ac:dyDescent="0.3">
      <c r="A1614" s="61" t="s">
        <v>2237</v>
      </c>
      <c r="B1614" s="62" t="s">
        <v>1462</v>
      </c>
      <c r="C1614" s="62" t="s">
        <v>1463</v>
      </c>
      <c r="D1614" s="63">
        <v>45673</v>
      </c>
      <c r="E1614" s="63">
        <v>47134</v>
      </c>
      <c r="F1614" s="62" t="s">
        <v>1922</v>
      </c>
      <c r="G1614" s="62" t="s">
        <v>304</v>
      </c>
      <c r="H1614" s="62" t="s">
        <v>2487</v>
      </c>
      <c r="I1614" s="62" t="s">
        <v>825</v>
      </c>
      <c r="J1614" s="62" t="s">
        <v>617</v>
      </c>
      <c r="K1614" s="62" t="s">
        <v>596</v>
      </c>
      <c r="L1614" s="62" t="s">
        <v>2421</v>
      </c>
      <c r="M1614" s="66" t="s">
        <v>1970</v>
      </c>
    </row>
    <row r="1615" spans="1:13" x14ac:dyDescent="0.3">
      <c r="A1615" s="61" t="s">
        <v>2237</v>
      </c>
      <c r="B1615" s="62" t="s">
        <v>1462</v>
      </c>
      <c r="C1615" s="62" t="s">
        <v>1463</v>
      </c>
      <c r="D1615" s="63">
        <v>45673</v>
      </c>
      <c r="E1615" s="63">
        <v>47134</v>
      </c>
      <c r="F1615" s="62" t="s">
        <v>1934</v>
      </c>
      <c r="G1615" s="62" t="s">
        <v>304</v>
      </c>
      <c r="H1615" s="62" t="s">
        <v>2487</v>
      </c>
      <c r="I1615" s="62" t="s">
        <v>825</v>
      </c>
      <c r="J1615" s="62" t="s">
        <v>617</v>
      </c>
      <c r="K1615" s="62" t="s">
        <v>596</v>
      </c>
      <c r="L1615" s="62" t="s">
        <v>2421</v>
      </c>
      <c r="M1615" s="66" t="s">
        <v>1970</v>
      </c>
    </row>
    <row r="1616" spans="1:13" x14ac:dyDescent="0.3">
      <c r="A1616" s="61" t="s">
        <v>2237</v>
      </c>
      <c r="B1616" s="62" t="s">
        <v>1462</v>
      </c>
      <c r="C1616" s="62" t="s">
        <v>1463</v>
      </c>
      <c r="D1616" s="63">
        <v>45673</v>
      </c>
      <c r="E1616" s="63">
        <v>47134</v>
      </c>
      <c r="F1616" s="62" t="s">
        <v>1939</v>
      </c>
      <c r="G1616" s="62" t="s">
        <v>304</v>
      </c>
      <c r="H1616" s="62" t="s">
        <v>2487</v>
      </c>
      <c r="I1616" s="62" t="s">
        <v>825</v>
      </c>
      <c r="J1616" s="62" t="s">
        <v>617</v>
      </c>
      <c r="K1616" s="62" t="s">
        <v>596</v>
      </c>
      <c r="L1616" s="62" t="s">
        <v>2421</v>
      </c>
      <c r="M1616" s="66" t="s">
        <v>1970</v>
      </c>
    </row>
    <row r="1617" spans="1:13" x14ac:dyDescent="0.3">
      <c r="A1617" s="61" t="s">
        <v>2237</v>
      </c>
      <c r="B1617" s="62" t="s">
        <v>1462</v>
      </c>
      <c r="C1617" s="62" t="s">
        <v>1463</v>
      </c>
      <c r="D1617" s="63">
        <v>45673</v>
      </c>
      <c r="E1617" s="63">
        <v>47134</v>
      </c>
      <c r="F1617" s="62" t="s">
        <v>1958</v>
      </c>
      <c r="G1617" s="62" t="s">
        <v>304</v>
      </c>
      <c r="H1617" s="62" t="s">
        <v>2487</v>
      </c>
      <c r="I1617" s="62" t="s">
        <v>825</v>
      </c>
      <c r="J1617" s="62" t="s">
        <v>617</v>
      </c>
      <c r="K1617" s="62" t="s">
        <v>596</v>
      </c>
      <c r="L1617" s="62" t="s">
        <v>2421</v>
      </c>
      <c r="M1617" s="66" t="s">
        <v>1970</v>
      </c>
    </row>
    <row r="1618" spans="1:13" x14ac:dyDescent="0.3">
      <c r="A1618" s="61" t="s">
        <v>2237</v>
      </c>
      <c r="B1618" s="62" t="s">
        <v>1462</v>
      </c>
      <c r="C1618" s="62" t="s">
        <v>1463</v>
      </c>
      <c r="D1618" s="63">
        <v>45673</v>
      </c>
      <c r="E1618" s="63">
        <v>47134</v>
      </c>
      <c r="F1618" s="62" t="s">
        <v>1930</v>
      </c>
      <c r="G1618" s="62" t="s">
        <v>304</v>
      </c>
      <c r="H1618" s="62" t="s">
        <v>2487</v>
      </c>
      <c r="I1618" s="62" t="s">
        <v>825</v>
      </c>
      <c r="J1618" s="62" t="s">
        <v>617</v>
      </c>
      <c r="K1618" s="62" t="s">
        <v>596</v>
      </c>
      <c r="L1618" s="62" t="s">
        <v>2421</v>
      </c>
      <c r="M1618" s="66" t="s">
        <v>1970</v>
      </c>
    </row>
    <row r="1619" spans="1:13" x14ac:dyDescent="0.3">
      <c r="A1619" s="61" t="s">
        <v>2237</v>
      </c>
      <c r="B1619" s="62" t="s">
        <v>1462</v>
      </c>
      <c r="C1619" s="62" t="s">
        <v>1463</v>
      </c>
      <c r="D1619" s="63">
        <v>45673</v>
      </c>
      <c r="E1619" s="63">
        <v>47134</v>
      </c>
      <c r="F1619" s="62" t="s">
        <v>280</v>
      </c>
      <c r="G1619" s="62" t="s">
        <v>304</v>
      </c>
      <c r="H1619" s="62" t="s">
        <v>2487</v>
      </c>
      <c r="I1619" s="62" t="s">
        <v>825</v>
      </c>
      <c r="J1619" s="62" t="s">
        <v>617</v>
      </c>
      <c r="K1619" s="62" t="s">
        <v>596</v>
      </c>
      <c r="L1619" s="62" t="s">
        <v>2421</v>
      </c>
      <c r="M1619" s="66" t="s">
        <v>1970</v>
      </c>
    </row>
    <row r="1620" spans="1:13" x14ac:dyDescent="0.3">
      <c r="A1620" s="61" t="s">
        <v>2237</v>
      </c>
      <c r="B1620" s="62" t="s">
        <v>1462</v>
      </c>
      <c r="C1620" s="62" t="s">
        <v>1463</v>
      </c>
      <c r="D1620" s="63">
        <v>45673</v>
      </c>
      <c r="E1620" s="63">
        <v>47134</v>
      </c>
      <c r="F1620" s="62" t="s">
        <v>1959</v>
      </c>
      <c r="G1620" s="62" t="s">
        <v>304</v>
      </c>
      <c r="H1620" s="62" t="s">
        <v>2487</v>
      </c>
      <c r="I1620" s="62" t="s">
        <v>825</v>
      </c>
      <c r="J1620" s="62" t="s">
        <v>617</v>
      </c>
      <c r="K1620" s="62" t="s">
        <v>596</v>
      </c>
      <c r="L1620" s="62" t="s">
        <v>2421</v>
      </c>
      <c r="M1620" s="66" t="s">
        <v>1970</v>
      </c>
    </row>
    <row r="1621" spans="1:13" x14ac:dyDescent="0.3">
      <c r="A1621" s="61" t="s">
        <v>2237</v>
      </c>
      <c r="B1621" s="62" t="s">
        <v>1462</v>
      </c>
      <c r="C1621" s="62" t="s">
        <v>1463</v>
      </c>
      <c r="D1621" s="63">
        <v>45673</v>
      </c>
      <c r="E1621" s="63">
        <v>47134</v>
      </c>
      <c r="F1621" s="62" t="s">
        <v>1940</v>
      </c>
      <c r="G1621" s="62" t="s">
        <v>304</v>
      </c>
      <c r="H1621" s="62" t="s">
        <v>1464</v>
      </c>
      <c r="I1621" s="62" t="s">
        <v>825</v>
      </c>
      <c r="J1621" s="62" t="s">
        <v>617</v>
      </c>
      <c r="K1621" s="62" t="s">
        <v>596</v>
      </c>
      <c r="L1621" s="62" t="s">
        <v>2421</v>
      </c>
      <c r="M1621" s="66" t="s">
        <v>1970</v>
      </c>
    </row>
    <row r="1622" spans="1:13" x14ac:dyDescent="0.3">
      <c r="A1622" s="61" t="s">
        <v>2237</v>
      </c>
      <c r="B1622" s="62" t="s">
        <v>1462</v>
      </c>
      <c r="C1622" s="62" t="s">
        <v>1463</v>
      </c>
      <c r="D1622" s="63">
        <v>45673</v>
      </c>
      <c r="E1622" s="63">
        <v>47134</v>
      </c>
      <c r="F1622" s="62" t="s">
        <v>1922</v>
      </c>
      <c r="G1622" s="62" t="s">
        <v>304</v>
      </c>
      <c r="H1622" s="62" t="s">
        <v>1464</v>
      </c>
      <c r="I1622" s="62" t="s">
        <v>825</v>
      </c>
      <c r="J1622" s="62" t="s">
        <v>617</v>
      </c>
      <c r="K1622" s="62" t="s">
        <v>596</v>
      </c>
      <c r="L1622" s="62" t="s">
        <v>2421</v>
      </c>
      <c r="M1622" s="66" t="s">
        <v>1970</v>
      </c>
    </row>
    <row r="1623" spans="1:13" x14ac:dyDescent="0.3">
      <c r="A1623" s="61" t="s">
        <v>2237</v>
      </c>
      <c r="B1623" s="62" t="s">
        <v>1462</v>
      </c>
      <c r="C1623" s="62" t="s">
        <v>1463</v>
      </c>
      <c r="D1623" s="63">
        <v>45673</v>
      </c>
      <c r="E1623" s="63">
        <v>47134</v>
      </c>
      <c r="F1623" s="62" t="s">
        <v>1934</v>
      </c>
      <c r="G1623" s="62" t="s">
        <v>304</v>
      </c>
      <c r="H1623" s="62" t="s">
        <v>1464</v>
      </c>
      <c r="I1623" s="62" t="s">
        <v>825</v>
      </c>
      <c r="J1623" s="62" t="s">
        <v>617</v>
      </c>
      <c r="K1623" s="62" t="s">
        <v>596</v>
      </c>
      <c r="L1623" s="62" t="s">
        <v>2421</v>
      </c>
      <c r="M1623" s="66" t="s">
        <v>1970</v>
      </c>
    </row>
    <row r="1624" spans="1:13" x14ac:dyDescent="0.3">
      <c r="A1624" s="61" t="s">
        <v>2237</v>
      </c>
      <c r="B1624" s="62" t="s">
        <v>1462</v>
      </c>
      <c r="C1624" s="62" t="s">
        <v>1463</v>
      </c>
      <c r="D1624" s="63">
        <v>45673</v>
      </c>
      <c r="E1624" s="63">
        <v>47134</v>
      </c>
      <c r="F1624" s="62" t="s">
        <v>1939</v>
      </c>
      <c r="G1624" s="62" t="s">
        <v>304</v>
      </c>
      <c r="H1624" s="62" t="s">
        <v>1464</v>
      </c>
      <c r="I1624" s="62" t="s">
        <v>825</v>
      </c>
      <c r="J1624" s="62" t="s">
        <v>617</v>
      </c>
      <c r="K1624" s="62" t="s">
        <v>596</v>
      </c>
      <c r="L1624" s="62" t="s">
        <v>2421</v>
      </c>
      <c r="M1624" s="66" t="s">
        <v>1970</v>
      </c>
    </row>
    <row r="1625" spans="1:13" x14ac:dyDescent="0.3">
      <c r="A1625" s="61" t="s">
        <v>2237</v>
      </c>
      <c r="B1625" s="62" t="s">
        <v>1462</v>
      </c>
      <c r="C1625" s="62" t="s">
        <v>1463</v>
      </c>
      <c r="D1625" s="63">
        <v>45673</v>
      </c>
      <c r="E1625" s="63">
        <v>47134</v>
      </c>
      <c r="F1625" s="62" t="s">
        <v>1958</v>
      </c>
      <c r="G1625" s="62" t="s">
        <v>304</v>
      </c>
      <c r="H1625" s="62" t="s">
        <v>1464</v>
      </c>
      <c r="I1625" s="62" t="s">
        <v>825</v>
      </c>
      <c r="J1625" s="62" t="s">
        <v>617</v>
      </c>
      <c r="K1625" s="62" t="s">
        <v>596</v>
      </c>
      <c r="L1625" s="62" t="s">
        <v>2421</v>
      </c>
      <c r="M1625" s="66" t="s">
        <v>1970</v>
      </c>
    </row>
    <row r="1626" spans="1:13" x14ac:dyDescent="0.3">
      <c r="A1626" s="61" t="s">
        <v>2237</v>
      </c>
      <c r="B1626" s="62" t="s">
        <v>1462</v>
      </c>
      <c r="C1626" s="62" t="s">
        <v>1463</v>
      </c>
      <c r="D1626" s="63">
        <v>45673</v>
      </c>
      <c r="E1626" s="63">
        <v>47134</v>
      </c>
      <c r="F1626" s="62" t="s">
        <v>1930</v>
      </c>
      <c r="G1626" s="62" t="s">
        <v>304</v>
      </c>
      <c r="H1626" s="62" t="s">
        <v>1464</v>
      </c>
      <c r="I1626" s="62" t="s">
        <v>825</v>
      </c>
      <c r="J1626" s="62" t="s">
        <v>617</v>
      </c>
      <c r="K1626" s="62" t="s">
        <v>596</v>
      </c>
      <c r="L1626" s="62" t="s">
        <v>2421</v>
      </c>
      <c r="M1626" s="66" t="s">
        <v>1970</v>
      </c>
    </row>
    <row r="1627" spans="1:13" x14ac:dyDescent="0.3">
      <c r="A1627" s="61" t="s">
        <v>2237</v>
      </c>
      <c r="B1627" s="62" t="s">
        <v>1462</v>
      </c>
      <c r="C1627" s="62" t="s">
        <v>1463</v>
      </c>
      <c r="D1627" s="63">
        <v>45673</v>
      </c>
      <c r="E1627" s="63">
        <v>47134</v>
      </c>
      <c r="F1627" s="62" t="s">
        <v>280</v>
      </c>
      <c r="G1627" s="62" t="s">
        <v>304</v>
      </c>
      <c r="H1627" s="62" t="s">
        <v>1464</v>
      </c>
      <c r="I1627" s="62" t="s">
        <v>825</v>
      </c>
      <c r="J1627" s="62" t="s">
        <v>617</v>
      </c>
      <c r="K1627" s="62" t="s">
        <v>596</v>
      </c>
      <c r="L1627" s="62" t="s">
        <v>2421</v>
      </c>
      <c r="M1627" s="66" t="s">
        <v>1970</v>
      </c>
    </row>
    <row r="1628" spans="1:13" x14ac:dyDescent="0.3">
      <c r="A1628" s="61" t="s">
        <v>2237</v>
      </c>
      <c r="B1628" s="62" t="s">
        <v>1462</v>
      </c>
      <c r="C1628" s="62" t="s">
        <v>1463</v>
      </c>
      <c r="D1628" s="63">
        <v>45673</v>
      </c>
      <c r="E1628" s="63">
        <v>47134</v>
      </c>
      <c r="F1628" s="62" t="s">
        <v>1959</v>
      </c>
      <c r="G1628" s="62" t="s">
        <v>304</v>
      </c>
      <c r="H1628" s="62" t="s">
        <v>1464</v>
      </c>
      <c r="I1628" s="62" t="s">
        <v>825</v>
      </c>
      <c r="J1628" s="62" t="s">
        <v>617</v>
      </c>
      <c r="K1628" s="62" t="s">
        <v>596</v>
      </c>
      <c r="L1628" s="62" t="s">
        <v>2421</v>
      </c>
      <c r="M1628" s="66" t="s">
        <v>1970</v>
      </c>
    </row>
    <row r="1629" spans="1:13" x14ac:dyDescent="0.3">
      <c r="A1629" s="61" t="s">
        <v>2237</v>
      </c>
      <c r="B1629" s="62" t="s">
        <v>1462</v>
      </c>
      <c r="C1629" s="62" t="s">
        <v>1463</v>
      </c>
      <c r="D1629" s="63">
        <v>45673</v>
      </c>
      <c r="E1629" s="63">
        <v>47134</v>
      </c>
      <c r="F1629" s="62" t="s">
        <v>1940</v>
      </c>
      <c r="G1629" s="62" t="s">
        <v>304</v>
      </c>
      <c r="H1629" s="62" t="s">
        <v>2488</v>
      </c>
      <c r="I1629" s="62" t="s">
        <v>825</v>
      </c>
      <c r="J1629" s="62" t="s">
        <v>617</v>
      </c>
      <c r="K1629" s="62" t="s">
        <v>596</v>
      </c>
      <c r="L1629" s="62" t="s">
        <v>2421</v>
      </c>
      <c r="M1629" s="66" t="s">
        <v>1970</v>
      </c>
    </row>
    <row r="1630" spans="1:13" x14ac:dyDescent="0.3">
      <c r="A1630" s="61" t="s">
        <v>2237</v>
      </c>
      <c r="B1630" s="62" t="s">
        <v>1462</v>
      </c>
      <c r="C1630" s="62" t="s">
        <v>1463</v>
      </c>
      <c r="D1630" s="63">
        <v>45673</v>
      </c>
      <c r="E1630" s="63">
        <v>47134</v>
      </c>
      <c r="F1630" s="62" t="s">
        <v>1922</v>
      </c>
      <c r="G1630" s="62" t="s">
        <v>304</v>
      </c>
      <c r="H1630" s="62" t="s">
        <v>2488</v>
      </c>
      <c r="I1630" s="62" t="s">
        <v>825</v>
      </c>
      <c r="J1630" s="62" t="s">
        <v>617</v>
      </c>
      <c r="K1630" s="62" t="s">
        <v>596</v>
      </c>
      <c r="L1630" s="62" t="s">
        <v>2421</v>
      </c>
      <c r="M1630" s="66" t="s">
        <v>1970</v>
      </c>
    </row>
    <row r="1631" spans="1:13" x14ac:dyDescent="0.3">
      <c r="A1631" s="61" t="s">
        <v>2237</v>
      </c>
      <c r="B1631" s="62" t="s">
        <v>1462</v>
      </c>
      <c r="C1631" s="62" t="s">
        <v>1463</v>
      </c>
      <c r="D1631" s="63">
        <v>45673</v>
      </c>
      <c r="E1631" s="63">
        <v>47134</v>
      </c>
      <c r="F1631" s="62" t="s">
        <v>1934</v>
      </c>
      <c r="G1631" s="62" t="s">
        <v>304</v>
      </c>
      <c r="H1631" s="62" t="s">
        <v>2488</v>
      </c>
      <c r="I1631" s="62" t="s">
        <v>825</v>
      </c>
      <c r="J1631" s="62" t="s">
        <v>617</v>
      </c>
      <c r="K1631" s="62" t="s">
        <v>596</v>
      </c>
      <c r="L1631" s="62" t="s">
        <v>2421</v>
      </c>
      <c r="M1631" s="66" t="s">
        <v>1970</v>
      </c>
    </row>
    <row r="1632" spans="1:13" x14ac:dyDescent="0.3">
      <c r="A1632" s="61" t="s">
        <v>2237</v>
      </c>
      <c r="B1632" s="62" t="s">
        <v>1462</v>
      </c>
      <c r="C1632" s="62" t="s">
        <v>1463</v>
      </c>
      <c r="D1632" s="63">
        <v>45673</v>
      </c>
      <c r="E1632" s="63">
        <v>47134</v>
      </c>
      <c r="F1632" s="62" t="s">
        <v>1939</v>
      </c>
      <c r="G1632" s="62" t="s">
        <v>304</v>
      </c>
      <c r="H1632" s="62" t="s">
        <v>2488</v>
      </c>
      <c r="I1632" s="62" t="s">
        <v>825</v>
      </c>
      <c r="J1632" s="62" t="s">
        <v>617</v>
      </c>
      <c r="K1632" s="62" t="s">
        <v>596</v>
      </c>
      <c r="L1632" s="62" t="s">
        <v>2421</v>
      </c>
      <c r="M1632" s="66" t="s">
        <v>1970</v>
      </c>
    </row>
    <row r="1633" spans="1:13" x14ac:dyDescent="0.3">
      <c r="A1633" s="61" t="s">
        <v>2237</v>
      </c>
      <c r="B1633" s="62" t="s">
        <v>1462</v>
      </c>
      <c r="C1633" s="62" t="s">
        <v>1463</v>
      </c>
      <c r="D1633" s="63">
        <v>45673</v>
      </c>
      <c r="E1633" s="63">
        <v>47134</v>
      </c>
      <c r="F1633" s="62" t="s">
        <v>1958</v>
      </c>
      <c r="G1633" s="62" t="s">
        <v>304</v>
      </c>
      <c r="H1633" s="62" t="s">
        <v>2488</v>
      </c>
      <c r="I1633" s="62" t="s">
        <v>825</v>
      </c>
      <c r="J1633" s="62" t="s">
        <v>617</v>
      </c>
      <c r="K1633" s="62" t="s">
        <v>596</v>
      </c>
      <c r="L1633" s="62" t="s">
        <v>2421</v>
      </c>
      <c r="M1633" s="66" t="s">
        <v>1970</v>
      </c>
    </row>
    <row r="1634" spans="1:13" x14ac:dyDescent="0.3">
      <c r="A1634" s="61" t="s">
        <v>2237</v>
      </c>
      <c r="B1634" s="62" t="s">
        <v>1462</v>
      </c>
      <c r="C1634" s="62" t="s">
        <v>1463</v>
      </c>
      <c r="D1634" s="63">
        <v>45673</v>
      </c>
      <c r="E1634" s="63">
        <v>47134</v>
      </c>
      <c r="F1634" s="62" t="s">
        <v>1930</v>
      </c>
      <c r="G1634" s="62" t="s">
        <v>304</v>
      </c>
      <c r="H1634" s="62" t="s">
        <v>2488</v>
      </c>
      <c r="I1634" s="62" t="s">
        <v>825</v>
      </c>
      <c r="J1634" s="62" t="s">
        <v>617</v>
      </c>
      <c r="K1634" s="62" t="s">
        <v>596</v>
      </c>
      <c r="L1634" s="62" t="s">
        <v>2421</v>
      </c>
      <c r="M1634" s="66" t="s">
        <v>1970</v>
      </c>
    </row>
    <row r="1635" spans="1:13" x14ac:dyDescent="0.3">
      <c r="A1635" s="61" t="s">
        <v>2237</v>
      </c>
      <c r="B1635" s="62" t="s">
        <v>1462</v>
      </c>
      <c r="C1635" s="62" t="s">
        <v>1463</v>
      </c>
      <c r="D1635" s="63">
        <v>45673</v>
      </c>
      <c r="E1635" s="63">
        <v>47134</v>
      </c>
      <c r="F1635" s="62" t="s">
        <v>280</v>
      </c>
      <c r="G1635" s="62" t="s">
        <v>304</v>
      </c>
      <c r="H1635" s="62" t="s">
        <v>2488</v>
      </c>
      <c r="I1635" s="62" t="s">
        <v>825</v>
      </c>
      <c r="J1635" s="62" t="s">
        <v>617</v>
      </c>
      <c r="K1635" s="62" t="s">
        <v>596</v>
      </c>
      <c r="L1635" s="62" t="s">
        <v>2421</v>
      </c>
      <c r="M1635" s="66" t="s">
        <v>1970</v>
      </c>
    </row>
    <row r="1636" spans="1:13" x14ac:dyDescent="0.3">
      <c r="A1636" s="61" t="s">
        <v>2237</v>
      </c>
      <c r="B1636" s="62" t="s">
        <v>1462</v>
      </c>
      <c r="C1636" s="62" t="s">
        <v>1463</v>
      </c>
      <c r="D1636" s="63">
        <v>45673</v>
      </c>
      <c r="E1636" s="63">
        <v>47134</v>
      </c>
      <c r="F1636" s="62" t="s">
        <v>1959</v>
      </c>
      <c r="G1636" s="62" t="s">
        <v>304</v>
      </c>
      <c r="H1636" s="62" t="s">
        <v>2488</v>
      </c>
      <c r="I1636" s="62" t="s">
        <v>825</v>
      </c>
      <c r="J1636" s="62" t="s">
        <v>617</v>
      </c>
      <c r="K1636" s="62" t="s">
        <v>596</v>
      </c>
      <c r="L1636" s="62" t="s">
        <v>2421</v>
      </c>
      <c r="M1636" s="66" t="s">
        <v>1970</v>
      </c>
    </row>
    <row r="1637" spans="1:13" x14ac:dyDescent="0.3">
      <c r="A1637" s="61" t="s">
        <v>2237</v>
      </c>
      <c r="B1637" s="62" t="s">
        <v>1462</v>
      </c>
      <c r="C1637" s="62" t="s">
        <v>1463</v>
      </c>
      <c r="D1637" s="63">
        <v>45673</v>
      </c>
      <c r="E1637" s="63">
        <v>47134</v>
      </c>
      <c r="F1637" s="62" t="s">
        <v>1940</v>
      </c>
      <c r="G1637" s="62" t="s">
        <v>304</v>
      </c>
      <c r="H1637" s="62" t="s">
        <v>373</v>
      </c>
      <c r="I1637" s="62" t="s">
        <v>825</v>
      </c>
      <c r="J1637" s="62" t="s">
        <v>617</v>
      </c>
      <c r="K1637" s="62" t="s">
        <v>596</v>
      </c>
      <c r="L1637" s="62" t="s">
        <v>2421</v>
      </c>
      <c r="M1637" s="66" t="s">
        <v>1970</v>
      </c>
    </row>
    <row r="1638" spans="1:13" x14ac:dyDescent="0.3">
      <c r="A1638" s="61" t="s">
        <v>2237</v>
      </c>
      <c r="B1638" s="62" t="s">
        <v>1462</v>
      </c>
      <c r="C1638" s="62" t="s">
        <v>1463</v>
      </c>
      <c r="D1638" s="63">
        <v>45673</v>
      </c>
      <c r="E1638" s="63">
        <v>47134</v>
      </c>
      <c r="F1638" s="62" t="s">
        <v>1922</v>
      </c>
      <c r="G1638" s="62" t="s">
        <v>304</v>
      </c>
      <c r="H1638" s="62" t="s">
        <v>373</v>
      </c>
      <c r="I1638" s="62" t="s">
        <v>825</v>
      </c>
      <c r="J1638" s="62" t="s">
        <v>617</v>
      </c>
      <c r="K1638" s="62" t="s">
        <v>596</v>
      </c>
      <c r="L1638" s="62" t="s">
        <v>2421</v>
      </c>
      <c r="M1638" s="66" t="s">
        <v>1970</v>
      </c>
    </row>
    <row r="1639" spans="1:13" x14ac:dyDescent="0.3">
      <c r="A1639" s="61" t="s">
        <v>2237</v>
      </c>
      <c r="B1639" s="62" t="s">
        <v>1462</v>
      </c>
      <c r="C1639" s="62" t="s">
        <v>1463</v>
      </c>
      <c r="D1639" s="63">
        <v>45673</v>
      </c>
      <c r="E1639" s="63">
        <v>47134</v>
      </c>
      <c r="F1639" s="62" t="s">
        <v>1934</v>
      </c>
      <c r="G1639" s="62" t="s">
        <v>304</v>
      </c>
      <c r="H1639" s="62" t="s">
        <v>373</v>
      </c>
      <c r="I1639" s="62" t="s">
        <v>825</v>
      </c>
      <c r="J1639" s="62" t="s">
        <v>617</v>
      </c>
      <c r="K1639" s="62" t="s">
        <v>596</v>
      </c>
      <c r="L1639" s="62" t="s">
        <v>2421</v>
      </c>
      <c r="M1639" s="66" t="s">
        <v>1970</v>
      </c>
    </row>
    <row r="1640" spans="1:13" x14ac:dyDescent="0.3">
      <c r="A1640" s="61" t="s">
        <v>2237</v>
      </c>
      <c r="B1640" s="62" t="s">
        <v>1462</v>
      </c>
      <c r="C1640" s="62" t="s">
        <v>1463</v>
      </c>
      <c r="D1640" s="63">
        <v>45673</v>
      </c>
      <c r="E1640" s="63">
        <v>47134</v>
      </c>
      <c r="F1640" s="62" t="s">
        <v>1939</v>
      </c>
      <c r="G1640" s="62" t="s">
        <v>304</v>
      </c>
      <c r="H1640" s="62" t="s">
        <v>373</v>
      </c>
      <c r="I1640" s="62" t="s">
        <v>825</v>
      </c>
      <c r="J1640" s="62" t="s">
        <v>617</v>
      </c>
      <c r="K1640" s="62" t="s">
        <v>596</v>
      </c>
      <c r="L1640" s="62" t="s">
        <v>2421</v>
      </c>
      <c r="M1640" s="66" t="s">
        <v>1970</v>
      </c>
    </row>
    <row r="1641" spans="1:13" x14ac:dyDescent="0.3">
      <c r="A1641" s="61" t="s">
        <v>2237</v>
      </c>
      <c r="B1641" s="62" t="s">
        <v>1462</v>
      </c>
      <c r="C1641" s="62" t="s">
        <v>1463</v>
      </c>
      <c r="D1641" s="63">
        <v>45673</v>
      </c>
      <c r="E1641" s="63">
        <v>47134</v>
      </c>
      <c r="F1641" s="62" t="s">
        <v>1958</v>
      </c>
      <c r="G1641" s="62" t="s">
        <v>304</v>
      </c>
      <c r="H1641" s="62" t="s">
        <v>373</v>
      </c>
      <c r="I1641" s="62" t="s">
        <v>825</v>
      </c>
      <c r="J1641" s="62" t="s">
        <v>617</v>
      </c>
      <c r="K1641" s="62" t="s">
        <v>596</v>
      </c>
      <c r="L1641" s="62" t="s">
        <v>2421</v>
      </c>
      <c r="M1641" s="66" t="s">
        <v>1970</v>
      </c>
    </row>
    <row r="1642" spans="1:13" x14ac:dyDescent="0.3">
      <c r="A1642" s="61" t="s">
        <v>2237</v>
      </c>
      <c r="B1642" s="62" t="s">
        <v>1462</v>
      </c>
      <c r="C1642" s="62" t="s">
        <v>1463</v>
      </c>
      <c r="D1642" s="63">
        <v>45673</v>
      </c>
      <c r="E1642" s="63">
        <v>47134</v>
      </c>
      <c r="F1642" s="62" t="s">
        <v>1930</v>
      </c>
      <c r="G1642" s="62" t="s">
        <v>304</v>
      </c>
      <c r="H1642" s="62" t="s">
        <v>373</v>
      </c>
      <c r="I1642" s="62" t="s">
        <v>825</v>
      </c>
      <c r="J1642" s="62" t="s">
        <v>617</v>
      </c>
      <c r="K1642" s="62" t="s">
        <v>596</v>
      </c>
      <c r="L1642" s="62" t="s">
        <v>2421</v>
      </c>
      <c r="M1642" s="66" t="s">
        <v>1970</v>
      </c>
    </row>
    <row r="1643" spans="1:13" x14ac:dyDescent="0.3">
      <c r="A1643" s="61" t="s">
        <v>2237</v>
      </c>
      <c r="B1643" s="62" t="s">
        <v>1462</v>
      </c>
      <c r="C1643" s="62" t="s">
        <v>1463</v>
      </c>
      <c r="D1643" s="63">
        <v>45673</v>
      </c>
      <c r="E1643" s="63">
        <v>47134</v>
      </c>
      <c r="F1643" s="62" t="s">
        <v>280</v>
      </c>
      <c r="G1643" s="62" t="s">
        <v>304</v>
      </c>
      <c r="H1643" s="62" t="s">
        <v>373</v>
      </c>
      <c r="I1643" s="62" t="s">
        <v>825</v>
      </c>
      <c r="J1643" s="62" t="s">
        <v>617</v>
      </c>
      <c r="K1643" s="62" t="s">
        <v>596</v>
      </c>
      <c r="L1643" s="62" t="s">
        <v>2421</v>
      </c>
      <c r="M1643" s="66" t="s">
        <v>1970</v>
      </c>
    </row>
    <row r="1644" spans="1:13" x14ac:dyDescent="0.3">
      <c r="A1644" s="61" t="s">
        <v>2237</v>
      </c>
      <c r="B1644" s="62" t="s">
        <v>1462</v>
      </c>
      <c r="C1644" s="62" t="s">
        <v>1463</v>
      </c>
      <c r="D1644" s="63">
        <v>45673</v>
      </c>
      <c r="E1644" s="63">
        <v>47134</v>
      </c>
      <c r="F1644" s="62" t="s">
        <v>1959</v>
      </c>
      <c r="G1644" s="62" t="s">
        <v>304</v>
      </c>
      <c r="H1644" s="62" t="s">
        <v>373</v>
      </c>
      <c r="I1644" s="62" t="s">
        <v>825</v>
      </c>
      <c r="J1644" s="62" t="s">
        <v>617</v>
      </c>
      <c r="K1644" s="62" t="s">
        <v>596</v>
      </c>
      <c r="L1644" s="62" t="s">
        <v>2421</v>
      </c>
      <c r="M1644" s="66" t="s">
        <v>1970</v>
      </c>
    </row>
    <row r="1645" spans="1:13" x14ac:dyDescent="0.3">
      <c r="A1645" s="61" t="s">
        <v>2238</v>
      </c>
      <c r="B1645" s="62" t="s">
        <v>1465</v>
      </c>
      <c r="C1645" s="62" t="s">
        <v>1466</v>
      </c>
      <c r="D1645" s="63">
        <v>45613</v>
      </c>
      <c r="E1645" s="63">
        <v>46343</v>
      </c>
      <c r="F1645" s="62" t="s">
        <v>1945</v>
      </c>
      <c r="G1645" s="62" t="s">
        <v>304</v>
      </c>
      <c r="H1645" s="62" t="s">
        <v>2453</v>
      </c>
      <c r="I1645" s="62" t="s">
        <v>2443</v>
      </c>
      <c r="J1645" s="62" t="s">
        <v>2489</v>
      </c>
      <c r="K1645" s="62" t="s">
        <v>315</v>
      </c>
      <c r="L1645" s="62" t="s">
        <v>2421</v>
      </c>
      <c r="M1645" s="66" t="s">
        <v>1965</v>
      </c>
    </row>
    <row r="1646" spans="1:13" x14ac:dyDescent="0.3">
      <c r="A1646" s="61" t="s">
        <v>2239</v>
      </c>
      <c r="B1646" s="62" t="s">
        <v>1467</v>
      </c>
      <c r="C1646" s="62" t="s">
        <v>946</v>
      </c>
      <c r="D1646" s="63">
        <v>45638</v>
      </c>
      <c r="E1646" s="63">
        <v>46142</v>
      </c>
      <c r="F1646" s="62" t="s">
        <v>287</v>
      </c>
      <c r="G1646" s="62" t="s">
        <v>589</v>
      </c>
      <c r="H1646" s="62" t="s">
        <v>373</v>
      </c>
      <c r="I1646" s="62" t="s">
        <v>825</v>
      </c>
      <c r="J1646" s="62" t="s">
        <v>640</v>
      </c>
      <c r="K1646" s="62" t="s">
        <v>417</v>
      </c>
      <c r="L1646" s="62" t="s">
        <v>2421</v>
      </c>
      <c r="M1646" s="66" t="s">
        <v>1972</v>
      </c>
    </row>
    <row r="1647" spans="1:13" x14ac:dyDescent="0.3">
      <c r="A1647" s="61" t="s">
        <v>2239</v>
      </c>
      <c r="B1647" s="62" t="s">
        <v>1467</v>
      </c>
      <c r="C1647" s="62" t="s">
        <v>946</v>
      </c>
      <c r="D1647" s="63">
        <v>45638</v>
      </c>
      <c r="E1647" s="63">
        <v>46142</v>
      </c>
      <c r="F1647" s="62" t="s">
        <v>287</v>
      </c>
      <c r="G1647" s="62" t="s">
        <v>591</v>
      </c>
      <c r="H1647" s="62" t="s">
        <v>373</v>
      </c>
      <c r="I1647" s="62" t="s">
        <v>825</v>
      </c>
      <c r="J1647" s="62" t="s">
        <v>640</v>
      </c>
      <c r="K1647" s="62" t="s">
        <v>417</v>
      </c>
      <c r="L1647" s="62" t="s">
        <v>2421</v>
      </c>
      <c r="M1647" s="66" t="s">
        <v>1972</v>
      </c>
    </row>
    <row r="1648" spans="1:13" x14ac:dyDescent="0.3">
      <c r="A1648" s="61" t="s">
        <v>2239</v>
      </c>
      <c r="B1648" s="62" t="s">
        <v>1467</v>
      </c>
      <c r="C1648" s="62" t="s">
        <v>946</v>
      </c>
      <c r="D1648" s="63">
        <v>45638</v>
      </c>
      <c r="E1648" s="63">
        <v>46142</v>
      </c>
      <c r="F1648" s="62" t="s">
        <v>287</v>
      </c>
      <c r="G1648" s="62" t="s">
        <v>592</v>
      </c>
      <c r="H1648" s="62" t="s">
        <v>373</v>
      </c>
      <c r="I1648" s="62" t="s">
        <v>825</v>
      </c>
      <c r="J1648" s="62" t="s">
        <v>640</v>
      </c>
      <c r="K1648" s="62" t="s">
        <v>417</v>
      </c>
      <c r="L1648" s="62" t="s">
        <v>2421</v>
      </c>
      <c r="M1648" s="66" t="s">
        <v>1972</v>
      </c>
    </row>
    <row r="1649" spans="1:13" x14ac:dyDescent="0.3">
      <c r="A1649" s="61" t="s">
        <v>2239</v>
      </c>
      <c r="B1649" s="62" t="s">
        <v>1467</v>
      </c>
      <c r="C1649" s="62" t="s">
        <v>946</v>
      </c>
      <c r="D1649" s="63">
        <v>45638</v>
      </c>
      <c r="E1649" s="63">
        <v>46142</v>
      </c>
      <c r="F1649" s="62" t="s">
        <v>287</v>
      </c>
      <c r="G1649" s="62" t="s">
        <v>425</v>
      </c>
      <c r="H1649" s="62" t="s">
        <v>373</v>
      </c>
      <c r="I1649" s="62" t="s">
        <v>825</v>
      </c>
      <c r="J1649" s="62" t="s">
        <v>640</v>
      </c>
      <c r="K1649" s="62" t="s">
        <v>417</v>
      </c>
      <c r="L1649" s="62" t="s">
        <v>2421</v>
      </c>
      <c r="M1649" s="66" t="s">
        <v>1972</v>
      </c>
    </row>
    <row r="1650" spans="1:13" x14ac:dyDescent="0.3">
      <c r="A1650" s="61" t="s">
        <v>2239</v>
      </c>
      <c r="B1650" s="62" t="s">
        <v>1467</v>
      </c>
      <c r="C1650" s="62" t="s">
        <v>946</v>
      </c>
      <c r="D1650" s="63">
        <v>45638</v>
      </c>
      <c r="E1650" s="63">
        <v>46142</v>
      </c>
      <c r="F1650" s="62" t="s">
        <v>287</v>
      </c>
      <c r="G1650" s="62" t="s">
        <v>593</v>
      </c>
      <c r="H1650" s="62" t="s">
        <v>373</v>
      </c>
      <c r="I1650" s="62" t="s">
        <v>825</v>
      </c>
      <c r="J1650" s="62" t="s">
        <v>640</v>
      </c>
      <c r="K1650" s="62" t="s">
        <v>417</v>
      </c>
      <c r="L1650" s="62" t="s">
        <v>2421</v>
      </c>
      <c r="M1650" s="66" t="s">
        <v>1972</v>
      </c>
    </row>
    <row r="1651" spans="1:13" x14ac:dyDescent="0.3">
      <c r="A1651" s="61" t="s">
        <v>2239</v>
      </c>
      <c r="B1651" s="62" t="s">
        <v>1467</v>
      </c>
      <c r="C1651" s="62" t="s">
        <v>946</v>
      </c>
      <c r="D1651" s="63">
        <v>45638</v>
      </c>
      <c r="E1651" s="63">
        <v>46142</v>
      </c>
      <c r="F1651" s="62" t="s">
        <v>287</v>
      </c>
      <c r="G1651" s="62" t="s">
        <v>396</v>
      </c>
      <c r="H1651" s="62" t="s">
        <v>373</v>
      </c>
      <c r="I1651" s="62" t="s">
        <v>825</v>
      </c>
      <c r="J1651" s="62" t="s">
        <v>640</v>
      </c>
      <c r="K1651" s="62" t="s">
        <v>417</v>
      </c>
      <c r="L1651" s="62" t="s">
        <v>2421</v>
      </c>
      <c r="M1651" s="66" t="s">
        <v>1972</v>
      </c>
    </row>
    <row r="1652" spans="1:13" x14ac:dyDescent="0.3">
      <c r="A1652" s="61" t="s">
        <v>2239</v>
      </c>
      <c r="B1652" s="62" t="s">
        <v>1467</v>
      </c>
      <c r="C1652" s="62" t="s">
        <v>946</v>
      </c>
      <c r="D1652" s="63">
        <v>45638</v>
      </c>
      <c r="E1652" s="63">
        <v>46142</v>
      </c>
      <c r="F1652" s="62" t="s">
        <v>1921</v>
      </c>
      <c r="G1652" s="62" t="s">
        <v>559</v>
      </c>
      <c r="H1652" s="62" t="s">
        <v>373</v>
      </c>
      <c r="I1652" s="62" t="s">
        <v>825</v>
      </c>
      <c r="J1652" s="62" t="s">
        <v>640</v>
      </c>
      <c r="K1652" s="62" t="s">
        <v>417</v>
      </c>
      <c r="L1652" s="62" t="s">
        <v>2421</v>
      </c>
      <c r="M1652" s="66" t="s">
        <v>1972</v>
      </c>
    </row>
    <row r="1653" spans="1:13" x14ac:dyDescent="0.3">
      <c r="A1653" s="61" t="s">
        <v>2239</v>
      </c>
      <c r="B1653" s="62" t="s">
        <v>1467</v>
      </c>
      <c r="C1653" s="62" t="s">
        <v>946</v>
      </c>
      <c r="D1653" s="63">
        <v>45638</v>
      </c>
      <c r="E1653" s="63">
        <v>46142</v>
      </c>
      <c r="F1653" s="62" t="s">
        <v>1921</v>
      </c>
      <c r="G1653" s="62" t="s">
        <v>487</v>
      </c>
      <c r="H1653" s="62" t="s">
        <v>373</v>
      </c>
      <c r="I1653" s="62" t="s">
        <v>825</v>
      </c>
      <c r="J1653" s="62" t="s">
        <v>640</v>
      </c>
      <c r="K1653" s="62" t="s">
        <v>417</v>
      </c>
      <c r="L1653" s="62" t="s">
        <v>2421</v>
      </c>
      <c r="M1653" s="66" t="s">
        <v>1972</v>
      </c>
    </row>
    <row r="1654" spans="1:13" x14ac:dyDescent="0.3">
      <c r="A1654" s="61" t="s">
        <v>2239</v>
      </c>
      <c r="B1654" s="62" t="s">
        <v>1467</v>
      </c>
      <c r="C1654" s="62" t="s">
        <v>946</v>
      </c>
      <c r="D1654" s="63">
        <v>45638</v>
      </c>
      <c r="E1654" s="63">
        <v>46142</v>
      </c>
      <c r="F1654" s="62" t="s">
        <v>1921</v>
      </c>
      <c r="G1654" s="62" t="s">
        <v>714</v>
      </c>
      <c r="H1654" s="62" t="s">
        <v>373</v>
      </c>
      <c r="I1654" s="62" t="s">
        <v>825</v>
      </c>
      <c r="J1654" s="62" t="s">
        <v>640</v>
      </c>
      <c r="K1654" s="62" t="s">
        <v>417</v>
      </c>
      <c r="L1654" s="62" t="s">
        <v>2421</v>
      </c>
      <c r="M1654" s="66" t="s">
        <v>1972</v>
      </c>
    </row>
    <row r="1655" spans="1:13" x14ac:dyDescent="0.3">
      <c r="A1655" s="61" t="s">
        <v>2239</v>
      </c>
      <c r="B1655" s="62" t="s">
        <v>1467</v>
      </c>
      <c r="C1655" s="62" t="s">
        <v>946</v>
      </c>
      <c r="D1655" s="63">
        <v>45638</v>
      </c>
      <c r="E1655" s="63">
        <v>46142</v>
      </c>
      <c r="F1655" s="62" t="s">
        <v>1922</v>
      </c>
      <c r="G1655" s="62" t="s">
        <v>836</v>
      </c>
      <c r="H1655" s="62" t="s">
        <v>373</v>
      </c>
      <c r="I1655" s="62" t="s">
        <v>825</v>
      </c>
      <c r="J1655" s="62" t="s">
        <v>640</v>
      </c>
      <c r="K1655" s="62" t="s">
        <v>417</v>
      </c>
      <c r="L1655" s="62" t="s">
        <v>2421</v>
      </c>
      <c r="M1655" s="66" t="s">
        <v>1972</v>
      </c>
    </row>
    <row r="1656" spans="1:13" x14ac:dyDescent="0.3">
      <c r="A1656" s="61" t="s">
        <v>2239</v>
      </c>
      <c r="B1656" s="62" t="s">
        <v>1467</v>
      </c>
      <c r="C1656" s="62" t="s">
        <v>946</v>
      </c>
      <c r="D1656" s="63">
        <v>45638</v>
      </c>
      <c r="E1656" s="63">
        <v>46142</v>
      </c>
      <c r="F1656" s="62" t="s">
        <v>1922</v>
      </c>
      <c r="G1656" s="62" t="s">
        <v>387</v>
      </c>
      <c r="H1656" s="62" t="s">
        <v>373</v>
      </c>
      <c r="I1656" s="62" t="s">
        <v>825</v>
      </c>
      <c r="J1656" s="62" t="s">
        <v>640</v>
      </c>
      <c r="K1656" s="62" t="s">
        <v>417</v>
      </c>
      <c r="L1656" s="62" t="s">
        <v>2421</v>
      </c>
      <c r="M1656" s="66" t="s">
        <v>1972</v>
      </c>
    </row>
    <row r="1657" spans="1:13" x14ac:dyDescent="0.3">
      <c r="A1657" s="61" t="s">
        <v>2240</v>
      </c>
      <c r="B1657" s="62" t="s">
        <v>1468</v>
      </c>
      <c r="C1657" s="62" t="s">
        <v>1469</v>
      </c>
      <c r="D1657" s="63">
        <v>45686</v>
      </c>
      <c r="E1657" s="63">
        <v>46173</v>
      </c>
      <c r="F1657" s="62" t="s">
        <v>1958</v>
      </c>
      <c r="G1657" s="62" t="s">
        <v>304</v>
      </c>
      <c r="H1657" s="62" t="s">
        <v>373</v>
      </c>
      <c r="I1657" s="62" t="s">
        <v>2443</v>
      </c>
      <c r="J1657" s="62" t="s">
        <v>916</v>
      </c>
      <c r="K1657" s="62" t="s">
        <v>315</v>
      </c>
      <c r="L1657" s="62" t="s">
        <v>2421</v>
      </c>
      <c r="M1657" s="66" t="s">
        <v>1969</v>
      </c>
    </row>
    <row r="1658" spans="1:13" x14ac:dyDescent="0.3">
      <c r="A1658" s="61" t="s">
        <v>2240</v>
      </c>
      <c r="B1658" s="62" t="s">
        <v>1468</v>
      </c>
      <c r="C1658" s="62" t="s">
        <v>1469</v>
      </c>
      <c r="D1658" s="63">
        <v>45686</v>
      </c>
      <c r="E1658" s="63">
        <v>46173</v>
      </c>
      <c r="F1658" s="62" t="s">
        <v>287</v>
      </c>
      <c r="G1658" s="62" t="s">
        <v>304</v>
      </c>
      <c r="H1658" s="62" t="s">
        <v>373</v>
      </c>
      <c r="I1658" s="62" t="s">
        <v>2443</v>
      </c>
      <c r="J1658" s="62" t="s">
        <v>916</v>
      </c>
      <c r="K1658" s="62" t="s">
        <v>315</v>
      </c>
      <c r="L1658" s="62" t="s">
        <v>2421</v>
      </c>
      <c r="M1658" s="66" t="s">
        <v>1969</v>
      </c>
    </row>
    <row r="1659" spans="1:13" x14ac:dyDescent="0.3">
      <c r="A1659" s="61" t="s">
        <v>2241</v>
      </c>
      <c r="B1659" s="62" t="s">
        <v>1470</v>
      </c>
      <c r="C1659" s="62" t="s">
        <v>1471</v>
      </c>
      <c r="D1659" s="63">
        <v>45397</v>
      </c>
      <c r="E1659" s="63">
        <v>46127</v>
      </c>
      <c r="F1659" s="62" t="s">
        <v>1939</v>
      </c>
      <c r="G1659" s="62" t="s">
        <v>304</v>
      </c>
      <c r="H1659" s="62" t="s">
        <v>373</v>
      </c>
      <c r="I1659" s="62" t="s">
        <v>1518</v>
      </c>
      <c r="J1659" s="62" t="s">
        <v>724</v>
      </c>
      <c r="K1659" s="62" t="s">
        <v>637</v>
      </c>
      <c r="L1659" s="62" t="s">
        <v>2421</v>
      </c>
      <c r="M1659" s="66" t="s">
        <v>1969</v>
      </c>
    </row>
    <row r="1660" spans="1:13" x14ac:dyDescent="0.3">
      <c r="A1660" s="61" t="s">
        <v>2242</v>
      </c>
      <c r="B1660" s="62" t="s">
        <v>1472</v>
      </c>
      <c r="C1660" s="62" t="s">
        <v>1473</v>
      </c>
      <c r="D1660" s="63">
        <v>45608</v>
      </c>
      <c r="E1660" s="63">
        <v>46519</v>
      </c>
      <c r="F1660" s="62" t="s">
        <v>1959</v>
      </c>
      <c r="G1660" s="62" t="s">
        <v>304</v>
      </c>
      <c r="H1660" s="62" t="s">
        <v>468</v>
      </c>
      <c r="I1660" s="62" t="s">
        <v>825</v>
      </c>
      <c r="J1660" s="62" t="s">
        <v>551</v>
      </c>
      <c r="K1660" s="62" t="s">
        <v>428</v>
      </c>
      <c r="L1660" s="62" t="s">
        <v>2421</v>
      </c>
      <c r="M1660" s="66" t="s">
        <v>2021</v>
      </c>
    </row>
    <row r="1661" spans="1:13" x14ac:dyDescent="0.3">
      <c r="A1661" s="61" t="s">
        <v>2242</v>
      </c>
      <c r="B1661" s="62" t="s">
        <v>1472</v>
      </c>
      <c r="C1661" s="62" t="s">
        <v>1473</v>
      </c>
      <c r="D1661" s="63">
        <v>45608</v>
      </c>
      <c r="E1661" s="63">
        <v>46519</v>
      </c>
      <c r="F1661" s="62" t="s">
        <v>1936</v>
      </c>
      <c r="G1661" s="62" t="s">
        <v>304</v>
      </c>
      <c r="H1661" s="62" t="s">
        <v>468</v>
      </c>
      <c r="I1661" s="62" t="s">
        <v>825</v>
      </c>
      <c r="J1661" s="62" t="s">
        <v>551</v>
      </c>
      <c r="K1661" s="62" t="s">
        <v>428</v>
      </c>
      <c r="L1661" s="62" t="s">
        <v>2421</v>
      </c>
      <c r="M1661" s="66" t="s">
        <v>2021</v>
      </c>
    </row>
    <row r="1662" spans="1:13" x14ac:dyDescent="0.3">
      <c r="A1662" s="61" t="s">
        <v>2242</v>
      </c>
      <c r="B1662" s="62" t="s">
        <v>1472</v>
      </c>
      <c r="C1662" s="62" t="s">
        <v>1473</v>
      </c>
      <c r="D1662" s="63">
        <v>45608</v>
      </c>
      <c r="E1662" s="63">
        <v>46519</v>
      </c>
      <c r="F1662" s="62" t="s">
        <v>287</v>
      </c>
      <c r="G1662" s="62" t="s">
        <v>304</v>
      </c>
      <c r="H1662" s="62" t="s">
        <v>468</v>
      </c>
      <c r="I1662" s="62" t="s">
        <v>825</v>
      </c>
      <c r="J1662" s="62" t="s">
        <v>551</v>
      </c>
      <c r="K1662" s="62" t="s">
        <v>428</v>
      </c>
      <c r="L1662" s="62" t="s">
        <v>2421</v>
      </c>
      <c r="M1662" s="66" t="s">
        <v>2021</v>
      </c>
    </row>
    <row r="1663" spans="1:13" x14ac:dyDescent="0.3">
      <c r="A1663" s="61" t="s">
        <v>2243</v>
      </c>
      <c r="B1663" s="62" t="s">
        <v>1474</v>
      </c>
      <c r="C1663" s="62" t="s">
        <v>1475</v>
      </c>
      <c r="D1663" s="63">
        <v>44409</v>
      </c>
      <c r="E1663" s="63">
        <v>46112</v>
      </c>
      <c r="F1663" s="62" t="s">
        <v>1936</v>
      </c>
      <c r="G1663" s="62" t="s">
        <v>304</v>
      </c>
      <c r="H1663" s="62" t="s">
        <v>1303</v>
      </c>
      <c r="I1663" s="62" t="s">
        <v>457</v>
      </c>
      <c r="J1663" s="62" t="s">
        <v>969</v>
      </c>
      <c r="K1663" s="62" t="s">
        <v>744</v>
      </c>
      <c r="L1663" s="62" t="s">
        <v>2421</v>
      </c>
      <c r="M1663" s="66" t="s">
        <v>1971</v>
      </c>
    </row>
    <row r="1664" spans="1:13" x14ac:dyDescent="0.3">
      <c r="A1664" s="61" t="s">
        <v>2243</v>
      </c>
      <c r="B1664" s="62" t="s">
        <v>1474</v>
      </c>
      <c r="C1664" s="62" t="s">
        <v>1475</v>
      </c>
      <c r="D1664" s="63">
        <v>44409</v>
      </c>
      <c r="E1664" s="63">
        <v>46112</v>
      </c>
      <c r="F1664" s="62" t="s">
        <v>1945</v>
      </c>
      <c r="G1664" s="62" t="s">
        <v>304</v>
      </c>
      <c r="H1664" s="62" t="s">
        <v>1303</v>
      </c>
      <c r="I1664" s="62" t="s">
        <v>457</v>
      </c>
      <c r="J1664" s="62" t="s">
        <v>969</v>
      </c>
      <c r="K1664" s="62" t="s">
        <v>744</v>
      </c>
      <c r="L1664" s="62" t="s">
        <v>2421</v>
      </c>
      <c r="M1664" s="66" t="s">
        <v>1971</v>
      </c>
    </row>
    <row r="1665" spans="1:13" x14ac:dyDescent="0.3">
      <c r="A1665" s="61" t="s">
        <v>2244</v>
      </c>
      <c r="B1665" s="62" t="s">
        <v>1477</v>
      </c>
      <c r="C1665" s="62" t="s">
        <v>1478</v>
      </c>
      <c r="D1665" s="63">
        <v>45383</v>
      </c>
      <c r="E1665" s="63">
        <v>46113</v>
      </c>
      <c r="F1665" s="62" t="s">
        <v>284</v>
      </c>
      <c r="G1665" s="62" t="s">
        <v>1352</v>
      </c>
      <c r="H1665" s="62" t="s">
        <v>373</v>
      </c>
      <c r="I1665" s="62" t="s">
        <v>1518</v>
      </c>
      <c r="J1665" s="62" t="s">
        <v>491</v>
      </c>
      <c r="K1665" s="62" t="s">
        <v>365</v>
      </c>
      <c r="L1665" s="62" t="s">
        <v>2421</v>
      </c>
      <c r="M1665" s="66" t="s">
        <v>1968</v>
      </c>
    </row>
    <row r="1666" spans="1:13" x14ac:dyDescent="0.3">
      <c r="A1666" s="61" t="s">
        <v>2244</v>
      </c>
      <c r="B1666" s="62" t="s">
        <v>1477</v>
      </c>
      <c r="C1666" s="62" t="s">
        <v>1478</v>
      </c>
      <c r="D1666" s="63">
        <v>45383</v>
      </c>
      <c r="E1666" s="63">
        <v>46113</v>
      </c>
      <c r="F1666" s="62" t="s">
        <v>284</v>
      </c>
      <c r="G1666" s="62" t="s">
        <v>285</v>
      </c>
      <c r="H1666" s="62" t="s">
        <v>373</v>
      </c>
      <c r="I1666" s="62" t="s">
        <v>1518</v>
      </c>
      <c r="J1666" s="62" t="s">
        <v>491</v>
      </c>
      <c r="K1666" s="62" t="s">
        <v>365</v>
      </c>
      <c r="L1666" s="62" t="s">
        <v>2421</v>
      </c>
      <c r="M1666" s="66" t="s">
        <v>1968</v>
      </c>
    </row>
    <row r="1667" spans="1:13" x14ac:dyDescent="0.3">
      <c r="A1667" s="61" t="s">
        <v>2244</v>
      </c>
      <c r="B1667" s="62" t="s">
        <v>1477</v>
      </c>
      <c r="C1667" s="62" t="s">
        <v>1478</v>
      </c>
      <c r="D1667" s="63">
        <v>45383</v>
      </c>
      <c r="E1667" s="63">
        <v>46113</v>
      </c>
      <c r="F1667" s="62" t="s">
        <v>288</v>
      </c>
      <c r="G1667" s="62" t="s">
        <v>682</v>
      </c>
      <c r="H1667" s="62" t="s">
        <v>373</v>
      </c>
      <c r="I1667" s="62" t="s">
        <v>1518</v>
      </c>
      <c r="J1667" s="62" t="s">
        <v>491</v>
      </c>
      <c r="K1667" s="62" t="s">
        <v>365</v>
      </c>
      <c r="L1667" s="62" t="s">
        <v>2421</v>
      </c>
      <c r="M1667" s="66" t="s">
        <v>1968</v>
      </c>
    </row>
    <row r="1668" spans="1:13" x14ac:dyDescent="0.3">
      <c r="A1668" s="61" t="s">
        <v>2244</v>
      </c>
      <c r="B1668" s="62" t="s">
        <v>1477</v>
      </c>
      <c r="C1668" s="62" t="s">
        <v>1478</v>
      </c>
      <c r="D1668" s="63">
        <v>45383</v>
      </c>
      <c r="E1668" s="63">
        <v>46113</v>
      </c>
      <c r="F1668" s="62" t="s">
        <v>288</v>
      </c>
      <c r="G1668" s="62" t="s">
        <v>454</v>
      </c>
      <c r="H1668" s="62" t="s">
        <v>373</v>
      </c>
      <c r="I1668" s="62" t="s">
        <v>1518</v>
      </c>
      <c r="J1668" s="62" t="s">
        <v>491</v>
      </c>
      <c r="K1668" s="62" t="s">
        <v>365</v>
      </c>
      <c r="L1668" s="62" t="s">
        <v>2421</v>
      </c>
      <c r="M1668" s="66" t="s">
        <v>1968</v>
      </c>
    </row>
    <row r="1669" spans="1:13" x14ac:dyDescent="0.3">
      <c r="A1669" s="61" t="s">
        <v>2244</v>
      </c>
      <c r="B1669" s="62" t="s">
        <v>1477</v>
      </c>
      <c r="C1669" s="62" t="s">
        <v>1478</v>
      </c>
      <c r="D1669" s="63">
        <v>45383</v>
      </c>
      <c r="E1669" s="63">
        <v>46113</v>
      </c>
      <c r="F1669" s="62" t="s">
        <v>1943</v>
      </c>
      <c r="G1669" s="62" t="s">
        <v>452</v>
      </c>
      <c r="H1669" s="62" t="s">
        <v>373</v>
      </c>
      <c r="I1669" s="62" t="s">
        <v>1518</v>
      </c>
      <c r="J1669" s="62" t="s">
        <v>491</v>
      </c>
      <c r="K1669" s="62" t="s">
        <v>365</v>
      </c>
      <c r="L1669" s="62" t="s">
        <v>2421</v>
      </c>
      <c r="M1669" s="66" t="s">
        <v>1968</v>
      </c>
    </row>
    <row r="1670" spans="1:13" x14ac:dyDescent="0.3">
      <c r="A1670" s="61" t="s">
        <v>2244</v>
      </c>
      <c r="B1670" s="62" t="s">
        <v>1477</v>
      </c>
      <c r="C1670" s="62" t="s">
        <v>1478</v>
      </c>
      <c r="D1670" s="63">
        <v>45383</v>
      </c>
      <c r="E1670" s="63">
        <v>46113</v>
      </c>
      <c r="F1670" s="62" t="s">
        <v>1942</v>
      </c>
      <c r="G1670" s="62" t="s">
        <v>757</v>
      </c>
      <c r="H1670" s="62" t="s">
        <v>373</v>
      </c>
      <c r="I1670" s="62" t="s">
        <v>1518</v>
      </c>
      <c r="J1670" s="62" t="s">
        <v>491</v>
      </c>
      <c r="K1670" s="62" t="s">
        <v>365</v>
      </c>
      <c r="L1670" s="62" t="s">
        <v>2421</v>
      </c>
      <c r="M1670" s="66" t="s">
        <v>1968</v>
      </c>
    </row>
    <row r="1671" spans="1:13" x14ac:dyDescent="0.3">
      <c r="A1671" s="61" t="s">
        <v>2245</v>
      </c>
      <c r="B1671" s="62" t="s">
        <v>1479</v>
      </c>
      <c r="C1671" s="62" t="s">
        <v>1480</v>
      </c>
      <c r="D1671" s="63">
        <v>45707</v>
      </c>
      <c r="E1671" s="63">
        <v>46802</v>
      </c>
      <c r="F1671" s="62" t="s">
        <v>1934</v>
      </c>
      <c r="G1671" s="62" t="s">
        <v>499</v>
      </c>
      <c r="H1671" s="62" t="s">
        <v>2425</v>
      </c>
      <c r="I1671" s="62" t="s">
        <v>1518</v>
      </c>
      <c r="J1671" s="62" t="s">
        <v>616</v>
      </c>
      <c r="K1671" s="62" t="s">
        <v>459</v>
      </c>
      <c r="L1671" s="62" t="s">
        <v>2421</v>
      </c>
      <c r="M1671" s="66" t="s">
        <v>1971</v>
      </c>
    </row>
    <row r="1672" spans="1:13" x14ac:dyDescent="0.3">
      <c r="A1672" s="61" t="s">
        <v>2245</v>
      </c>
      <c r="B1672" s="62" t="s">
        <v>1479</v>
      </c>
      <c r="C1672" s="62" t="s">
        <v>1480</v>
      </c>
      <c r="D1672" s="63">
        <v>45707</v>
      </c>
      <c r="E1672" s="63">
        <v>46802</v>
      </c>
      <c r="F1672" s="62" t="s">
        <v>1938</v>
      </c>
      <c r="G1672" s="62" t="s">
        <v>503</v>
      </c>
      <c r="H1672" s="62" t="s">
        <v>2425</v>
      </c>
      <c r="I1672" s="62" t="s">
        <v>1518</v>
      </c>
      <c r="J1672" s="62" t="s">
        <v>616</v>
      </c>
      <c r="K1672" s="62" t="s">
        <v>459</v>
      </c>
      <c r="L1672" s="62" t="s">
        <v>2421</v>
      </c>
      <c r="M1672" s="66" t="s">
        <v>1971</v>
      </c>
    </row>
    <row r="1673" spans="1:13" x14ac:dyDescent="0.3">
      <c r="A1673" s="61" t="s">
        <v>2245</v>
      </c>
      <c r="B1673" s="62" t="s">
        <v>1479</v>
      </c>
      <c r="C1673" s="62" t="s">
        <v>1480</v>
      </c>
      <c r="D1673" s="63">
        <v>45707</v>
      </c>
      <c r="E1673" s="63">
        <v>46802</v>
      </c>
      <c r="F1673" s="62" t="s">
        <v>1941</v>
      </c>
      <c r="G1673" s="62" t="s">
        <v>494</v>
      </c>
      <c r="H1673" s="62" t="s">
        <v>2425</v>
      </c>
      <c r="I1673" s="62" t="s">
        <v>1518</v>
      </c>
      <c r="J1673" s="62" t="s">
        <v>616</v>
      </c>
      <c r="K1673" s="62" t="s">
        <v>459</v>
      </c>
      <c r="L1673" s="62" t="s">
        <v>2421</v>
      </c>
      <c r="M1673" s="66" t="s">
        <v>1971</v>
      </c>
    </row>
    <row r="1674" spans="1:13" x14ac:dyDescent="0.3">
      <c r="A1674" s="61" t="s">
        <v>2246</v>
      </c>
      <c r="B1674" s="62" t="s">
        <v>1481</v>
      </c>
      <c r="C1674" s="62" t="s">
        <v>1482</v>
      </c>
      <c r="D1674" s="63">
        <v>45602</v>
      </c>
      <c r="E1674" s="63">
        <v>46697</v>
      </c>
      <c r="F1674" s="62" t="s">
        <v>1931</v>
      </c>
      <c r="G1674" s="62" t="s">
        <v>281</v>
      </c>
      <c r="H1674" s="62" t="s">
        <v>2425</v>
      </c>
      <c r="I1674" s="62" t="s">
        <v>1518</v>
      </c>
      <c r="J1674" s="62" t="s">
        <v>1483</v>
      </c>
      <c r="K1674" s="62" t="s">
        <v>646</v>
      </c>
      <c r="L1674" s="62" t="s">
        <v>2421</v>
      </c>
      <c r="M1674" s="66" t="s">
        <v>1974</v>
      </c>
    </row>
    <row r="1675" spans="1:13" x14ac:dyDescent="0.3">
      <c r="A1675" s="61" t="s">
        <v>2246</v>
      </c>
      <c r="B1675" s="62" t="s">
        <v>1481</v>
      </c>
      <c r="C1675" s="62" t="s">
        <v>1482</v>
      </c>
      <c r="D1675" s="63">
        <v>45602</v>
      </c>
      <c r="E1675" s="63">
        <v>46697</v>
      </c>
      <c r="F1675" s="62" t="s">
        <v>287</v>
      </c>
      <c r="G1675" s="62" t="s">
        <v>554</v>
      </c>
      <c r="H1675" s="62" t="s">
        <v>2425</v>
      </c>
      <c r="I1675" s="62" t="s">
        <v>1518</v>
      </c>
      <c r="J1675" s="62" t="s">
        <v>1483</v>
      </c>
      <c r="K1675" s="62" t="s">
        <v>646</v>
      </c>
      <c r="L1675" s="62" t="s">
        <v>2421</v>
      </c>
      <c r="M1675" s="66" t="s">
        <v>1974</v>
      </c>
    </row>
    <row r="1676" spans="1:13" x14ac:dyDescent="0.3">
      <c r="A1676" s="61" t="s">
        <v>2246</v>
      </c>
      <c r="B1676" s="62" t="s">
        <v>1481</v>
      </c>
      <c r="C1676" s="62" t="s">
        <v>1482</v>
      </c>
      <c r="D1676" s="63">
        <v>45602</v>
      </c>
      <c r="E1676" s="63">
        <v>46697</v>
      </c>
      <c r="F1676" s="62" t="s">
        <v>1945</v>
      </c>
      <c r="G1676" s="62" t="s">
        <v>555</v>
      </c>
      <c r="H1676" s="62" t="s">
        <v>2425</v>
      </c>
      <c r="I1676" s="62" t="s">
        <v>1518</v>
      </c>
      <c r="J1676" s="62" t="s">
        <v>1483</v>
      </c>
      <c r="K1676" s="62" t="s">
        <v>646</v>
      </c>
      <c r="L1676" s="62" t="s">
        <v>2421</v>
      </c>
      <c r="M1676" s="66" t="s">
        <v>1974</v>
      </c>
    </row>
    <row r="1677" spans="1:13" x14ac:dyDescent="0.3">
      <c r="A1677" s="61" t="s">
        <v>2247</v>
      </c>
      <c r="B1677" s="62" t="s">
        <v>1484</v>
      </c>
      <c r="C1677" s="62" t="s">
        <v>1485</v>
      </c>
      <c r="D1677" s="63">
        <v>45444</v>
      </c>
      <c r="E1677" s="63">
        <v>46174</v>
      </c>
      <c r="F1677" s="62" t="s">
        <v>1930</v>
      </c>
      <c r="G1677" s="62" t="s">
        <v>1486</v>
      </c>
      <c r="H1677" s="62" t="s">
        <v>373</v>
      </c>
      <c r="I1677" s="62" t="s">
        <v>1518</v>
      </c>
      <c r="J1677" s="62" t="s">
        <v>314</v>
      </c>
      <c r="K1677" s="62" t="s">
        <v>315</v>
      </c>
      <c r="L1677" s="62" t="s">
        <v>2421</v>
      </c>
      <c r="M1677" s="66" t="s">
        <v>1969</v>
      </c>
    </row>
    <row r="1678" spans="1:13" x14ac:dyDescent="0.3">
      <c r="A1678" s="61" t="s">
        <v>2247</v>
      </c>
      <c r="B1678" s="62" t="s">
        <v>1484</v>
      </c>
      <c r="C1678" s="62" t="s">
        <v>1485</v>
      </c>
      <c r="D1678" s="63">
        <v>45444</v>
      </c>
      <c r="E1678" s="63">
        <v>46174</v>
      </c>
      <c r="F1678" s="62" t="s">
        <v>1930</v>
      </c>
      <c r="G1678" s="62" t="s">
        <v>690</v>
      </c>
      <c r="H1678" s="62" t="s">
        <v>373</v>
      </c>
      <c r="I1678" s="62" t="s">
        <v>1518</v>
      </c>
      <c r="J1678" s="62" t="s">
        <v>314</v>
      </c>
      <c r="K1678" s="62" t="s">
        <v>315</v>
      </c>
      <c r="L1678" s="62" t="s">
        <v>2421</v>
      </c>
      <c r="M1678" s="66" t="s">
        <v>1969</v>
      </c>
    </row>
    <row r="1679" spans="1:13" x14ac:dyDescent="0.3">
      <c r="A1679" s="61" t="s">
        <v>2247</v>
      </c>
      <c r="B1679" s="62" t="s">
        <v>1484</v>
      </c>
      <c r="C1679" s="62" t="s">
        <v>1485</v>
      </c>
      <c r="D1679" s="63">
        <v>45444</v>
      </c>
      <c r="E1679" s="63">
        <v>46174</v>
      </c>
      <c r="F1679" s="62" t="s">
        <v>1930</v>
      </c>
      <c r="G1679" s="62" t="s">
        <v>1487</v>
      </c>
      <c r="H1679" s="62" t="s">
        <v>373</v>
      </c>
      <c r="I1679" s="62" t="s">
        <v>1518</v>
      </c>
      <c r="J1679" s="62" t="s">
        <v>314</v>
      </c>
      <c r="K1679" s="62" t="s">
        <v>315</v>
      </c>
      <c r="L1679" s="62" t="s">
        <v>2421</v>
      </c>
      <c r="M1679" s="66" t="s">
        <v>1969</v>
      </c>
    </row>
    <row r="1680" spans="1:13" x14ac:dyDescent="0.3">
      <c r="A1680" s="61" t="s">
        <v>2248</v>
      </c>
      <c r="B1680" s="62" t="s">
        <v>1488</v>
      </c>
      <c r="C1680" s="62" t="s">
        <v>1489</v>
      </c>
      <c r="D1680" s="63">
        <v>45352</v>
      </c>
      <c r="E1680" s="63">
        <v>46174</v>
      </c>
      <c r="F1680" s="62" t="s">
        <v>282</v>
      </c>
      <c r="G1680" s="62" t="s">
        <v>283</v>
      </c>
      <c r="H1680" s="62" t="s">
        <v>1490</v>
      </c>
      <c r="I1680" s="62" t="s">
        <v>1518</v>
      </c>
      <c r="J1680" s="62" t="s">
        <v>812</v>
      </c>
      <c r="K1680" s="62" t="s">
        <v>365</v>
      </c>
      <c r="L1680" s="62" t="s">
        <v>2421</v>
      </c>
      <c r="M1680" s="66" t="s">
        <v>1968</v>
      </c>
    </row>
    <row r="1681" spans="1:13" x14ac:dyDescent="0.3">
      <c r="A1681" s="61" t="s">
        <v>2248</v>
      </c>
      <c r="B1681" s="62" t="s">
        <v>1488</v>
      </c>
      <c r="C1681" s="62" t="s">
        <v>1489</v>
      </c>
      <c r="D1681" s="63">
        <v>45352</v>
      </c>
      <c r="E1681" s="63">
        <v>46174</v>
      </c>
      <c r="F1681" s="62" t="s">
        <v>1921</v>
      </c>
      <c r="G1681" s="62" t="s">
        <v>487</v>
      </c>
      <c r="H1681" s="62" t="s">
        <v>1490</v>
      </c>
      <c r="I1681" s="62" t="s">
        <v>1518</v>
      </c>
      <c r="J1681" s="62" t="s">
        <v>812</v>
      </c>
      <c r="K1681" s="62" t="s">
        <v>365</v>
      </c>
      <c r="L1681" s="62" t="s">
        <v>2421</v>
      </c>
      <c r="M1681" s="66" t="s">
        <v>1968</v>
      </c>
    </row>
    <row r="1682" spans="1:13" x14ac:dyDescent="0.3">
      <c r="A1682" s="61" t="s">
        <v>2248</v>
      </c>
      <c r="B1682" s="62" t="s">
        <v>1488</v>
      </c>
      <c r="C1682" s="62" t="s">
        <v>1489</v>
      </c>
      <c r="D1682" s="63">
        <v>45352</v>
      </c>
      <c r="E1682" s="63">
        <v>46174</v>
      </c>
      <c r="F1682" s="62" t="s">
        <v>1940</v>
      </c>
      <c r="G1682" s="62" t="s">
        <v>451</v>
      </c>
      <c r="H1682" s="62" t="s">
        <v>1490</v>
      </c>
      <c r="I1682" s="62" t="s">
        <v>1518</v>
      </c>
      <c r="J1682" s="62" t="s">
        <v>812</v>
      </c>
      <c r="K1682" s="62" t="s">
        <v>365</v>
      </c>
      <c r="L1682" s="62" t="s">
        <v>2421</v>
      </c>
      <c r="M1682" s="66" t="s">
        <v>1968</v>
      </c>
    </row>
    <row r="1683" spans="1:13" x14ac:dyDescent="0.3">
      <c r="A1683" s="61" t="s">
        <v>2248</v>
      </c>
      <c r="B1683" s="62" t="s">
        <v>1488</v>
      </c>
      <c r="C1683" s="62" t="s">
        <v>1489</v>
      </c>
      <c r="D1683" s="63">
        <v>45352</v>
      </c>
      <c r="E1683" s="63">
        <v>46174</v>
      </c>
      <c r="F1683" s="62" t="s">
        <v>1943</v>
      </c>
      <c r="G1683" s="62" t="s">
        <v>452</v>
      </c>
      <c r="H1683" s="62" t="s">
        <v>1490</v>
      </c>
      <c r="I1683" s="62" t="s">
        <v>1518</v>
      </c>
      <c r="J1683" s="62" t="s">
        <v>812</v>
      </c>
      <c r="K1683" s="62" t="s">
        <v>365</v>
      </c>
      <c r="L1683" s="62" t="s">
        <v>2421</v>
      </c>
      <c r="M1683" s="66" t="s">
        <v>1968</v>
      </c>
    </row>
    <row r="1684" spans="1:13" x14ac:dyDescent="0.3">
      <c r="A1684" s="61" t="s">
        <v>2248</v>
      </c>
      <c r="B1684" s="62" t="s">
        <v>1488</v>
      </c>
      <c r="C1684" s="62" t="s">
        <v>1489</v>
      </c>
      <c r="D1684" s="63">
        <v>45352</v>
      </c>
      <c r="E1684" s="63">
        <v>46174</v>
      </c>
      <c r="F1684" s="62" t="s">
        <v>284</v>
      </c>
      <c r="G1684" s="62" t="s">
        <v>285</v>
      </c>
      <c r="H1684" s="62" t="s">
        <v>1490</v>
      </c>
      <c r="I1684" s="62" t="s">
        <v>1518</v>
      </c>
      <c r="J1684" s="62" t="s">
        <v>812</v>
      </c>
      <c r="K1684" s="62" t="s">
        <v>365</v>
      </c>
      <c r="L1684" s="62" t="s">
        <v>2421</v>
      </c>
      <c r="M1684" s="66" t="s">
        <v>1968</v>
      </c>
    </row>
    <row r="1685" spans="1:13" x14ac:dyDescent="0.3">
      <c r="A1685" s="61" t="s">
        <v>2248</v>
      </c>
      <c r="B1685" s="62" t="s">
        <v>1488</v>
      </c>
      <c r="C1685" s="62" t="s">
        <v>1489</v>
      </c>
      <c r="D1685" s="63">
        <v>45352</v>
      </c>
      <c r="E1685" s="63">
        <v>46174</v>
      </c>
      <c r="F1685" s="62" t="s">
        <v>282</v>
      </c>
      <c r="G1685" s="62" t="s">
        <v>283</v>
      </c>
      <c r="H1685" s="62" t="s">
        <v>2491</v>
      </c>
      <c r="I1685" s="62" t="s">
        <v>1518</v>
      </c>
      <c r="J1685" s="62" t="s">
        <v>812</v>
      </c>
      <c r="K1685" s="62" t="s">
        <v>365</v>
      </c>
      <c r="L1685" s="62" t="s">
        <v>2421</v>
      </c>
      <c r="M1685" s="66" t="s">
        <v>1968</v>
      </c>
    </row>
    <row r="1686" spans="1:13" x14ac:dyDescent="0.3">
      <c r="A1686" s="61" t="s">
        <v>2248</v>
      </c>
      <c r="B1686" s="62" t="s">
        <v>1488</v>
      </c>
      <c r="C1686" s="62" t="s">
        <v>1489</v>
      </c>
      <c r="D1686" s="63">
        <v>45352</v>
      </c>
      <c r="E1686" s="63">
        <v>46174</v>
      </c>
      <c r="F1686" s="62" t="s">
        <v>1921</v>
      </c>
      <c r="G1686" s="62" t="s">
        <v>487</v>
      </c>
      <c r="H1686" s="62" t="s">
        <v>2491</v>
      </c>
      <c r="I1686" s="62" t="s">
        <v>1518</v>
      </c>
      <c r="J1686" s="62" t="s">
        <v>812</v>
      </c>
      <c r="K1686" s="62" t="s">
        <v>365</v>
      </c>
      <c r="L1686" s="62" t="s">
        <v>2421</v>
      </c>
      <c r="M1686" s="66" t="s">
        <v>1968</v>
      </c>
    </row>
    <row r="1687" spans="1:13" x14ac:dyDescent="0.3">
      <c r="A1687" s="61" t="s">
        <v>2248</v>
      </c>
      <c r="B1687" s="62" t="s">
        <v>1488</v>
      </c>
      <c r="C1687" s="62" t="s">
        <v>1489</v>
      </c>
      <c r="D1687" s="63">
        <v>45352</v>
      </c>
      <c r="E1687" s="63">
        <v>46174</v>
      </c>
      <c r="F1687" s="62" t="s">
        <v>1940</v>
      </c>
      <c r="G1687" s="62" t="s">
        <v>451</v>
      </c>
      <c r="H1687" s="62" t="s">
        <v>2491</v>
      </c>
      <c r="I1687" s="62" t="s">
        <v>1518</v>
      </c>
      <c r="J1687" s="62" t="s">
        <v>812</v>
      </c>
      <c r="K1687" s="62" t="s">
        <v>365</v>
      </c>
      <c r="L1687" s="62" t="s">
        <v>2421</v>
      </c>
      <c r="M1687" s="66" t="s">
        <v>1968</v>
      </c>
    </row>
    <row r="1688" spans="1:13" x14ac:dyDescent="0.3">
      <c r="A1688" s="61" t="s">
        <v>2248</v>
      </c>
      <c r="B1688" s="62" t="s">
        <v>1488</v>
      </c>
      <c r="C1688" s="62" t="s">
        <v>1489</v>
      </c>
      <c r="D1688" s="63">
        <v>45352</v>
      </c>
      <c r="E1688" s="63">
        <v>46174</v>
      </c>
      <c r="F1688" s="62" t="s">
        <v>1943</v>
      </c>
      <c r="G1688" s="62" t="s">
        <v>452</v>
      </c>
      <c r="H1688" s="62" t="s">
        <v>2491</v>
      </c>
      <c r="I1688" s="62" t="s">
        <v>1518</v>
      </c>
      <c r="J1688" s="62" t="s">
        <v>812</v>
      </c>
      <c r="K1688" s="62" t="s">
        <v>365</v>
      </c>
      <c r="L1688" s="62" t="s">
        <v>2421</v>
      </c>
      <c r="M1688" s="66" t="s">
        <v>1968</v>
      </c>
    </row>
    <row r="1689" spans="1:13" x14ac:dyDescent="0.3">
      <c r="A1689" s="61" t="s">
        <v>2248</v>
      </c>
      <c r="B1689" s="62" t="s">
        <v>1488</v>
      </c>
      <c r="C1689" s="62" t="s">
        <v>1489</v>
      </c>
      <c r="D1689" s="63">
        <v>45352</v>
      </c>
      <c r="E1689" s="63">
        <v>46174</v>
      </c>
      <c r="F1689" s="62" t="s">
        <v>284</v>
      </c>
      <c r="G1689" s="62" t="s">
        <v>285</v>
      </c>
      <c r="H1689" s="62" t="s">
        <v>2491</v>
      </c>
      <c r="I1689" s="62" t="s">
        <v>1518</v>
      </c>
      <c r="J1689" s="62" t="s">
        <v>812</v>
      </c>
      <c r="K1689" s="62" t="s">
        <v>365</v>
      </c>
      <c r="L1689" s="62" t="s">
        <v>2421</v>
      </c>
      <c r="M1689" s="66" t="s">
        <v>1968</v>
      </c>
    </row>
    <row r="1690" spans="1:13" x14ac:dyDescent="0.3">
      <c r="A1690" s="61" t="s">
        <v>2248</v>
      </c>
      <c r="B1690" s="62" t="s">
        <v>1488</v>
      </c>
      <c r="C1690" s="62" t="s">
        <v>1489</v>
      </c>
      <c r="D1690" s="63">
        <v>45352</v>
      </c>
      <c r="E1690" s="63">
        <v>46174</v>
      </c>
      <c r="F1690" s="62" t="s">
        <v>282</v>
      </c>
      <c r="G1690" s="62" t="s">
        <v>283</v>
      </c>
      <c r="H1690" s="62" t="s">
        <v>2492</v>
      </c>
      <c r="I1690" s="62" t="s">
        <v>1518</v>
      </c>
      <c r="J1690" s="62" t="s">
        <v>812</v>
      </c>
      <c r="K1690" s="62" t="s">
        <v>365</v>
      </c>
      <c r="L1690" s="62" t="s">
        <v>2421</v>
      </c>
      <c r="M1690" s="66" t="s">
        <v>1968</v>
      </c>
    </row>
    <row r="1691" spans="1:13" x14ac:dyDescent="0.3">
      <c r="A1691" s="61" t="s">
        <v>2248</v>
      </c>
      <c r="B1691" s="62" t="s">
        <v>1488</v>
      </c>
      <c r="C1691" s="62" t="s">
        <v>1489</v>
      </c>
      <c r="D1691" s="63">
        <v>45352</v>
      </c>
      <c r="E1691" s="63">
        <v>46174</v>
      </c>
      <c r="F1691" s="62" t="s">
        <v>1921</v>
      </c>
      <c r="G1691" s="62" t="s">
        <v>487</v>
      </c>
      <c r="H1691" s="62" t="s">
        <v>2492</v>
      </c>
      <c r="I1691" s="62" t="s">
        <v>1518</v>
      </c>
      <c r="J1691" s="62" t="s">
        <v>812</v>
      </c>
      <c r="K1691" s="62" t="s">
        <v>365</v>
      </c>
      <c r="L1691" s="62" t="s">
        <v>2421</v>
      </c>
      <c r="M1691" s="66" t="s">
        <v>1968</v>
      </c>
    </row>
    <row r="1692" spans="1:13" x14ac:dyDescent="0.3">
      <c r="A1692" s="61" t="s">
        <v>2248</v>
      </c>
      <c r="B1692" s="62" t="s">
        <v>1488</v>
      </c>
      <c r="C1692" s="62" t="s">
        <v>1489</v>
      </c>
      <c r="D1692" s="63">
        <v>45352</v>
      </c>
      <c r="E1692" s="63">
        <v>46174</v>
      </c>
      <c r="F1692" s="62" t="s">
        <v>1940</v>
      </c>
      <c r="G1692" s="62" t="s">
        <v>451</v>
      </c>
      <c r="H1692" s="62" t="s">
        <v>2492</v>
      </c>
      <c r="I1692" s="62" t="s">
        <v>1518</v>
      </c>
      <c r="J1692" s="62" t="s">
        <v>812</v>
      </c>
      <c r="K1692" s="62" t="s">
        <v>365</v>
      </c>
      <c r="L1692" s="62" t="s">
        <v>2421</v>
      </c>
      <c r="M1692" s="66" t="s">
        <v>1968</v>
      </c>
    </row>
    <row r="1693" spans="1:13" x14ac:dyDescent="0.3">
      <c r="A1693" s="61" t="s">
        <v>2248</v>
      </c>
      <c r="B1693" s="62" t="s">
        <v>1488</v>
      </c>
      <c r="C1693" s="62" t="s">
        <v>1489</v>
      </c>
      <c r="D1693" s="63">
        <v>45352</v>
      </c>
      <c r="E1693" s="63">
        <v>46174</v>
      </c>
      <c r="F1693" s="62" t="s">
        <v>1943</v>
      </c>
      <c r="G1693" s="62" t="s">
        <v>452</v>
      </c>
      <c r="H1693" s="62" t="s">
        <v>2492</v>
      </c>
      <c r="I1693" s="62" t="s">
        <v>1518</v>
      </c>
      <c r="J1693" s="62" t="s">
        <v>812</v>
      </c>
      <c r="K1693" s="62" t="s">
        <v>365</v>
      </c>
      <c r="L1693" s="62" t="s">
        <v>2421</v>
      </c>
      <c r="M1693" s="66" t="s">
        <v>1968</v>
      </c>
    </row>
    <row r="1694" spans="1:13" x14ac:dyDescent="0.3">
      <c r="A1694" s="61" t="s">
        <v>2248</v>
      </c>
      <c r="B1694" s="62" t="s">
        <v>1488</v>
      </c>
      <c r="C1694" s="62" t="s">
        <v>1489</v>
      </c>
      <c r="D1694" s="63">
        <v>45352</v>
      </c>
      <c r="E1694" s="63">
        <v>46174</v>
      </c>
      <c r="F1694" s="62" t="s">
        <v>284</v>
      </c>
      <c r="G1694" s="62" t="s">
        <v>285</v>
      </c>
      <c r="H1694" s="62" t="s">
        <v>2492</v>
      </c>
      <c r="I1694" s="62" t="s">
        <v>1518</v>
      </c>
      <c r="J1694" s="62" t="s">
        <v>812</v>
      </c>
      <c r="K1694" s="62" t="s">
        <v>365</v>
      </c>
      <c r="L1694" s="62" t="s">
        <v>2421</v>
      </c>
      <c r="M1694" s="66" t="s">
        <v>1968</v>
      </c>
    </row>
    <row r="1695" spans="1:13" x14ac:dyDescent="0.3">
      <c r="A1695" s="61" t="s">
        <v>2248</v>
      </c>
      <c r="B1695" s="62" t="s">
        <v>1488</v>
      </c>
      <c r="C1695" s="62" t="s">
        <v>1489</v>
      </c>
      <c r="D1695" s="63">
        <v>45352</v>
      </c>
      <c r="E1695" s="63">
        <v>46174</v>
      </c>
      <c r="F1695" s="62" t="s">
        <v>282</v>
      </c>
      <c r="G1695" s="62" t="s">
        <v>283</v>
      </c>
      <c r="H1695" s="62" t="s">
        <v>2493</v>
      </c>
      <c r="I1695" s="62" t="s">
        <v>1518</v>
      </c>
      <c r="J1695" s="62" t="s">
        <v>812</v>
      </c>
      <c r="K1695" s="62" t="s">
        <v>365</v>
      </c>
      <c r="L1695" s="62" t="s">
        <v>2421</v>
      </c>
      <c r="M1695" s="66" t="s">
        <v>1968</v>
      </c>
    </row>
    <row r="1696" spans="1:13" x14ac:dyDescent="0.3">
      <c r="A1696" s="61" t="s">
        <v>2248</v>
      </c>
      <c r="B1696" s="62" t="s">
        <v>1488</v>
      </c>
      <c r="C1696" s="62" t="s">
        <v>1489</v>
      </c>
      <c r="D1696" s="63">
        <v>45352</v>
      </c>
      <c r="E1696" s="63">
        <v>46174</v>
      </c>
      <c r="F1696" s="62" t="s">
        <v>1921</v>
      </c>
      <c r="G1696" s="62" t="s">
        <v>487</v>
      </c>
      <c r="H1696" s="62" t="s">
        <v>2493</v>
      </c>
      <c r="I1696" s="62" t="s">
        <v>1518</v>
      </c>
      <c r="J1696" s="62" t="s">
        <v>812</v>
      </c>
      <c r="K1696" s="62" t="s">
        <v>365</v>
      </c>
      <c r="L1696" s="62" t="s">
        <v>2421</v>
      </c>
      <c r="M1696" s="66" t="s">
        <v>1968</v>
      </c>
    </row>
    <row r="1697" spans="1:13" x14ac:dyDescent="0.3">
      <c r="A1697" s="61" t="s">
        <v>2248</v>
      </c>
      <c r="B1697" s="62" t="s">
        <v>1488</v>
      </c>
      <c r="C1697" s="62" t="s">
        <v>1489</v>
      </c>
      <c r="D1697" s="63">
        <v>45352</v>
      </c>
      <c r="E1697" s="63">
        <v>46174</v>
      </c>
      <c r="F1697" s="62" t="s">
        <v>1940</v>
      </c>
      <c r="G1697" s="62" t="s">
        <v>451</v>
      </c>
      <c r="H1697" s="62" t="s">
        <v>2493</v>
      </c>
      <c r="I1697" s="62" t="s">
        <v>1518</v>
      </c>
      <c r="J1697" s="62" t="s">
        <v>812</v>
      </c>
      <c r="K1697" s="62" t="s">
        <v>365</v>
      </c>
      <c r="L1697" s="62" t="s">
        <v>2421</v>
      </c>
      <c r="M1697" s="66" t="s">
        <v>1968</v>
      </c>
    </row>
    <row r="1698" spans="1:13" x14ac:dyDescent="0.3">
      <c r="A1698" s="61" t="s">
        <v>2248</v>
      </c>
      <c r="B1698" s="62" t="s">
        <v>1488</v>
      </c>
      <c r="C1698" s="62" t="s">
        <v>1489</v>
      </c>
      <c r="D1698" s="63">
        <v>45352</v>
      </c>
      <c r="E1698" s="63">
        <v>46174</v>
      </c>
      <c r="F1698" s="62" t="s">
        <v>1943</v>
      </c>
      <c r="G1698" s="62" t="s">
        <v>452</v>
      </c>
      <c r="H1698" s="62" t="s">
        <v>2493</v>
      </c>
      <c r="I1698" s="62" t="s">
        <v>1518</v>
      </c>
      <c r="J1698" s="62" t="s">
        <v>812</v>
      </c>
      <c r="K1698" s="62" t="s">
        <v>365</v>
      </c>
      <c r="L1698" s="62" t="s">
        <v>2421</v>
      </c>
      <c r="M1698" s="66" t="s">
        <v>1968</v>
      </c>
    </row>
    <row r="1699" spans="1:13" x14ac:dyDescent="0.3">
      <c r="A1699" s="61" t="s">
        <v>2248</v>
      </c>
      <c r="B1699" s="62" t="s">
        <v>1488</v>
      </c>
      <c r="C1699" s="62" t="s">
        <v>1489</v>
      </c>
      <c r="D1699" s="63">
        <v>45352</v>
      </c>
      <c r="E1699" s="63">
        <v>46174</v>
      </c>
      <c r="F1699" s="62" t="s">
        <v>284</v>
      </c>
      <c r="G1699" s="62" t="s">
        <v>285</v>
      </c>
      <c r="H1699" s="62" t="s">
        <v>2493</v>
      </c>
      <c r="I1699" s="62" t="s">
        <v>1518</v>
      </c>
      <c r="J1699" s="62" t="s">
        <v>812</v>
      </c>
      <c r="K1699" s="62" t="s">
        <v>365</v>
      </c>
      <c r="L1699" s="62" t="s">
        <v>2421</v>
      </c>
      <c r="M1699" s="66" t="s">
        <v>1968</v>
      </c>
    </row>
    <row r="1700" spans="1:13" x14ac:dyDescent="0.3">
      <c r="A1700" s="61" t="s">
        <v>2248</v>
      </c>
      <c r="B1700" s="62" t="s">
        <v>1488</v>
      </c>
      <c r="C1700" s="62" t="s">
        <v>1489</v>
      </c>
      <c r="D1700" s="63">
        <v>45352</v>
      </c>
      <c r="E1700" s="63">
        <v>46174</v>
      </c>
      <c r="F1700" s="62" t="s">
        <v>282</v>
      </c>
      <c r="G1700" s="62" t="s">
        <v>283</v>
      </c>
      <c r="H1700" s="62" t="s">
        <v>373</v>
      </c>
      <c r="I1700" s="62" t="s">
        <v>1518</v>
      </c>
      <c r="J1700" s="62" t="s">
        <v>812</v>
      </c>
      <c r="K1700" s="62" t="s">
        <v>365</v>
      </c>
      <c r="L1700" s="62" t="s">
        <v>2421</v>
      </c>
      <c r="M1700" s="66" t="s">
        <v>1968</v>
      </c>
    </row>
    <row r="1701" spans="1:13" x14ac:dyDescent="0.3">
      <c r="A1701" s="61" t="s">
        <v>2248</v>
      </c>
      <c r="B1701" s="62" t="s">
        <v>1488</v>
      </c>
      <c r="C1701" s="62" t="s">
        <v>1489</v>
      </c>
      <c r="D1701" s="63">
        <v>45352</v>
      </c>
      <c r="E1701" s="63">
        <v>46174</v>
      </c>
      <c r="F1701" s="62" t="s">
        <v>1921</v>
      </c>
      <c r="G1701" s="62" t="s">
        <v>487</v>
      </c>
      <c r="H1701" s="62" t="s">
        <v>373</v>
      </c>
      <c r="I1701" s="62" t="s">
        <v>1518</v>
      </c>
      <c r="J1701" s="62" t="s">
        <v>812</v>
      </c>
      <c r="K1701" s="62" t="s">
        <v>365</v>
      </c>
      <c r="L1701" s="62" t="s">
        <v>2421</v>
      </c>
      <c r="M1701" s="66" t="s">
        <v>1968</v>
      </c>
    </row>
    <row r="1702" spans="1:13" x14ac:dyDescent="0.3">
      <c r="A1702" s="61" t="s">
        <v>2248</v>
      </c>
      <c r="B1702" s="62" t="s">
        <v>1488</v>
      </c>
      <c r="C1702" s="62" t="s">
        <v>1489</v>
      </c>
      <c r="D1702" s="63">
        <v>45352</v>
      </c>
      <c r="E1702" s="63">
        <v>46174</v>
      </c>
      <c r="F1702" s="62" t="s">
        <v>1940</v>
      </c>
      <c r="G1702" s="62" t="s">
        <v>451</v>
      </c>
      <c r="H1702" s="62" t="s">
        <v>373</v>
      </c>
      <c r="I1702" s="62" t="s">
        <v>1518</v>
      </c>
      <c r="J1702" s="62" t="s">
        <v>812</v>
      </c>
      <c r="K1702" s="62" t="s">
        <v>365</v>
      </c>
      <c r="L1702" s="62" t="s">
        <v>2421</v>
      </c>
      <c r="M1702" s="66" t="s">
        <v>1968</v>
      </c>
    </row>
    <row r="1703" spans="1:13" x14ac:dyDescent="0.3">
      <c r="A1703" s="61" t="s">
        <v>2248</v>
      </c>
      <c r="B1703" s="62" t="s">
        <v>1488</v>
      </c>
      <c r="C1703" s="62" t="s">
        <v>1489</v>
      </c>
      <c r="D1703" s="63">
        <v>45352</v>
      </c>
      <c r="E1703" s="63">
        <v>46174</v>
      </c>
      <c r="F1703" s="62" t="s">
        <v>1943</v>
      </c>
      <c r="G1703" s="62" t="s">
        <v>452</v>
      </c>
      <c r="H1703" s="62" t="s">
        <v>373</v>
      </c>
      <c r="I1703" s="62" t="s">
        <v>1518</v>
      </c>
      <c r="J1703" s="62" t="s">
        <v>812</v>
      </c>
      <c r="K1703" s="62" t="s">
        <v>365</v>
      </c>
      <c r="L1703" s="62" t="s">
        <v>2421</v>
      </c>
      <c r="M1703" s="66" t="s">
        <v>1968</v>
      </c>
    </row>
    <row r="1704" spans="1:13" x14ac:dyDescent="0.3">
      <c r="A1704" s="61" t="s">
        <v>2248</v>
      </c>
      <c r="B1704" s="62" t="s">
        <v>1488</v>
      </c>
      <c r="C1704" s="62" t="s">
        <v>1489</v>
      </c>
      <c r="D1704" s="63">
        <v>45352</v>
      </c>
      <c r="E1704" s="63">
        <v>46174</v>
      </c>
      <c r="F1704" s="62" t="s">
        <v>284</v>
      </c>
      <c r="G1704" s="62" t="s">
        <v>285</v>
      </c>
      <c r="H1704" s="62" t="s">
        <v>373</v>
      </c>
      <c r="I1704" s="62" t="s">
        <v>1518</v>
      </c>
      <c r="J1704" s="62" t="s">
        <v>812</v>
      </c>
      <c r="K1704" s="62" t="s">
        <v>365</v>
      </c>
      <c r="L1704" s="62" t="s">
        <v>2421</v>
      </c>
      <c r="M1704" s="66" t="s">
        <v>1968</v>
      </c>
    </row>
    <row r="1705" spans="1:13" x14ac:dyDescent="0.3">
      <c r="A1705" s="61" t="s">
        <v>2249</v>
      </c>
      <c r="B1705" s="62" t="s">
        <v>1491</v>
      </c>
      <c r="C1705" s="62" t="s">
        <v>1492</v>
      </c>
      <c r="D1705" s="63">
        <v>45639</v>
      </c>
      <c r="E1705" s="63">
        <v>46369</v>
      </c>
      <c r="F1705" s="62" t="s">
        <v>1945</v>
      </c>
      <c r="G1705" s="62" t="s">
        <v>555</v>
      </c>
      <c r="H1705" s="62" t="s">
        <v>2453</v>
      </c>
      <c r="I1705" s="62" t="s">
        <v>424</v>
      </c>
      <c r="J1705" s="62" t="s">
        <v>1493</v>
      </c>
      <c r="K1705" s="62" t="s">
        <v>637</v>
      </c>
      <c r="L1705" s="62" t="s">
        <v>2421</v>
      </c>
      <c r="M1705" s="66" t="s">
        <v>1971</v>
      </c>
    </row>
    <row r="1706" spans="1:13" x14ac:dyDescent="0.3">
      <c r="A1706" s="61" t="s">
        <v>2250</v>
      </c>
      <c r="B1706" s="62" t="s">
        <v>1494</v>
      </c>
      <c r="C1706" s="62" t="s">
        <v>1495</v>
      </c>
      <c r="D1706" s="63">
        <v>45551</v>
      </c>
      <c r="E1706" s="63">
        <v>46097</v>
      </c>
      <c r="F1706" s="62" t="s">
        <v>1922</v>
      </c>
      <c r="G1706" s="62" t="s">
        <v>349</v>
      </c>
      <c r="H1706" s="62" t="s">
        <v>1496</v>
      </c>
      <c r="I1706" s="62" t="s">
        <v>2443</v>
      </c>
      <c r="J1706" s="62" t="s">
        <v>985</v>
      </c>
      <c r="K1706" s="62" t="s">
        <v>375</v>
      </c>
      <c r="L1706" s="62" t="s">
        <v>2421</v>
      </c>
      <c r="M1706" s="66" t="s">
        <v>1976</v>
      </c>
    </row>
    <row r="1707" spans="1:13" x14ac:dyDescent="0.3">
      <c r="A1707" s="61" t="s">
        <v>2250</v>
      </c>
      <c r="B1707" s="62" t="s">
        <v>1494</v>
      </c>
      <c r="C1707" s="62" t="s">
        <v>1495</v>
      </c>
      <c r="D1707" s="63">
        <v>45551</v>
      </c>
      <c r="E1707" s="63">
        <v>46097</v>
      </c>
      <c r="F1707" s="62" t="s">
        <v>1934</v>
      </c>
      <c r="G1707" s="62" t="s">
        <v>477</v>
      </c>
      <c r="H1707" s="62" t="s">
        <v>1496</v>
      </c>
      <c r="I1707" s="62" t="s">
        <v>2443</v>
      </c>
      <c r="J1707" s="62" t="s">
        <v>985</v>
      </c>
      <c r="K1707" s="62" t="s">
        <v>375</v>
      </c>
      <c r="L1707" s="62" t="s">
        <v>2421</v>
      </c>
      <c r="M1707" s="66" t="s">
        <v>1976</v>
      </c>
    </row>
    <row r="1708" spans="1:13" x14ac:dyDescent="0.3">
      <c r="A1708" s="61" t="s">
        <v>2250</v>
      </c>
      <c r="B1708" s="62" t="s">
        <v>1494</v>
      </c>
      <c r="C1708" s="62" t="s">
        <v>1495</v>
      </c>
      <c r="D1708" s="63">
        <v>45551</v>
      </c>
      <c r="E1708" s="63">
        <v>46097</v>
      </c>
      <c r="F1708" s="62" t="s">
        <v>1936</v>
      </c>
      <c r="G1708" s="62" t="s">
        <v>411</v>
      </c>
      <c r="H1708" s="62" t="s">
        <v>1496</v>
      </c>
      <c r="I1708" s="62" t="s">
        <v>2443</v>
      </c>
      <c r="J1708" s="62" t="s">
        <v>985</v>
      </c>
      <c r="K1708" s="62" t="s">
        <v>375</v>
      </c>
      <c r="L1708" s="62" t="s">
        <v>2421</v>
      </c>
      <c r="M1708" s="66" t="s">
        <v>1976</v>
      </c>
    </row>
    <row r="1709" spans="1:13" x14ac:dyDescent="0.3">
      <c r="A1709" s="61" t="s">
        <v>2250</v>
      </c>
      <c r="B1709" s="62" t="s">
        <v>1494</v>
      </c>
      <c r="C1709" s="62" t="s">
        <v>1495</v>
      </c>
      <c r="D1709" s="63">
        <v>45551</v>
      </c>
      <c r="E1709" s="63">
        <v>46097</v>
      </c>
      <c r="F1709" s="62" t="s">
        <v>287</v>
      </c>
      <c r="G1709" s="62" t="s">
        <v>396</v>
      </c>
      <c r="H1709" s="62" t="s">
        <v>1496</v>
      </c>
      <c r="I1709" s="62" t="s">
        <v>2443</v>
      </c>
      <c r="J1709" s="62" t="s">
        <v>985</v>
      </c>
      <c r="K1709" s="62" t="s">
        <v>375</v>
      </c>
      <c r="L1709" s="62" t="s">
        <v>2421</v>
      </c>
      <c r="M1709" s="66" t="s">
        <v>1976</v>
      </c>
    </row>
    <row r="1710" spans="1:13" x14ac:dyDescent="0.3">
      <c r="A1710" s="61" t="s">
        <v>2250</v>
      </c>
      <c r="B1710" s="62" t="s">
        <v>1494</v>
      </c>
      <c r="C1710" s="62" t="s">
        <v>1495</v>
      </c>
      <c r="D1710" s="63">
        <v>45551</v>
      </c>
      <c r="E1710" s="63">
        <v>46097</v>
      </c>
      <c r="F1710" s="62" t="s">
        <v>1945</v>
      </c>
      <c r="G1710" s="62" t="s">
        <v>400</v>
      </c>
      <c r="H1710" s="62" t="s">
        <v>1496</v>
      </c>
      <c r="I1710" s="62" t="s">
        <v>2443</v>
      </c>
      <c r="J1710" s="62" t="s">
        <v>985</v>
      </c>
      <c r="K1710" s="62" t="s">
        <v>375</v>
      </c>
      <c r="L1710" s="62" t="s">
        <v>2421</v>
      </c>
      <c r="M1710" s="66" t="s">
        <v>1976</v>
      </c>
    </row>
    <row r="1711" spans="1:13" x14ac:dyDescent="0.3">
      <c r="A1711" s="61" t="s">
        <v>2250</v>
      </c>
      <c r="B1711" s="62" t="s">
        <v>1494</v>
      </c>
      <c r="C1711" s="62" t="s">
        <v>1495</v>
      </c>
      <c r="D1711" s="63">
        <v>45551</v>
      </c>
      <c r="E1711" s="63">
        <v>46097</v>
      </c>
      <c r="F1711" s="62" t="s">
        <v>1934</v>
      </c>
      <c r="G1711" s="62" t="s">
        <v>477</v>
      </c>
      <c r="H1711" s="62" t="s">
        <v>2453</v>
      </c>
      <c r="I1711" s="62" t="s">
        <v>2443</v>
      </c>
      <c r="J1711" s="62" t="s">
        <v>985</v>
      </c>
      <c r="K1711" s="62" t="s">
        <v>375</v>
      </c>
      <c r="L1711" s="62" t="s">
        <v>2421</v>
      </c>
      <c r="M1711" s="66" t="s">
        <v>1976</v>
      </c>
    </row>
    <row r="1712" spans="1:13" x14ac:dyDescent="0.3">
      <c r="A1712" s="61" t="s">
        <v>2250</v>
      </c>
      <c r="B1712" s="62" t="s">
        <v>1494</v>
      </c>
      <c r="C1712" s="62" t="s">
        <v>1495</v>
      </c>
      <c r="D1712" s="63">
        <v>45551</v>
      </c>
      <c r="E1712" s="63">
        <v>46097</v>
      </c>
      <c r="F1712" s="62" t="s">
        <v>1934</v>
      </c>
      <c r="G1712" s="62" t="s">
        <v>499</v>
      </c>
      <c r="H1712" s="62" t="s">
        <v>2453</v>
      </c>
      <c r="I1712" s="62" t="s">
        <v>2443</v>
      </c>
      <c r="J1712" s="62" t="s">
        <v>985</v>
      </c>
      <c r="K1712" s="62" t="s">
        <v>375</v>
      </c>
      <c r="L1712" s="62" t="s">
        <v>2421</v>
      </c>
      <c r="M1712" s="66" t="s">
        <v>1976</v>
      </c>
    </row>
    <row r="1713" spans="1:13" x14ac:dyDescent="0.3">
      <c r="A1713" s="61" t="s">
        <v>2250</v>
      </c>
      <c r="B1713" s="62" t="s">
        <v>1494</v>
      </c>
      <c r="C1713" s="62" t="s">
        <v>1495</v>
      </c>
      <c r="D1713" s="63">
        <v>45551</v>
      </c>
      <c r="E1713" s="63">
        <v>46097</v>
      </c>
      <c r="F1713" s="62" t="s">
        <v>1922</v>
      </c>
      <c r="G1713" s="62" t="s">
        <v>349</v>
      </c>
      <c r="H1713" s="62" t="s">
        <v>2453</v>
      </c>
      <c r="I1713" s="62" t="s">
        <v>2443</v>
      </c>
      <c r="J1713" s="62" t="s">
        <v>985</v>
      </c>
      <c r="K1713" s="62" t="s">
        <v>375</v>
      </c>
      <c r="L1713" s="62" t="s">
        <v>2421</v>
      </c>
      <c r="M1713" s="66" t="s">
        <v>1976</v>
      </c>
    </row>
    <row r="1714" spans="1:13" x14ac:dyDescent="0.3">
      <c r="A1714" s="61" t="s">
        <v>2250</v>
      </c>
      <c r="B1714" s="62" t="s">
        <v>1494</v>
      </c>
      <c r="C1714" s="62" t="s">
        <v>1495</v>
      </c>
      <c r="D1714" s="63">
        <v>45551</v>
      </c>
      <c r="E1714" s="63">
        <v>46097</v>
      </c>
      <c r="F1714" s="62" t="s">
        <v>1936</v>
      </c>
      <c r="G1714" s="62" t="s">
        <v>411</v>
      </c>
      <c r="H1714" s="62" t="s">
        <v>2453</v>
      </c>
      <c r="I1714" s="62" t="s">
        <v>2443</v>
      </c>
      <c r="J1714" s="62" t="s">
        <v>985</v>
      </c>
      <c r="K1714" s="62" t="s">
        <v>375</v>
      </c>
      <c r="L1714" s="62" t="s">
        <v>2421</v>
      </c>
      <c r="M1714" s="66" t="s">
        <v>1976</v>
      </c>
    </row>
    <row r="1715" spans="1:13" x14ac:dyDescent="0.3">
      <c r="A1715" s="61" t="s">
        <v>2250</v>
      </c>
      <c r="B1715" s="62" t="s">
        <v>1494</v>
      </c>
      <c r="C1715" s="62" t="s">
        <v>1495</v>
      </c>
      <c r="D1715" s="63">
        <v>45551</v>
      </c>
      <c r="E1715" s="63">
        <v>46097</v>
      </c>
      <c r="F1715" s="62" t="s">
        <v>287</v>
      </c>
      <c r="G1715" s="62" t="s">
        <v>396</v>
      </c>
      <c r="H1715" s="62" t="s">
        <v>2453</v>
      </c>
      <c r="I1715" s="62" t="s">
        <v>2443</v>
      </c>
      <c r="J1715" s="62" t="s">
        <v>985</v>
      </c>
      <c r="K1715" s="62" t="s">
        <v>375</v>
      </c>
      <c r="L1715" s="62" t="s">
        <v>2421</v>
      </c>
      <c r="M1715" s="66" t="s">
        <v>1976</v>
      </c>
    </row>
    <row r="1716" spans="1:13" x14ac:dyDescent="0.3">
      <c r="A1716" s="61" t="s">
        <v>2250</v>
      </c>
      <c r="B1716" s="62" t="s">
        <v>1494</v>
      </c>
      <c r="C1716" s="62" t="s">
        <v>1495</v>
      </c>
      <c r="D1716" s="63">
        <v>45551</v>
      </c>
      <c r="E1716" s="63">
        <v>46097</v>
      </c>
      <c r="F1716" s="62" t="s">
        <v>1945</v>
      </c>
      <c r="G1716" s="62" t="s">
        <v>400</v>
      </c>
      <c r="H1716" s="62" t="s">
        <v>2453</v>
      </c>
      <c r="I1716" s="62" t="s">
        <v>2443</v>
      </c>
      <c r="J1716" s="62" t="s">
        <v>985</v>
      </c>
      <c r="K1716" s="62" t="s">
        <v>375</v>
      </c>
      <c r="L1716" s="62" t="s">
        <v>2421</v>
      </c>
      <c r="M1716" s="66" t="s">
        <v>1976</v>
      </c>
    </row>
    <row r="1717" spans="1:13" x14ac:dyDescent="0.3">
      <c r="A1717" s="61" t="s">
        <v>2251</v>
      </c>
      <c r="B1717" s="62" t="s">
        <v>1497</v>
      </c>
      <c r="C1717" s="62" t="s">
        <v>1498</v>
      </c>
      <c r="D1717" s="63">
        <v>45649</v>
      </c>
      <c r="E1717" s="63">
        <v>46196</v>
      </c>
      <c r="F1717" s="62" t="s">
        <v>1959</v>
      </c>
      <c r="G1717" s="62" t="s">
        <v>808</v>
      </c>
      <c r="H1717" s="62" t="s">
        <v>2453</v>
      </c>
      <c r="I1717" s="62" t="s">
        <v>424</v>
      </c>
      <c r="J1717" s="62" t="s">
        <v>378</v>
      </c>
      <c r="K1717" s="62" t="s">
        <v>371</v>
      </c>
      <c r="L1717" s="62" t="s">
        <v>2421</v>
      </c>
      <c r="M1717" s="66" t="s">
        <v>1965</v>
      </c>
    </row>
    <row r="1718" spans="1:13" x14ac:dyDescent="0.3">
      <c r="A1718" s="61" t="s">
        <v>2252</v>
      </c>
      <c r="B1718" s="62" t="s">
        <v>1499</v>
      </c>
      <c r="C1718" s="62" t="s">
        <v>1500</v>
      </c>
      <c r="D1718" s="63">
        <v>45643</v>
      </c>
      <c r="E1718" s="63">
        <v>46190</v>
      </c>
      <c r="F1718" s="62" t="s">
        <v>1940</v>
      </c>
      <c r="G1718" s="62" t="s">
        <v>561</v>
      </c>
      <c r="H1718" s="62" t="s">
        <v>2453</v>
      </c>
      <c r="I1718" s="62" t="s">
        <v>1518</v>
      </c>
      <c r="J1718" s="62" t="s">
        <v>720</v>
      </c>
      <c r="K1718" s="62" t="s">
        <v>465</v>
      </c>
      <c r="L1718" s="62" t="s">
        <v>2421</v>
      </c>
      <c r="M1718" s="66" t="s">
        <v>1964</v>
      </c>
    </row>
    <row r="1719" spans="1:13" x14ac:dyDescent="0.3">
      <c r="A1719" s="61" t="s">
        <v>2252</v>
      </c>
      <c r="B1719" s="62" t="s">
        <v>1499</v>
      </c>
      <c r="C1719" s="62" t="s">
        <v>1500</v>
      </c>
      <c r="D1719" s="63">
        <v>45643</v>
      </c>
      <c r="E1719" s="63">
        <v>46190</v>
      </c>
      <c r="F1719" s="62" t="s">
        <v>1940</v>
      </c>
      <c r="G1719" s="62" t="s">
        <v>1501</v>
      </c>
      <c r="H1719" s="62" t="s">
        <v>2453</v>
      </c>
      <c r="I1719" s="62" t="s">
        <v>1518</v>
      </c>
      <c r="J1719" s="62" t="s">
        <v>720</v>
      </c>
      <c r="K1719" s="62" t="s">
        <v>465</v>
      </c>
      <c r="L1719" s="62" t="s">
        <v>2421</v>
      </c>
      <c r="M1719" s="66" t="s">
        <v>1964</v>
      </c>
    </row>
    <row r="1720" spans="1:13" x14ac:dyDescent="0.3">
      <c r="A1720" s="61" t="s">
        <v>2252</v>
      </c>
      <c r="B1720" s="62" t="s">
        <v>1499</v>
      </c>
      <c r="C1720" s="62" t="s">
        <v>1500</v>
      </c>
      <c r="D1720" s="63">
        <v>45643</v>
      </c>
      <c r="E1720" s="63">
        <v>46190</v>
      </c>
      <c r="F1720" s="62" t="s">
        <v>1940</v>
      </c>
      <c r="G1720" s="62" t="s">
        <v>451</v>
      </c>
      <c r="H1720" s="62" t="s">
        <v>2453</v>
      </c>
      <c r="I1720" s="62" t="s">
        <v>1518</v>
      </c>
      <c r="J1720" s="62" t="s">
        <v>720</v>
      </c>
      <c r="K1720" s="62" t="s">
        <v>465</v>
      </c>
      <c r="L1720" s="62" t="s">
        <v>2421</v>
      </c>
      <c r="M1720" s="66" t="s">
        <v>1964</v>
      </c>
    </row>
    <row r="1721" spans="1:13" x14ac:dyDescent="0.3">
      <c r="A1721" s="61" t="s">
        <v>2253</v>
      </c>
      <c r="B1721" s="62" t="s">
        <v>1502</v>
      </c>
      <c r="C1721" s="62" t="s">
        <v>1503</v>
      </c>
      <c r="D1721" s="63">
        <v>45639</v>
      </c>
      <c r="E1721" s="63">
        <v>46369</v>
      </c>
      <c r="F1721" s="62" t="s">
        <v>1945</v>
      </c>
      <c r="G1721" s="62" t="s">
        <v>555</v>
      </c>
      <c r="H1721" s="62" t="s">
        <v>2453</v>
      </c>
      <c r="I1721" s="62" t="s">
        <v>825</v>
      </c>
      <c r="J1721" s="62" t="s">
        <v>1070</v>
      </c>
      <c r="K1721" s="62" t="s">
        <v>417</v>
      </c>
      <c r="L1721" s="62" t="s">
        <v>2421</v>
      </c>
      <c r="M1721" s="66" t="s">
        <v>1976</v>
      </c>
    </row>
    <row r="1722" spans="1:13" x14ac:dyDescent="0.3">
      <c r="A1722" s="61" t="s">
        <v>2254</v>
      </c>
      <c r="B1722" s="62" t="s">
        <v>1505</v>
      </c>
      <c r="C1722" s="62" t="s">
        <v>1506</v>
      </c>
      <c r="D1722" s="63">
        <v>45383</v>
      </c>
      <c r="E1722" s="63">
        <v>46113</v>
      </c>
      <c r="F1722" s="62" t="s">
        <v>1930</v>
      </c>
      <c r="G1722" s="62" t="s">
        <v>304</v>
      </c>
      <c r="H1722" s="62" t="s">
        <v>373</v>
      </c>
      <c r="I1722" s="62" t="s">
        <v>1518</v>
      </c>
      <c r="J1722" s="62" t="s">
        <v>926</v>
      </c>
      <c r="K1722" s="62" t="s">
        <v>365</v>
      </c>
      <c r="L1722" s="62" t="s">
        <v>2421</v>
      </c>
      <c r="M1722" s="66" t="s">
        <v>1969</v>
      </c>
    </row>
    <row r="1723" spans="1:13" x14ac:dyDescent="0.3">
      <c r="A1723" s="61" t="s">
        <v>2255</v>
      </c>
      <c r="B1723" s="62" t="s">
        <v>1507</v>
      </c>
      <c r="C1723" s="62" t="s">
        <v>1508</v>
      </c>
      <c r="D1723" s="63">
        <v>45372</v>
      </c>
      <c r="E1723" s="63">
        <v>46102</v>
      </c>
      <c r="F1723" s="62" t="s">
        <v>348</v>
      </c>
      <c r="G1723" s="62" t="s">
        <v>304</v>
      </c>
      <c r="H1723" s="62" t="s">
        <v>2453</v>
      </c>
      <c r="I1723" s="62" t="s">
        <v>825</v>
      </c>
      <c r="J1723" s="62" t="s">
        <v>652</v>
      </c>
      <c r="K1723" s="62" t="s">
        <v>571</v>
      </c>
      <c r="L1723" s="62" t="s">
        <v>2421</v>
      </c>
      <c r="M1723" s="66" t="s">
        <v>1966</v>
      </c>
    </row>
    <row r="1724" spans="1:13" x14ac:dyDescent="0.3">
      <c r="A1724" s="61" t="s">
        <v>2256</v>
      </c>
      <c r="B1724" s="62" t="s">
        <v>1509</v>
      </c>
      <c r="C1724" s="62" t="s">
        <v>1510</v>
      </c>
      <c r="D1724" s="63">
        <v>45372</v>
      </c>
      <c r="E1724" s="63">
        <v>46224</v>
      </c>
      <c r="F1724" s="62" t="s">
        <v>350</v>
      </c>
      <c r="G1724" s="62" t="s">
        <v>350</v>
      </c>
      <c r="H1724" s="62" t="s">
        <v>2453</v>
      </c>
      <c r="I1724" s="62" t="s">
        <v>2465</v>
      </c>
      <c r="J1724" s="62" t="s">
        <v>1461</v>
      </c>
      <c r="K1724" s="62" t="s">
        <v>371</v>
      </c>
      <c r="L1724" s="62" t="s">
        <v>2421</v>
      </c>
      <c r="M1724" s="66" t="s">
        <v>1982</v>
      </c>
    </row>
    <row r="1725" spans="1:13" x14ac:dyDescent="0.3">
      <c r="A1725" s="61" t="s">
        <v>2257</v>
      </c>
      <c r="B1725" s="62" t="s">
        <v>1511</v>
      </c>
      <c r="C1725" s="62" t="s">
        <v>1512</v>
      </c>
      <c r="D1725" s="63">
        <v>44682</v>
      </c>
      <c r="E1725" s="63">
        <v>46112</v>
      </c>
      <c r="F1725" s="62" t="s">
        <v>350</v>
      </c>
      <c r="G1725" s="62" t="s">
        <v>350</v>
      </c>
      <c r="H1725" s="62" t="s">
        <v>645</v>
      </c>
      <c r="I1725" s="62" t="s">
        <v>356</v>
      </c>
      <c r="J1725" s="62" t="s">
        <v>370</v>
      </c>
      <c r="K1725" s="62" t="s">
        <v>371</v>
      </c>
      <c r="L1725" s="62" t="s">
        <v>2421</v>
      </c>
      <c r="M1725" s="66" t="s">
        <v>1978</v>
      </c>
    </row>
    <row r="1726" spans="1:13" x14ac:dyDescent="0.3">
      <c r="A1726" s="61" t="s">
        <v>2258</v>
      </c>
      <c r="B1726" s="62" t="s">
        <v>1513</v>
      </c>
      <c r="C1726" s="62" t="s">
        <v>1514</v>
      </c>
      <c r="D1726" s="63">
        <v>45260</v>
      </c>
      <c r="E1726" s="63">
        <v>46141</v>
      </c>
      <c r="F1726" s="62" t="s">
        <v>1945</v>
      </c>
      <c r="G1726" s="62" t="s">
        <v>555</v>
      </c>
      <c r="H1726" s="62" t="s">
        <v>441</v>
      </c>
      <c r="I1726" s="62" t="s">
        <v>2443</v>
      </c>
      <c r="J1726" s="62" t="s">
        <v>640</v>
      </c>
      <c r="K1726" s="62" t="s">
        <v>417</v>
      </c>
      <c r="L1726" s="62" t="s">
        <v>2421</v>
      </c>
      <c r="M1726" s="66" t="s">
        <v>2021</v>
      </c>
    </row>
    <row r="1727" spans="1:13" x14ac:dyDescent="0.3">
      <c r="A1727" s="61" t="s">
        <v>2258</v>
      </c>
      <c r="B1727" s="62" t="s">
        <v>1513</v>
      </c>
      <c r="C1727" s="62" t="s">
        <v>1514</v>
      </c>
      <c r="D1727" s="63">
        <v>45260</v>
      </c>
      <c r="E1727" s="63">
        <v>46141</v>
      </c>
      <c r="F1727" s="62" t="s">
        <v>1945</v>
      </c>
      <c r="G1727" s="62" t="s">
        <v>450</v>
      </c>
      <c r="H1727" s="62" t="s">
        <v>441</v>
      </c>
      <c r="I1727" s="62" t="s">
        <v>2443</v>
      </c>
      <c r="J1727" s="62" t="s">
        <v>640</v>
      </c>
      <c r="K1727" s="62" t="s">
        <v>417</v>
      </c>
      <c r="L1727" s="62" t="s">
        <v>2421</v>
      </c>
      <c r="M1727" s="66" t="s">
        <v>2021</v>
      </c>
    </row>
    <row r="1728" spans="1:13" x14ac:dyDescent="0.3">
      <c r="A1728" s="61" t="s">
        <v>2258</v>
      </c>
      <c r="B1728" s="62" t="s">
        <v>1513</v>
      </c>
      <c r="C1728" s="62" t="s">
        <v>1514</v>
      </c>
      <c r="D1728" s="63">
        <v>45260</v>
      </c>
      <c r="E1728" s="63">
        <v>46141</v>
      </c>
      <c r="F1728" s="62" t="s">
        <v>282</v>
      </c>
      <c r="G1728" s="62" t="s">
        <v>304</v>
      </c>
      <c r="H1728" s="62" t="s">
        <v>441</v>
      </c>
      <c r="I1728" s="62" t="s">
        <v>2443</v>
      </c>
      <c r="J1728" s="62" t="s">
        <v>640</v>
      </c>
      <c r="K1728" s="62" t="s">
        <v>417</v>
      </c>
      <c r="L1728" s="62" t="s">
        <v>2421</v>
      </c>
      <c r="M1728" s="66" t="s">
        <v>2021</v>
      </c>
    </row>
    <row r="1729" spans="1:13" x14ac:dyDescent="0.3">
      <c r="A1729" s="61" t="s">
        <v>2258</v>
      </c>
      <c r="B1729" s="62" t="s">
        <v>1513</v>
      </c>
      <c r="C1729" s="62" t="s">
        <v>1514</v>
      </c>
      <c r="D1729" s="63">
        <v>45260</v>
      </c>
      <c r="E1729" s="63">
        <v>46141</v>
      </c>
      <c r="F1729" s="62" t="s">
        <v>1940</v>
      </c>
      <c r="G1729" s="62" t="s">
        <v>451</v>
      </c>
      <c r="H1729" s="62" t="s">
        <v>441</v>
      </c>
      <c r="I1729" s="62" t="s">
        <v>2443</v>
      </c>
      <c r="J1729" s="62" t="s">
        <v>640</v>
      </c>
      <c r="K1729" s="62" t="s">
        <v>417</v>
      </c>
      <c r="L1729" s="62" t="s">
        <v>2421</v>
      </c>
      <c r="M1729" s="66" t="s">
        <v>2021</v>
      </c>
    </row>
    <row r="1730" spans="1:13" x14ac:dyDescent="0.3">
      <c r="A1730" s="61" t="s">
        <v>2259</v>
      </c>
      <c r="B1730" s="62" t="s">
        <v>1516</v>
      </c>
      <c r="C1730" s="62" t="s">
        <v>1517</v>
      </c>
      <c r="D1730" s="63">
        <v>45596</v>
      </c>
      <c r="E1730" s="63">
        <v>46325</v>
      </c>
      <c r="F1730" s="62" t="s">
        <v>350</v>
      </c>
      <c r="G1730" s="62" t="s">
        <v>304</v>
      </c>
      <c r="H1730" s="62" t="s">
        <v>373</v>
      </c>
      <c r="I1730" s="62" t="s">
        <v>1518</v>
      </c>
      <c r="J1730" s="62" t="s">
        <v>558</v>
      </c>
      <c r="K1730" s="62" t="s">
        <v>426</v>
      </c>
      <c r="L1730" s="62" t="s">
        <v>2421</v>
      </c>
      <c r="M1730" s="66" t="s">
        <v>1972</v>
      </c>
    </row>
    <row r="1731" spans="1:13" x14ac:dyDescent="0.3">
      <c r="A1731" s="61" t="s">
        <v>2260</v>
      </c>
      <c r="B1731" s="62" t="s">
        <v>1519</v>
      </c>
      <c r="C1731" s="62" t="s">
        <v>1520</v>
      </c>
      <c r="D1731" s="63">
        <v>45659</v>
      </c>
      <c r="E1731" s="63">
        <v>46753</v>
      </c>
      <c r="F1731" s="62" t="s">
        <v>350</v>
      </c>
      <c r="G1731" s="62" t="s">
        <v>350</v>
      </c>
      <c r="H1731" s="62" t="s">
        <v>1521</v>
      </c>
      <c r="I1731" s="62" t="s">
        <v>1518</v>
      </c>
      <c r="J1731" s="62" t="s">
        <v>864</v>
      </c>
      <c r="K1731" s="62" t="s">
        <v>309</v>
      </c>
      <c r="L1731" s="62" t="s">
        <v>2421</v>
      </c>
      <c r="M1731" s="66" t="s">
        <v>1974</v>
      </c>
    </row>
    <row r="1732" spans="1:13" x14ac:dyDescent="0.3">
      <c r="A1732" s="61" t="s">
        <v>2261</v>
      </c>
      <c r="B1732" s="62" t="s">
        <v>2494</v>
      </c>
      <c r="C1732" s="62" t="s">
        <v>1522</v>
      </c>
      <c r="D1732" s="63">
        <v>45534</v>
      </c>
      <c r="E1732" s="63">
        <v>46710</v>
      </c>
      <c r="F1732" s="62" t="s">
        <v>350</v>
      </c>
      <c r="G1732" s="62" t="s">
        <v>350</v>
      </c>
      <c r="H1732" s="62" t="s">
        <v>2425</v>
      </c>
      <c r="I1732" s="62" t="s">
        <v>825</v>
      </c>
      <c r="J1732" s="62" t="s">
        <v>913</v>
      </c>
      <c r="K1732" s="62" t="s">
        <v>417</v>
      </c>
      <c r="L1732" s="62" t="s">
        <v>2421</v>
      </c>
      <c r="M1732" s="66" t="s">
        <v>1976</v>
      </c>
    </row>
    <row r="1733" spans="1:13" x14ac:dyDescent="0.3">
      <c r="A1733" s="61" t="s">
        <v>2262</v>
      </c>
      <c r="B1733" s="62" t="s">
        <v>1523</v>
      </c>
      <c r="C1733" s="62" t="s">
        <v>1524</v>
      </c>
      <c r="D1733" s="63">
        <v>45733</v>
      </c>
      <c r="E1733" s="63">
        <v>46097</v>
      </c>
      <c r="F1733" s="62" t="s">
        <v>1938</v>
      </c>
      <c r="G1733" s="62" t="s">
        <v>304</v>
      </c>
      <c r="H1733" s="62" t="s">
        <v>1525</v>
      </c>
      <c r="I1733" s="62" t="s">
        <v>1518</v>
      </c>
      <c r="J1733" s="62" t="s">
        <v>1526</v>
      </c>
      <c r="K1733" s="62" t="s">
        <v>347</v>
      </c>
      <c r="L1733" s="62" t="s">
        <v>2421</v>
      </c>
      <c r="M1733" s="66" t="s">
        <v>1964</v>
      </c>
    </row>
    <row r="1734" spans="1:13" x14ac:dyDescent="0.3">
      <c r="A1734" s="61" t="s">
        <v>2262</v>
      </c>
      <c r="B1734" s="62" t="s">
        <v>1523</v>
      </c>
      <c r="C1734" s="62" t="s">
        <v>1524</v>
      </c>
      <c r="D1734" s="63">
        <v>45733</v>
      </c>
      <c r="E1734" s="63">
        <v>46097</v>
      </c>
      <c r="F1734" s="62" t="s">
        <v>1941</v>
      </c>
      <c r="G1734" s="62" t="s">
        <v>304</v>
      </c>
      <c r="H1734" s="62" t="s">
        <v>1525</v>
      </c>
      <c r="I1734" s="62" t="s">
        <v>1518</v>
      </c>
      <c r="J1734" s="62" t="s">
        <v>1526</v>
      </c>
      <c r="K1734" s="62" t="s">
        <v>347</v>
      </c>
      <c r="L1734" s="62" t="s">
        <v>2421</v>
      </c>
      <c r="M1734" s="66" t="s">
        <v>1964</v>
      </c>
    </row>
    <row r="1735" spans="1:13" x14ac:dyDescent="0.3">
      <c r="A1735" s="61" t="s">
        <v>2263</v>
      </c>
      <c r="B1735" s="62" t="s">
        <v>1527</v>
      </c>
      <c r="C1735" s="62" t="s">
        <v>1528</v>
      </c>
      <c r="D1735" s="63">
        <v>45292</v>
      </c>
      <c r="E1735" s="63">
        <v>46203</v>
      </c>
      <c r="F1735" s="62" t="s">
        <v>287</v>
      </c>
      <c r="G1735" s="62" t="s">
        <v>1529</v>
      </c>
      <c r="H1735" s="62" t="s">
        <v>468</v>
      </c>
      <c r="I1735" s="62" t="s">
        <v>1518</v>
      </c>
      <c r="J1735" s="62" t="s">
        <v>1248</v>
      </c>
      <c r="K1735" s="62" t="s">
        <v>358</v>
      </c>
      <c r="L1735" s="62" t="s">
        <v>2421</v>
      </c>
      <c r="M1735" s="66" t="s">
        <v>1972</v>
      </c>
    </row>
    <row r="1736" spans="1:13" x14ac:dyDescent="0.3">
      <c r="A1736" s="61" t="s">
        <v>2263</v>
      </c>
      <c r="B1736" s="62" t="s">
        <v>1527</v>
      </c>
      <c r="C1736" s="62" t="s">
        <v>1528</v>
      </c>
      <c r="D1736" s="63">
        <v>45292</v>
      </c>
      <c r="E1736" s="63">
        <v>46203</v>
      </c>
      <c r="F1736" s="62" t="s">
        <v>287</v>
      </c>
      <c r="G1736" s="62" t="s">
        <v>1530</v>
      </c>
      <c r="H1736" s="62" t="s">
        <v>468</v>
      </c>
      <c r="I1736" s="62" t="s">
        <v>1518</v>
      </c>
      <c r="J1736" s="62" t="s">
        <v>1248</v>
      </c>
      <c r="K1736" s="62" t="s">
        <v>358</v>
      </c>
      <c r="L1736" s="62" t="s">
        <v>2421</v>
      </c>
      <c r="M1736" s="66" t="s">
        <v>1972</v>
      </c>
    </row>
    <row r="1737" spans="1:13" x14ac:dyDescent="0.3">
      <c r="A1737" s="61" t="s">
        <v>2263</v>
      </c>
      <c r="B1737" s="62" t="s">
        <v>1527</v>
      </c>
      <c r="C1737" s="62" t="s">
        <v>1528</v>
      </c>
      <c r="D1737" s="63">
        <v>45292</v>
      </c>
      <c r="E1737" s="63">
        <v>46203</v>
      </c>
      <c r="F1737" s="62" t="s">
        <v>287</v>
      </c>
      <c r="G1737" s="62" t="s">
        <v>766</v>
      </c>
      <c r="H1737" s="62" t="s">
        <v>468</v>
      </c>
      <c r="I1737" s="62" t="s">
        <v>1518</v>
      </c>
      <c r="J1737" s="62" t="s">
        <v>1248</v>
      </c>
      <c r="K1737" s="62" t="s">
        <v>358</v>
      </c>
      <c r="L1737" s="62" t="s">
        <v>2421</v>
      </c>
      <c r="M1737" s="66" t="s">
        <v>1972</v>
      </c>
    </row>
    <row r="1738" spans="1:13" x14ac:dyDescent="0.3">
      <c r="A1738" s="61" t="s">
        <v>2263</v>
      </c>
      <c r="B1738" s="62" t="s">
        <v>1527</v>
      </c>
      <c r="C1738" s="62" t="s">
        <v>1528</v>
      </c>
      <c r="D1738" s="63">
        <v>45292</v>
      </c>
      <c r="E1738" s="63">
        <v>46203</v>
      </c>
      <c r="F1738" s="62" t="s">
        <v>287</v>
      </c>
      <c r="G1738" s="62" t="s">
        <v>1531</v>
      </c>
      <c r="H1738" s="62" t="s">
        <v>468</v>
      </c>
      <c r="I1738" s="62" t="s">
        <v>1518</v>
      </c>
      <c r="J1738" s="62" t="s">
        <v>1248</v>
      </c>
      <c r="K1738" s="62" t="s">
        <v>358</v>
      </c>
      <c r="L1738" s="62" t="s">
        <v>2421</v>
      </c>
      <c r="M1738" s="66" t="s">
        <v>1972</v>
      </c>
    </row>
    <row r="1739" spans="1:13" x14ac:dyDescent="0.3">
      <c r="A1739" s="61" t="s">
        <v>2263</v>
      </c>
      <c r="B1739" s="62" t="s">
        <v>1527</v>
      </c>
      <c r="C1739" s="62" t="s">
        <v>1528</v>
      </c>
      <c r="D1739" s="63">
        <v>45292</v>
      </c>
      <c r="E1739" s="63">
        <v>46203</v>
      </c>
      <c r="F1739" s="62" t="s">
        <v>287</v>
      </c>
      <c r="G1739" s="62" t="s">
        <v>589</v>
      </c>
      <c r="H1739" s="62" t="s">
        <v>468</v>
      </c>
      <c r="I1739" s="62" t="s">
        <v>1518</v>
      </c>
      <c r="J1739" s="62" t="s">
        <v>1248</v>
      </c>
      <c r="K1739" s="62" t="s">
        <v>358</v>
      </c>
      <c r="L1739" s="62" t="s">
        <v>2421</v>
      </c>
      <c r="M1739" s="66" t="s">
        <v>1972</v>
      </c>
    </row>
    <row r="1740" spans="1:13" x14ac:dyDescent="0.3">
      <c r="A1740" s="61" t="s">
        <v>2263</v>
      </c>
      <c r="B1740" s="62" t="s">
        <v>1527</v>
      </c>
      <c r="C1740" s="62" t="s">
        <v>1528</v>
      </c>
      <c r="D1740" s="63">
        <v>45292</v>
      </c>
      <c r="E1740" s="63">
        <v>46203</v>
      </c>
      <c r="F1740" s="62" t="s">
        <v>287</v>
      </c>
      <c r="G1740" s="62" t="s">
        <v>1532</v>
      </c>
      <c r="H1740" s="62" t="s">
        <v>468</v>
      </c>
      <c r="I1740" s="62" t="s">
        <v>1518</v>
      </c>
      <c r="J1740" s="62" t="s">
        <v>1248</v>
      </c>
      <c r="K1740" s="62" t="s">
        <v>358</v>
      </c>
      <c r="L1740" s="62" t="s">
        <v>2421</v>
      </c>
      <c r="M1740" s="66" t="s">
        <v>1972</v>
      </c>
    </row>
    <row r="1741" spans="1:13" x14ac:dyDescent="0.3">
      <c r="A1741" s="61" t="s">
        <v>2263</v>
      </c>
      <c r="B1741" s="62" t="s">
        <v>1527</v>
      </c>
      <c r="C1741" s="62" t="s">
        <v>1528</v>
      </c>
      <c r="D1741" s="63">
        <v>45292</v>
      </c>
      <c r="E1741" s="63">
        <v>46203</v>
      </c>
      <c r="F1741" s="62" t="s">
        <v>287</v>
      </c>
      <c r="G1741" s="62" t="s">
        <v>930</v>
      </c>
      <c r="H1741" s="62" t="s">
        <v>468</v>
      </c>
      <c r="I1741" s="62" t="s">
        <v>1518</v>
      </c>
      <c r="J1741" s="62" t="s">
        <v>1248</v>
      </c>
      <c r="K1741" s="62" t="s">
        <v>358</v>
      </c>
      <c r="L1741" s="62" t="s">
        <v>2421</v>
      </c>
      <c r="M1741" s="66" t="s">
        <v>1972</v>
      </c>
    </row>
    <row r="1742" spans="1:13" x14ac:dyDescent="0.3">
      <c r="A1742" s="61" t="s">
        <v>2263</v>
      </c>
      <c r="B1742" s="62" t="s">
        <v>1527</v>
      </c>
      <c r="C1742" s="62" t="s">
        <v>1528</v>
      </c>
      <c r="D1742" s="63">
        <v>45292</v>
      </c>
      <c r="E1742" s="63">
        <v>46203</v>
      </c>
      <c r="F1742" s="62" t="s">
        <v>287</v>
      </c>
      <c r="G1742" s="62" t="s">
        <v>1342</v>
      </c>
      <c r="H1742" s="62" t="s">
        <v>468</v>
      </c>
      <c r="I1742" s="62" t="s">
        <v>1518</v>
      </c>
      <c r="J1742" s="62" t="s">
        <v>1248</v>
      </c>
      <c r="K1742" s="62" t="s">
        <v>358</v>
      </c>
      <c r="L1742" s="62" t="s">
        <v>2421</v>
      </c>
      <c r="M1742" s="66" t="s">
        <v>1972</v>
      </c>
    </row>
    <row r="1743" spans="1:13" x14ac:dyDescent="0.3">
      <c r="A1743" s="61" t="s">
        <v>2263</v>
      </c>
      <c r="B1743" s="62" t="s">
        <v>1527</v>
      </c>
      <c r="C1743" s="62" t="s">
        <v>1528</v>
      </c>
      <c r="D1743" s="63">
        <v>45292</v>
      </c>
      <c r="E1743" s="63">
        <v>46203</v>
      </c>
      <c r="F1743" s="62" t="s">
        <v>287</v>
      </c>
      <c r="G1743" s="62" t="s">
        <v>1343</v>
      </c>
      <c r="H1743" s="62" t="s">
        <v>468</v>
      </c>
      <c r="I1743" s="62" t="s">
        <v>1518</v>
      </c>
      <c r="J1743" s="62" t="s">
        <v>1248</v>
      </c>
      <c r="K1743" s="62" t="s">
        <v>358</v>
      </c>
      <c r="L1743" s="62" t="s">
        <v>2421</v>
      </c>
      <c r="M1743" s="66" t="s">
        <v>1972</v>
      </c>
    </row>
    <row r="1744" spans="1:13" x14ac:dyDescent="0.3">
      <c r="A1744" s="61" t="s">
        <v>2263</v>
      </c>
      <c r="B1744" s="62" t="s">
        <v>1527</v>
      </c>
      <c r="C1744" s="62" t="s">
        <v>1528</v>
      </c>
      <c r="D1744" s="63">
        <v>45292</v>
      </c>
      <c r="E1744" s="63">
        <v>46203</v>
      </c>
      <c r="F1744" s="62" t="s">
        <v>287</v>
      </c>
      <c r="G1744" s="62" t="s">
        <v>767</v>
      </c>
      <c r="H1744" s="62" t="s">
        <v>468</v>
      </c>
      <c r="I1744" s="62" t="s">
        <v>1518</v>
      </c>
      <c r="J1744" s="62" t="s">
        <v>1248</v>
      </c>
      <c r="K1744" s="62" t="s">
        <v>358</v>
      </c>
      <c r="L1744" s="62" t="s">
        <v>2421</v>
      </c>
      <c r="M1744" s="66" t="s">
        <v>1972</v>
      </c>
    </row>
    <row r="1745" spans="1:13" x14ac:dyDescent="0.3">
      <c r="A1745" s="61" t="s">
        <v>2263</v>
      </c>
      <c r="B1745" s="62" t="s">
        <v>1527</v>
      </c>
      <c r="C1745" s="62" t="s">
        <v>1528</v>
      </c>
      <c r="D1745" s="63">
        <v>45292</v>
      </c>
      <c r="E1745" s="63">
        <v>46203</v>
      </c>
      <c r="F1745" s="62" t="s">
        <v>287</v>
      </c>
      <c r="G1745" s="62" t="s">
        <v>1533</v>
      </c>
      <c r="H1745" s="62" t="s">
        <v>468</v>
      </c>
      <c r="I1745" s="62" t="s">
        <v>1518</v>
      </c>
      <c r="J1745" s="62" t="s">
        <v>1248</v>
      </c>
      <c r="K1745" s="62" t="s">
        <v>358</v>
      </c>
      <c r="L1745" s="62" t="s">
        <v>2421</v>
      </c>
      <c r="M1745" s="66" t="s">
        <v>1972</v>
      </c>
    </row>
    <row r="1746" spans="1:13" x14ac:dyDescent="0.3">
      <c r="A1746" s="61" t="s">
        <v>2263</v>
      </c>
      <c r="B1746" s="62" t="s">
        <v>1527</v>
      </c>
      <c r="C1746" s="62" t="s">
        <v>1528</v>
      </c>
      <c r="D1746" s="63">
        <v>45292</v>
      </c>
      <c r="E1746" s="63">
        <v>46203</v>
      </c>
      <c r="F1746" s="62" t="s">
        <v>287</v>
      </c>
      <c r="G1746" s="62" t="s">
        <v>286</v>
      </c>
      <c r="H1746" s="62" t="s">
        <v>468</v>
      </c>
      <c r="I1746" s="62" t="s">
        <v>1518</v>
      </c>
      <c r="J1746" s="62" t="s">
        <v>1248</v>
      </c>
      <c r="K1746" s="62" t="s">
        <v>358</v>
      </c>
      <c r="L1746" s="62" t="s">
        <v>2421</v>
      </c>
      <c r="M1746" s="66" t="s">
        <v>1972</v>
      </c>
    </row>
    <row r="1747" spans="1:13" x14ac:dyDescent="0.3">
      <c r="A1747" s="61" t="s">
        <v>2263</v>
      </c>
      <c r="B1747" s="62" t="s">
        <v>1527</v>
      </c>
      <c r="C1747" s="62" t="s">
        <v>1528</v>
      </c>
      <c r="D1747" s="63">
        <v>45292</v>
      </c>
      <c r="E1747" s="63">
        <v>46203</v>
      </c>
      <c r="F1747" s="62" t="s">
        <v>287</v>
      </c>
      <c r="G1747" s="62" t="s">
        <v>1534</v>
      </c>
      <c r="H1747" s="62" t="s">
        <v>468</v>
      </c>
      <c r="I1747" s="62" t="s">
        <v>1518</v>
      </c>
      <c r="J1747" s="62" t="s">
        <v>1248</v>
      </c>
      <c r="K1747" s="62" t="s">
        <v>358</v>
      </c>
      <c r="L1747" s="62" t="s">
        <v>2421</v>
      </c>
      <c r="M1747" s="66" t="s">
        <v>1972</v>
      </c>
    </row>
    <row r="1748" spans="1:13" x14ac:dyDescent="0.3">
      <c r="A1748" s="61" t="s">
        <v>2263</v>
      </c>
      <c r="B1748" s="62" t="s">
        <v>1527</v>
      </c>
      <c r="C1748" s="62" t="s">
        <v>1528</v>
      </c>
      <c r="D1748" s="63">
        <v>45292</v>
      </c>
      <c r="E1748" s="63">
        <v>46203</v>
      </c>
      <c r="F1748" s="62" t="s">
        <v>287</v>
      </c>
      <c r="G1748" s="62" t="s">
        <v>768</v>
      </c>
      <c r="H1748" s="62" t="s">
        <v>468</v>
      </c>
      <c r="I1748" s="62" t="s">
        <v>1518</v>
      </c>
      <c r="J1748" s="62" t="s">
        <v>1248</v>
      </c>
      <c r="K1748" s="62" t="s">
        <v>358</v>
      </c>
      <c r="L1748" s="62" t="s">
        <v>2421</v>
      </c>
      <c r="M1748" s="66" t="s">
        <v>1972</v>
      </c>
    </row>
    <row r="1749" spans="1:13" x14ac:dyDescent="0.3">
      <c r="A1749" s="61" t="s">
        <v>2263</v>
      </c>
      <c r="B1749" s="62" t="s">
        <v>1527</v>
      </c>
      <c r="C1749" s="62" t="s">
        <v>1528</v>
      </c>
      <c r="D1749" s="63">
        <v>45292</v>
      </c>
      <c r="E1749" s="63">
        <v>46203</v>
      </c>
      <c r="F1749" s="62" t="s">
        <v>287</v>
      </c>
      <c r="G1749" s="62" t="s">
        <v>388</v>
      </c>
      <c r="H1749" s="62" t="s">
        <v>468</v>
      </c>
      <c r="I1749" s="62" t="s">
        <v>1518</v>
      </c>
      <c r="J1749" s="62" t="s">
        <v>1248</v>
      </c>
      <c r="K1749" s="62" t="s">
        <v>358</v>
      </c>
      <c r="L1749" s="62" t="s">
        <v>2421</v>
      </c>
      <c r="M1749" s="66" t="s">
        <v>1972</v>
      </c>
    </row>
    <row r="1750" spans="1:13" x14ac:dyDescent="0.3">
      <c r="A1750" s="61" t="s">
        <v>2263</v>
      </c>
      <c r="B1750" s="62" t="s">
        <v>1527</v>
      </c>
      <c r="C1750" s="62" t="s">
        <v>1528</v>
      </c>
      <c r="D1750" s="63">
        <v>45292</v>
      </c>
      <c r="E1750" s="63">
        <v>46203</v>
      </c>
      <c r="F1750" s="62" t="s">
        <v>287</v>
      </c>
      <c r="G1750" s="62" t="s">
        <v>590</v>
      </c>
      <c r="H1750" s="62" t="s">
        <v>468</v>
      </c>
      <c r="I1750" s="62" t="s">
        <v>1518</v>
      </c>
      <c r="J1750" s="62" t="s">
        <v>1248</v>
      </c>
      <c r="K1750" s="62" t="s">
        <v>358</v>
      </c>
      <c r="L1750" s="62" t="s">
        <v>2421</v>
      </c>
      <c r="M1750" s="66" t="s">
        <v>1972</v>
      </c>
    </row>
    <row r="1751" spans="1:13" x14ac:dyDescent="0.3">
      <c r="A1751" s="61" t="s">
        <v>2263</v>
      </c>
      <c r="B1751" s="62" t="s">
        <v>1527</v>
      </c>
      <c r="C1751" s="62" t="s">
        <v>1528</v>
      </c>
      <c r="D1751" s="63">
        <v>45292</v>
      </c>
      <c r="E1751" s="63">
        <v>46203</v>
      </c>
      <c r="F1751" s="62" t="s">
        <v>287</v>
      </c>
      <c r="G1751" s="62" t="s">
        <v>514</v>
      </c>
      <c r="H1751" s="62" t="s">
        <v>468</v>
      </c>
      <c r="I1751" s="62" t="s">
        <v>1518</v>
      </c>
      <c r="J1751" s="62" t="s">
        <v>1248</v>
      </c>
      <c r="K1751" s="62" t="s">
        <v>358</v>
      </c>
      <c r="L1751" s="62" t="s">
        <v>2421</v>
      </c>
      <c r="M1751" s="66" t="s">
        <v>1972</v>
      </c>
    </row>
    <row r="1752" spans="1:13" x14ac:dyDescent="0.3">
      <c r="A1752" s="61" t="s">
        <v>2263</v>
      </c>
      <c r="B1752" s="62" t="s">
        <v>1527</v>
      </c>
      <c r="C1752" s="62" t="s">
        <v>1528</v>
      </c>
      <c r="D1752" s="63">
        <v>45292</v>
      </c>
      <c r="E1752" s="63">
        <v>46203</v>
      </c>
      <c r="F1752" s="62" t="s">
        <v>287</v>
      </c>
      <c r="G1752" s="62" t="s">
        <v>389</v>
      </c>
      <c r="H1752" s="62" t="s">
        <v>468</v>
      </c>
      <c r="I1752" s="62" t="s">
        <v>1518</v>
      </c>
      <c r="J1752" s="62" t="s">
        <v>1248</v>
      </c>
      <c r="K1752" s="62" t="s">
        <v>358</v>
      </c>
      <c r="L1752" s="62" t="s">
        <v>2421</v>
      </c>
      <c r="M1752" s="66" t="s">
        <v>1972</v>
      </c>
    </row>
    <row r="1753" spans="1:13" x14ac:dyDescent="0.3">
      <c r="A1753" s="61" t="s">
        <v>2263</v>
      </c>
      <c r="B1753" s="62" t="s">
        <v>1527</v>
      </c>
      <c r="C1753" s="62" t="s">
        <v>1528</v>
      </c>
      <c r="D1753" s="63">
        <v>45292</v>
      </c>
      <c r="E1753" s="63">
        <v>46203</v>
      </c>
      <c r="F1753" s="62" t="s">
        <v>287</v>
      </c>
      <c r="G1753" s="62" t="s">
        <v>1535</v>
      </c>
      <c r="H1753" s="62" t="s">
        <v>468</v>
      </c>
      <c r="I1753" s="62" t="s">
        <v>1518</v>
      </c>
      <c r="J1753" s="62" t="s">
        <v>1248</v>
      </c>
      <c r="K1753" s="62" t="s">
        <v>358</v>
      </c>
      <c r="L1753" s="62" t="s">
        <v>2421</v>
      </c>
      <c r="M1753" s="66" t="s">
        <v>1972</v>
      </c>
    </row>
    <row r="1754" spans="1:13" x14ac:dyDescent="0.3">
      <c r="A1754" s="61" t="s">
        <v>2263</v>
      </c>
      <c r="B1754" s="62" t="s">
        <v>1527</v>
      </c>
      <c r="C1754" s="62" t="s">
        <v>1528</v>
      </c>
      <c r="D1754" s="63">
        <v>45292</v>
      </c>
      <c r="E1754" s="63">
        <v>46203</v>
      </c>
      <c r="F1754" s="62" t="s">
        <v>287</v>
      </c>
      <c r="G1754" s="62" t="s">
        <v>584</v>
      </c>
      <c r="H1754" s="62" t="s">
        <v>468</v>
      </c>
      <c r="I1754" s="62" t="s">
        <v>1518</v>
      </c>
      <c r="J1754" s="62" t="s">
        <v>1248</v>
      </c>
      <c r="K1754" s="62" t="s">
        <v>358</v>
      </c>
      <c r="L1754" s="62" t="s">
        <v>2421</v>
      </c>
      <c r="M1754" s="66" t="s">
        <v>1972</v>
      </c>
    </row>
    <row r="1755" spans="1:13" x14ac:dyDescent="0.3">
      <c r="A1755" s="61" t="s">
        <v>2263</v>
      </c>
      <c r="B1755" s="62" t="s">
        <v>1527</v>
      </c>
      <c r="C1755" s="62" t="s">
        <v>1528</v>
      </c>
      <c r="D1755" s="63">
        <v>45292</v>
      </c>
      <c r="E1755" s="63">
        <v>46203</v>
      </c>
      <c r="F1755" s="62" t="s">
        <v>287</v>
      </c>
      <c r="G1755" s="62" t="s">
        <v>1083</v>
      </c>
      <c r="H1755" s="62" t="s">
        <v>468</v>
      </c>
      <c r="I1755" s="62" t="s">
        <v>1518</v>
      </c>
      <c r="J1755" s="62" t="s">
        <v>1248</v>
      </c>
      <c r="K1755" s="62" t="s">
        <v>358</v>
      </c>
      <c r="L1755" s="62" t="s">
        <v>2421</v>
      </c>
      <c r="M1755" s="66" t="s">
        <v>1972</v>
      </c>
    </row>
    <row r="1756" spans="1:13" x14ac:dyDescent="0.3">
      <c r="A1756" s="61" t="s">
        <v>2263</v>
      </c>
      <c r="B1756" s="62" t="s">
        <v>1527</v>
      </c>
      <c r="C1756" s="62" t="s">
        <v>1528</v>
      </c>
      <c r="D1756" s="63">
        <v>45292</v>
      </c>
      <c r="E1756" s="63">
        <v>46203</v>
      </c>
      <c r="F1756" s="62" t="s">
        <v>287</v>
      </c>
      <c r="G1756" s="62" t="s">
        <v>927</v>
      </c>
      <c r="H1756" s="62" t="s">
        <v>468</v>
      </c>
      <c r="I1756" s="62" t="s">
        <v>1518</v>
      </c>
      <c r="J1756" s="62" t="s">
        <v>1248</v>
      </c>
      <c r="K1756" s="62" t="s">
        <v>358</v>
      </c>
      <c r="L1756" s="62" t="s">
        <v>2421</v>
      </c>
      <c r="M1756" s="66" t="s">
        <v>1972</v>
      </c>
    </row>
    <row r="1757" spans="1:13" x14ac:dyDescent="0.3">
      <c r="A1757" s="61" t="s">
        <v>2263</v>
      </c>
      <c r="B1757" s="62" t="s">
        <v>1527</v>
      </c>
      <c r="C1757" s="62" t="s">
        <v>1528</v>
      </c>
      <c r="D1757" s="63">
        <v>45292</v>
      </c>
      <c r="E1757" s="63">
        <v>46203</v>
      </c>
      <c r="F1757" s="62" t="s">
        <v>287</v>
      </c>
      <c r="G1757" s="62" t="s">
        <v>769</v>
      </c>
      <c r="H1757" s="62" t="s">
        <v>468</v>
      </c>
      <c r="I1757" s="62" t="s">
        <v>1518</v>
      </c>
      <c r="J1757" s="62" t="s">
        <v>1248</v>
      </c>
      <c r="K1757" s="62" t="s">
        <v>358</v>
      </c>
      <c r="L1757" s="62" t="s">
        <v>2421</v>
      </c>
      <c r="M1757" s="66" t="s">
        <v>1972</v>
      </c>
    </row>
    <row r="1758" spans="1:13" x14ac:dyDescent="0.3">
      <c r="A1758" s="61" t="s">
        <v>2263</v>
      </c>
      <c r="B1758" s="62" t="s">
        <v>1527</v>
      </c>
      <c r="C1758" s="62" t="s">
        <v>1528</v>
      </c>
      <c r="D1758" s="63">
        <v>45292</v>
      </c>
      <c r="E1758" s="63">
        <v>46203</v>
      </c>
      <c r="F1758" s="62" t="s">
        <v>287</v>
      </c>
      <c r="G1758" s="62" t="s">
        <v>928</v>
      </c>
      <c r="H1758" s="62" t="s">
        <v>468</v>
      </c>
      <c r="I1758" s="62" t="s">
        <v>1518</v>
      </c>
      <c r="J1758" s="62" t="s">
        <v>1248</v>
      </c>
      <c r="K1758" s="62" t="s">
        <v>358</v>
      </c>
      <c r="L1758" s="62" t="s">
        <v>2421</v>
      </c>
      <c r="M1758" s="66" t="s">
        <v>1972</v>
      </c>
    </row>
    <row r="1759" spans="1:13" x14ac:dyDescent="0.3">
      <c r="A1759" s="61" t="s">
        <v>2263</v>
      </c>
      <c r="B1759" s="62" t="s">
        <v>1527</v>
      </c>
      <c r="C1759" s="62" t="s">
        <v>1528</v>
      </c>
      <c r="D1759" s="63">
        <v>45292</v>
      </c>
      <c r="E1759" s="63">
        <v>46203</v>
      </c>
      <c r="F1759" s="62" t="s">
        <v>287</v>
      </c>
      <c r="G1759" s="62" t="s">
        <v>1536</v>
      </c>
      <c r="H1759" s="62" t="s">
        <v>468</v>
      </c>
      <c r="I1759" s="62" t="s">
        <v>1518</v>
      </c>
      <c r="J1759" s="62" t="s">
        <v>1248</v>
      </c>
      <c r="K1759" s="62" t="s">
        <v>358</v>
      </c>
      <c r="L1759" s="62" t="s">
        <v>2421</v>
      </c>
      <c r="M1759" s="66" t="s">
        <v>1972</v>
      </c>
    </row>
    <row r="1760" spans="1:13" x14ac:dyDescent="0.3">
      <c r="A1760" s="61" t="s">
        <v>2263</v>
      </c>
      <c r="B1760" s="62" t="s">
        <v>1527</v>
      </c>
      <c r="C1760" s="62" t="s">
        <v>1528</v>
      </c>
      <c r="D1760" s="63">
        <v>45292</v>
      </c>
      <c r="E1760" s="63">
        <v>46203</v>
      </c>
      <c r="F1760" s="62" t="s">
        <v>287</v>
      </c>
      <c r="G1760" s="62" t="s">
        <v>1537</v>
      </c>
      <c r="H1760" s="62" t="s">
        <v>468</v>
      </c>
      <c r="I1760" s="62" t="s">
        <v>1518</v>
      </c>
      <c r="J1760" s="62" t="s">
        <v>1248</v>
      </c>
      <c r="K1760" s="62" t="s">
        <v>358</v>
      </c>
      <c r="L1760" s="62" t="s">
        <v>2421</v>
      </c>
      <c r="M1760" s="66" t="s">
        <v>1972</v>
      </c>
    </row>
    <row r="1761" spans="1:13" x14ac:dyDescent="0.3">
      <c r="A1761" s="61" t="s">
        <v>2263</v>
      </c>
      <c r="B1761" s="62" t="s">
        <v>1527</v>
      </c>
      <c r="C1761" s="62" t="s">
        <v>1528</v>
      </c>
      <c r="D1761" s="63">
        <v>45292</v>
      </c>
      <c r="E1761" s="63">
        <v>46203</v>
      </c>
      <c r="F1761" s="62" t="s">
        <v>287</v>
      </c>
      <c r="G1761" s="62" t="s">
        <v>1538</v>
      </c>
      <c r="H1761" s="62" t="s">
        <v>468</v>
      </c>
      <c r="I1761" s="62" t="s">
        <v>1518</v>
      </c>
      <c r="J1761" s="62" t="s">
        <v>1248</v>
      </c>
      <c r="K1761" s="62" t="s">
        <v>358</v>
      </c>
      <c r="L1761" s="62" t="s">
        <v>2421</v>
      </c>
      <c r="M1761" s="66" t="s">
        <v>1972</v>
      </c>
    </row>
    <row r="1762" spans="1:13" x14ac:dyDescent="0.3">
      <c r="A1762" s="61" t="s">
        <v>2263</v>
      </c>
      <c r="B1762" s="62" t="s">
        <v>1527</v>
      </c>
      <c r="C1762" s="62" t="s">
        <v>1528</v>
      </c>
      <c r="D1762" s="63">
        <v>45292</v>
      </c>
      <c r="E1762" s="63">
        <v>46203</v>
      </c>
      <c r="F1762" s="62" t="s">
        <v>287</v>
      </c>
      <c r="G1762" s="62" t="s">
        <v>390</v>
      </c>
      <c r="H1762" s="62" t="s">
        <v>468</v>
      </c>
      <c r="I1762" s="62" t="s">
        <v>1518</v>
      </c>
      <c r="J1762" s="62" t="s">
        <v>1248</v>
      </c>
      <c r="K1762" s="62" t="s">
        <v>358</v>
      </c>
      <c r="L1762" s="62" t="s">
        <v>2421</v>
      </c>
      <c r="M1762" s="66" t="s">
        <v>1972</v>
      </c>
    </row>
    <row r="1763" spans="1:13" x14ac:dyDescent="0.3">
      <c r="A1763" s="61" t="s">
        <v>2263</v>
      </c>
      <c r="B1763" s="62" t="s">
        <v>1527</v>
      </c>
      <c r="C1763" s="62" t="s">
        <v>1528</v>
      </c>
      <c r="D1763" s="63">
        <v>45292</v>
      </c>
      <c r="E1763" s="63">
        <v>46203</v>
      </c>
      <c r="F1763" s="62" t="s">
        <v>287</v>
      </c>
      <c r="G1763" s="62" t="s">
        <v>1344</v>
      </c>
      <c r="H1763" s="62" t="s">
        <v>468</v>
      </c>
      <c r="I1763" s="62" t="s">
        <v>1518</v>
      </c>
      <c r="J1763" s="62" t="s">
        <v>1248</v>
      </c>
      <c r="K1763" s="62" t="s">
        <v>358</v>
      </c>
      <c r="L1763" s="62" t="s">
        <v>2421</v>
      </c>
      <c r="M1763" s="66" t="s">
        <v>1972</v>
      </c>
    </row>
    <row r="1764" spans="1:13" x14ac:dyDescent="0.3">
      <c r="A1764" s="61" t="s">
        <v>2263</v>
      </c>
      <c r="B1764" s="62" t="s">
        <v>1527</v>
      </c>
      <c r="C1764" s="62" t="s">
        <v>1528</v>
      </c>
      <c r="D1764" s="63">
        <v>45292</v>
      </c>
      <c r="E1764" s="63">
        <v>46203</v>
      </c>
      <c r="F1764" s="62" t="s">
        <v>287</v>
      </c>
      <c r="G1764" s="62" t="s">
        <v>1539</v>
      </c>
      <c r="H1764" s="62" t="s">
        <v>468</v>
      </c>
      <c r="I1764" s="62" t="s">
        <v>1518</v>
      </c>
      <c r="J1764" s="62" t="s">
        <v>1248</v>
      </c>
      <c r="K1764" s="62" t="s">
        <v>358</v>
      </c>
      <c r="L1764" s="62" t="s">
        <v>2421</v>
      </c>
      <c r="M1764" s="66" t="s">
        <v>1972</v>
      </c>
    </row>
    <row r="1765" spans="1:13" x14ac:dyDescent="0.3">
      <c r="A1765" s="61" t="s">
        <v>2263</v>
      </c>
      <c r="B1765" s="62" t="s">
        <v>1527</v>
      </c>
      <c r="C1765" s="62" t="s">
        <v>1528</v>
      </c>
      <c r="D1765" s="63">
        <v>45292</v>
      </c>
      <c r="E1765" s="63">
        <v>46203</v>
      </c>
      <c r="F1765" s="62" t="s">
        <v>287</v>
      </c>
      <c r="G1765" s="62" t="s">
        <v>770</v>
      </c>
      <c r="H1765" s="62" t="s">
        <v>468</v>
      </c>
      <c r="I1765" s="62" t="s">
        <v>1518</v>
      </c>
      <c r="J1765" s="62" t="s">
        <v>1248</v>
      </c>
      <c r="K1765" s="62" t="s">
        <v>358</v>
      </c>
      <c r="L1765" s="62" t="s">
        <v>2421</v>
      </c>
      <c r="M1765" s="66" t="s">
        <v>1972</v>
      </c>
    </row>
    <row r="1766" spans="1:13" x14ac:dyDescent="0.3">
      <c r="A1766" s="61" t="s">
        <v>2263</v>
      </c>
      <c r="B1766" s="62" t="s">
        <v>1527</v>
      </c>
      <c r="C1766" s="62" t="s">
        <v>1528</v>
      </c>
      <c r="D1766" s="63">
        <v>45292</v>
      </c>
      <c r="E1766" s="63">
        <v>46203</v>
      </c>
      <c r="F1766" s="62" t="s">
        <v>287</v>
      </c>
      <c r="G1766" s="62" t="s">
        <v>591</v>
      </c>
      <c r="H1766" s="62" t="s">
        <v>468</v>
      </c>
      <c r="I1766" s="62" t="s">
        <v>1518</v>
      </c>
      <c r="J1766" s="62" t="s">
        <v>1248</v>
      </c>
      <c r="K1766" s="62" t="s">
        <v>358</v>
      </c>
      <c r="L1766" s="62" t="s">
        <v>2421</v>
      </c>
      <c r="M1766" s="66" t="s">
        <v>1972</v>
      </c>
    </row>
    <row r="1767" spans="1:13" x14ac:dyDescent="0.3">
      <c r="A1767" s="61" t="s">
        <v>2263</v>
      </c>
      <c r="B1767" s="62" t="s">
        <v>1527</v>
      </c>
      <c r="C1767" s="62" t="s">
        <v>1528</v>
      </c>
      <c r="D1767" s="63">
        <v>45292</v>
      </c>
      <c r="E1767" s="63">
        <v>46203</v>
      </c>
      <c r="F1767" s="62" t="s">
        <v>287</v>
      </c>
      <c r="G1767" s="62" t="s">
        <v>964</v>
      </c>
      <c r="H1767" s="62" t="s">
        <v>468</v>
      </c>
      <c r="I1767" s="62" t="s">
        <v>1518</v>
      </c>
      <c r="J1767" s="62" t="s">
        <v>1248</v>
      </c>
      <c r="K1767" s="62" t="s">
        <v>358</v>
      </c>
      <c r="L1767" s="62" t="s">
        <v>2421</v>
      </c>
      <c r="M1767" s="66" t="s">
        <v>1972</v>
      </c>
    </row>
    <row r="1768" spans="1:13" x14ac:dyDescent="0.3">
      <c r="A1768" s="61" t="s">
        <v>2263</v>
      </c>
      <c r="B1768" s="62" t="s">
        <v>1527</v>
      </c>
      <c r="C1768" s="62" t="s">
        <v>1528</v>
      </c>
      <c r="D1768" s="63">
        <v>45292</v>
      </c>
      <c r="E1768" s="63">
        <v>46203</v>
      </c>
      <c r="F1768" s="62" t="s">
        <v>287</v>
      </c>
      <c r="G1768" s="62" t="s">
        <v>391</v>
      </c>
      <c r="H1768" s="62" t="s">
        <v>468</v>
      </c>
      <c r="I1768" s="62" t="s">
        <v>1518</v>
      </c>
      <c r="J1768" s="62" t="s">
        <v>1248</v>
      </c>
      <c r="K1768" s="62" t="s">
        <v>358</v>
      </c>
      <c r="L1768" s="62" t="s">
        <v>2421</v>
      </c>
      <c r="M1768" s="66" t="s">
        <v>1972</v>
      </c>
    </row>
    <row r="1769" spans="1:13" x14ac:dyDescent="0.3">
      <c r="A1769" s="61" t="s">
        <v>2263</v>
      </c>
      <c r="B1769" s="62" t="s">
        <v>1527</v>
      </c>
      <c r="C1769" s="62" t="s">
        <v>1528</v>
      </c>
      <c r="D1769" s="63">
        <v>45292</v>
      </c>
      <c r="E1769" s="63">
        <v>46203</v>
      </c>
      <c r="F1769" s="62" t="s">
        <v>287</v>
      </c>
      <c r="G1769" s="62" t="s">
        <v>771</v>
      </c>
      <c r="H1769" s="62" t="s">
        <v>468</v>
      </c>
      <c r="I1769" s="62" t="s">
        <v>1518</v>
      </c>
      <c r="J1769" s="62" t="s">
        <v>1248</v>
      </c>
      <c r="K1769" s="62" t="s">
        <v>358</v>
      </c>
      <c r="L1769" s="62" t="s">
        <v>2421</v>
      </c>
      <c r="M1769" s="66" t="s">
        <v>1972</v>
      </c>
    </row>
    <row r="1770" spans="1:13" x14ac:dyDescent="0.3">
      <c r="A1770" s="61" t="s">
        <v>2263</v>
      </c>
      <c r="B1770" s="62" t="s">
        <v>1527</v>
      </c>
      <c r="C1770" s="62" t="s">
        <v>1528</v>
      </c>
      <c r="D1770" s="63">
        <v>45292</v>
      </c>
      <c r="E1770" s="63">
        <v>46203</v>
      </c>
      <c r="F1770" s="62" t="s">
        <v>287</v>
      </c>
      <c r="G1770" s="62" t="s">
        <v>392</v>
      </c>
      <c r="H1770" s="62" t="s">
        <v>468</v>
      </c>
      <c r="I1770" s="62" t="s">
        <v>1518</v>
      </c>
      <c r="J1770" s="62" t="s">
        <v>1248</v>
      </c>
      <c r="K1770" s="62" t="s">
        <v>358</v>
      </c>
      <c r="L1770" s="62" t="s">
        <v>2421</v>
      </c>
      <c r="M1770" s="66" t="s">
        <v>1972</v>
      </c>
    </row>
    <row r="1771" spans="1:13" x14ac:dyDescent="0.3">
      <c r="A1771" s="61" t="s">
        <v>2263</v>
      </c>
      <c r="B1771" s="62" t="s">
        <v>1527</v>
      </c>
      <c r="C1771" s="62" t="s">
        <v>1528</v>
      </c>
      <c r="D1771" s="63">
        <v>45292</v>
      </c>
      <c r="E1771" s="63">
        <v>46203</v>
      </c>
      <c r="F1771" s="62" t="s">
        <v>287</v>
      </c>
      <c r="G1771" s="62" t="s">
        <v>592</v>
      </c>
      <c r="H1771" s="62" t="s">
        <v>468</v>
      </c>
      <c r="I1771" s="62" t="s">
        <v>1518</v>
      </c>
      <c r="J1771" s="62" t="s">
        <v>1248</v>
      </c>
      <c r="K1771" s="62" t="s">
        <v>358</v>
      </c>
      <c r="L1771" s="62" t="s">
        <v>2421</v>
      </c>
      <c r="M1771" s="66" t="s">
        <v>1972</v>
      </c>
    </row>
    <row r="1772" spans="1:13" x14ac:dyDescent="0.3">
      <c r="A1772" s="61" t="s">
        <v>2263</v>
      </c>
      <c r="B1772" s="62" t="s">
        <v>1527</v>
      </c>
      <c r="C1772" s="62" t="s">
        <v>1528</v>
      </c>
      <c r="D1772" s="63">
        <v>45292</v>
      </c>
      <c r="E1772" s="63">
        <v>46203</v>
      </c>
      <c r="F1772" s="62" t="s">
        <v>287</v>
      </c>
      <c r="G1772" s="62" t="s">
        <v>1262</v>
      </c>
      <c r="H1772" s="62" t="s">
        <v>468</v>
      </c>
      <c r="I1772" s="62" t="s">
        <v>1518</v>
      </c>
      <c r="J1772" s="62" t="s">
        <v>1248</v>
      </c>
      <c r="K1772" s="62" t="s">
        <v>358</v>
      </c>
      <c r="L1772" s="62" t="s">
        <v>2421</v>
      </c>
      <c r="M1772" s="66" t="s">
        <v>1972</v>
      </c>
    </row>
    <row r="1773" spans="1:13" x14ac:dyDescent="0.3">
      <c r="A1773" s="61" t="s">
        <v>2263</v>
      </c>
      <c r="B1773" s="62" t="s">
        <v>1527</v>
      </c>
      <c r="C1773" s="62" t="s">
        <v>1528</v>
      </c>
      <c r="D1773" s="63">
        <v>45292</v>
      </c>
      <c r="E1773" s="63">
        <v>46203</v>
      </c>
      <c r="F1773" s="62" t="s">
        <v>287</v>
      </c>
      <c r="G1773" s="62" t="s">
        <v>1540</v>
      </c>
      <c r="H1773" s="62" t="s">
        <v>468</v>
      </c>
      <c r="I1773" s="62" t="s">
        <v>1518</v>
      </c>
      <c r="J1773" s="62" t="s">
        <v>1248</v>
      </c>
      <c r="K1773" s="62" t="s">
        <v>358</v>
      </c>
      <c r="L1773" s="62" t="s">
        <v>2421</v>
      </c>
      <c r="M1773" s="66" t="s">
        <v>1972</v>
      </c>
    </row>
    <row r="1774" spans="1:13" x14ac:dyDescent="0.3">
      <c r="A1774" s="61" t="s">
        <v>2263</v>
      </c>
      <c r="B1774" s="62" t="s">
        <v>1527</v>
      </c>
      <c r="C1774" s="62" t="s">
        <v>1528</v>
      </c>
      <c r="D1774" s="63">
        <v>45292</v>
      </c>
      <c r="E1774" s="63">
        <v>46203</v>
      </c>
      <c r="F1774" s="62" t="s">
        <v>287</v>
      </c>
      <c r="G1774" s="62" t="s">
        <v>287</v>
      </c>
      <c r="H1774" s="62" t="s">
        <v>468</v>
      </c>
      <c r="I1774" s="62" t="s">
        <v>1518</v>
      </c>
      <c r="J1774" s="62" t="s">
        <v>1248</v>
      </c>
      <c r="K1774" s="62" t="s">
        <v>358</v>
      </c>
      <c r="L1774" s="62" t="s">
        <v>2421</v>
      </c>
      <c r="M1774" s="66" t="s">
        <v>1972</v>
      </c>
    </row>
    <row r="1775" spans="1:13" x14ac:dyDescent="0.3">
      <c r="A1775" s="61" t="s">
        <v>2263</v>
      </c>
      <c r="B1775" s="62" t="s">
        <v>1527</v>
      </c>
      <c r="C1775" s="62" t="s">
        <v>1528</v>
      </c>
      <c r="D1775" s="63">
        <v>45292</v>
      </c>
      <c r="E1775" s="63">
        <v>46203</v>
      </c>
      <c r="F1775" s="62" t="s">
        <v>287</v>
      </c>
      <c r="G1775" s="62" t="s">
        <v>425</v>
      </c>
      <c r="H1775" s="62" t="s">
        <v>468</v>
      </c>
      <c r="I1775" s="62" t="s">
        <v>1518</v>
      </c>
      <c r="J1775" s="62" t="s">
        <v>1248</v>
      </c>
      <c r="K1775" s="62" t="s">
        <v>358</v>
      </c>
      <c r="L1775" s="62" t="s">
        <v>2421</v>
      </c>
      <c r="M1775" s="66" t="s">
        <v>1972</v>
      </c>
    </row>
    <row r="1776" spans="1:13" x14ac:dyDescent="0.3">
      <c r="A1776" s="61" t="s">
        <v>2263</v>
      </c>
      <c r="B1776" s="62" t="s">
        <v>1527</v>
      </c>
      <c r="C1776" s="62" t="s">
        <v>1528</v>
      </c>
      <c r="D1776" s="63">
        <v>45292</v>
      </c>
      <c r="E1776" s="63">
        <v>46203</v>
      </c>
      <c r="F1776" s="62" t="s">
        <v>287</v>
      </c>
      <c r="G1776" s="62" t="s">
        <v>1541</v>
      </c>
      <c r="H1776" s="62" t="s">
        <v>468</v>
      </c>
      <c r="I1776" s="62" t="s">
        <v>1518</v>
      </c>
      <c r="J1776" s="62" t="s">
        <v>1248</v>
      </c>
      <c r="K1776" s="62" t="s">
        <v>358</v>
      </c>
      <c r="L1776" s="62" t="s">
        <v>2421</v>
      </c>
      <c r="M1776" s="66" t="s">
        <v>1972</v>
      </c>
    </row>
    <row r="1777" spans="1:13" x14ac:dyDescent="0.3">
      <c r="A1777" s="61" t="s">
        <v>2263</v>
      </c>
      <c r="B1777" s="62" t="s">
        <v>1527</v>
      </c>
      <c r="C1777" s="62" t="s">
        <v>1528</v>
      </c>
      <c r="D1777" s="63">
        <v>45292</v>
      </c>
      <c r="E1777" s="63">
        <v>46203</v>
      </c>
      <c r="F1777" s="62" t="s">
        <v>287</v>
      </c>
      <c r="G1777" s="62" t="s">
        <v>554</v>
      </c>
      <c r="H1777" s="62" t="s">
        <v>468</v>
      </c>
      <c r="I1777" s="62" t="s">
        <v>1518</v>
      </c>
      <c r="J1777" s="62" t="s">
        <v>1248</v>
      </c>
      <c r="K1777" s="62" t="s">
        <v>358</v>
      </c>
      <c r="L1777" s="62" t="s">
        <v>2421</v>
      </c>
      <c r="M1777" s="66" t="s">
        <v>1972</v>
      </c>
    </row>
    <row r="1778" spans="1:13" x14ac:dyDescent="0.3">
      <c r="A1778" s="61" t="s">
        <v>2263</v>
      </c>
      <c r="B1778" s="62" t="s">
        <v>1527</v>
      </c>
      <c r="C1778" s="62" t="s">
        <v>1528</v>
      </c>
      <c r="D1778" s="63">
        <v>45292</v>
      </c>
      <c r="E1778" s="63">
        <v>46203</v>
      </c>
      <c r="F1778" s="62" t="s">
        <v>287</v>
      </c>
      <c r="G1778" s="62" t="s">
        <v>393</v>
      </c>
      <c r="H1778" s="62" t="s">
        <v>468</v>
      </c>
      <c r="I1778" s="62" t="s">
        <v>1518</v>
      </c>
      <c r="J1778" s="62" t="s">
        <v>1248</v>
      </c>
      <c r="K1778" s="62" t="s">
        <v>358</v>
      </c>
      <c r="L1778" s="62" t="s">
        <v>2421</v>
      </c>
      <c r="M1778" s="66" t="s">
        <v>1972</v>
      </c>
    </row>
    <row r="1779" spans="1:13" x14ac:dyDescent="0.3">
      <c r="A1779" s="61" t="s">
        <v>2263</v>
      </c>
      <c r="B1779" s="62" t="s">
        <v>1527</v>
      </c>
      <c r="C1779" s="62" t="s">
        <v>1528</v>
      </c>
      <c r="D1779" s="63">
        <v>45292</v>
      </c>
      <c r="E1779" s="63">
        <v>46203</v>
      </c>
      <c r="F1779" s="62" t="s">
        <v>287</v>
      </c>
      <c r="G1779" s="62" t="s">
        <v>1298</v>
      </c>
      <c r="H1779" s="62" t="s">
        <v>468</v>
      </c>
      <c r="I1779" s="62" t="s">
        <v>1518</v>
      </c>
      <c r="J1779" s="62" t="s">
        <v>1248</v>
      </c>
      <c r="K1779" s="62" t="s">
        <v>358</v>
      </c>
      <c r="L1779" s="62" t="s">
        <v>2421</v>
      </c>
      <c r="M1779" s="66" t="s">
        <v>1972</v>
      </c>
    </row>
    <row r="1780" spans="1:13" x14ac:dyDescent="0.3">
      <c r="A1780" s="61" t="s">
        <v>2263</v>
      </c>
      <c r="B1780" s="62" t="s">
        <v>1527</v>
      </c>
      <c r="C1780" s="62" t="s">
        <v>1528</v>
      </c>
      <c r="D1780" s="63">
        <v>45292</v>
      </c>
      <c r="E1780" s="63">
        <v>46203</v>
      </c>
      <c r="F1780" s="62" t="s">
        <v>287</v>
      </c>
      <c r="G1780" s="62" t="s">
        <v>1108</v>
      </c>
      <c r="H1780" s="62" t="s">
        <v>468</v>
      </c>
      <c r="I1780" s="62" t="s">
        <v>1518</v>
      </c>
      <c r="J1780" s="62" t="s">
        <v>1248</v>
      </c>
      <c r="K1780" s="62" t="s">
        <v>358</v>
      </c>
      <c r="L1780" s="62" t="s">
        <v>2421</v>
      </c>
      <c r="M1780" s="66" t="s">
        <v>1972</v>
      </c>
    </row>
    <row r="1781" spans="1:13" x14ac:dyDescent="0.3">
      <c r="A1781" s="61" t="s">
        <v>2263</v>
      </c>
      <c r="B1781" s="62" t="s">
        <v>1527</v>
      </c>
      <c r="C1781" s="62" t="s">
        <v>1528</v>
      </c>
      <c r="D1781" s="63">
        <v>45292</v>
      </c>
      <c r="E1781" s="63">
        <v>46203</v>
      </c>
      <c r="F1781" s="62" t="s">
        <v>287</v>
      </c>
      <c r="G1781" s="62" t="s">
        <v>1199</v>
      </c>
      <c r="H1781" s="62" t="s">
        <v>468</v>
      </c>
      <c r="I1781" s="62" t="s">
        <v>1518</v>
      </c>
      <c r="J1781" s="62" t="s">
        <v>1248</v>
      </c>
      <c r="K1781" s="62" t="s">
        <v>358</v>
      </c>
      <c r="L1781" s="62" t="s">
        <v>2421</v>
      </c>
      <c r="M1781" s="66" t="s">
        <v>1972</v>
      </c>
    </row>
    <row r="1782" spans="1:13" x14ac:dyDescent="0.3">
      <c r="A1782" s="61" t="s">
        <v>2263</v>
      </c>
      <c r="B1782" s="62" t="s">
        <v>1527</v>
      </c>
      <c r="C1782" s="62" t="s">
        <v>1528</v>
      </c>
      <c r="D1782" s="63">
        <v>45292</v>
      </c>
      <c r="E1782" s="63">
        <v>46203</v>
      </c>
      <c r="F1782" s="62" t="s">
        <v>287</v>
      </c>
      <c r="G1782" s="62" t="s">
        <v>1542</v>
      </c>
      <c r="H1782" s="62" t="s">
        <v>468</v>
      </c>
      <c r="I1782" s="62" t="s">
        <v>1518</v>
      </c>
      <c r="J1782" s="62" t="s">
        <v>1248</v>
      </c>
      <c r="K1782" s="62" t="s">
        <v>358</v>
      </c>
      <c r="L1782" s="62" t="s">
        <v>2421</v>
      </c>
      <c r="M1782" s="66" t="s">
        <v>1972</v>
      </c>
    </row>
    <row r="1783" spans="1:13" x14ac:dyDescent="0.3">
      <c r="A1783" s="61" t="s">
        <v>2263</v>
      </c>
      <c r="B1783" s="62" t="s">
        <v>1527</v>
      </c>
      <c r="C1783" s="62" t="s">
        <v>1528</v>
      </c>
      <c r="D1783" s="63">
        <v>45292</v>
      </c>
      <c r="E1783" s="63">
        <v>46203</v>
      </c>
      <c r="F1783" s="62" t="s">
        <v>287</v>
      </c>
      <c r="G1783" s="62" t="s">
        <v>394</v>
      </c>
      <c r="H1783" s="62" t="s">
        <v>468</v>
      </c>
      <c r="I1783" s="62" t="s">
        <v>1518</v>
      </c>
      <c r="J1783" s="62" t="s">
        <v>1248</v>
      </c>
      <c r="K1783" s="62" t="s">
        <v>358</v>
      </c>
      <c r="L1783" s="62" t="s">
        <v>2421</v>
      </c>
      <c r="M1783" s="66" t="s">
        <v>1972</v>
      </c>
    </row>
    <row r="1784" spans="1:13" x14ac:dyDescent="0.3">
      <c r="A1784" s="61" t="s">
        <v>2263</v>
      </c>
      <c r="B1784" s="62" t="s">
        <v>1527</v>
      </c>
      <c r="C1784" s="62" t="s">
        <v>1528</v>
      </c>
      <c r="D1784" s="63">
        <v>45292</v>
      </c>
      <c r="E1784" s="63">
        <v>46203</v>
      </c>
      <c r="F1784" s="62" t="s">
        <v>287</v>
      </c>
      <c r="G1784" s="62" t="s">
        <v>593</v>
      </c>
      <c r="H1784" s="62" t="s">
        <v>468</v>
      </c>
      <c r="I1784" s="62" t="s">
        <v>1518</v>
      </c>
      <c r="J1784" s="62" t="s">
        <v>1248</v>
      </c>
      <c r="K1784" s="62" t="s">
        <v>358</v>
      </c>
      <c r="L1784" s="62" t="s">
        <v>2421</v>
      </c>
      <c r="M1784" s="66" t="s">
        <v>1972</v>
      </c>
    </row>
    <row r="1785" spans="1:13" x14ac:dyDescent="0.3">
      <c r="A1785" s="61" t="s">
        <v>2263</v>
      </c>
      <c r="B1785" s="62" t="s">
        <v>1527</v>
      </c>
      <c r="C1785" s="62" t="s">
        <v>1528</v>
      </c>
      <c r="D1785" s="63">
        <v>45292</v>
      </c>
      <c r="E1785" s="63">
        <v>46203</v>
      </c>
      <c r="F1785" s="62" t="s">
        <v>287</v>
      </c>
      <c r="G1785" s="62" t="s">
        <v>395</v>
      </c>
      <c r="H1785" s="62" t="s">
        <v>468</v>
      </c>
      <c r="I1785" s="62" t="s">
        <v>1518</v>
      </c>
      <c r="J1785" s="62" t="s">
        <v>1248</v>
      </c>
      <c r="K1785" s="62" t="s">
        <v>358</v>
      </c>
      <c r="L1785" s="62" t="s">
        <v>2421</v>
      </c>
      <c r="M1785" s="66" t="s">
        <v>1972</v>
      </c>
    </row>
    <row r="1786" spans="1:13" x14ac:dyDescent="0.3">
      <c r="A1786" s="61" t="s">
        <v>2263</v>
      </c>
      <c r="B1786" s="62" t="s">
        <v>1527</v>
      </c>
      <c r="C1786" s="62" t="s">
        <v>1528</v>
      </c>
      <c r="D1786" s="63">
        <v>45292</v>
      </c>
      <c r="E1786" s="63">
        <v>46203</v>
      </c>
      <c r="F1786" s="62" t="s">
        <v>287</v>
      </c>
      <c r="G1786" s="62" t="s">
        <v>396</v>
      </c>
      <c r="H1786" s="62" t="s">
        <v>468</v>
      </c>
      <c r="I1786" s="62" t="s">
        <v>1518</v>
      </c>
      <c r="J1786" s="62" t="s">
        <v>1248</v>
      </c>
      <c r="K1786" s="62" t="s">
        <v>358</v>
      </c>
      <c r="L1786" s="62" t="s">
        <v>2421</v>
      </c>
      <c r="M1786" s="66" t="s">
        <v>1972</v>
      </c>
    </row>
    <row r="1787" spans="1:13" x14ac:dyDescent="0.3">
      <c r="A1787" s="61" t="s">
        <v>2263</v>
      </c>
      <c r="B1787" s="62" t="s">
        <v>1527</v>
      </c>
      <c r="C1787" s="62" t="s">
        <v>1528</v>
      </c>
      <c r="D1787" s="63">
        <v>45292</v>
      </c>
      <c r="E1787" s="63">
        <v>46203</v>
      </c>
      <c r="F1787" s="62" t="s">
        <v>287</v>
      </c>
      <c r="G1787" s="62" t="s">
        <v>1543</v>
      </c>
      <c r="H1787" s="62" t="s">
        <v>468</v>
      </c>
      <c r="I1787" s="62" t="s">
        <v>1518</v>
      </c>
      <c r="J1787" s="62" t="s">
        <v>1248</v>
      </c>
      <c r="K1787" s="62" t="s">
        <v>358</v>
      </c>
      <c r="L1787" s="62" t="s">
        <v>2421</v>
      </c>
      <c r="M1787" s="66" t="s">
        <v>1972</v>
      </c>
    </row>
    <row r="1788" spans="1:13" x14ac:dyDescent="0.3">
      <c r="A1788" s="61" t="s">
        <v>2263</v>
      </c>
      <c r="B1788" s="62" t="s">
        <v>1527</v>
      </c>
      <c r="C1788" s="62" t="s">
        <v>1528</v>
      </c>
      <c r="D1788" s="63">
        <v>45292</v>
      </c>
      <c r="E1788" s="63">
        <v>46203</v>
      </c>
      <c r="F1788" s="62" t="s">
        <v>287</v>
      </c>
      <c r="G1788" s="62" t="s">
        <v>933</v>
      </c>
      <c r="H1788" s="62" t="s">
        <v>468</v>
      </c>
      <c r="I1788" s="62" t="s">
        <v>1518</v>
      </c>
      <c r="J1788" s="62" t="s">
        <v>1248</v>
      </c>
      <c r="K1788" s="62" t="s">
        <v>358</v>
      </c>
      <c r="L1788" s="62" t="s">
        <v>2421</v>
      </c>
      <c r="M1788" s="66" t="s">
        <v>1972</v>
      </c>
    </row>
    <row r="1789" spans="1:13" x14ac:dyDescent="0.3">
      <c r="A1789" s="61" t="s">
        <v>2263</v>
      </c>
      <c r="B1789" s="62" t="s">
        <v>1527</v>
      </c>
      <c r="C1789" s="62" t="s">
        <v>1528</v>
      </c>
      <c r="D1789" s="63">
        <v>45292</v>
      </c>
      <c r="E1789" s="63">
        <v>46203</v>
      </c>
      <c r="F1789" s="62" t="s">
        <v>287</v>
      </c>
      <c r="G1789" s="62" t="s">
        <v>786</v>
      </c>
      <c r="H1789" s="62" t="s">
        <v>468</v>
      </c>
      <c r="I1789" s="62" t="s">
        <v>1518</v>
      </c>
      <c r="J1789" s="62" t="s">
        <v>1248</v>
      </c>
      <c r="K1789" s="62" t="s">
        <v>358</v>
      </c>
      <c r="L1789" s="62" t="s">
        <v>2421</v>
      </c>
      <c r="M1789" s="66" t="s">
        <v>1972</v>
      </c>
    </row>
    <row r="1790" spans="1:13" x14ac:dyDescent="0.3">
      <c r="A1790" s="61" t="s">
        <v>2263</v>
      </c>
      <c r="B1790" s="62" t="s">
        <v>1527</v>
      </c>
      <c r="C1790" s="62" t="s">
        <v>1528</v>
      </c>
      <c r="D1790" s="63">
        <v>45292</v>
      </c>
      <c r="E1790" s="63">
        <v>46203</v>
      </c>
      <c r="F1790" s="62" t="s">
        <v>287</v>
      </c>
      <c r="G1790" s="62" t="s">
        <v>1544</v>
      </c>
      <c r="H1790" s="62" t="s">
        <v>468</v>
      </c>
      <c r="I1790" s="62" t="s">
        <v>1518</v>
      </c>
      <c r="J1790" s="62" t="s">
        <v>1248</v>
      </c>
      <c r="K1790" s="62" t="s">
        <v>358</v>
      </c>
      <c r="L1790" s="62" t="s">
        <v>2421</v>
      </c>
      <c r="M1790" s="66" t="s">
        <v>1972</v>
      </c>
    </row>
    <row r="1791" spans="1:13" x14ac:dyDescent="0.3">
      <c r="A1791" s="61" t="s">
        <v>2263</v>
      </c>
      <c r="B1791" s="62" t="s">
        <v>1527</v>
      </c>
      <c r="C1791" s="62" t="s">
        <v>1528</v>
      </c>
      <c r="D1791" s="63">
        <v>45292</v>
      </c>
      <c r="E1791" s="63">
        <v>46203</v>
      </c>
      <c r="F1791" s="62" t="s">
        <v>287</v>
      </c>
      <c r="G1791" s="62" t="s">
        <v>772</v>
      </c>
      <c r="H1791" s="62" t="s">
        <v>468</v>
      </c>
      <c r="I1791" s="62" t="s">
        <v>1518</v>
      </c>
      <c r="J1791" s="62" t="s">
        <v>1248</v>
      </c>
      <c r="K1791" s="62" t="s">
        <v>358</v>
      </c>
      <c r="L1791" s="62" t="s">
        <v>2421</v>
      </c>
      <c r="M1791" s="66" t="s">
        <v>1972</v>
      </c>
    </row>
    <row r="1792" spans="1:13" x14ac:dyDescent="0.3">
      <c r="A1792" s="61" t="s">
        <v>2263</v>
      </c>
      <c r="B1792" s="62" t="s">
        <v>1527</v>
      </c>
      <c r="C1792" s="62" t="s">
        <v>1528</v>
      </c>
      <c r="D1792" s="63">
        <v>45292</v>
      </c>
      <c r="E1792" s="63">
        <v>46203</v>
      </c>
      <c r="F1792" s="62" t="s">
        <v>287</v>
      </c>
      <c r="G1792" s="62" t="s">
        <v>697</v>
      </c>
      <c r="H1792" s="62" t="s">
        <v>468</v>
      </c>
      <c r="I1792" s="62" t="s">
        <v>1518</v>
      </c>
      <c r="J1792" s="62" t="s">
        <v>1248</v>
      </c>
      <c r="K1792" s="62" t="s">
        <v>358</v>
      </c>
      <c r="L1792" s="62" t="s">
        <v>2421</v>
      </c>
      <c r="M1792" s="66" t="s">
        <v>1972</v>
      </c>
    </row>
    <row r="1793" spans="1:13" x14ac:dyDescent="0.3">
      <c r="A1793" s="61" t="s">
        <v>2263</v>
      </c>
      <c r="B1793" s="62" t="s">
        <v>1527</v>
      </c>
      <c r="C1793" s="62" t="s">
        <v>1528</v>
      </c>
      <c r="D1793" s="63">
        <v>45292</v>
      </c>
      <c r="E1793" s="63">
        <v>46203</v>
      </c>
      <c r="F1793" s="62" t="s">
        <v>287</v>
      </c>
      <c r="G1793" s="62" t="s">
        <v>423</v>
      </c>
      <c r="H1793" s="62" t="s">
        <v>468</v>
      </c>
      <c r="I1793" s="62" t="s">
        <v>1518</v>
      </c>
      <c r="J1793" s="62" t="s">
        <v>1248</v>
      </c>
      <c r="K1793" s="62" t="s">
        <v>358</v>
      </c>
      <c r="L1793" s="62" t="s">
        <v>2421</v>
      </c>
      <c r="M1793" s="66" t="s">
        <v>1972</v>
      </c>
    </row>
    <row r="1794" spans="1:13" x14ac:dyDescent="0.3">
      <c r="A1794" s="61" t="s">
        <v>2263</v>
      </c>
      <c r="B1794" s="62" t="s">
        <v>1527</v>
      </c>
      <c r="C1794" s="62" t="s">
        <v>1528</v>
      </c>
      <c r="D1794" s="63">
        <v>45292</v>
      </c>
      <c r="E1794" s="63">
        <v>46203</v>
      </c>
      <c r="F1794" s="62" t="s">
        <v>287</v>
      </c>
      <c r="G1794" s="62" t="s">
        <v>773</v>
      </c>
      <c r="H1794" s="62" t="s">
        <v>468</v>
      </c>
      <c r="I1794" s="62" t="s">
        <v>1518</v>
      </c>
      <c r="J1794" s="62" t="s">
        <v>1248</v>
      </c>
      <c r="K1794" s="62" t="s">
        <v>358</v>
      </c>
      <c r="L1794" s="62" t="s">
        <v>2421</v>
      </c>
      <c r="M1794" s="66" t="s">
        <v>1972</v>
      </c>
    </row>
    <row r="1795" spans="1:13" x14ac:dyDescent="0.3">
      <c r="A1795" s="61" t="s">
        <v>2263</v>
      </c>
      <c r="B1795" s="62" t="s">
        <v>1527</v>
      </c>
      <c r="C1795" s="62" t="s">
        <v>1528</v>
      </c>
      <c r="D1795" s="63">
        <v>45292</v>
      </c>
      <c r="E1795" s="63">
        <v>46203</v>
      </c>
      <c r="F1795" s="62" t="s">
        <v>287</v>
      </c>
      <c r="G1795" s="62" t="s">
        <v>934</v>
      </c>
      <c r="H1795" s="62" t="s">
        <v>468</v>
      </c>
      <c r="I1795" s="62" t="s">
        <v>1518</v>
      </c>
      <c r="J1795" s="62" t="s">
        <v>1248</v>
      </c>
      <c r="K1795" s="62" t="s">
        <v>358</v>
      </c>
      <c r="L1795" s="62" t="s">
        <v>2421</v>
      </c>
      <c r="M1795" s="66" t="s">
        <v>1972</v>
      </c>
    </row>
    <row r="1796" spans="1:13" x14ac:dyDescent="0.3">
      <c r="A1796" s="61" t="s">
        <v>2263</v>
      </c>
      <c r="B1796" s="62" t="s">
        <v>1527</v>
      </c>
      <c r="C1796" s="62" t="s">
        <v>1528</v>
      </c>
      <c r="D1796" s="63">
        <v>45292</v>
      </c>
      <c r="E1796" s="63">
        <v>46203</v>
      </c>
      <c r="F1796" s="62" t="s">
        <v>287</v>
      </c>
      <c r="G1796" s="62" t="s">
        <v>1545</v>
      </c>
      <c r="H1796" s="62" t="s">
        <v>468</v>
      </c>
      <c r="I1796" s="62" t="s">
        <v>1518</v>
      </c>
      <c r="J1796" s="62" t="s">
        <v>1248</v>
      </c>
      <c r="K1796" s="62" t="s">
        <v>358</v>
      </c>
      <c r="L1796" s="62" t="s">
        <v>2421</v>
      </c>
      <c r="M1796" s="66" t="s">
        <v>1972</v>
      </c>
    </row>
    <row r="1797" spans="1:13" x14ac:dyDescent="0.3">
      <c r="A1797" s="61" t="s">
        <v>2263</v>
      </c>
      <c r="B1797" s="62" t="s">
        <v>1527</v>
      </c>
      <c r="C1797" s="62" t="s">
        <v>1528</v>
      </c>
      <c r="D1797" s="63">
        <v>45292</v>
      </c>
      <c r="E1797" s="63">
        <v>46203</v>
      </c>
      <c r="F1797" s="62" t="s">
        <v>287</v>
      </c>
      <c r="G1797" s="62" t="s">
        <v>774</v>
      </c>
      <c r="H1797" s="62" t="s">
        <v>468</v>
      </c>
      <c r="I1797" s="62" t="s">
        <v>1518</v>
      </c>
      <c r="J1797" s="62" t="s">
        <v>1248</v>
      </c>
      <c r="K1797" s="62" t="s">
        <v>358</v>
      </c>
      <c r="L1797" s="62" t="s">
        <v>2421</v>
      </c>
      <c r="M1797" s="66" t="s">
        <v>1972</v>
      </c>
    </row>
    <row r="1798" spans="1:13" x14ac:dyDescent="0.3">
      <c r="A1798" s="61" t="s">
        <v>2263</v>
      </c>
      <c r="B1798" s="62" t="s">
        <v>1527</v>
      </c>
      <c r="C1798" s="62" t="s">
        <v>1528</v>
      </c>
      <c r="D1798" s="63">
        <v>45292</v>
      </c>
      <c r="E1798" s="63">
        <v>46203</v>
      </c>
      <c r="F1798" s="62" t="s">
        <v>287</v>
      </c>
      <c r="G1798" s="62" t="s">
        <v>1345</v>
      </c>
      <c r="H1798" s="62" t="s">
        <v>468</v>
      </c>
      <c r="I1798" s="62" t="s">
        <v>1518</v>
      </c>
      <c r="J1798" s="62" t="s">
        <v>1248</v>
      </c>
      <c r="K1798" s="62" t="s">
        <v>358</v>
      </c>
      <c r="L1798" s="62" t="s">
        <v>2421</v>
      </c>
      <c r="M1798" s="66" t="s">
        <v>1972</v>
      </c>
    </row>
    <row r="1799" spans="1:13" x14ac:dyDescent="0.3">
      <c r="A1799" s="61" t="s">
        <v>2264</v>
      </c>
      <c r="B1799" s="62" t="s">
        <v>1546</v>
      </c>
      <c r="C1799" s="62" t="s">
        <v>1547</v>
      </c>
      <c r="D1799" s="63">
        <v>45686</v>
      </c>
      <c r="E1799" s="63">
        <v>47147</v>
      </c>
      <c r="F1799" s="62" t="s">
        <v>1943</v>
      </c>
      <c r="G1799" s="62" t="s">
        <v>452</v>
      </c>
      <c r="H1799" s="62" t="s">
        <v>1548</v>
      </c>
      <c r="I1799" s="62" t="s">
        <v>1518</v>
      </c>
      <c r="J1799" s="62" t="s">
        <v>2424</v>
      </c>
      <c r="K1799" s="62" t="s">
        <v>426</v>
      </c>
      <c r="L1799" s="62" t="s">
        <v>2421</v>
      </c>
      <c r="M1799" s="66" t="s">
        <v>1989</v>
      </c>
    </row>
    <row r="1800" spans="1:13" x14ac:dyDescent="0.3">
      <c r="A1800" s="61" t="s">
        <v>2264</v>
      </c>
      <c r="B1800" s="62" t="s">
        <v>1546</v>
      </c>
      <c r="C1800" s="62" t="s">
        <v>1547</v>
      </c>
      <c r="D1800" s="63">
        <v>45686</v>
      </c>
      <c r="E1800" s="63">
        <v>47147</v>
      </c>
      <c r="F1800" s="62" t="s">
        <v>1943</v>
      </c>
      <c r="G1800" s="62" t="s">
        <v>957</v>
      </c>
      <c r="H1800" s="62" t="s">
        <v>1548</v>
      </c>
      <c r="I1800" s="62" t="s">
        <v>1518</v>
      </c>
      <c r="J1800" s="62" t="s">
        <v>2424</v>
      </c>
      <c r="K1800" s="62" t="s">
        <v>426</v>
      </c>
      <c r="L1800" s="62" t="s">
        <v>2421</v>
      </c>
      <c r="M1800" s="66" t="s">
        <v>1989</v>
      </c>
    </row>
    <row r="1801" spans="1:13" x14ac:dyDescent="0.3">
      <c r="A1801" s="61" t="s">
        <v>2265</v>
      </c>
      <c r="B1801" s="62" t="s">
        <v>1549</v>
      </c>
      <c r="C1801" s="62" t="s">
        <v>1550</v>
      </c>
      <c r="D1801" s="63">
        <v>45412</v>
      </c>
      <c r="E1801" s="63">
        <v>46506</v>
      </c>
      <c r="F1801" s="62" t="s">
        <v>350</v>
      </c>
      <c r="G1801" s="62" t="s">
        <v>304</v>
      </c>
      <c r="H1801" s="62" t="s">
        <v>645</v>
      </c>
      <c r="I1801" s="62" t="s">
        <v>825</v>
      </c>
      <c r="J1801" s="62" t="s">
        <v>378</v>
      </c>
      <c r="K1801" s="62" t="s">
        <v>371</v>
      </c>
      <c r="L1801" s="62" t="s">
        <v>2421</v>
      </c>
      <c r="M1801" s="66" t="s">
        <v>1972</v>
      </c>
    </row>
    <row r="1802" spans="1:13" x14ac:dyDescent="0.3">
      <c r="A1802" s="61" t="s">
        <v>2266</v>
      </c>
      <c r="B1802" s="62" t="s">
        <v>1551</v>
      </c>
      <c r="C1802" s="62" t="s">
        <v>1552</v>
      </c>
      <c r="D1802" s="63">
        <v>45565</v>
      </c>
      <c r="E1802" s="63">
        <v>46294</v>
      </c>
      <c r="F1802" s="62" t="s">
        <v>350</v>
      </c>
      <c r="G1802" s="62" t="s">
        <v>350</v>
      </c>
      <c r="H1802" s="62" t="s">
        <v>2453</v>
      </c>
      <c r="I1802" s="62" t="s">
        <v>2443</v>
      </c>
      <c r="J1802" s="62" t="s">
        <v>558</v>
      </c>
      <c r="K1802" s="62" t="s">
        <v>426</v>
      </c>
      <c r="L1802" s="62" t="s">
        <v>2421</v>
      </c>
      <c r="M1802" s="66" t="s">
        <v>1985</v>
      </c>
    </row>
    <row r="1803" spans="1:13" x14ac:dyDescent="0.3">
      <c r="A1803" s="61" t="s">
        <v>2267</v>
      </c>
      <c r="B1803" s="62" t="s">
        <v>1553</v>
      </c>
      <c r="C1803" s="62" t="s">
        <v>1554</v>
      </c>
      <c r="D1803" s="63">
        <v>45503</v>
      </c>
      <c r="E1803" s="63">
        <v>46230</v>
      </c>
      <c r="F1803" s="62" t="s">
        <v>289</v>
      </c>
      <c r="G1803" s="62" t="s">
        <v>574</v>
      </c>
      <c r="H1803" s="62" t="s">
        <v>939</v>
      </c>
      <c r="I1803" s="62" t="s">
        <v>2443</v>
      </c>
      <c r="J1803" s="62" t="s">
        <v>314</v>
      </c>
      <c r="K1803" s="62" t="s">
        <v>315</v>
      </c>
      <c r="L1803" s="62" t="s">
        <v>2421</v>
      </c>
      <c r="M1803" s="66" t="s">
        <v>1972</v>
      </c>
    </row>
    <row r="1804" spans="1:13" x14ac:dyDescent="0.3">
      <c r="A1804" s="61" t="s">
        <v>2267</v>
      </c>
      <c r="B1804" s="62" t="s">
        <v>1553</v>
      </c>
      <c r="C1804" s="62" t="s">
        <v>1554</v>
      </c>
      <c r="D1804" s="63">
        <v>45503</v>
      </c>
      <c r="E1804" s="63">
        <v>46230</v>
      </c>
      <c r="F1804" s="62" t="s">
        <v>289</v>
      </c>
      <c r="G1804" s="62" t="s">
        <v>965</v>
      </c>
      <c r="H1804" s="62" t="s">
        <v>939</v>
      </c>
      <c r="I1804" s="62" t="s">
        <v>2443</v>
      </c>
      <c r="J1804" s="62" t="s">
        <v>314</v>
      </c>
      <c r="K1804" s="62" t="s">
        <v>315</v>
      </c>
      <c r="L1804" s="62" t="s">
        <v>2421</v>
      </c>
      <c r="M1804" s="66" t="s">
        <v>1972</v>
      </c>
    </row>
    <row r="1805" spans="1:13" x14ac:dyDescent="0.3">
      <c r="A1805" s="61" t="s">
        <v>2267</v>
      </c>
      <c r="B1805" s="62" t="s">
        <v>1553</v>
      </c>
      <c r="C1805" s="62" t="s">
        <v>1554</v>
      </c>
      <c r="D1805" s="63">
        <v>45503</v>
      </c>
      <c r="E1805" s="63">
        <v>46230</v>
      </c>
      <c r="F1805" s="62" t="s">
        <v>289</v>
      </c>
      <c r="G1805" s="62" t="s">
        <v>576</v>
      </c>
      <c r="H1805" s="62" t="s">
        <v>939</v>
      </c>
      <c r="I1805" s="62" t="s">
        <v>2443</v>
      </c>
      <c r="J1805" s="62" t="s">
        <v>314</v>
      </c>
      <c r="K1805" s="62" t="s">
        <v>315</v>
      </c>
      <c r="L1805" s="62" t="s">
        <v>2421</v>
      </c>
      <c r="M1805" s="66" t="s">
        <v>1972</v>
      </c>
    </row>
    <row r="1806" spans="1:13" x14ac:dyDescent="0.3">
      <c r="A1806" s="61" t="s">
        <v>2268</v>
      </c>
      <c r="B1806" s="62" t="s">
        <v>1555</v>
      </c>
      <c r="C1806" s="62" t="s">
        <v>1556</v>
      </c>
      <c r="D1806" s="63">
        <v>45398</v>
      </c>
      <c r="E1806" s="63">
        <v>46366</v>
      </c>
      <c r="F1806" s="62" t="s">
        <v>348</v>
      </c>
      <c r="G1806" s="62" t="s">
        <v>304</v>
      </c>
      <c r="H1806" s="62" t="s">
        <v>2425</v>
      </c>
      <c r="I1806" s="62" t="s">
        <v>825</v>
      </c>
      <c r="J1806" s="62" t="s">
        <v>1248</v>
      </c>
      <c r="K1806" s="62" t="s">
        <v>358</v>
      </c>
      <c r="L1806" s="62" t="s">
        <v>2421</v>
      </c>
      <c r="M1806" s="66" t="s">
        <v>1964</v>
      </c>
    </row>
    <row r="1807" spans="1:13" x14ac:dyDescent="0.3">
      <c r="A1807" s="61" t="s">
        <v>2269</v>
      </c>
      <c r="B1807" s="62" t="s">
        <v>1557</v>
      </c>
      <c r="C1807" s="62" t="s">
        <v>1558</v>
      </c>
      <c r="D1807" s="63">
        <v>45444</v>
      </c>
      <c r="E1807" s="63">
        <v>47483</v>
      </c>
      <c r="F1807" s="62" t="s">
        <v>350</v>
      </c>
      <c r="G1807" s="62" t="s">
        <v>304</v>
      </c>
      <c r="H1807" s="62" t="s">
        <v>1105</v>
      </c>
      <c r="I1807" s="62" t="s">
        <v>1518</v>
      </c>
      <c r="J1807" s="62" t="s">
        <v>793</v>
      </c>
      <c r="K1807" s="62" t="s">
        <v>358</v>
      </c>
      <c r="L1807" s="62" t="s">
        <v>2421</v>
      </c>
      <c r="M1807" s="66" t="s">
        <v>1971</v>
      </c>
    </row>
    <row r="1808" spans="1:13" x14ac:dyDescent="0.3">
      <c r="A1808" s="61" t="s">
        <v>2270</v>
      </c>
      <c r="B1808" s="62" t="s">
        <v>1559</v>
      </c>
      <c r="C1808" s="62" t="s">
        <v>1560</v>
      </c>
      <c r="D1808" s="63">
        <v>45488</v>
      </c>
      <c r="E1808" s="63">
        <v>46401</v>
      </c>
      <c r="F1808" s="62" t="s">
        <v>1921</v>
      </c>
      <c r="G1808" s="62" t="s">
        <v>713</v>
      </c>
      <c r="H1808" s="62" t="s">
        <v>2495</v>
      </c>
      <c r="I1808" s="62" t="s">
        <v>1518</v>
      </c>
      <c r="J1808" s="62" t="s">
        <v>719</v>
      </c>
      <c r="K1808" s="62" t="s">
        <v>465</v>
      </c>
      <c r="L1808" s="62" t="s">
        <v>2421</v>
      </c>
      <c r="M1808" s="66" t="s">
        <v>2021</v>
      </c>
    </row>
    <row r="1809" spans="1:13" x14ac:dyDescent="0.3">
      <c r="A1809" s="61" t="s">
        <v>2270</v>
      </c>
      <c r="B1809" s="62" t="s">
        <v>1559</v>
      </c>
      <c r="C1809" s="62" t="s">
        <v>1560</v>
      </c>
      <c r="D1809" s="63">
        <v>45488</v>
      </c>
      <c r="E1809" s="63">
        <v>46401</v>
      </c>
      <c r="F1809" s="62" t="s">
        <v>1921</v>
      </c>
      <c r="G1809" s="62" t="s">
        <v>713</v>
      </c>
      <c r="H1809" s="62" t="s">
        <v>490</v>
      </c>
      <c r="I1809" s="62" t="s">
        <v>1518</v>
      </c>
      <c r="J1809" s="62" t="s">
        <v>719</v>
      </c>
      <c r="K1809" s="62" t="s">
        <v>465</v>
      </c>
      <c r="L1809" s="62" t="s">
        <v>2421</v>
      </c>
      <c r="M1809" s="66" t="s">
        <v>2021</v>
      </c>
    </row>
    <row r="1810" spans="1:13" x14ac:dyDescent="0.3">
      <c r="A1810" s="61" t="s">
        <v>2271</v>
      </c>
      <c r="B1810" s="62" t="s">
        <v>1561</v>
      </c>
      <c r="C1810" s="62" t="s">
        <v>1562</v>
      </c>
      <c r="D1810" s="63">
        <v>45174</v>
      </c>
      <c r="E1810" s="63">
        <v>46234</v>
      </c>
      <c r="F1810" s="62" t="s">
        <v>350</v>
      </c>
      <c r="G1810" s="62" t="s">
        <v>304</v>
      </c>
      <c r="H1810" s="62" t="s">
        <v>601</v>
      </c>
      <c r="I1810" s="62" t="s">
        <v>1518</v>
      </c>
      <c r="J1810" s="62" t="s">
        <v>1563</v>
      </c>
      <c r="K1810" s="62" t="s">
        <v>596</v>
      </c>
      <c r="L1810" s="62" t="s">
        <v>2421</v>
      </c>
      <c r="M1810" s="66" t="s">
        <v>1971</v>
      </c>
    </row>
    <row r="1811" spans="1:13" x14ac:dyDescent="0.3">
      <c r="A1811" s="61" t="s">
        <v>2272</v>
      </c>
      <c r="B1811" s="62" t="s">
        <v>1564</v>
      </c>
      <c r="C1811" s="62" t="s">
        <v>1565</v>
      </c>
      <c r="D1811" s="63">
        <v>45553</v>
      </c>
      <c r="E1811" s="63">
        <v>46277</v>
      </c>
      <c r="F1811" s="62" t="s">
        <v>350</v>
      </c>
      <c r="G1811" s="62" t="s">
        <v>304</v>
      </c>
      <c r="H1811" s="62" t="s">
        <v>2425</v>
      </c>
      <c r="I1811" s="62" t="s">
        <v>1518</v>
      </c>
      <c r="J1811" s="62" t="s">
        <v>910</v>
      </c>
      <c r="K1811" s="62" t="s">
        <v>646</v>
      </c>
      <c r="L1811" s="62" t="s">
        <v>2421</v>
      </c>
      <c r="M1811" s="66" t="s">
        <v>1974</v>
      </c>
    </row>
    <row r="1812" spans="1:13" x14ac:dyDescent="0.3">
      <c r="A1812" s="61" t="s">
        <v>2273</v>
      </c>
      <c r="B1812" s="62" t="s">
        <v>1566</v>
      </c>
      <c r="C1812" s="62" t="s">
        <v>1567</v>
      </c>
      <c r="D1812" s="63">
        <v>45170</v>
      </c>
      <c r="E1812" s="63">
        <v>46203</v>
      </c>
      <c r="F1812" s="62" t="s">
        <v>350</v>
      </c>
      <c r="G1812" s="62" t="s">
        <v>304</v>
      </c>
      <c r="H1812" s="62" t="s">
        <v>1568</v>
      </c>
      <c r="I1812" s="62" t="s">
        <v>1518</v>
      </c>
      <c r="J1812" s="62" t="s">
        <v>364</v>
      </c>
      <c r="K1812" s="62" t="s">
        <v>365</v>
      </c>
      <c r="L1812" s="62" t="s">
        <v>2421</v>
      </c>
      <c r="M1812" s="66" t="s">
        <v>1971</v>
      </c>
    </row>
    <row r="1813" spans="1:13" x14ac:dyDescent="0.3">
      <c r="A1813" s="61" t="s">
        <v>2274</v>
      </c>
      <c r="B1813" s="62" t="s">
        <v>1569</v>
      </c>
      <c r="C1813" s="62" t="s">
        <v>1570</v>
      </c>
      <c r="D1813" s="63">
        <v>45541</v>
      </c>
      <c r="E1813" s="63">
        <v>46182</v>
      </c>
      <c r="F1813" s="62" t="s">
        <v>1916</v>
      </c>
      <c r="G1813" s="62" t="s">
        <v>304</v>
      </c>
      <c r="H1813" s="62" t="s">
        <v>2425</v>
      </c>
      <c r="I1813" s="62" t="s">
        <v>1518</v>
      </c>
      <c r="J1813" s="62" t="s">
        <v>1504</v>
      </c>
      <c r="K1813" s="62" t="s">
        <v>596</v>
      </c>
      <c r="L1813" s="62" t="s">
        <v>2421</v>
      </c>
      <c r="M1813" s="66" t="s">
        <v>1982</v>
      </c>
    </row>
    <row r="1814" spans="1:13" x14ac:dyDescent="0.3">
      <c r="A1814" s="61" t="s">
        <v>2275</v>
      </c>
      <c r="B1814" s="62" t="s">
        <v>1571</v>
      </c>
      <c r="C1814" s="62" t="s">
        <v>1572</v>
      </c>
      <c r="D1814" s="63">
        <v>44862</v>
      </c>
      <c r="E1814" s="63">
        <v>46630</v>
      </c>
      <c r="F1814" s="62" t="s">
        <v>1931</v>
      </c>
      <c r="G1814" s="62" t="s">
        <v>304</v>
      </c>
      <c r="H1814" s="62" t="s">
        <v>601</v>
      </c>
      <c r="I1814" s="62" t="s">
        <v>457</v>
      </c>
      <c r="J1814" s="62" t="s">
        <v>1573</v>
      </c>
      <c r="K1814" s="62" t="s">
        <v>744</v>
      </c>
      <c r="L1814" s="62" t="s">
        <v>2421</v>
      </c>
      <c r="M1814" s="66" t="s">
        <v>1971</v>
      </c>
    </row>
    <row r="1815" spans="1:13" x14ac:dyDescent="0.3">
      <c r="A1815" s="61" t="s">
        <v>2275</v>
      </c>
      <c r="B1815" s="62" t="s">
        <v>1571</v>
      </c>
      <c r="C1815" s="62" t="s">
        <v>1572</v>
      </c>
      <c r="D1815" s="63">
        <v>44862</v>
      </c>
      <c r="E1815" s="63">
        <v>46630</v>
      </c>
      <c r="F1815" s="62" t="s">
        <v>282</v>
      </c>
      <c r="G1815" s="62" t="s">
        <v>304</v>
      </c>
      <c r="H1815" s="62" t="s">
        <v>601</v>
      </c>
      <c r="I1815" s="62" t="s">
        <v>457</v>
      </c>
      <c r="J1815" s="62" t="s">
        <v>1573</v>
      </c>
      <c r="K1815" s="62" t="s">
        <v>744</v>
      </c>
      <c r="L1815" s="62" t="s">
        <v>2421</v>
      </c>
      <c r="M1815" s="66" t="s">
        <v>1971</v>
      </c>
    </row>
    <row r="1816" spans="1:13" x14ac:dyDescent="0.3">
      <c r="A1816" s="61" t="s">
        <v>2276</v>
      </c>
      <c r="B1816" s="62" t="s">
        <v>1574</v>
      </c>
      <c r="C1816" s="62" t="s">
        <v>1575</v>
      </c>
      <c r="D1816" s="63">
        <v>45606</v>
      </c>
      <c r="E1816" s="63">
        <v>46276</v>
      </c>
      <c r="F1816" s="62" t="s">
        <v>350</v>
      </c>
      <c r="G1816" s="62" t="s">
        <v>350</v>
      </c>
      <c r="H1816" s="62" t="s">
        <v>2425</v>
      </c>
      <c r="I1816" s="62" t="s">
        <v>424</v>
      </c>
      <c r="J1816" s="62" t="s">
        <v>851</v>
      </c>
      <c r="K1816" s="62" t="s">
        <v>637</v>
      </c>
      <c r="L1816" s="62" t="s">
        <v>2421</v>
      </c>
      <c r="M1816" s="66" t="s">
        <v>1965</v>
      </c>
    </row>
    <row r="1817" spans="1:13" x14ac:dyDescent="0.3">
      <c r="A1817" s="61" t="s">
        <v>2277</v>
      </c>
      <c r="B1817" s="62" t="s">
        <v>1580</v>
      </c>
      <c r="C1817" s="62" t="s">
        <v>1581</v>
      </c>
      <c r="D1817" s="63">
        <v>45468</v>
      </c>
      <c r="E1817" s="63">
        <v>46313</v>
      </c>
      <c r="F1817" s="62" t="s">
        <v>348</v>
      </c>
      <c r="G1817" s="62" t="s">
        <v>304</v>
      </c>
      <c r="H1817" s="62" t="s">
        <v>2425</v>
      </c>
      <c r="I1817" s="62" t="s">
        <v>825</v>
      </c>
      <c r="J1817" s="62" t="s">
        <v>912</v>
      </c>
      <c r="K1817" s="62" t="s">
        <v>571</v>
      </c>
      <c r="L1817" s="62" t="s">
        <v>2421</v>
      </c>
      <c r="M1817" s="66" t="s">
        <v>1984</v>
      </c>
    </row>
    <row r="1818" spans="1:13" x14ac:dyDescent="0.3">
      <c r="A1818" s="61" t="s">
        <v>2278</v>
      </c>
      <c r="B1818" s="62" t="s">
        <v>1582</v>
      </c>
      <c r="C1818" s="62" t="s">
        <v>1583</v>
      </c>
      <c r="D1818" s="63">
        <v>45407</v>
      </c>
      <c r="E1818" s="63">
        <v>46317</v>
      </c>
      <c r="F1818" s="62" t="s">
        <v>350</v>
      </c>
      <c r="G1818" s="62" t="s">
        <v>304</v>
      </c>
      <c r="H1818" s="62" t="s">
        <v>2425</v>
      </c>
      <c r="I1818" s="62" t="s">
        <v>1518</v>
      </c>
      <c r="J1818" s="62" t="s">
        <v>949</v>
      </c>
      <c r="K1818" s="62" t="s">
        <v>309</v>
      </c>
      <c r="L1818" s="62" t="s">
        <v>2421</v>
      </c>
      <c r="M1818" s="66" t="s">
        <v>1982</v>
      </c>
    </row>
    <row r="1819" spans="1:13" x14ac:dyDescent="0.3">
      <c r="A1819" s="61" t="s">
        <v>2279</v>
      </c>
      <c r="B1819" s="62" t="s">
        <v>1584</v>
      </c>
      <c r="C1819" s="62" t="s">
        <v>1585</v>
      </c>
      <c r="D1819" s="63">
        <v>45372</v>
      </c>
      <c r="E1819" s="63">
        <v>46285</v>
      </c>
      <c r="F1819" s="62" t="s">
        <v>1916</v>
      </c>
      <c r="G1819" s="62" t="s">
        <v>304</v>
      </c>
      <c r="H1819" s="62" t="s">
        <v>2425</v>
      </c>
      <c r="I1819" s="62" t="s">
        <v>825</v>
      </c>
      <c r="J1819" s="62" t="s">
        <v>671</v>
      </c>
      <c r="K1819" s="62" t="s">
        <v>426</v>
      </c>
      <c r="L1819" s="62" t="s">
        <v>2421</v>
      </c>
      <c r="M1819" s="66" t="s">
        <v>1965</v>
      </c>
    </row>
    <row r="1820" spans="1:13" x14ac:dyDescent="0.3">
      <c r="A1820" s="61" t="s">
        <v>2280</v>
      </c>
      <c r="B1820" s="62" t="s">
        <v>1586</v>
      </c>
      <c r="C1820" s="62" t="s">
        <v>1587</v>
      </c>
      <c r="D1820" s="63">
        <v>45489</v>
      </c>
      <c r="E1820" s="63">
        <v>46696</v>
      </c>
      <c r="F1820" s="62" t="s">
        <v>350</v>
      </c>
      <c r="G1820" s="62" t="s">
        <v>350</v>
      </c>
      <c r="H1820" s="62" t="s">
        <v>2425</v>
      </c>
      <c r="I1820" s="62" t="s">
        <v>2443</v>
      </c>
      <c r="J1820" s="62" t="s">
        <v>640</v>
      </c>
      <c r="K1820" s="62" t="s">
        <v>417</v>
      </c>
      <c r="L1820" s="62" t="s">
        <v>2421</v>
      </c>
      <c r="M1820" s="66" t="s">
        <v>1985</v>
      </c>
    </row>
    <row r="1821" spans="1:13" x14ac:dyDescent="0.3">
      <c r="A1821" s="61" t="s">
        <v>2281</v>
      </c>
      <c r="B1821" s="62" t="s">
        <v>1588</v>
      </c>
      <c r="C1821" s="62" t="s">
        <v>1589</v>
      </c>
      <c r="D1821" s="63">
        <v>45476</v>
      </c>
      <c r="E1821" s="63">
        <v>46687</v>
      </c>
      <c r="F1821" s="62" t="s">
        <v>350</v>
      </c>
      <c r="G1821" s="62" t="s">
        <v>350</v>
      </c>
      <c r="H1821" s="62" t="s">
        <v>2425</v>
      </c>
      <c r="I1821" s="62" t="s">
        <v>2465</v>
      </c>
      <c r="J1821" s="62" t="s">
        <v>851</v>
      </c>
      <c r="K1821" s="62" t="s">
        <v>637</v>
      </c>
      <c r="L1821" s="62" t="s">
        <v>2421</v>
      </c>
      <c r="M1821" s="66" t="s">
        <v>1974</v>
      </c>
    </row>
    <row r="1822" spans="1:13" x14ac:dyDescent="0.3">
      <c r="A1822" s="61" t="s">
        <v>2282</v>
      </c>
      <c r="B1822" s="62" t="s">
        <v>1590</v>
      </c>
      <c r="C1822" s="62" t="s">
        <v>1591</v>
      </c>
      <c r="D1822" s="63">
        <v>45384</v>
      </c>
      <c r="E1822" s="63">
        <v>46551</v>
      </c>
      <c r="F1822" s="62" t="s">
        <v>350</v>
      </c>
      <c r="G1822" s="62" t="s">
        <v>350</v>
      </c>
      <c r="H1822" s="62" t="s">
        <v>2425</v>
      </c>
      <c r="I1822" s="62" t="s">
        <v>424</v>
      </c>
      <c r="J1822" s="62" t="s">
        <v>2424</v>
      </c>
      <c r="K1822" s="62" t="s">
        <v>426</v>
      </c>
      <c r="L1822" s="62" t="s">
        <v>2421</v>
      </c>
      <c r="M1822" s="66" t="s">
        <v>1980</v>
      </c>
    </row>
    <row r="1823" spans="1:13" x14ac:dyDescent="0.3">
      <c r="A1823" s="61" t="s">
        <v>2283</v>
      </c>
      <c r="B1823" s="62" t="s">
        <v>1592</v>
      </c>
      <c r="C1823" s="62" t="s">
        <v>1593</v>
      </c>
      <c r="D1823" s="63">
        <v>45539</v>
      </c>
      <c r="E1823" s="63">
        <v>46726</v>
      </c>
      <c r="F1823" s="62" t="s">
        <v>350</v>
      </c>
      <c r="G1823" s="62" t="s">
        <v>350</v>
      </c>
      <c r="H1823" s="62" t="s">
        <v>2425</v>
      </c>
      <c r="I1823" s="62" t="s">
        <v>825</v>
      </c>
      <c r="J1823" s="62" t="s">
        <v>948</v>
      </c>
      <c r="K1823" s="62" t="s">
        <v>428</v>
      </c>
      <c r="L1823" s="62" t="s">
        <v>2421</v>
      </c>
      <c r="M1823" s="66" t="s">
        <v>2021</v>
      </c>
    </row>
    <row r="1824" spans="1:13" x14ac:dyDescent="0.3">
      <c r="A1824" s="61" t="s">
        <v>2284</v>
      </c>
      <c r="B1824" s="62" t="s">
        <v>1594</v>
      </c>
      <c r="C1824" s="62" t="s">
        <v>1595</v>
      </c>
      <c r="D1824" s="63">
        <v>45443</v>
      </c>
      <c r="E1824" s="63">
        <v>46470</v>
      </c>
      <c r="F1824" s="62" t="s">
        <v>348</v>
      </c>
      <c r="G1824" s="62" t="s">
        <v>304</v>
      </c>
      <c r="H1824" s="62" t="s">
        <v>2425</v>
      </c>
      <c r="I1824" s="62" t="s">
        <v>1518</v>
      </c>
      <c r="J1824" s="62" t="s">
        <v>793</v>
      </c>
      <c r="K1824" s="62" t="s">
        <v>358</v>
      </c>
      <c r="L1824" s="62" t="s">
        <v>2421</v>
      </c>
      <c r="M1824" s="66" t="s">
        <v>1983</v>
      </c>
    </row>
    <row r="1825" spans="1:13" x14ac:dyDescent="0.3">
      <c r="A1825" s="61" t="s">
        <v>2285</v>
      </c>
      <c r="B1825" s="62" t="s">
        <v>1596</v>
      </c>
      <c r="C1825" s="62" t="s">
        <v>1597</v>
      </c>
      <c r="D1825" s="63">
        <v>45460</v>
      </c>
      <c r="E1825" s="63">
        <v>46302</v>
      </c>
      <c r="F1825" s="62" t="s">
        <v>350</v>
      </c>
      <c r="G1825" s="62" t="s">
        <v>350</v>
      </c>
      <c r="H1825" s="62" t="s">
        <v>2425</v>
      </c>
      <c r="I1825" s="62" t="s">
        <v>825</v>
      </c>
      <c r="J1825" s="62" t="s">
        <v>570</v>
      </c>
      <c r="K1825" s="62" t="s">
        <v>571</v>
      </c>
      <c r="L1825" s="62" t="s">
        <v>2421</v>
      </c>
      <c r="M1825" s="66" t="s">
        <v>1966</v>
      </c>
    </row>
    <row r="1826" spans="1:13" x14ac:dyDescent="0.3">
      <c r="A1826" s="61" t="s">
        <v>2286</v>
      </c>
      <c r="B1826" s="62" t="s">
        <v>1598</v>
      </c>
      <c r="C1826" s="62" t="s">
        <v>1599</v>
      </c>
      <c r="D1826" s="63">
        <v>45420</v>
      </c>
      <c r="E1826" s="63">
        <v>46076</v>
      </c>
      <c r="F1826" s="62" t="s">
        <v>350</v>
      </c>
      <c r="G1826" s="62" t="s">
        <v>350</v>
      </c>
      <c r="H1826" s="62" t="s">
        <v>2425</v>
      </c>
      <c r="I1826" s="62" t="s">
        <v>2465</v>
      </c>
      <c r="J1826" s="62" t="s">
        <v>603</v>
      </c>
      <c r="K1826" s="62" t="s">
        <v>371</v>
      </c>
      <c r="L1826" s="62" t="s">
        <v>2421</v>
      </c>
      <c r="M1826" s="66" t="s">
        <v>1981</v>
      </c>
    </row>
    <row r="1827" spans="1:13" x14ac:dyDescent="0.3">
      <c r="A1827" s="61" t="s">
        <v>2287</v>
      </c>
      <c r="B1827" s="62" t="s">
        <v>1600</v>
      </c>
      <c r="C1827" s="62" t="s">
        <v>1601</v>
      </c>
      <c r="D1827" s="63">
        <v>45260</v>
      </c>
      <c r="E1827" s="63">
        <v>46721</v>
      </c>
      <c r="F1827" s="62" t="s">
        <v>1935</v>
      </c>
      <c r="G1827" s="62" t="s">
        <v>304</v>
      </c>
      <c r="H1827" s="62" t="s">
        <v>361</v>
      </c>
      <c r="I1827" s="62" t="s">
        <v>1518</v>
      </c>
      <c r="J1827" s="62" t="s">
        <v>1602</v>
      </c>
      <c r="K1827" s="62" t="s">
        <v>596</v>
      </c>
      <c r="L1827" s="62" t="s">
        <v>2421</v>
      </c>
      <c r="M1827" s="66" t="s">
        <v>1968</v>
      </c>
    </row>
    <row r="1828" spans="1:13" x14ac:dyDescent="0.3">
      <c r="A1828" s="61" t="s">
        <v>2287</v>
      </c>
      <c r="B1828" s="62" t="s">
        <v>1600</v>
      </c>
      <c r="C1828" s="62" t="s">
        <v>1601</v>
      </c>
      <c r="D1828" s="63">
        <v>45260</v>
      </c>
      <c r="E1828" s="63">
        <v>46721</v>
      </c>
      <c r="F1828" s="62" t="s">
        <v>348</v>
      </c>
      <c r="G1828" s="62" t="s">
        <v>304</v>
      </c>
      <c r="H1828" s="62" t="s">
        <v>361</v>
      </c>
      <c r="I1828" s="62" t="s">
        <v>1518</v>
      </c>
      <c r="J1828" s="62" t="s">
        <v>1602</v>
      </c>
      <c r="K1828" s="62" t="s">
        <v>596</v>
      </c>
      <c r="L1828" s="62" t="s">
        <v>2421</v>
      </c>
      <c r="M1828" s="66" t="s">
        <v>1968</v>
      </c>
    </row>
    <row r="1829" spans="1:13" x14ac:dyDescent="0.3">
      <c r="A1829" s="61" t="s">
        <v>2287</v>
      </c>
      <c r="B1829" s="62" t="s">
        <v>1600</v>
      </c>
      <c r="C1829" s="62" t="s">
        <v>1601</v>
      </c>
      <c r="D1829" s="63">
        <v>45260</v>
      </c>
      <c r="E1829" s="63">
        <v>46721</v>
      </c>
      <c r="F1829" s="62" t="s">
        <v>1933</v>
      </c>
      <c r="G1829" s="62" t="s">
        <v>304</v>
      </c>
      <c r="H1829" s="62" t="s">
        <v>361</v>
      </c>
      <c r="I1829" s="62" t="s">
        <v>1518</v>
      </c>
      <c r="J1829" s="62" t="s">
        <v>1602</v>
      </c>
      <c r="K1829" s="62" t="s">
        <v>596</v>
      </c>
      <c r="L1829" s="62" t="s">
        <v>2421</v>
      </c>
      <c r="M1829" s="66" t="s">
        <v>1968</v>
      </c>
    </row>
    <row r="1830" spans="1:13" x14ac:dyDescent="0.3">
      <c r="A1830" s="61" t="s">
        <v>2287</v>
      </c>
      <c r="B1830" s="62" t="s">
        <v>1600</v>
      </c>
      <c r="C1830" s="62" t="s">
        <v>1601</v>
      </c>
      <c r="D1830" s="63">
        <v>45260</v>
      </c>
      <c r="E1830" s="63">
        <v>46721</v>
      </c>
      <c r="F1830" s="62" t="s">
        <v>1937</v>
      </c>
      <c r="G1830" s="62" t="s">
        <v>304</v>
      </c>
      <c r="H1830" s="62" t="s">
        <v>361</v>
      </c>
      <c r="I1830" s="62" t="s">
        <v>1518</v>
      </c>
      <c r="J1830" s="62" t="s">
        <v>1602</v>
      </c>
      <c r="K1830" s="62" t="s">
        <v>596</v>
      </c>
      <c r="L1830" s="62" t="s">
        <v>2421</v>
      </c>
      <c r="M1830" s="66" t="s">
        <v>1968</v>
      </c>
    </row>
    <row r="1831" spans="1:13" x14ac:dyDescent="0.3">
      <c r="A1831" s="61" t="s">
        <v>2287</v>
      </c>
      <c r="B1831" s="62" t="s">
        <v>1600</v>
      </c>
      <c r="C1831" s="62" t="s">
        <v>1601</v>
      </c>
      <c r="D1831" s="63">
        <v>45260</v>
      </c>
      <c r="E1831" s="63">
        <v>46721</v>
      </c>
      <c r="F1831" s="62" t="s">
        <v>1943</v>
      </c>
      <c r="G1831" s="62" t="s">
        <v>304</v>
      </c>
      <c r="H1831" s="62" t="s">
        <v>361</v>
      </c>
      <c r="I1831" s="62" t="s">
        <v>1518</v>
      </c>
      <c r="J1831" s="62" t="s">
        <v>1602</v>
      </c>
      <c r="K1831" s="62" t="s">
        <v>596</v>
      </c>
      <c r="L1831" s="62" t="s">
        <v>2421</v>
      </c>
      <c r="M1831" s="66" t="s">
        <v>1968</v>
      </c>
    </row>
    <row r="1832" spans="1:13" x14ac:dyDescent="0.3">
      <c r="A1832" s="61" t="s">
        <v>2287</v>
      </c>
      <c r="B1832" s="62" t="s">
        <v>1600</v>
      </c>
      <c r="C1832" s="62" t="s">
        <v>1601</v>
      </c>
      <c r="D1832" s="63">
        <v>45260</v>
      </c>
      <c r="E1832" s="63">
        <v>46721</v>
      </c>
      <c r="F1832" s="62" t="s">
        <v>1930</v>
      </c>
      <c r="G1832" s="62" t="s">
        <v>304</v>
      </c>
      <c r="H1832" s="62" t="s">
        <v>361</v>
      </c>
      <c r="I1832" s="62" t="s">
        <v>1518</v>
      </c>
      <c r="J1832" s="62" t="s">
        <v>1602</v>
      </c>
      <c r="K1832" s="62" t="s">
        <v>596</v>
      </c>
      <c r="L1832" s="62" t="s">
        <v>2421</v>
      </c>
      <c r="M1832" s="66" t="s">
        <v>1968</v>
      </c>
    </row>
    <row r="1833" spans="1:13" x14ac:dyDescent="0.3">
      <c r="A1833" s="61" t="s">
        <v>2287</v>
      </c>
      <c r="B1833" s="62" t="s">
        <v>1600</v>
      </c>
      <c r="C1833" s="62" t="s">
        <v>1601</v>
      </c>
      <c r="D1833" s="63">
        <v>45260</v>
      </c>
      <c r="E1833" s="63">
        <v>46721</v>
      </c>
      <c r="F1833" s="62" t="s">
        <v>1960</v>
      </c>
      <c r="G1833" s="62" t="s">
        <v>304</v>
      </c>
      <c r="H1833" s="62" t="s">
        <v>361</v>
      </c>
      <c r="I1833" s="62" t="s">
        <v>1518</v>
      </c>
      <c r="J1833" s="62" t="s">
        <v>1602</v>
      </c>
      <c r="K1833" s="62" t="s">
        <v>596</v>
      </c>
      <c r="L1833" s="62" t="s">
        <v>2421</v>
      </c>
      <c r="M1833" s="66" t="s">
        <v>1968</v>
      </c>
    </row>
    <row r="1834" spans="1:13" x14ac:dyDescent="0.3">
      <c r="A1834" s="61" t="s">
        <v>2287</v>
      </c>
      <c r="B1834" s="62" t="s">
        <v>1600</v>
      </c>
      <c r="C1834" s="62" t="s">
        <v>1601</v>
      </c>
      <c r="D1834" s="63">
        <v>45260</v>
      </c>
      <c r="E1834" s="63">
        <v>46721</v>
      </c>
      <c r="F1834" s="62" t="s">
        <v>1945</v>
      </c>
      <c r="G1834" s="62" t="s">
        <v>304</v>
      </c>
      <c r="H1834" s="62" t="s">
        <v>361</v>
      </c>
      <c r="I1834" s="62" t="s">
        <v>1518</v>
      </c>
      <c r="J1834" s="62" t="s">
        <v>1602</v>
      </c>
      <c r="K1834" s="62" t="s">
        <v>596</v>
      </c>
      <c r="L1834" s="62" t="s">
        <v>2421</v>
      </c>
      <c r="M1834" s="66" t="s">
        <v>1968</v>
      </c>
    </row>
    <row r="1835" spans="1:13" x14ac:dyDescent="0.3">
      <c r="A1835" s="61" t="s">
        <v>2288</v>
      </c>
      <c r="B1835" s="62" t="s">
        <v>1603</v>
      </c>
      <c r="C1835" s="62" t="s">
        <v>1604</v>
      </c>
      <c r="D1835" s="63">
        <v>45476</v>
      </c>
      <c r="E1835" s="63">
        <v>46709</v>
      </c>
      <c r="F1835" s="62" t="s">
        <v>350</v>
      </c>
      <c r="G1835" s="62" t="s">
        <v>304</v>
      </c>
      <c r="H1835" s="62" t="s">
        <v>2425</v>
      </c>
      <c r="I1835" s="62" t="s">
        <v>1518</v>
      </c>
      <c r="J1835" s="62" t="s">
        <v>949</v>
      </c>
      <c r="K1835" s="62" t="s">
        <v>309</v>
      </c>
      <c r="L1835" s="62" t="s">
        <v>2421</v>
      </c>
      <c r="M1835" s="66" t="s">
        <v>1982</v>
      </c>
    </row>
    <row r="1836" spans="1:13" x14ac:dyDescent="0.3">
      <c r="A1836" s="61" t="s">
        <v>2289</v>
      </c>
      <c r="B1836" s="62" t="s">
        <v>2496</v>
      </c>
      <c r="C1836" s="62" t="s">
        <v>1605</v>
      </c>
      <c r="D1836" s="63">
        <v>45441</v>
      </c>
      <c r="E1836" s="63">
        <v>46282</v>
      </c>
      <c r="F1836" s="62" t="s">
        <v>348</v>
      </c>
      <c r="G1836" s="62" t="s">
        <v>304</v>
      </c>
      <c r="H1836" s="62" t="s">
        <v>2425</v>
      </c>
      <c r="I1836" s="62" t="s">
        <v>1518</v>
      </c>
      <c r="J1836" s="62" t="s">
        <v>851</v>
      </c>
      <c r="K1836" s="62" t="s">
        <v>637</v>
      </c>
      <c r="L1836" s="62" t="s">
        <v>2421</v>
      </c>
      <c r="M1836" s="66" t="s">
        <v>1973</v>
      </c>
    </row>
    <row r="1837" spans="1:13" x14ac:dyDescent="0.3">
      <c r="A1837" s="61" t="s">
        <v>2289</v>
      </c>
      <c r="B1837" s="62" t="s">
        <v>2496</v>
      </c>
      <c r="C1837" s="62" t="s">
        <v>1605</v>
      </c>
      <c r="D1837" s="63">
        <v>45441</v>
      </c>
      <c r="E1837" s="63">
        <v>46282</v>
      </c>
      <c r="F1837" s="62" t="s">
        <v>1930</v>
      </c>
      <c r="G1837" s="62" t="s">
        <v>304</v>
      </c>
      <c r="H1837" s="62" t="s">
        <v>2425</v>
      </c>
      <c r="I1837" s="62" t="s">
        <v>1518</v>
      </c>
      <c r="J1837" s="62" t="s">
        <v>851</v>
      </c>
      <c r="K1837" s="62" t="s">
        <v>637</v>
      </c>
      <c r="L1837" s="62" t="s">
        <v>2421</v>
      </c>
      <c r="M1837" s="66" t="s">
        <v>1973</v>
      </c>
    </row>
    <row r="1838" spans="1:13" x14ac:dyDescent="0.3">
      <c r="A1838" s="61" t="s">
        <v>2290</v>
      </c>
      <c r="B1838" s="62" t="s">
        <v>1606</v>
      </c>
      <c r="C1838" s="62" t="s">
        <v>1607</v>
      </c>
      <c r="D1838" s="63">
        <v>45280</v>
      </c>
      <c r="E1838" s="63">
        <v>46585</v>
      </c>
      <c r="F1838" s="62" t="s">
        <v>350</v>
      </c>
      <c r="G1838" s="62" t="s">
        <v>304</v>
      </c>
      <c r="H1838" s="62" t="s">
        <v>2425</v>
      </c>
      <c r="I1838" s="62" t="s">
        <v>1518</v>
      </c>
      <c r="J1838" s="62" t="s">
        <v>910</v>
      </c>
      <c r="K1838" s="62" t="s">
        <v>646</v>
      </c>
      <c r="L1838" s="62" t="s">
        <v>2421</v>
      </c>
      <c r="M1838" s="66" t="s">
        <v>1974</v>
      </c>
    </row>
    <row r="1839" spans="1:13" x14ac:dyDescent="0.3">
      <c r="A1839" s="61" t="s">
        <v>2291</v>
      </c>
      <c r="B1839" s="62" t="s">
        <v>1608</v>
      </c>
      <c r="C1839" s="62" t="s">
        <v>1609</v>
      </c>
      <c r="D1839" s="63">
        <v>45350</v>
      </c>
      <c r="E1839" s="63">
        <v>46563</v>
      </c>
      <c r="F1839" s="62" t="s">
        <v>1916</v>
      </c>
      <c r="G1839" s="62" t="s">
        <v>304</v>
      </c>
      <c r="H1839" s="62" t="s">
        <v>2425</v>
      </c>
      <c r="I1839" s="62" t="s">
        <v>1518</v>
      </c>
      <c r="J1839" s="62" t="s">
        <v>427</v>
      </c>
      <c r="K1839" s="62" t="s">
        <v>428</v>
      </c>
      <c r="L1839" s="62" t="s">
        <v>2421</v>
      </c>
      <c r="M1839" s="66" t="s">
        <v>1971</v>
      </c>
    </row>
    <row r="1840" spans="1:13" x14ac:dyDescent="0.3">
      <c r="A1840" s="61" t="s">
        <v>2292</v>
      </c>
      <c r="B1840" s="62" t="s">
        <v>1610</v>
      </c>
      <c r="C1840" s="62" t="s">
        <v>1611</v>
      </c>
      <c r="D1840" s="63">
        <v>45303</v>
      </c>
      <c r="E1840" s="63">
        <v>46149</v>
      </c>
      <c r="F1840" s="62" t="s">
        <v>287</v>
      </c>
      <c r="G1840" s="62" t="s">
        <v>768</v>
      </c>
      <c r="H1840" s="62" t="s">
        <v>2425</v>
      </c>
      <c r="I1840" s="62" t="s">
        <v>825</v>
      </c>
      <c r="J1840" s="62" t="s">
        <v>896</v>
      </c>
      <c r="K1840" s="62" t="s">
        <v>428</v>
      </c>
      <c r="L1840" s="62" t="s">
        <v>2421</v>
      </c>
      <c r="M1840" s="66" t="s">
        <v>2021</v>
      </c>
    </row>
    <row r="1841" spans="1:13" x14ac:dyDescent="0.3">
      <c r="A1841" s="61" t="s">
        <v>2293</v>
      </c>
      <c r="B1841" s="62" t="s">
        <v>1612</v>
      </c>
      <c r="C1841" s="62" t="s">
        <v>1613</v>
      </c>
      <c r="D1841" s="63">
        <v>45393</v>
      </c>
      <c r="E1841" s="63">
        <v>46525</v>
      </c>
      <c r="F1841" s="62" t="s">
        <v>350</v>
      </c>
      <c r="G1841" s="62" t="s">
        <v>304</v>
      </c>
      <c r="H1841" s="62" t="s">
        <v>2425</v>
      </c>
      <c r="I1841" s="62" t="s">
        <v>1518</v>
      </c>
      <c r="J1841" s="62" t="s">
        <v>364</v>
      </c>
      <c r="K1841" s="62" t="s">
        <v>365</v>
      </c>
      <c r="L1841" s="62" t="s">
        <v>2421</v>
      </c>
      <c r="M1841" s="66" t="s">
        <v>1969</v>
      </c>
    </row>
    <row r="1842" spans="1:13" x14ac:dyDescent="0.3">
      <c r="A1842" s="61" t="s">
        <v>2294</v>
      </c>
      <c r="B1842" s="62" t="s">
        <v>1614</v>
      </c>
      <c r="C1842" s="62" t="s">
        <v>1615</v>
      </c>
      <c r="D1842" s="63">
        <v>45658</v>
      </c>
      <c r="E1842" s="63">
        <v>46874</v>
      </c>
      <c r="F1842" s="62" t="s">
        <v>1934</v>
      </c>
      <c r="G1842" s="62" t="s">
        <v>304</v>
      </c>
      <c r="H1842" s="62" t="s">
        <v>373</v>
      </c>
      <c r="I1842" s="62" t="s">
        <v>825</v>
      </c>
      <c r="J1842" s="62" t="s">
        <v>896</v>
      </c>
      <c r="K1842" s="62" t="s">
        <v>428</v>
      </c>
      <c r="L1842" s="62" t="s">
        <v>2421</v>
      </c>
      <c r="M1842" s="66" t="s">
        <v>1972</v>
      </c>
    </row>
    <row r="1843" spans="1:13" x14ac:dyDescent="0.3">
      <c r="A1843" s="61" t="s">
        <v>2294</v>
      </c>
      <c r="B1843" s="62" t="s">
        <v>1614</v>
      </c>
      <c r="C1843" s="62" t="s">
        <v>1615</v>
      </c>
      <c r="D1843" s="63">
        <v>45658</v>
      </c>
      <c r="E1843" s="63">
        <v>46874</v>
      </c>
      <c r="F1843" s="62" t="s">
        <v>1958</v>
      </c>
      <c r="G1843" s="62" t="s">
        <v>304</v>
      </c>
      <c r="H1843" s="62" t="s">
        <v>373</v>
      </c>
      <c r="I1843" s="62" t="s">
        <v>825</v>
      </c>
      <c r="J1843" s="62" t="s">
        <v>896</v>
      </c>
      <c r="K1843" s="62" t="s">
        <v>428</v>
      </c>
      <c r="L1843" s="62" t="s">
        <v>2421</v>
      </c>
      <c r="M1843" s="66" t="s">
        <v>1972</v>
      </c>
    </row>
    <row r="1844" spans="1:13" x14ac:dyDescent="0.3">
      <c r="A1844" s="61" t="s">
        <v>2294</v>
      </c>
      <c r="B1844" s="62" t="s">
        <v>1614</v>
      </c>
      <c r="C1844" s="62" t="s">
        <v>1615</v>
      </c>
      <c r="D1844" s="63">
        <v>45658</v>
      </c>
      <c r="E1844" s="63">
        <v>46874</v>
      </c>
      <c r="F1844" s="62" t="s">
        <v>1944</v>
      </c>
      <c r="G1844" s="62" t="s">
        <v>304</v>
      </c>
      <c r="H1844" s="62" t="s">
        <v>373</v>
      </c>
      <c r="I1844" s="62" t="s">
        <v>825</v>
      </c>
      <c r="J1844" s="62" t="s">
        <v>896</v>
      </c>
      <c r="K1844" s="62" t="s">
        <v>428</v>
      </c>
      <c r="L1844" s="62" t="s">
        <v>2421</v>
      </c>
      <c r="M1844" s="66" t="s">
        <v>1972</v>
      </c>
    </row>
    <row r="1845" spans="1:13" x14ac:dyDescent="0.3">
      <c r="A1845" s="61" t="s">
        <v>2294</v>
      </c>
      <c r="B1845" s="62" t="s">
        <v>1614</v>
      </c>
      <c r="C1845" s="62" t="s">
        <v>1615</v>
      </c>
      <c r="D1845" s="63">
        <v>45658</v>
      </c>
      <c r="E1845" s="63">
        <v>46874</v>
      </c>
      <c r="F1845" s="62" t="s">
        <v>1930</v>
      </c>
      <c r="G1845" s="62" t="s">
        <v>304</v>
      </c>
      <c r="H1845" s="62" t="s">
        <v>373</v>
      </c>
      <c r="I1845" s="62" t="s">
        <v>825</v>
      </c>
      <c r="J1845" s="62" t="s">
        <v>896</v>
      </c>
      <c r="K1845" s="62" t="s">
        <v>428</v>
      </c>
      <c r="L1845" s="62" t="s">
        <v>2421</v>
      </c>
      <c r="M1845" s="66" t="s">
        <v>1972</v>
      </c>
    </row>
    <row r="1846" spans="1:13" x14ac:dyDescent="0.3">
      <c r="A1846" s="61" t="s">
        <v>2294</v>
      </c>
      <c r="B1846" s="62" t="s">
        <v>1614</v>
      </c>
      <c r="C1846" s="62" t="s">
        <v>1615</v>
      </c>
      <c r="D1846" s="63">
        <v>45658</v>
      </c>
      <c r="E1846" s="63">
        <v>46874</v>
      </c>
      <c r="F1846" s="62" t="s">
        <v>1941</v>
      </c>
      <c r="G1846" s="62" t="s">
        <v>304</v>
      </c>
      <c r="H1846" s="62" t="s">
        <v>373</v>
      </c>
      <c r="I1846" s="62" t="s">
        <v>825</v>
      </c>
      <c r="J1846" s="62" t="s">
        <v>896</v>
      </c>
      <c r="K1846" s="62" t="s">
        <v>428</v>
      </c>
      <c r="L1846" s="62" t="s">
        <v>2421</v>
      </c>
      <c r="M1846" s="66" t="s">
        <v>1972</v>
      </c>
    </row>
    <row r="1847" spans="1:13" x14ac:dyDescent="0.3">
      <c r="A1847" s="61" t="s">
        <v>2294</v>
      </c>
      <c r="B1847" s="62" t="s">
        <v>1614</v>
      </c>
      <c r="C1847" s="62" t="s">
        <v>1615</v>
      </c>
      <c r="D1847" s="63">
        <v>45658</v>
      </c>
      <c r="E1847" s="63">
        <v>46874</v>
      </c>
      <c r="F1847" s="62" t="s">
        <v>1959</v>
      </c>
      <c r="G1847" s="62" t="s">
        <v>304</v>
      </c>
      <c r="H1847" s="62" t="s">
        <v>373</v>
      </c>
      <c r="I1847" s="62" t="s">
        <v>825</v>
      </c>
      <c r="J1847" s="62" t="s">
        <v>896</v>
      </c>
      <c r="K1847" s="62" t="s">
        <v>428</v>
      </c>
      <c r="L1847" s="62" t="s">
        <v>2421</v>
      </c>
      <c r="M1847" s="66" t="s">
        <v>1972</v>
      </c>
    </row>
    <row r="1848" spans="1:13" x14ac:dyDescent="0.3">
      <c r="A1848" s="61" t="s">
        <v>2294</v>
      </c>
      <c r="B1848" s="62" t="s">
        <v>1614</v>
      </c>
      <c r="C1848" s="62" t="s">
        <v>1615</v>
      </c>
      <c r="D1848" s="63">
        <v>45658</v>
      </c>
      <c r="E1848" s="63">
        <v>46874</v>
      </c>
      <c r="F1848" s="62" t="s">
        <v>1936</v>
      </c>
      <c r="G1848" s="62" t="s">
        <v>304</v>
      </c>
      <c r="H1848" s="62" t="s">
        <v>373</v>
      </c>
      <c r="I1848" s="62" t="s">
        <v>825</v>
      </c>
      <c r="J1848" s="62" t="s">
        <v>896</v>
      </c>
      <c r="K1848" s="62" t="s">
        <v>428</v>
      </c>
      <c r="L1848" s="62" t="s">
        <v>2421</v>
      </c>
      <c r="M1848" s="66" t="s">
        <v>1972</v>
      </c>
    </row>
    <row r="1849" spans="1:13" x14ac:dyDescent="0.3">
      <c r="A1849" s="61" t="s">
        <v>2294</v>
      </c>
      <c r="B1849" s="62" t="s">
        <v>1614</v>
      </c>
      <c r="C1849" s="62" t="s">
        <v>1615</v>
      </c>
      <c r="D1849" s="63">
        <v>45658</v>
      </c>
      <c r="E1849" s="63">
        <v>46874</v>
      </c>
      <c r="F1849" s="62" t="s">
        <v>287</v>
      </c>
      <c r="G1849" s="62" t="s">
        <v>304</v>
      </c>
      <c r="H1849" s="62" t="s">
        <v>373</v>
      </c>
      <c r="I1849" s="62" t="s">
        <v>825</v>
      </c>
      <c r="J1849" s="62" t="s">
        <v>896</v>
      </c>
      <c r="K1849" s="62" t="s">
        <v>428</v>
      </c>
      <c r="L1849" s="62" t="s">
        <v>2421</v>
      </c>
      <c r="M1849" s="66" t="s">
        <v>1972</v>
      </c>
    </row>
    <row r="1850" spans="1:13" x14ac:dyDescent="0.3">
      <c r="A1850" s="61" t="s">
        <v>2295</v>
      </c>
      <c r="B1850" s="62" t="s">
        <v>1616</v>
      </c>
      <c r="C1850" s="62" t="s">
        <v>1617</v>
      </c>
      <c r="D1850" s="63">
        <v>45555</v>
      </c>
      <c r="E1850" s="63">
        <v>46366</v>
      </c>
      <c r="F1850" s="62" t="s">
        <v>350</v>
      </c>
      <c r="G1850" s="62" t="s">
        <v>304</v>
      </c>
      <c r="H1850" s="62" t="s">
        <v>2425</v>
      </c>
      <c r="I1850" s="62" t="s">
        <v>825</v>
      </c>
      <c r="J1850" s="62" t="s">
        <v>912</v>
      </c>
      <c r="K1850" s="62" t="s">
        <v>571</v>
      </c>
      <c r="L1850" s="62" t="s">
        <v>2421</v>
      </c>
      <c r="M1850" s="66" t="s">
        <v>1984</v>
      </c>
    </row>
    <row r="1851" spans="1:13" x14ac:dyDescent="0.3">
      <c r="A1851" s="61" t="s">
        <v>2296</v>
      </c>
      <c r="B1851" s="62" t="s">
        <v>1618</v>
      </c>
      <c r="C1851" s="62" t="s">
        <v>1619</v>
      </c>
      <c r="D1851" s="63">
        <v>45558</v>
      </c>
      <c r="E1851" s="63">
        <v>46366</v>
      </c>
      <c r="F1851" s="62" t="s">
        <v>350</v>
      </c>
      <c r="G1851" s="62" t="s">
        <v>304</v>
      </c>
      <c r="H1851" s="62" t="s">
        <v>2425</v>
      </c>
      <c r="I1851" s="62" t="s">
        <v>825</v>
      </c>
      <c r="J1851" s="62" t="s">
        <v>948</v>
      </c>
      <c r="K1851" s="62" t="s">
        <v>428</v>
      </c>
      <c r="L1851" s="62" t="s">
        <v>2421</v>
      </c>
      <c r="M1851" s="66" t="s">
        <v>1969</v>
      </c>
    </row>
    <row r="1852" spans="1:13" x14ac:dyDescent="0.3">
      <c r="A1852" s="61" t="s">
        <v>2297</v>
      </c>
      <c r="B1852" s="62" t="s">
        <v>1620</v>
      </c>
      <c r="C1852" s="62" t="s">
        <v>1621</v>
      </c>
      <c r="D1852" s="63">
        <v>45378</v>
      </c>
      <c r="E1852" s="63">
        <v>46591</v>
      </c>
      <c r="F1852" s="62" t="s">
        <v>350</v>
      </c>
      <c r="G1852" s="62" t="s">
        <v>304</v>
      </c>
      <c r="H1852" s="62" t="s">
        <v>2425</v>
      </c>
      <c r="I1852" s="62" t="s">
        <v>2443</v>
      </c>
      <c r="J1852" s="62" t="s">
        <v>635</v>
      </c>
      <c r="K1852" s="62" t="s">
        <v>375</v>
      </c>
      <c r="L1852" s="62" t="s">
        <v>2421</v>
      </c>
      <c r="M1852" s="66" t="s">
        <v>1967</v>
      </c>
    </row>
    <row r="1853" spans="1:13" x14ac:dyDescent="0.3">
      <c r="A1853" s="61" t="s">
        <v>2298</v>
      </c>
      <c r="B1853" s="62" t="s">
        <v>1622</v>
      </c>
      <c r="C1853" s="62" t="s">
        <v>1623</v>
      </c>
      <c r="D1853" s="63">
        <v>45525</v>
      </c>
      <c r="E1853" s="63">
        <v>46255</v>
      </c>
      <c r="F1853" s="62" t="s">
        <v>1945</v>
      </c>
      <c r="G1853" s="62" t="s">
        <v>400</v>
      </c>
      <c r="H1853" s="62" t="s">
        <v>468</v>
      </c>
      <c r="I1853" s="62" t="s">
        <v>825</v>
      </c>
      <c r="J1853" s="62" t="s">
        <v>558</v>
      </c>
      <c r="K1853" s="62" t="s">
        <v>426</v>
      </c>
      <c r="L1853" s="62" t="s">
        <v>2421</v>
      </c>
      <c r="M1853" s="66" t="s">
        <v>1970</v>
      </c>
    </row>
    <row r="1854" spans="1:13" x14ac:dyDescent="0.3">
      <c r="A1854" s="61" t="s">
        <v>2298</v>
      </c>
      <c r="B1854" s="62" t="s">
        <v>1622</v>
      </c>
      <c r="C1854" s="62" t="s">
        <v>1623</v>
      </c>
      <c r="D1854" s="63">
        <v>45525</v>
      </c>
      <c r="E1854" s="63">
        <v>46255</v>
      </c>
      <c r="F1854" s="62" t="s">
        <v>1945</v>
      </c>
      <c r="G1854" s="62" t="s">
        <v>400</v>
      </c>
      <c r="H1854" s="62" t="s">
        <v>2497</v>
      </c>
      <c r="I1854" s="62" t="s">
        <v>825</v>
      </c>
      <c r="J1854" s="62" t="s">
        <v>558</v>
      </c>
      <c r="K1854" s="62" t="s">
        <v>426</v>
      </c>
      <c r="L1854" s="62" t="s">
        <v>2421</v>
      </c>
      <c r="M1854" s="66" t="s">
        <v>1970</v>
      </c>
    </row>
    <row r="1855" spans="1:13" x14ac:dyDescent="0.3">
      <c r="A1855" s="61" t="s">
        <v>2298</v>
      </c>
      <c r="B1855" s="62" t="s">
        <v>1622</v>
      </c>
      <c r="C1855" s="62" t="s">
        <v>1623</v>
      </c>
      <c r="D1855" s="63">
        <v>45525</v>
      </c>
      <c r="E1855" s="63">
        <v>46255</v>
      </c>
      <c r="F1855" s="62" t="s">
        <v>1945</v>
      </c>
      <c r="G1855" s="62" t="s">
        <v>400</v>
      </c>
      <c r="H1855" s="62" t="s">
        <v>1624</v>
      </c>
      <c r="I1855" s="62" t="s">
        <v>825</v>
      </c>
      <c r="J1855" s="62" t="s">
        <v>558</v>
      </c>
      <c r="K1855" s="62" t="s">
        <v>426</v>
      </c>
      <c r="L1855" s="62" t="s">
        <v>2421</v>
      </c>
      <c r="M1855" s="66" t="s">
        <v>1970</v>
      </c>
    </row>
    <row r="1856" spans="1:13" x14ac:dyDescent="0.3">
      <c r="A1856" s="61" t="s">
        <v>2298</v>
      </c>
      <c r="B1856" s="62" t="s">
        <v>1622</v>
      </c>
      <c r="C1856" s="62" t="s">
        <v>1623</v>
      </c>
      <c r="D1856" s="63">
        <v>45525</v>
      </c>
      <c r="E1856" s="63">
        <v>46255</v>
      </c>
      <c r="F1856" s="62" t="s">
        <v>1945</v>
      </c>
      <c r="G1856" s="62" t="s">
        <v>400</v>
      </c>
      <c r="H1856" s="62" t="s">
        <v>1625</v>
      </c>
      <c r="I1856" s="62" t="s">
        <v>825</v>
      </c>
      <c r="J1856" s="62" t="s">
        <v>558</v>
      </c>
      <c r="K1856" s="62" t="s">
        <v>426</v>
      </c>
      <c r="L1856" s="62" t="s">
        <v>2421</v>
      </c>
      <c r="M1856" s="66" t="s">
        <v>1970</v>
      </c>
    </row>
    <row r="1857" spans="1:13" x14ac:dyDescent="0.3">
      <c r="A1857" s="61" t="s">
        <v>2298</v>
      </c>
      <c r="B1857" s="62" t="s">
        <v>1622</v>
      </c>
      <c r="C1857" s="62" t="s">
        <v>1623</v>
      </c>
      <c r="D1857" s="63">
        <v>45525</v>
      </c>
      <c r="E1857" s="63">
        <v>46255</v>
      </c>
      <c r="F1857" s="62" t="s">
        <v>1945</v>
      </c>
      <c r="G1857" s="62" t="s">
        <v>400</v>
      </c>
      <c r="H1857" s="62" t="s">
        <v>1626</v>
      </c>
      <c r="I1857" s="62" t="s">
        <v>825</v>
      </c>
      <c r="J1857" s="62" t="s">
        <v>558</v>
      </c>
      <c r="K1857" s="62" t="s">
        <v>426</v>
      </c>
      <c r="L1857" s="62" t="s">
        <v>2421</v>
      </c>
      <c r="M1857" s="66" t="s">
        <v>1970</v>
      </c>
    </row>
    <row r="1858" spans="1:13" x14ac:dyDescent="0.3">
      <c r="A1858" s="61" t="s">
        <v>2299</v>
      </c>
      <c r="B1858" s="62" t="s">
        <v>1627</v>
      </c>
      <c r="C1858" s="62" t="s">
        <v>1628</v>
      </c>
      <c r="D1858" s="63">
        <v>45720</v>
      </c>
      <c r="E1858" s="63">
        <v>46084</v>
      </c>
      <c r="F1858" s="62" t="s">
        <v>1930</v>
      </c>
      <c r="G1858" s="62" t="s">
        <v>543</v>
      </c>
      <c r="H1858" s="62" t="s">
        <v>1110</v>
      </c>
      <c r="I1858" s="62" t="s">
        <v>825</v>
      </c>
      <c r="J1858" s="62" t="s">
        <v>378</v>
      </c>
      <c r="K1858" s="62" t="s">
        <v>371</v>
      </c>
      <c r="L1858" s="62" t="s">
        <v>2421</v>
      </c>
      <c r="M1858" s="66" t="s">
        <v>1972</v>
      </c>
    </row>
    <row r="1859" spans="1:13" x14ac:dyDescent="0.3">
      <c r="A1859" s="61" t="s">
        <v>2300</v>
      </c>
      <c r="B1859" s="62" t="s">
        <v>1629</v>
      </c>
      <c r="C1859" s="62" t="s">
        <v>1630</v>
      </c>
      <c r="D1859" s="63">
        <v>45356</v>
      </c>
      <c r="E1859" s="63">
        <v>46477</v>
      </c>
      <c r="F1859" s="62" t="s">
        <v>350</v>
      </c>
      <c r="G1859" s="62" t="s">
        <v>304</v>
      </c>
      <c r="H1859" s="62" t="s">
        <v>1631</v>
      </c>
      <c r="I1859" s="62" t="s">
        <v>2443</v>
      </c>
      <c r="J1859" s="62" t="s">
        <v>635</v>
      </c>
      <c r="K1859" s="62" t="s">
        <v>375</v>
      </c>
      <c r="L1859" s="62" t="s">
        <v>2421</v>
      </c>
      <c r="M1859" s="66" t="s">
        <v>1967</v>
      </c>
    </row>
    <row r="1860" spans="1:13" x14ac:dyDescent="0.3">
      <c r="A1860" s="61" t="s">
        <v>2301</v>
      </c>
      <c r="B1860" s="62" t="s">
        <v>1633</v>
      </c>
      <c r="C1860" s="62" t="s">
        <v>1634</v>
      </c>
      <c r="D1860" s="63">
        <v>45141</v>
      </c>
      <c r="E1860" s="63">
        <v>46752</v>
      </c>
      <c r="F1860" s="62" t="s">
        <v>348</v>
      </c>
      <c r="G1860" s="62" t="s">
        <v>304</v>
      </c>
      <c r="H1860" s="62" t="s">
        <v>1476</v>
      </c>
      <c r="I1860" s="62" t="s">
        <v>825</v>
      </c>
      <c r="J1860" s="62" t="s">
        <v>579</v>
      </c>
      <c r="K1860" s="62" t="s">
        <v>428</v>
      </c>
      <c r="L1860" s="62" t="s">
        <v>2421</v>
      </c>
      <c r="M1860" s="66" t="s">
        <v>2021</v>
      </c>
    </row>
    <row r="1861" spans="1:13" x14ac:dyDescent="0.3">
      <c r="A1861" s="61" t="s">
        <v>2301</v>
      </c>
      <c r="B1861" s="62" t="s">
        <v>1633</v>
      </c>
      <c r="C1861" s="62" t="s">
        <v>1634</v>
      </c>
      <c r="D1861" s="63">
        <v>45141</v>
      </c>
      <c r="E1861" s="63">
        <v>46752</v>
      </c>
      <c r="F1861" s="62" t="s">
        <v>1930</v>
      </c>
      <c r="G1861" s="62" t="s">
        <v>304</v>
      </c>
      <c r="H1861" s="62" t="s">
        <v>1476</v>
      </c>
      <c r="I1861" s="62" t="s">
        <v>825</v>
      </c>
      <c r="J1861" s="62" t="s">
        <v>579</v>
      </c>
      <c r="K1861" s="62" t="s">
        <v>428</v>
      </c>
      <c r="L1861" s="62" t="s">
        <v>2421</v>
      </c>
      <c r="M1861" s="66" t="s">
        <v>2021</v>
      </c>
    </row>
    <row r="1862" spans="1:13" x14ac:dyDescent="0.3">
      <c r="A1862" s="61" t="s">
        <v>2301</v>
      </c>
      <c r="B1862" s="62" t="s">
        <v>1633</v>
      </c>
      <c r="C1862" s="62" t="s">
        <v>1634</v>
      </c>
      <c r="D1862" s="63">
        <v>45141</v>
      </c>
      <c r="E1862" s="63">
        <v>46752</v>
      </c>
      <c r="F1862" s="62" t="s">
        <v>1941</v>
      </c>
      <c r="G1862" s="62" t="s">
        <v>304</v>
      </c>
      <c r="H1862" s="62" t="s">
        <v>1476</v>
      </c>
      <c r="I1862" s="62" t="s">
        <v>825</v>
      </c>
      <c r="J1862" s="62" t="s">
        <v>579</v>
      </c>
      <c r="K1862" s="62" t="s">
        <v>428</v>
      </c>
      <c r="L1862" s="62" t="s">
        <v>2421</v>
      </c>
      <c r="M1862" s="66" t="s">
        <v>2021</v>
      </c>
    </row>
    <row r="1863" spans="1:13" x14ac:dyDescent="0.3">
      <c r="A1863" s="61" t="s">
        <v>2301</v>
      </c>
      <c r="B1863" s="62" t="s">
        <v>1633</v>
      </c>
      <c r="C1863" s="62" t="s">
        <v>1634</v>
      </c>
      <c r="D1863" s="63">
        <v>45141</v>
      </c>
      <c r="E1863" s="63">
        <v>46752</v>
      </c>
      <c r="F1863" s="62" t="s">
        <v>287</v>
      </c>
      <c r="G1863" s="62" t="s">
        <v>304</v>
      </c>
      <c r="H1863" s="62" t="s">
        <v>1476</v>
      </c>
      <c r="I1863" s="62" t="s">
        <v>825</v>
      </c>
      <c r="J1863" s="62" t="s">
        <v>579</v>
      </c>
      <c r="K1863" s="62" t="s">
        <v>428</v>
      </c>
      <c r="L1863" s="62" t="s">
        <v>2421</v>
      </c>
      <c r="M1863" s="66" t="s">
        <v>2021</v>
      </c>
    </row>
    <row r="1864" spans="1:13" x14ac:dyDescent="0.3">
      <c r="A1864" s="61" t="s">
        <v>2302</v>
      </c>
      <c r="B1864" s="62" t="s">
        <v>1635</v>
      </c>
      <c r="C1864" s="62" t="s">
        <v>1636</v>
      </c>
      <c r="D1864" s="63">
        <v>45382</v>
      </c>
      <c r="E1864" s="63">
        <v>46232</v>
      </c>
      <c r="F1864" s="62" t="s">
        <v>348</v>
      </c>
      <c r="G1864" s="62" t="s">
        <v>304</v>
      </c>
      <c r="H1864" s="62" t="s">
        <v>2425</v>
      </c>
      <c r="I1864" s="62" t="s">
        <v>1518</v>
      </c>
      <c r="J1864" s="62" t="s">
        <v>355</v>
      </c>
      <c r="K1864" s="62" t="s">
        <v>309</v>
      </c>
      <c r="L1864" s="62" t="s">
        <v>2421</v>
      </c>
      <c r="M1864" s="66" t="s">
        <v>1971</v>
      </c>
    </row>
    <row r="1865" spans="1:13" x14ac:dyDescent="0.3">
      <c r="A1865" s="61" t="s">
        <v>2302</v>
      </c>
      <c r="B1865" s="62" t="s">
        <v>1635</v>
      </c>
      <c r="C1865" s="62" t="s">
        <v>1636</v>
      </c>
      <c r="D1865" s="63">
        <v>45382</v>
      </c>
      <c r="E1865" s="63">
        <v>46232</v>
      </c>
      <c r="F1865" s="62" t="s">
        <v>1945</v>
      </c>
      <c r="G1865" s="62" t="s">
        <v>304</v>
      </c>
      <c r="H1865" s="62" t="s">
        <v>2425</v>
      </c>
      <c r="I1865" s="62" t="s">
        <v>1518</v>
      </c>
      <c r="J1865" s="62" t="s">
        <v>355</v>
      </c>
      <c r="K1865" s="62" t="s">
        <v>309</v>
      </c>
      <c r="L1865" s="62" t="s">
        <v>2421</v>
      </c>
      <c r="M1865" s="66" t="s">
        <v>1971</v>
      </c>
    </row>
    <row r="1866" spans="1:13" x14ac:dyDescent="0.3">
      <c r="A1866" s="61" t="s">
        <v>2303</v>
      </c>
      <c r="B1866" s="62" t="s">
        <v>1637</v>
      </c>
      <c r="C1866" s="62" t="s">
        <v>1638</v>
      </c>
      <c r="D1866" s="63">
        <v>45516</v>
      </c>
      <c r="E1866" s="63">
        <v>46344</v>
      </c>
      <c r="F1866" s="62" t="s">
        <v>1958</v>
      </c>
      <c r="G1866" s="62" t="s">
        <v>304</v>
      </c>
      <c r="H1866" s="62" t="s">
        <v>2425</v>
      </c>
      <c r="I1866" s="62" t="s">
        <v>1518</v>
      </c>
      <c r="J1866" s="62" t="s">
        <v>364</v>
      </c>
      <c r="K1866" s="62" t="s">
        <v>365</v>
      </c>
      <c r="L1866" s="62" t="s">
        <v>2421</v>
      </c>
      <c r="M1866" s="66" t="s">
        <v>1971</v>
      </c>
    </row>
    <row r="1867" spans="1:13" x14ac:dyDescent="0.3">
      <c r="A1867" s="61" t="s">
        <v>2303</v>
      </c>
      <c r="B1867" s="62" t="s">
        <v>1637</v>
      </c>
      <c r="C1867" s="62" t="s">
        <v>1638</v>
      </c>
      <c r="D1867" s="63">
        <v>45516</v>
      </c>
      <c r="E1867" s="63">
        <v>46344</v>
      </c>
      <c r="F1867" s="62" t="s">
        <v>1961</v>
      </c>
      <c r="G1867" s="62" t="s">
        <v>304</v>
      </c>
      <c r="H1867" s="62" t="s">
        <v>2425</v>
      </c>
      <c r="I1867" s="62" t="s">
        <v>1518</v>
      </c>
      <c r="J1867" s="62" t="s">
        <v>364</v>
      </c>
      <c r="K1867" s="62" t="s">
        <v>365</v>
      </c>
      <c r="L1867" s="62" t="s">
        <v>2421</v>
      </c>
      <c r="M1867" s="66" t="s">
        <v>1971</v>
      </c>
    </row>
    <row r="1868" spans="1:13" x14ac:dyDescent="0.3">
      <c r="A1868" s="61" t="s">
        <v>2303</v>
      </c>
      <c r="B1868" s="62" t="s">
        <v>1637</v>
      </c>
      <c r="C1868" s="62" t="s">
        <v>1638</v>
      </c>
      <c r="D1868" s="63">
        <v>45516</v>
      </c>
      <c r="E1868" s="63">
        <v>46344</v>
      </c>
      <c r="F1868" s="62" t="s">
        <v>1938</v>
      </c>
      <c r="G1868" s="62" t="s">
        <v>304</v>
      </c>
      <c r="H1868" s="62" t="s">
        <v>2425</v>
      </c>
      <c r="I1868" s="62" t="s">
        <v>1518</v>
      </c>
      <c r="J1868" s="62" t="s">
        <v>364</v>
      </c>
      <c r="K1868" s="62" t="s">
        <v>365</v>
      </c>
      <c r="L1868" s="62" t="s">
        <v>2421</v>
      </c>
      <c r="M1868" s="66" t="s">
        <v>1971</v>
      </c>
    </row>
    <row r="1869" spans="1:13" x14ac:dyDescent="0.3">
      <c r="A1869" s="61" t="s">
        <v>2304</v>
      </c>
      <c r="B1869" s="62" t="s">
        <v>1639</v>
      </c>
      <c r="C1869" s="62" t="s">
        <v>1640</v>
      </c>
      <c r="D1869" s="63">
        <v>45576</v>
      </c>
      <c r="E1869" s="63">
        <v>46426</v>
      </c>
      <c r="F1869" s="62" t="s">
        <v>348</v>
      </c>
      <c r="G1869" s="62" t="s">
        <v>304</v>
      </c>
      <c r="H1869" s="62" t="s">
        <v>2425</v>
      </c>
      <c r="I1869" s="62" t="s">
        <v>825</v>
      </c>
      <c r="J1869" s="62" t="s">
        <v>793</v>
      </c>
      <c r="K1869" s="62" t="s">
        <v>358</v>
      </c>
      <c r="L1869" s="62" t="s">
        <v>2421</v>
      </c>
      <c r="M1869" s="66" t="s">
        <v>1983</v>
      </c>
    </row>
    <row r="1870" spans="1:13" x14ac:dyDescent="0.3">
      <c r="A1870" s="61" t="s">
        <v>2305</v>
      </c>
      <c r="B1870" s="62" t="s">
        <v>1641</v>
      </c>
      <c r="C1870" s="62" t="s">
        <v>1642</v>
      </c>
      <c r="D1870" s="63">
        <v>45604</v>
      </c>
      <c r="E1870" s="63">
        <v>46534</v>
      </c>
      <c r="F1870" s="62" t="s">
        <v>350</v>
      </c>
      <c r="G1870" s="62" t="s">
        <v>304</v>
      </c>
      <c r="H1870" s="62" t="s">
        <v>2425</v>
      </c>
      <c r="I1870" s="62" t="s">
        <v>825</v>
      </c>
      <c r="J1870" s="62" t="s">
        <v>671</v>
      </c>
      <c r="K1870" s="62" t="s">
        <v>426</v>
      </c>
      <c r="L1870" s="62" t="s">
        <v>2421</v>
      </c>
      <c r="M1870" s="66" t="s">
        <v>1980</v>
      </c>
    </row>
    <row r="1871" spans="1:13" x14ac:dyDescent="0.3">
      <c r="A1871" s="61" t="s">
        <v>2306</v>
      </c>
      <c r="B1871" s="62" t="s">
        <v>1643</v>
      </c>
      <c r="C1871" s="62" t="s">
        <v>1644</v>
      </c>
      <c r="D1871" s="63">
        <v>45707</v>
      </c>
      <c r="E1871" s="63">
        <v>46803</v>
      </c>
      <c r="F1871" s="62" t="s">
        <v>1916</v>
      </c>
      <c r="G1871" s="62" t="s">
        <v>304</v>
      </c>
      <c r="H1871" s="62" t="s">
        <v>2425</v>
      </c>
      <c r="I1871" s="62" t="s">
        <v>1518</v>
      </c>
      <c r="J1871" s="62" t="s">
        <v>531</v>
      </c>
      <c r="K1871" s="62" t="s">
        <v>459</v>
      </c>
      <c r="L1871" s="62" t="s">
        <v>2421</v>
      </c>
      <c r="M1871" s="66" t="s">
        <v>1971</v>
      </c>
    </row>
    <row r="1872" spans="1:13" x14ac:dyDescent="0.3">
      <c r="A1872" s="61" t="s">
        <v>2307</v>
      </c>
      <c r="B1872" s="62" t="s">
        <v>1645</v>
      </c>
      <c r="C1872" s="62" t="s">
        <v>1646</v>
      </c>
      <c r="D1872" s="63">
        <v>45271</v>
      </c>
      <c r="E1872" s="63">
        <v>47118</v>
      </c>
      <c r="F1872" s="62" t="s">
        <v>350</v>
      </c>
      <c r="G1872" s="62" t="s">
        <v>304</v>
      </c>
      <c r="H1872" s="62" t="s">
        <v>645</v>
      </c>
      <c r="I1872" s="62" t="s">
        <v>825</v>
      </c>
      <c r="J1872" s="62" t="s">
        <v>551</v>
      </c>
      <c r="K1872" s="62" t="s">
        <v>428</v>
      </c>
      <c r="L1872" s="62" t="s">
        <v>2421</v>
      </c>
      <c r="M1872" s="66" t="s">
        <v>2021</v>
      </c>
    </row>
    <row r="1873" spans="1:13" x14ac:dyDescent="0.3">
      <c r="A1873" s="61" t="s">
        <v>2307</v>
      </c>
      <c r="B1873" s="62" t="s">
        <v>1645</v>
      </c>
      <c r="C1873" s="62" t="s">
        <v>1646</v>
      </c>
      <c r="D1873" s="63">
        <v>45271</v>
      </c>
      <c r="E1873" s="63">
        <v>47118</v>
      </c>
      <c r="F1873" s="62" t="s">
        <v>1959</v>
      </c>
      <c r="G1873" s="62" t="s">
        <v>304</v>
      </c>
      <c r="H1873" s="62" t="s">
        <v>645</v>
      </c>
      <c r="I1873" s="62" t="s">
        <v>825</v>
      </c>
      <c r="J1873" s="62" t="s">
        <v>551</v>
      </c>
      <c r="K1873" s="62" t="s">
        <v>428</v>
      </c>
      <c r="L1873" s="62" t="s">
        <v>2421</v>
      </c>
      <c r="M1873" s="66" t="s">
        <v>2021</v>
      </c>
    </row>
    <row r="1874" spans="1:13" x14ac:dyDescent="0.3">
      <c r="A1874" s="61" t="s">
        <v>2307</v>
      </c>
      <c r="B1874" s="62" t="s">
        <v>1645</v>
      </c>
      <c r="C1874" s="62" t="s">
        <v>1646</v>
      </c>
      <c r="D1874" s="63">
        <v>45271</v>
      </c>
      <c r="E1874" s="63">
        <v>47118</v>
      </c>
      <c r="F1874" s="62" t="s">
        <v>1936</v>
      </c>
      <c r="G1874" s="62" t="s">
        <v>304</v>
      </c>
      <c r="H1874" s="62" t="s">
        <v>645</v>
      </c>
      <c r="I1874" s="62" t="s">
        <v>825</v>
      </c>
      <c r="J1874" s="62" t="s">
        <v>551</v>
      </c>
      <c r="K1874" s="62" t="s">
        <v>428</v>
      </c>
      <c r="L1874" s="62" t="s">
        <v>2421</v>
      </c>
      <c r="M1874" s="66" t="s">
        <v>2021</v>
      </c>
    </row>
    <row r="1875" spans="1:13" x14ac:dyDescent="0.3">
      <c r="A1875" s="61" t="s">
        <v>2307</v>
      </c>
      <c r="B1875" s="62" t="s">
        <v>1645</v>
      </c>
      <c r="C1875" s="62" t="s">
        <v>1646</v>
      </c>
      <c r="D1875" s="63">
        <v>45271</v>
      </c>
      <c r="E1875" s="63">
        <v>47118</v>
      </c>
      <c r="F1875" s="62" t="s">
        <v>287</v>
      </c>
      <c r="G1875" s="62" t="s">
        <v>304</v>
      </c>
      <c r="H1875" s="62" t="s">
        <v>645</v>
      </c>
      <c r="I1875" s="62" t="s">
        <v>825</v>
      </c>
      <c r="J1875" s="62" t="s">
        <v>551</v>
      </c>
      <c r="K1875" s="62" t="s">
        <v>428</v>
      </c>
      <c r="L1875" s="62" t="s">
        <v>2421</v>
      </c>
      <c r="M1875" s="66" t="s">
        <v>2021</v>
      </c>
    </row>
    <row r="1876" spans="1:13" x14ac:dyDescent="0.3">
      <c r="A1876" s="61" t="s">
        <v>2308</v>
      </c>
      <c r="B1876" s="62" t="s">
        <v>1647</v>
      </c>
      <c r="C1876" s="62" t="s">
        <v>1648</v>
      </c>
      <c r="D1876" s="63">
        <v>45231</v>
      </c>
      <c r="E1876" s="63">
        <v>46173</v>
      </c>
      <c r="F1876" s="62" t="s">
        <v>1935</v>
      </c>
      <c r="G1876" s="62" t="s">
        <v>336</v>
      </c>
      <c r="H1876" s="62" t="s">
        <v>813</v>
      </c>
      <c r="I1876" s="62" t="s">
        <v>1518</v>
      </c>
      <c r="J1876" s="62" t="s">
        <v>910</v>
      </c>
      <c r="K1876" s="62" t="s">
        <v>646</v>
      </c>
      <c r="L1876" s="62" t="s">
        <v>2421</v>
      </c>
      <c r="M1876" s="66" t="s">
        <v>1974</v>
      </c>
    </row>
    <row r="1877" spans="1:13" x14ac:dyDescent="0.3">
      <c r="A1877" s="61" t="s">
        <v>2308</v>
      </c>
      <c r="B1877" s="62" t="s">
        <v>1647</v>
      </c>
      <c r="C1877" s="62" t="s">
        <v>1648</v>
      </c>
      <c r="D1877" s="63">
        <v>45231</v>
      </c>
      <c r="E1877" s="63">
        <v>46173</v>
      </c>
      <c r="F1877" s="62" t="s">
        <v>1935</v>
      </c>
      <c r="G1877" s="62" t="s">
        <v>337</v>
      </c>
      <c r="H1877" s="62" t="s">
        <v>813</v>
      </c>
      <c r="I1877" s="62" t="s">
        <v>1518</v>
      </c>
      <c r="J1877" s="62" t="s">
        <v>910</v>
      </c>
      <c r="K1877" s="62" t="s">
        <v>646</v>
      </c>
      <c r="L1877" s="62" t="s">
        <v>2421</v>
      </c>
      <c r="M1877" s="66" t="s">
        <v>1974</v>
      </c>
    </row>
    <row r="1878" spans="1:13" x14ac:dyDescent="0.3">
      <c r="A1878" s="61" t="s">
        <v>2308</v>
      </c>
      <c r="B1878" s="62" t="s">
        <v>1647</v>
      </c>
      <c r="C1878" s="62" t="s">
        <v>1648</v>
      </c>
      <c r="D1878" s="63">
        <v>45231</v>
      </c>
      <c r="E1878" s="63">
        <v>46173</v>
      </c>
      <c r="F1878" s="62" t="s">
        <v>1935</v>
      </c>
      <c r="G1878" s="62" t="s">
        <v>338</v>
      </c>
      <c r="H1878" s="62" t="s">
        <v>813</v>
      </c>
      <c r="I1878" s="62" t="s">
        <v>1518</v>
      </c>
      <c r="J1878" s="62" t="s">
        <v>910</v>
      </c>
      <c r="K1878" s="62" t="s">
        <v>646</v>
      </c>
      <c r="L1878" s="62" t="s">
        <v>2421</v>
      </c>
      <c r="M1878" s="66" t="s">
        <v>1974</v>
      </c>
    </row>
    <row r="1879" spans="1:13" x14ac:dyDescent="0.3">
      <c r="A1879" s="61" t="s">
        <v>2308</v>
      </c>
      <c r="B1879" s="62" t="s">
        <v>1647</v>
      </c>
      <c r="C1879" s="62" t="s">
        <v>1648</v>
      </c>
      <c r="D1879" s="63">
        <v>45231</v>
      </c>
      <c r="E1879" s="63">
        <v>46173</v>
      </c>
      <c r="F1879" s="62" t="s">
        <v>1935</v>
      </c>
      <c r="G1879" s="62" t="s">
        <v>339</v>
      </c>
      <c r="H1879" s="62" t="s">
        <v>813</v>
      </c>
      <c r="I1879" s="62" t="s">
        <v>1518</v>
      </c>
      <c r="J1879" s="62" t="s">
        <v>910</v>
      </c>
      <c r="K1879" s="62" t="s">
        <v>646</v>
      </c>
      <c r="L1879" s="62" t="s">
        <v>2421</v>
      </c>
      <c r="M1879" s="66" t="s">
        <v>1974</v>
      </c>
    </row>
    <row r="1880" spans="1:13" x14ac:dyDescent="0.3">
      <c r="A1880" s="61" t="s">
        <v>2308</v>
      </c>
      <c r="B1880" s="62" t="s">
        <v>1647</v>
      </c>
      <c r="C1880" s="62" t="s">
        <v>1648</v>
      </c>
      <c r="D1880" s="63">
        <v>45231</v>
      </c>
      <c r="E1880" s="63">
        <v>46173</v>
      </c>
      <c r="F1880" s="62" t="s">
        <v>1935</v>
      </c>
      <c r="G1880" s="62" t="s">
        <v>340</v>
      </c>
      <c r="H1880" s="62" t="s">
        <v>813</v>
      </c>
      <c r="I1880" s="62" t="s">
        <v>1518</v>
      </c>
      <c r="J1880" s="62" t="s">
        <v>910</v>
      </c>
      <c r="K1880" s="62" t="s">
        <v>646</v>
      </c>
      <c r="L1880" s="62" t="s">
        <v>2421</v>
      </c>
      <c r="M1880" s="66" t="s">
        <v>1974</v>
      </c>
    </row>
    <row r="1881" spans="1:13" x14ac:dyDescent="0.3">
      <c r="A1881" s="61" t="s">
        <v>2308</v>
      </c>
      <c r="B1881" s="62" t="s">
        <v>1647</v>
      </c>
      <c r="C1881" s="62" t="s">
        <v>1648</v>
      </c>
      <c r="D1881" s="63">
        <v>45231</v>
      </c>
      <c r="E1881" s="63">
        <v>46173</v>
      </c>
      <c r="F1881" s="62" t="s">
        <v>1935</v>
      </c>
      <c r="G1881" s="62" t="s">
        <v>564</v>
      </c>
      <c r="H1881" s="62" t="s">
        <v>813</v>
      </c>
      <c r="I1881" s="62" t="s">
        <v>1518</v>
      </c>
      <c r="J1881" s="62" t="s">
        <v>910</v>
      </c>
      <c r="K1881" s="62" t="s">
        <v>646</v>
      </c>
      <c r="L1881" s="62" t="s">
        <v>2421</v>
      </c>
      <c r="M1881" s="66" t="s">
        <v>1974</v>
      </c>
    </row>
    <row r="1882" spans="1:13" x14ac:dyDescent="0.3">
      <c r="A1882" s="61" t="s">
        <v>2308</v>
      </c>
      <c r="B1882" s="62" t="s">
        <v>1647</v>
      </c>
      <c r="C1882" s="62" t="s">
        <v>1648</v>
      </c>
      <c r="D1882" s="63">
        <v>45231</v>
      </c>
      <c r="E1882" s="63">
        <v>46173</v>
      </c>
      <c r="F1882" s="62" t="s">
        <v>1921</v>
      </c>
      <c r="G1882" s="62" t="s">
        <v>618</v>
      </c>
      <c r="H1882" s="62" t="s">
        <v>813</v>
      </c>
      <c r="I1882" s="62" t="s">
        <v>1518</v>
      </c>
      <c r="J1882" s="62" t="s">
        <v>910</v>
      </c>
      <c r="K1882" s="62" t="s">
        <v>646</v>
      </c>
      <c r="L1882" s="62" t="s">
        <v>2421</v>
      </c>
      <c r="M1882" s="66" t="s">
        <v>1974</v>
      </c>
    </row>
    <row r="1883" spans="1:13" x14ac:dyDescent="0.3">
      <c r="A1883" s="61" t="s">
        <v>2308</v>
      </c>
      <c r="B1883" s="62" t="s">
        <v>1647</v>
      </c>
      <c r="C1883" s="62" t="s">
        <v>1648</v>
      </c>
      <c r="D1883" s="63">
        <v>45231</v>
      </c>
      <c r="E1883" s="63">
        <v>46173</v>
      </c>
      <c r="F1883" s="62" t="s">
        <v>1921</v>
      </c>
      <c r="G1883" s="62" t="s">
        <v>619</v>
      </c>
      <c r="H1883" s="62" t="s">
        <v>813</v>
      </c>
      <c r="I1883" s="62" t="s">
        <v>1518</v>
      </c>
      <c r="J1883" s="62" t="s">
        <v>910</v>
      </c>
      <c r="K1883" s="62" t="s">
        <v>646</v>
      </c>
      <c r="L1883" s="62" t="s">
        <v>2421</v>
      </c>
      <c r="M1883" s="66" t="s">
        <v>1974</v>
      </c>
    </row>
    <row r="1884" spans="1:13" x14ac:dyDescent="0.3">
      <c r="A1884" s="61" t="s">
        <v>2308</v>
      </c>
      <c r="B1884" s="62" t="s">
        <v>1647</v>
      </c>
      <c r="C1884" s="62" t="s">
        <v>1648</v>
      </c>
      <c r="D1884" s="63">
        <v>45231</v>
      </c>
      <c r="E1884" s="63">
        <v>46173</v>
      </c>
      <c r="F1884" s="62" t="s">
        <v>1921</v>
      </c>
      <c r="G1884" s="62" t="s">
        <v>621</v>
      </c>
      <c r="H1884" s="62" t="s">
        <v>813</v>
      </c>
      <c r="I1884" s="62" t="s">
        <v>1518</v>
      </c>
      <c r="J1884" s="62" t="s">
        <v>910</v>
      </c>
      <c r="K1884" s="62" t="s">
        <v>646</v>
      </c>
      <c r="L1884" s="62" t="s">
        <v>2421</v>
      </c>
      <c r="M1884" s="66" t="s">
        <v>1974</v>
      </c>
    </row>
    <row r="1885" spans="1:13" x14ac:dyDescent="0.3">
      <c r="A1885" s="61" t="s">
        <v>2308</v>
      </c>
      <c r="B1885" s="62" t="s">
        <v>1647</v>
      </c>
      <c r="C1885" s="62" t="s">
        <v>1648</v>
      </c>
      <c r="D1885" s="63">
        <v>45231</v>
      </c>
      <c r="E1885" s="63">
        <v>46173</v>
      </c>
      <c r="F1885" s="62" t="s">
        <v>1921</v>
      </c>
      <c r="G1885" s="62" t="s">
        <v>487</v>
      </c>
      <c r="H1885" s="62" t="s">
        <v>813</v>
      </c>
      <c r="I1885" s="62" t="s">
        <v>1518</v>
      </c>
      <c r="J1885" s="62" t="s">
        <v>910</v>
      </c>
      <c r="K1885" s="62" t="s">
        <v>646</v>
      </c>
      <c r="L1885" s="62" t="s">
        <v>2421</v>
      </c>
      <c r="M1885" s="66" t="s">
        <v>1974</v>
      </c>
    </row>
    <row r="1886" spans="1:13" x14ac:dyDescent="0.3">
      <c r="A1886" s="61" t="s">
        <v>2498</v>
      </c>
      <c r="B1886" s="62" t="s">
        <v>2499</v>
      </c>
      <c r="C1886" s="62" t="s">
        <v>2500</v>
      </c>
      <c r="D1886" s="63">
        <v>45553</v>
      </c>
      <c r="E1886" s="63">
        <v>46830</v>
      </c>
      <c r="F1886" s="62" t="s">
        <v>1944</v>
      </c>
      <c r="G1886" s="62" t="s">
        <v>2501</v>
      </c>
      <c r="H1886" s="62" t="s">
        <v>2432</v>
      </c>
      <c r="I1886" s="62" t="s">
        <v>2443</v>
      </c>
      <c r="J1886" s="62" t="s">
        <v>469</v>
      </c>
      <c r="K1886" s="62" t="s">
        <v>315</v>
      </c>
      <c r="L1886" s="62" t="s">
        <v>2421</v>
      </c>
      <c r="M1886" s="66" t="s">
        <v>1969</v>
      </c>
    </row>
    <row r="1887" spans="1:13" x14ac:dyDescent="0.3">
      <c r="A1887" s="61" t="s">
        <v>2498</v>
      </c>
      <c r="B1887" s="62" t="s">
        <v>2499</v>
      </c>
      <c r="C1887" s="62" t="s">
        <v>2500</v>
      </c>
      <c r="D1887" s="63">
        <v>45553</v>
      </c>
      <c r="E1887" s="63">
        <v>46830</v>
      </c>
      <c r="F1887" s="62" t="s">
        <v>1944</v>
      </c>
      <c r="G1887" s="62" t="s">
        <v>1351</v>
      </c>
      <c r="H1887" s="62" t="s">
        <v>2432</v>
      </c>
      <c r="I1887" s="62" t="s">
        <v>2443</v>
      </c>
      <c r="J1887" s="62" t="s">
        <v>469</v>
      </c>
      <c r="K1887" s="62" t="s">
        <v>315</v>
      </c>
      <c r="L1887" s="62" t="s">
        <v>2421</v>
      </c>
      <c r="M1887" s="66" t="s">
        <v>1969</v>
      </c>
    </row>
    <row r="1888" spans="1:13" x14ac:dyDescent="0.3">
      <c r="A1888" s="61" t="s">
        <v>2498</v>
      </c>
      <c r="B1888" s="62" t="s">
        <v>2499</v>
      </c>
      <c r="C1888" s="62" t="s">
        <v>2500</v>
      </c>
      <c r="D1888" s="63">
        <v>45553</v>
      </c>
      <c r="E1888" s="63">
        <v>46830</v>
      </c>
      <c r="F1888" s="62" t="s">
        <v>1944</v>
      </c>
      <c r="G1888" s="62" t="s">
        <v>2502</v>
      </c>
      <c r="H1888" s="62" t="s">
        <v>2432</v>
      </c>
      <c r="I1888" s="62" t="s">
        <v>2443</v>
      </c>
      <c r="J1888" s="62" t="s">
        <v>469</v>
      </c>
      <c r="K1888" s="62" t="s">
        <v>315</v>
      </c>
      <c r="L1888" s="62" t="s">
        <v>2421</v>
      </c>
      <c r="M1888" s="66" t="s">
        <v>1969</v>
      </c>
    </row>
    <row r="1889" spans="1:13" x14ac:dyDescent="0.3">
      <c r="A1889" s="61" t="s">
        <v>2498</v>
      </c>
      <c r="B1889" s="62" t="s">
        <v>2499</v>
      </c>
      <c r="C1889" s="62" t="s">
        <v>2500</v>
      </c>
      <c r="D1889" s="63">
        <v>45553</v>
      </c>
      <c r="E1889" s="63">
        <v>46830</v>
      </c>
      <c r="F1889" s="62" t="s">
        <v>1944</v>
      </c>
      <c r="G1889" s="62" t="s">
        <v>518</v>
      </c>
      <c r="H1889" s="62" t="s">
        <v>2432</v>
      </c>
      <c r="I1889" s="62" t="s">
        <v>2443</v>
      </c>
      <c r="J1889" s="62" t="s">
        <v>469</v>
      </c>
      <c r="K1889" s="62" t="s">
        <v>315</v>
      </c>
      <c r="L1889" s="62" t="s">
        <v>2421</v>
      </c>
      <c r="M1889" s="66" t="s">
        <v>1969</v>
      </c>
    </row>
    <row r="1890" spans="1:13" x14ac:dyDescent="0.3">
      <c r="A1890" s="61" t="s">
        <v>2498</v>
      </c>
      <c r="B1890" s="62" t="s">
        <v>2499</v>
      </c>
      <c r="C1890" s="62" t="s">
        <v>2500</v>
      </c>
      <c r="D1890" s="63">
        <v>45553</v>
      </c>
      <c r="E1890" s="63">
        <v>46830</v>
      </c>
      <c r="F1890" s="62" t="s">
        <v>1937</v>
      </c>
      <c r="G1890" s="62" t="s">
        <v>1576</v>
      </c>
      <c r="H1890" s="62" t="s">
        <v>2432</v>
      </c>
      <c r="I1890" s="62" t="s">
        <v>2443</v>
      </c>
      <c r="J1890" s="62" t="s">
        <v>469</v>
      </c>
      <c r="K1890" s="62" t="s">
        <v>315</v>
      </c>
      <c r="L1890" s="62" t="s">
        <v>2421</v>
      </c>
      <c r="M1890" s="66" t="s">
        <v>1969</v>
      </c>
    </row>
    <row r="1891" spans="1:13" x14ac:dyDescent="0.3">
      <c r="A1891" s="61" t="s">
        <v>2498</v>
      </c>
      <c r="B1891" s="62" t="s">
        <v>2499</v>
      </c>
      <c r="C1891" s="62" t="s">
        <v>2500</v>
      </c>
      <c r="D1891" s="63">
        <v>45553</v>
      </c>
      <c r="E1891" s="63">
        <v>46830</v>
      </c>
      <c r="F1891" s="62" t="s">
        <v>1937</v>
      </c>
      <c r="G1891" s="62" t="s">
        <v>1577</v>
      </c>
      <c r="H1891" s="62" t="s">
        <v>2432</v>
      </c>
      <c r="I1891" s="62" t="s">
        <v>2443</v>
      </c>
      <c r="J1891" s="62" t="s">
        <v>469</v>
      </c>
      <c r="K1891" s="62" t="s">
        <v>315</v>
      </c>
      <c r="L1891" s="62" t="s">
        <v>2421</v>
      </c>
      <c r="M1891" s="66" t="s">
        <v>1969</v>
      </c>
    </row>
    <row r="1892" spans="1:13" x14ac:dyDescent="0.3">
      <c r="A1892" s="61" t="s">
        <v>2498</v>
      </c>
      <c r="B1892" s="62" t="s">
        <v>2499</v>
      </c>
      <c r="C1892" s="62" t="s">
        <v>2500</v>
      </c>
      <c r="D1892" s="63">
        <v>45553</v>
      </c>
      <c r="E1892" s="63">
        <v>46830</v>
      </c>
      <c r="F1892" s="62" t="s">
        <v>1937</v>
      </c>
      <c r="G1892" s="62" t="s">
        <v>1123</v>
      </c>
      <c r="H1892" s="62" t="s">
        <v>2432</v>
      </c>
      <c r="I1892" s="62" t="s">
        <v>2443</v>
      </c>
      <c r="J1892" s="62" t="s">
        <v>469</v>
      </c>
      <c r="K1892" s="62" t="s">
        <v>315</v>
      </c>
      <c r="L1892" s="62" t="s">
        <v>2421</v>
      </c>
      <c r="M1892" s="66" t="s">
        <v>1969</v>
      </c>
    </row>
    <row r="1893" spans="1:13" x14ac:dyDescent="0.3">
      <c r="A1893" s="61" t="s">
        <v>2309</v>
      </c>
      <c r="B1893" s="62" t="s">
        <v>1650</v>
      </c>
      <c r="C1893" s="62" t="s">
        <v>1651</v>
      </c>
      <c r="D1893" s="63">
        <v>45483</v>
      </c>
      <c r="E1893" s="63">
        <v>47147</v>
      </c>
      <c r="F1893" s="62" t="s">
        <v>1943</v>
      </c>
      <c r="G1893" s="62" t="s">
        <v>304</v>
      </c>
      <c r="H1893" s="62" t="s">
        <v>2425</v>
      </c>
      <c r="I1893" s="62" t="s">
        <v>1518</v>
      </c>
      <c r="J1893" s="62" t="s">
        <v>636</v>
      </c>
      <c r="K1893" s="62" t="s">
        <v>637</v>
      </c>
      <c r="L1893" s="62" t="s">
        <v>2421</v>
      </c>
      <c r="M1893" s="66" t="s">
        <v>1973</v>
      </c>
    </row>
    <row r="1894" spans="1:13" x14ac:dyDescent="0.3">
      <c r="A1894" s="61" t="s">
        <v>2310</v>
      </c>
      <c r="B1894" s="62" t="s">
        <v>1652</v>
      </c>
      <c r="C1894" s="62" t="s">
        <v>1653</v>
      </c>
      <c r="D1894" s="63">
        <v>45273</v>
      </c>
      <c r="E1894" s="63">
        <v>46284</v>
      </c>
      <c r="F1894" s="62" t="s">
        <v>350</v>
      </c>
      <c r="G1894" s="62" t="s">
        <v>304</v>
      </c>
      <c r="H1894" s="62" t="s">
        <v>1721</v>
      </c>
      <c r="I1894" s="62" t="s">
        <v>825</v>
      </c>
      <c r="J1894" s="62" t="s">
        <v>799</v>
      </c>
      <c r="K1894" s="62" t="s">
        <v>428</v>
      </c>
      <c r="L1894" s="62" t="s">
        <v>2421</v>
      </c>
      <c r="M1894" s="66" t="s">
        <v>2021</v>
      </c>
    </row>
    <row r="1895" spans="1:13" x14ac:dyDescent="0.3">
      <c r="A1895" s="61" t="s">
        <v>2310</v>
      </c>
      <c r="B1895" s="62" t="s">
        <v>1652</v>
      </c>
      <c r="C1895" s="62" t="s">
        <v>1653</v>
      </c>
      <c r="D1895" s="63">
        <v>45273</v>
      </c>
      <c r="E1895" s="63">
        <v>46284</v>
      </c>
      <c r="F1895" s="62" t="s">
        <v>1931</v>
      </c>
      <c r="G1895" s="62" t="s">
        <v>304</v>
      </c>
      <c r="H1895" s="62" t="s">
        <v>1721</v>
      </c>
      <c r="I1895" s="62" t="s">
        <v>825</v>
      </c>
      <c r="J1895" s="62" t="s">
        <v>799</v>
      </c>
      <c r="K1895" s="62" t="s">
        <v>428</v>
      </c>
      <c r="L1895" s="62" t="s">
        <v>2421</v>
      </c>
      <c r="M1895" s="66" t="s">
        <v>2021</v>
      </c>
    </row>
    <row r="1896" spans="1:13" x14ac:dyDescent="0.3">
      <c r="A1896" s="61" t="s">
        <v>2310</v>
      </c>
      <c r="B1896" s="62" t="s">
        <v>1652</v>
      </c>
      <c r="C1896" s="62" t="s">
        <v>1653</v>
      </c>
      <c r="D1896" s="63">
        <v>45273</v>
      </c>
      <c r="E1896" s="63">
        <v>46284</v>
      </c>
      <c r="F1896" s="62" t="s">
        <v>282</v>
      </c>
      <c r="G1896" s="62" t="s">
        <v>304</v>
      </c>
      <c r="H1896" s="62" t="s">
        <v>1721</v>
      </c>
      <c r="I1896" s="62" t="s">
        <v>825</v>
      </c>
      <c r="J1896" s="62" t="s">
        <v>799</v>
      </c>
      <c r="K1896" s="62" t="s">
        <v>428</v>
      </c>
      <c r="L1896" s="62" t="s">
        <v>2421</v>
      </c>
      <c r="M1896" s="66" t="s">
        <v>2021</v>
      </c>
    </row>
    <row r="1897" spans="1:13" x14ac:dyDescent="0.3">
      <c r="A1897" s="61" t="s">
        <v>2310</v>
      </c>
      <c r="B1897" s="62" t="s">
        <v>1652</v>
      </c>
      <c r="C1897" s="62" t="s">
        <v>1653</v>
      </c>
      <c r="D1897" s="63">
        <v>45273</v>
      </c>
      <c r="E1897" s="63">
        <v>46284</v>
      </c>
      <c r="F1897" s="62" t="s">
        <v>1940</v>
      </c>
      <c r="G1897" s="62" t="s">
        <v>304</v>
      </c>
      <c r="H1897" s="62" t="s">
        <v>1721</v>
      </c>
      <c r="I1897" s="62" t="s">
        <v>825</v>
      </c>
      <c r="J1897" s="62" t="s">
        <v>799</v>
      </c>
      <c r="K1897" s="62" t="s">
        <v>428</v>
      </c>
      <c r="L1897" s="62" t="s">
        <v>2421</v>
      </c>
      <c r="M1897" s="66" t="s">
        <v>2021</v>
      </c>
    </row>
    <row r="1898" spans="1:13" x14ac:dyDescent="0.3">
      <c r="A1898" s="61" t="s">
        <v>2310</v>
      </c>
      <c r="B1898" s="62" t="s">
        <v>1652</v>
      </c>
      <c r="C1898" s="62" t="s">
        <v>1653</v>
      </c>
      <c r="D1898" s="63">
        <v>45273</v>
      </c>
      <c r="E1898" s="63">
        <v>46284</v>
      </c>
      <c r="F1898" s="62" t="s">
        <v>1922</v>
      </c>
      <c r="G1898" s="62" t="s">
        <v>304</v>
      </c>
      <c r="H1898" s="62" t="s">
        <v>1721</v>
      </c>
      <c r="I1898" s="62" t="s">
        <v>825</v>
      </c>
      <c r="J1898" s="62" t="s">
        <v>799</v>
      </c>
      <c r="K1898" s="62" t="s">
        <v>428</v>
      </c>
      <c r="L1898" s="62" t="s">
        <v>2421</v>
      </c>
      <c r="M1898" s="66" t="s">
        <v>2021</v>
      </c>
    </row>
    <row r="1899" spans="1:13" x14ac:dyDescent="0.3">
      <c r="A1899" s="61" t="s">
        <v>2310</v>
      </c>
      <c r="B1899" s="62" t="s">
        <v>1652</v>
      </c>
      <c r="C1899" s="62" t="s">
        <v>1653</v>
      </c>
      <c r="D1899" s="63">
        <v>45273</v>
      </c>
      <c r="E1899" s="63">
        <v>46284</v>
      </c>
      <c r="F1899" s="62" t="s">
        <v>1930</v>
      </c>
      <c r="G1899" s="62" t="s">
        <v>304</v>
      </c>
      <c r="H1899" s="62" t="s">
        <v>1721</v>
      </c>
      <c r="I1899" s="62" t="s">
        <v>825</v>
      </c>
      <c r="J1899" s="62" t="s">
        <v>799</v>
      </c>
      <c r="K1899" s="62" t="s">
        <v>428</v>
      </c>
      <c r="L1899" s="62" t="s">
        <v>2421</v>
      </c>
      <c r="M1899" s="66" t="s">
        <v>2021</v>
      </c>
    </row>
    <row r="1900" spans="1:13" x14ac:dyDescent="0.3">
      <c r="A1900" s="61" t="s">
        <v>2310</v>
      </c>
      <c r="B1900" s="62" t="s">
        <v>1652</v>
      </c>
      <c r="C1900" s="62" t="s">
        <v>1653</v>
      </c>
      <c r="D1900" s="63">
        <v>45273</v>
      </c>
      <c r="E1900" s="63">
        <v>46284</v>
      </c>
      <c r="F1900" s="62" t="s">
        <v>1959</v>
      </c>
      <c r="G1900" s="62" t="s">
        <v>304</v>
      </c>
      <c r="H1900" s="62" t="s">
        <v>1721</v>
      </c>
      <c r="I1900" s="62" t="s">
        <v>825</v>
      </c>
      <c r="J1900" s="62" t="s">
        <v>799</v>
      </c>
      <c r="K1900" s="62" t="s">
        <v>428</v>
      </c>
      <c r="L1900" s="62" t="s">
        <v>2421</v>
      </c>
      <c r="M1900" s="66" t="s">
        <v>2021</v>
      </c>
    </row>
    <row r="1901" spans="1:13" x14ac:dyDescent="0.3">
      <c r="A1901" s="61" t="s">
        <v>2310</v>
      </c>
      <c r="B1901" s="62" t="s">
        <v>1652</v>
      </c>
      <c r="C1901" s="62" t="s">
        <v>1653</v>
      </c>
      <c r="D1901" s="63">
        <v>45273</v>
      </c>
      <c r="E1901" s="63">
        <v>46284</v>
      </c>
      <c r="F1901" s="62" t="s">
        <v>1936</v>
      </c>
      <c r="G1901" s="62" t="s">
        <v>304</v>
      </c>
      <c r="H1901" s="62" t="s">
        <v>1721</v>
      </c>
      <c r="I1901" s="62" t="s">
        <v>825</v>
      </c>
      <c r="J1901" s="62" t="s">
        <v>799</v>
      </c>
      <c r="K1901" s="62" t="s">
        <v>428</v>
      </c>
      <c r="L1901" s="62" t="s">
        <v>2421</v>
      </c>
      <c r="M1901" s="66" t="s">
        <v>2021</v>
      </c>
    </row>
    <row r="1902" spans="1:13" x14ac:dyDescent="0.3">
      <c r="A1902" s="61" t="s">
        <v>2310</v>
      </c>
      <c r="B1902" s="62" t="s">
        <v>1652</v>
      </c>
      <c r="C1902" s="62" t="s">
        <v>1653</v>
      </c>
      <c r="D1902" s="63">
        <v>45273</v>
      </c>
      <c r="E1902" s="63">
        <v>46284</v>
      </c>
      <c r="F1902" s="62" t="s">
        <v>287</v>
      </c>
      <c r="G1902" s="62" t="s">
        <v>304</v>
      </c>
      <c r="H1902" s="62" t="s">
        <v>1721</v>
      </c>
      <c r="I1902" s="62" t="s">
        <v>825</v>
      </c>
      <c r="J1902" s="62" t="s">
        <v>799</v>
      </c>
      <c r="K1902" s="62" t="s">
        <v>428</v>
      </c>
      <c r="L1902" s="62" t="s">
        <v>2421</v>
      </c>
      <c r="M1902" s="66" t="s">
        <v>2021</v>
      </c>
    </row>
    <row r="1903" spans="1:13" x14ac:dyDescent="0.3">
      <c r="A1903" s="61" t="s">
        <v>2310</v>
      </c>
      <c r="B1903" s="62" t="s">
        <v>1652</v>
      </c>
      <c r="C1903" s="62" t="s">
        <v>1653</v>
      </c>
      <c r="D1903" s="63">
        <v>45273</v>
      </c>
      <c r="E1903" s="63">
        <v>46284</v>
      </c>
      <c r="F1903" s="62" t="s">
        <v>1945</v>
      </c>
      <c r="G1903" s="62" t="s">
        <v>304</v>
      </c>
      <c r="H1903" s="62" t="s">
        <v>1721</v>
      </c>
      <c r="I1903" s="62" t="s">
        <v>825</v>
      </c>
      <c r="J1903" s="62" t="s">
        <v>799</v>
      </c>
      <c r="K1903" s="62" t="s">
        <v>428</v>
      </c>
      <c r="L1903" s="62" t="s">
        <v>2421</v>
      </c>
      <c r="M1903" s="66" t="s">
        <v>2021</v>
      </c>
    </row>
    <row r="1904" spans="1:13" x14ac:dyDescent="0.3">
      <c r="A1904" s="61" t="s">
        <v>2311</v>
      </c>
      <c r="B1904" s="62" t="s">
        <v>1654</v>
      </c>
      <c r="C1904" s="62" t="s">
        <v>1655</v>
      </c>
      <c r="D1904" s="63">
        <v>45413</v>
      </c>
      <c r="E1904" s="63">
        <v>46752</v>
      </c>
      <c r="F1904" s="62" t="s">
        <v>1930</v>
      </c>
      <c r="G1904" s="62" t="s">
        <v>418</v>
      </c>
      <c r="H1904" s="62" t="s">
        <v>2504</v>
      </c>
      <c r="I1904" s="62" t="s">
        <v>825</v>
      </c>
      <c r="J1904" s="62" t="s">
        <v>644</v>
      </c>
      <c r="K1904" s="62" t="s">
        <v>371</v>
      </c>
      <c r="L1904" s="62" t="s">
        <v>2421</v>
      </c>
      <c r="M1904" s="66" t="s">
        <v>1976</v>
      </c>
    </row>
    <row r="1905" spans="1:13" x14ac:dyDescent="0.3">
      <c r="A1905" s="61" t="s">
        <v>2311</v>
      </c>
      <c r="B1905" s="62" t="s">
        <v>1654</v>
      </c>
      <c r="C1905" s="62" t="s">
        <v>1655</v>
      </c>
      <c r="D1905" s="63">
        <v>45413</v>
      </c>
      <c r="E1905" s="63">
        <v>46752</v>
      </c>
      <c r="F1905" s="62" t="s">
        <v>1930</v>
      </c>
      <c r="G1905" s="62" t="s">
        <v>453</v>
      </c>
      <c r="H1905" s="62" t="s">
        <v>2504</v>
      </c>
      <c r="I1905" s="62" t="s">
        <v>825</v>
      </c>
      <c r="J1905" s="62" t="s">
        <v>644</v>
      </c>
      <c r="K1905" s="62" t="s">
        <v>371</v>
      </c>
      <c r="L1905" s="62" t="s">
        <v>2421</v>
      </c>
      <c r="M1905" s="66" t="s">
        <v>1976</v>
      </c>
    </row>
    <row r="1906" spans="1:13" x14ac:dyDescent="0.3">
      <c r="A1906" s="61" t="s">
        <v>2311</v>
      </c>
      <c r="B1906" s="62" t="s">
        <v>1654</v>
      </c>
      <c r="C1906" s="62" t="s">
        <v>1655</v>
      </c>
      <c r="D1906" s="63">
        <v>45413</v>
      </c>
      <c r="E1906" s="63">
        <v>46752</v>
      </c>
      <c r="F1906" s="62" t="s">
        <v>1945</v>
      </c>
      <c r="G1906" s="62" t="s">
        <v>400</v>
      </c>
      <c r="H1906" s="62" t="s">
        <v>2504</v>
      </c>
      <c r="I1906" s="62" t="s">
        <v>825</v>
      </c>
      <c r="J1906" s="62" t="s">
        <v>644</v>
      </c>
      <c r="K1906" s="62" t="s">
        <v>371</v>
      </c>
      <c r="L1906" s="62" t="s">
        <v>2421</v>
      </c>
      <c r="M1906" s="66" t="s">
        <v>1976</v>
      </c>
    </row>
    <row r="1907" spans="1:13" x14ac:dyDescent="0.3">
      <c r="A1907" s="61" t="s">
        <v>2311</v>
      </c>
      <c r="B1907" s="62" t="s">
        <v>1654</v>
      </c>
      <c r="C1907" s="62" t="s">
        <v>1655</v>
      </c>
      <c r="D1907" s="63">
        <v>45413</v>
      </c>
      <c r="E1907" s="63">
        <v>46752</v>
      </c>
      <c r="F1907" s="62" t="s">
        <v>1945</v>
      </c>
      <c r="G1907" s="62" t="s">
        <v>555</v>
      </c>
      <c r="H1907" s="62" t="s">
        <v>2504</v>
      </c>
      <c r="I1907" s="62" t="s">
        <v>825</v>
      </c>
      <c r="J1907" s="62" t="s">
        <v>644</v>
      </c>
      <c r="K1907" s="62" t="s">
        <v>371</v>
      </c>
      <c r="L1907" s="62" t="s">
        <v>2421</v>
      </c>
      <c r="M1907" s="66" t="s">
        <v>1976</v>
      </c>
    </row>
    <row r="1908" spans="1:13" x14ac:dyDescent="0.3">
      <c r="A1908" s="61" t="s">
        <v>2311</v>
      </c>
      <c r="B1908" s="62" t="s">
        <v>1654</v>
      </c>
      <c r="C1908" s="62" t="s">
        <v>1655</v>
      </c>
      <c r="D1908" s="63">
        <v>45413</v>
      </c>
      <c r="E1908" s="63">
        <v>46752</v>
      </c>
      <c r="F1908" s="62" t="s">
        <v>1987</v>
      </c>
      <c r="G1908" s="62" t="s">
        <v>962</v>
      </c>
      <c r="H1908" s="62" t="s">
        <v>2504</v>
      </c>
      <c r="I1908" s="62" t="s">
        <v>825</v>
      </c>
      <c r="J1908" s="62" t="s">
        <v>644</v>
      </c>
      <c r="K1908" s="62" t="s">
        <v>371</v>
      </c>
      <c r="L1908" s="62" t="s">
        <v>2421</v>
      </c>
      <c r="M1908" s="66" t="s">
        <v>1976</v>
      </c>
    </row>
    <row r="1909" spans="1:13" x14ac:dyDescent="0.3">
      <c r="A1909" s="61" t="s">
        <v>2311</v>
      </c>
      <c r="B1909" s="62" t="s">
        <v>1654</v>
      </c>
      <c r="C1909" s="62" t="s">
        <v>1655</v>
      </c>
      <c r="D1909" s="63">
        <v>45413</v>
      </c>
      <c r="E1909" s="63">
        <v>46752</v>
      </c>
      <c r="F1909" s="62" t="s">
        <v>282</v>
      </c>
      <c r="G1909" s="62" t="s">
        <v>283</v>
      </c>
      <c r="H1909" s="62" t="s">
        <v>2504</v>
      </c>
      <c r="I1909" s="62" t="s">
        <v>825</v>
      </c>
      <c r="J1909" s="62" t="s">
        <v>644</v>
      </c>
      <c r="K1909" s="62" t="s">
        <v>371</v>
      </c>
      <c r="L1909" s="62" t="s">
        <v>2421</v>
      </c>
      <c r="M1909" s="66" t="s">
        <v>1976</v>
      </c>
    </row>
    <row r="1910" spans="1:13" x14ac:dyDescent="0.3">
      <c r="A1910" s="61" t="s">
        <v>2311</v>
      </c>
      <c r="B1910" s="62" t="s">
        <v>1654</v>
      </c>
      <c r="C1910" s="62" t="s">
        <v>1655</v>
      </c>
      <c r="D1910" s="63">
        <v>45413</v>
      </c>
      <c r="E1910" s="63">
        <v>46752</v>
      </c>
      <c r="F1910" s="62" t="s">
        <v>1922</v>
      </c>
      <c r="G1910" s="62" t="s">
        <v>349</v>
      </c>
      <c r="H1910" s="62" t="s">
        <v>2504</v>
      </c>
      <c r="I1910" s="62" t="s">
        <v>825</v>
      </c>
      <c r="J1910" s="62" t="s">
        <v>644</v>
      </c>
      <c r="K1910" s="62" t="s">
        <v>371</v>
      </c>
      <c r="L1910" s="62" t="s">
        <v>2421</v>
      </c>
      <c r="M1910" s="66" t="s">
        <v>1976</v>
      </c>
    </row>
    <row r="1911" spans="1:13" x14ac:dyDescent="0.3">
      <c r="A1911" s="61" t="s">
        <v>2311</v>
      </c>
      <c r="B1911" s="62" t="s">
        <v>1654</v>
      </c>
      <c r="C1911" s="62" t="s">
        <v>1655</v>
      </c>
      <c r="D1911" s="63">
        <v>45413</v>
      </c>
      <c r="E1911" s="63">
        <v>46752</v>
      </c>
      <c r="F1911" s="62" t="s">
        <v>1958</v>
      </c>
      <c r="G1911" s="62" t="s">
        <v>330</v>
      </c>
      <c r="H1911" s="62" t="s">
        <v>2504</v>
      </c>
      <c r="I1911" s="62" t="s">
        <v>825</v>
      </c>
      <c r="J1911" s="62" t="s">
        <v>644</v>
      </c>
      <c r="K1911" s="62" t="s">
        <v>371</v>
      </c>
      <c r="L1911" s="62" t="s">
        <v>2421</v>
      </c>
      <c r="M1911" s="66" t="s">
        <v>1976</v>
      </c>
    </row>
    <row r="1912" spans="1:13" x14ac:dyDescent="0.3">
      <c r="A1912" s="61" t="s">
        <v>2311</v>
      </c>
      <c r="B1912" s="62" t="s">
        <v>1654</v>
      </c>
      <c r="C1912" s="62" t="s">
        <v>1655</v>
      </c>
      <c r="D1912" s="63">
        <v>45413</v>
      </c>
      <c r="E1912" s="63">
        <v>46752</v>
      </c>
      <c r="F1912" s="62" t="s">
        <v>1959</v>
      </c>
      <c r="G1912" s="62" t="s">
        <v>612</v>
      </c>
      <c r="H1912" s="62" t="s">
        <v>2504</v>
      </c>
      <c r="I1912" s="62" t="s">
        <v>825</v>
      </c>
      <c r="J1912" s="62" t="s">
        <v>644</v>
      </c>
      <c r="K1912" s="62" t="s">
        <v>371</v>
      </c>
      <c r="L1912" s="62" t="s">
        <v>2421</v>
      </c>
      <c r="M1912" s="66" t="s">
        <v>1976</v>
      </c>
    </row>
    <row r="1913" spans="1:13" x14ac:dyDescent="0.3">
      <c r="A1913" s="61" t="s">
        <v>2311</v>
      </c>
      <c r="B1913" s="62" t="s">
        <v>1654</v>
      </c>
      <c r="C1913" s="62" t="s">
        <v>1655</v>
      </c>
      <c r="D1913" s="63">
        <v>45413</v>
      </c>
      <c r="E1913" s="63">
        <v>46752</v>
      </c>
      <c r="F1913" s="62" t="s">
        <v>287</v>
      </c>
      <c r="G1913" s="62" t="s">
        <v>396</v>
      </c>
      <c r="H1913" s="62" t="s">
        <v>2504</v>
      </c>
      <c r="I1913" s="62" t="s">
        <v>825</v>
      </c>
      <c r="J1913" s="62" t="s">
        <v>644</v>
      </c>
      <c r="K1913" s="62" t="s">
        <v>371</v>
      </c>
      <c r="L1913" s="62" t="s">
        <v>2421</v>
      </c>
      <c r="M1913" s="66" t="s">
        <v>1976</v>
      </c>
    </row>
    <row r="1914" spans="1:13" x14ac:dyDescent="0.3">
      <c r="A1914" s="61" t="s">
        <v>2311</v>
      </c>
      <c r="B1914" s="62" t="s">
        <v>1654</v>
      </c>
      <c r="C1914" s="62" t="s">
        <v>1655</v>
      </c>
      <c r="D1914" s="63">
        <v>45413</v>
      </c>
      <c r="E1914" s="63">
        <v>46752</v>
      </c>
      <c r="F1914" s="62" t="s">
        <v>1930</v>
      </c>
      <c r="G1914" s="62" t="s">
        <v>418</v>
      </c>
      <c r="H1914" s="62" t="s">
        <v>1656</v>
      </c>
      <c r="I1914" s="62" t="s">
        <v>825</v>
      </c>
      <c r="J1914" s="62" t="s">
        <v>644</v>
      </c>
      <c r="K1914" s="62" t="s">
        <v>371</v>
      </c>
      <c r="L1914" s="62" t="s">
        <v>2421</v>
      </c>
      <c r="M1914" s="66" t="s">
        <v>1976</v>
      </c>
    </row>
    <row r="1915" spans="1:13" x14ac:dyDescent="0.3">
      <c r="A1915" s="61" t="s">
        <v>2311</v>
      </c>
      <c r="B1915" s="62" t="s">
        <v>1654</v>
      </c>
      <c r="C1915" s="62" t="s">
        <v>1655</v>
      </c>
      <c r="D1915" s="63">
        <v>45413</v>
      </c>
      <c r="E1915" s="63">
        <v>46752</v>
      </c>
      <c r="F1915" s="62" t="s">
        <v>1930</v>
      </c>
      <c r="G1915" s="62" t="s">
        <v>453</v>
      </c>
      <c r="H1915" s="62" t="s">
        <v>1656</v>
      </c>
      <c r="I1915" s="62" t="s">
        <v>825</v>
      </c>
      <c r="J1915" s="62" t="s">
        <v>644</v>
      </c>
      <c r="K1915" s="62" t="s">
        <v>371</v>
      </c>
      <c r="L1915" s="62" t="s">
        <v>2421</v>
      </c>
      <c r="M1915" s="66" t="s">
        <v>1976</v>
      </c>
    </row>
    <row r="1916" spans="1:13" x14ac:dyDescent="0.3">
      <c r="A1916" s="61" t="s">
        <v>2311</v>
      </c>
      <c r="B1916" s="62" t="s">
        <v>1654</v>
      </c>
      <c r="C1916" s="62" t="s">
        <v>1655</v>
      </c>
      <c r="D1916" s="63">
        <v>45413</v>
      </c>
      <c r="E1916" s="63">
        <v>46752</v>
      </c>
      <c r="F1916" s="62" t="s">
        <v>1945</v>
      </c>
      <c r="G1916" s="62" t="s">
        <v>400</v>
      </c>
      <c r="H1916" s="62" t="s">
        <v>1656</v>
      </c>
      <c r="I1916" s="62" t="s">
        <v>825</v>
      </c>
      <c r="J1916" s="62" t="s">
        <v>644</v>
      </c>
      <c r="K1916" s="62" t="s">
        <v>371</v>
      </c>
      <c r="L1916" s="62" t="s">
        <v>2421</v>
      </c>
      <c r="M1916" s="66" t="s">
        <v>1976</v>
      </c>
    </row>
    <row r="1917" spans="1:13" x14ac:dyDescent="0.3">
      <c r="A1917" s="61" t="s">
        <v>2311</v>
      </c>
      <c r="B1917" s="62" t="s">
        <v>1654</v>
      </c>
      <c r="C1917" s="62" t="s">
        <v>1655</v>
      </c>
      <c r="D1917" s="63">
        <v>45413</v>
      </c>
      <c r="E1917" s="63">
        <v>46752</v>
      </c>
      <c r="F1917" s="62" t="s">
        <v>1945</v>
      </c>
      <c r="G1917" s="62" t="s">
        <v>555</v>
      </c>
      <c r="H1917" s="62" t="s">
        <v>1656</v>
      </c>
      <c r="I1917" s="62" t="s">
        <v>825</v>
      </c>
      <c r="J1917" s="62" t="s">
        <v>644</v>
      </c>
      <c r="K1917" s="62" t="s">
        <v>371</v>
      </c>
      <c r="L1917" s="62" t="s">
        <v>2421</v>
      </c>
      <c r="M1917" s="66" t="s">
        <v>1976</v>
      </c>
    </row>
    <row r="1918" spans="1:13" x14ac:dyDescent="0.3">
      <c r="A1918" s="61" t="s">
        <v>2311</v>
      </c>
      <c r="B1918" s="62" t="s">
        <v>1654</v>
      </c>
      <c r="C1918" s="62" t="s">
        <v>1655</v>
      </c>
      <c r="D1918" s="63">
        <v>45413</v>
      </c>
      <c r="E1918" s="63">
        <v>46752</v>
      </c>
      <c r="F1918" s="62" t="s">
        <v>1987</v>
      </c>
      <c r="G1918" s="62" t="s">
        <v>962</v>
      </c>
      <c r="H1918" s="62" t="s">
        <v>1656</v>
      </c>
      <c r="I1918" s="62" t="s">
        <v>825</v>
      </c>
      <c r="J1918" s="62" t="s">
        <v>644</v>
      </c>
      <c r="K1918" s="62" t="s">
        <v>371</v>
      </c>
      <c r="L1918" s="62" t="s">
        <v>2421</v>
      </c>
      <c r="M1918" s="66" t="s">
        <v>1976</v>
      </c>
    </row>
    <row r="1919" spans="1:13" x14ac:dyDescent="0.3">
      <c r="A1919" s="61" t="s">
        <v>2311</v>
      </c>
      <c r="B1919" s="62" t="s">
        <v>1654</v>
      </c>
      <c r="C1919" s="62" t="s">
        <v>1655</v>
      </c>
      <c r="D1919" s="63">
        <v>45413</v>
      </c>
      <c r="E1919" s="63">
        <v>46752</v>
      </c>
      <c r="F1919" s="62" t="s">
        <v>282</v>
      </c>
      <c r="G1919" s="62" t="s">
        <v>283</v>
      </c>
      <c r="H1919" s="62" t="s">
        <v>1656</v>
      </c>
      <c r="I1919" s="62" t="s">
        <v>825</v>
      </c>
      <c r="J1919" s="62" t="s">
        <v>644</v>
      </c>
      <c r="K1919" s="62" t="s">
        <v>371</v>
      </c>
      <c r="L1919" s="62" t="s">
        <v>2421</v>
      </c>
      <c r="M1919" s="66" t="s">
        <v>1976</v>
      </c>
    </row>
    <row r="1920" spans="1:13" x14ac:dyDescent="0.3">
      <c r="A1920" s="61" t="s">
        <v>2311</v>
      </c>
      <c r="B1920" s="62" t="s">
        <v>1654</v>
      </c>
      <c r="C1920" s="62" t="s">
        <v>1655</v>
      </c>
      <c r="D1920" s="63">
        <v>45413</v>
      </c>
      <c r="E1920" s="63">
        <v>46752</v>
      </c>
      <c r="F1920" s="62" t="s">
        <v>1922</v>
      </c>
      <c r="G1920" s="62" t="s">
        <v>349</v>
      </c>
      <c r="H1920" s="62" t="s">
        <v>1656</v>
      </c>
      <c r="I1920" s="62" t="s">
        <v>825</v>
      </c>
      <c r="J1920" s="62" t="s">
        <v>644</v>
      </c>
      <c r="K1920" s="62" t="s">
        <v>371</v>
      </c>
      <c r="L1920" s="62" t="s">
        <v>2421</v>
      </c>
      <c r="M1920" s="66" t="s">
        <v>1976</v>
      </c>
    </row>
    <row r="1921" spans="1:13" x14ac:dyDescent="0.3">
      <c r="A1921" s="61" t="s">
        <v>2311</v>
      </c>
      <c r="B1921" s="62" t="s">
        <v>1654</v>
      </c>
      <c r="C1921" s="62" t="s">
        <v>1655</v>
      </c>
      <c r="D1921" s="63">
        <v>45413</v>
      </c>
      <c r="E1921" s="63">
        <v>46752</v>
      </c>
      <c r="F1921" s="62" t="s">
        <v>1958</v>
      </c>
      <c r="G1921" s="62" t="s">
        <v>330</v>
      </c>
      <c r="H1921" s="62" t="s">
        <v>1656</v>
      </c>
      <c r="I1921" s="62" t="s">
        <v>825</v>
      </c>
      <c r="J1921" s="62" t="s">
        <v>644</v>
      </c>
      <c r="K1921" s="62" t="s">
        <v>371</v>
      </c>
      <c r="L1921" s="62" t="s">
        <v>2421</v>
      </c>
      <c r="M1921" s="66" t="s">
        <v>1976</v>
      </c>
    </row>
    <row r="1922" spans="1:13" x14ac:dyDescent="0.3">
      <c r="A1922" s="61" t="s">
        <v>2311</v>
      </c>
      <c r="B1922" s="62" t="s">
        <v>1654</v>
      </c>
      <c r="C1922" s="62" t="s">
        <v>1655</v>
      </c>
      <c r="D1922" s="63">
        <v>45413</v>
      </c>
      <c r="E1922" s="63">
        <v>46752</v>
      </c>
      <c r="F1922" s="62" t="s">
        <v>1959</v>
      </c>
      <c r="G1922" s="62" t="s">
        <v>612</v>
      </c>
      <c r="H1922" s="62" t="s">
        <v>1656</v>
      </c>
      <c r="I1922" s="62" t="s">
        <v>825</v>
      </c>
      <c r="J1922" s="62" t="s">
        <v>644</v>
      </c>
      <c r="K1922" s="62" t="s">
        <v>371</v>
      </c>
      <c r="L1922" s="62" t="s">
        <v>2421</v>
      </c>
      <c r="M1922" s="66" t="s">
        <v>1976</v>
      </c>
    </row>
    <row r="1923" spans="1:13" x14ac:dyDescent="0.3">
      <c r="A1923" s="61" t="s">
        <v>2311</v>
      </c>
      <c r="B1923" s="62" t="s">
        <v>1654</v>
      </c>
      <c r="C1923" s="62" t="s">
        <v>1655</v>
      </c>
      <c r="D1923" s="63">
        <v>45413</v>
      </c>
      <c r="E1923" s="63">
        <v>46752</v>
      </c>
      <c r="F1923" s="62" t="s">
        <v>287</v>
      </c>
      <c r="G1923" s="62" t="s">
        <v>396</v>
      </c>
      <c r="H1923" s="62" t="s">
        <v>1656</v>
      </c>
      <c r="I1923" s="62" t="s">
        <v>825</v>
      </c>
      <c r="J1923" s="62" t="s">
        <v>644</v>
      </c>
      <c r="K1923" s="62" t="s">
        <v>371</v>
      </c>
      <c r="L1923" s="62" t="s">
        <v>2421</v>
      </c>
      <c r="M1923" s="66" t="s">
        <v>1976</v>
      </c>
    </row>
    <row r="1924" spans="1:13" x14ac:dyDescent="0.3">
      <c r="A1924" s="61" t="s">
        <v>2312</v>
      </c>
      <c r="B1924" s="62" t="s">
        <v>1657</v>
      </c>
      <c r="C1924" s="62" t="s">
        <v>1658</v>
      </c>
      <c r="D1924" s="63">
        <v>45534</v>
      </c>
      <c r="E1924" s="63">
        <v>46661</v>
      </c>
      <c r="F1924" s="62" t="s">
        <v>350</v>
      </c>
      <c r="G1924" s="62" t="s">
        <v>304</v>
      </c>
      <c r="H1924" s="62" t="s">
        <v>822</v>
      </c>
      <c r="I1924" s="62" t="s">
        <v>825</v>
      </c>
      <c r="J1924" s="62" t="s">
        <v>603</v>
      </c>
      <c r="K1924" s="62" t="s">
        <v>371</v>
      </c>
      <c r="L1924" s="62" t="s">
        <v>2421</v>
      </c>
      <c r="M1924" s="66" t="s">
        <v>1972</v>
      </c>
    </row>
    <row r="1925" spans="1:13" x14ac:dyDescent="0.3">
      <c r="A1925" s="61" t="s">
        <v>2313</v>
      </c>
      <c r="B1925" s="62" t="s">
        <v>1659</v>
      </c>
      <c r="C1925" s="62" t="s">
        <v>1660</v>
      </c>
      <c r="D1925" s="63">
        <v>45565</v>
      </c>
      <c r="E1925" s="63">
        <v>46660</v>
      </c>
      <c r="F1925" s="62" t="s">
        <v>350</v>
      </c>
      <c r="G1925" s="62" t="s">
        <v>304</v>
      </c>
      <c r="H1925" s="62" t="s">
        <v>522</v>
      </c>
      <c r="I1925" s="62" t="s">
        <v>1518</v>
      </c>
      <c r="J1925" s="62" t="s">
        <v>458</v>
      </c>
      <c r="K1925" s="62" t="s">
        <v>459</v>
      </c>
      <c r="L1925" s="62" t="s">
        <v>2421</v>
      </c>
      <c r="M1925" s="66" t="s">
        <v>1971</v>
      </c>
    </row>
    <row r="1926" spans="1:13" x14ac:dyDescent="0.3">
      <c r="A1926" s="61" t="s">
        <v>2313</v>
      </c>
      <c r="B1926" s="62" t="s">
        <v>1659</v>
      </c>
      <c r="C1926" s="62" t="s">
        <v>1660</v>
      </c>
      <c r="D1926" s="63">
        <v>45565</v>
      </c>
      <c r="E1926" s="63">
        <v>46660</v>
      </c>
      <c r="F1926" s="62" t="s">
        <v>350</v>
      </c>
      <c r="G1926" s="62" t="s">
        <v>304</v>
      </c>
      <c r="H1926" s="62" t="s">
        <v>373</v>
      </c>
      <c r="I1926" s="62" t="s">
        <v>1518</v>
      </c>
      <c r="J1926" s="62" t="s">
        <v>458</v>
      </c>
      <c r="K1926" s="62" t="s">
        <v>459</v>
      </c>
      <c r="L1926" s="62" t="s">
        <v>2421</v>
      </c>
      <c r="M1926" s="66" t="s">
        <v>1971</v>
      </c>
    </row>
    <row r="1927" spans="1:13" x14ac:dyDescent="0.3">
      <c r="A1927" s="61" t="s">
        <v>2314</v>
      </c>
      <c r="B1927" s="62" t="s">
        <v>1661</v>
      </c>
      <c r="C1927" s="62" t="s">
        <v>1662</v>
      </c>
      <c r="D1927" s="63">
        <v>45601</v>
      </c>
      <c r="E1927" s="63">
        <v>46440</v>
      </c>
      <c r="F1927" s="62" t="s">
        <v>1959</v>
      </c>
      <c r="G1927" s="62" t="s">
        <v>466</v>
      </c>
      <c r="H1927" s="62" t="s">
        <v>373</v>
      </c>
      <c r="I1927" s="62" t="s">
        <v>424</v>
      </c>
      <c r="J1927" s="62" t="s">
        <v>579</v>
      </c>
      <c r="K1927" s="62" t="s">
        <v>428</v>
      </c>
      <c r="L1927" s="62" t="s">
        <v>2421</v>
      </c>
      <c r="M1927" s="66" t="s">
        <v>2021</v>
      </c>
    </row>
    <row r="1928" spans="1:13" x14ac:dyDescent="0.3">
      <c r="A1928" s="61" t="s">
        <v>2314</v>
      </c>
      <c r="B1928" s="62" t="s">
        <v>1661</v>
      </c>
      <c r="C1928" s="62" t="s">
        <v>1662</v>
      </c>
      <c r="D1928" s="63">
        <v>45601</v>
      </c>
      <c r="E1928" s="63">
        <v>46440</v>
      </c>
      <c r="F1928" s="62" t="s">
        <v>1959</v>
      </c>
      <c r="G1928" s="62" t="s">
        <v>583</v>
      </c>
      <c r="H1928" s="62" t="s">
        <v>373</v>
      </c>
      <c r="I1928" s="62" t="s">
        <v>424</v>
      </c>
      <c r="J1928" s="62" t="s">
        <v>579</v>
      </c>
      <c r="K1928" s="62" t="s">
        <v>428</v>
      </c>
      <c r="L1928" s="62" t="s">
        <v>2421</v>
      </c>
      <c r="M1928" s="66" t="s">
        <v>2021</v>
      </c>
    </row>
    <row r="1929" spans="1:13" x14ac:dyDescent="0.3">
      <c r="A1929" s="61" t="s">
        <v>2314</v>
      </c>
      <c r="B1929" s="62" t="s">
        <v>1661</v>
      </c>
      <c r="C1929" s="62" t="s">
        <v>1662</v>
      </c>
      <c r="D1929" s="63">
        <v>45601</v>
      </c>
      <c r="E1929" s="63">
        <v>46440</v>
      </c>
      <c r="F1929" s="62" t="s">
        <v>1959</v>
      </c>
      <c r="G1929" s="62" t="s">
        <v>795</v>
      </c>
      <c r="H1929" s="62" t="s">
        <v>373</v>
      </c>
      <c r="I1929" s="62" t="s">
        <v>424</v>
      </c>
      <c r="J1929" s="62" t="s">
        <v>579</v>
      </c>
      <c r="K1929" s="62" t="s">
        <v>428</v>
      </c>
      <c r="L1929" s="62" t="s">
        <v>2421</v>
      </c>
      <c r="M1929" s="66" t="s">
        <v>2021</v>
      </c>
    </row>
    <row r="1930" spans="1:13" x14ac:dyDescent="0.3">
      <c r="A1930" s="61" t="s">
        <v>2314</v>
      </c>
      <c r="B1930" s="62" t="s">
        <v>1661</v>
      </c>
      <c r="C1930" s="62" t="s">
        <v>1662</v>
      </c>
      <c r="D1930" s="63">
        <v>45601</v>
      </c>
      <c r="E1930" s="63">
        <v>46440</v>
      </c>
      <c r="F1930" s="62" t="s">
        <v>1959</v>
      </c>
      <c r="G1930" s="62" t="s">
        <v>808</v>
      </c>
      <c r="H1930" s="62" t="s">
        <v>373</v>
      </c>
      <c r="I1930" s="62" t="s">
        <v>424</v>
      </c>
      <c r="J1930" s="62" t="s">
        <v>579</v>
      </c>
      <c r="K1930" s="62" t="s">
        <v>428</v>
      </c>
      <c r="L1930" s="62" t="s">
        <v>2421</v>
      </c>
      <c r="M1930" s="66" t="s">
        <v>2021</v>
      </c>
    </row>
    <row r="1931" spans="1:13" x14ac:dyDescent="0.3">
      <c r="A1931" s="61" t="s">
        <v>2314</v>
      </c>
      <c r="B1931" s="62" t="s">
        <v>1661</v>
      </c>
      <c r="C1931" s="62" t="s">
        <v>1662</v>
      </c>
      <c r="D1931" s="63">
        <v>45601</v>
      </c>
      <c r="E1931" s="63">
        <v>46440</v>
      </c>
      <c r="F1931" s="62" t="s">
        <v>1945</v>
      </c>
      <c r="G1931" s="62" t="s">
        <v>402</v>
      </c>
      <c r="H1931" s="62" t="s">
        <v>373</v>
      </c>
      <c r="I1931" s="62" t="s">
        <v>424</v>
      </c>
      <c r="J1931" s="62" t="s">
        <v>579</v>
      </c>
      <c r="K1931" s="62" t="s">
        <v>428</v>
      </c>
      <c r="L1931" s="62" t="s">
        <v>2421</v>
      </c>
      <c r="M1931" s="66" t="s">
        <v>2021</v>
      </c>
    </row>
    <row r="1932" spans="1:13" x14ac:dyDescent="0.3">
      <c r="A1932" s="61" t="s">
        <v>2314</v>
      </c>
      <c r="B1932" s="62" t="s">
        <v>1661</v>
      </c>
      <c r="C1932" s="62" t="s">
        <v>1662</v>
      </c>
      <c r="D1932" s="63">
        <v>45601</v>
      </c>
      <c r="E1932" s="63">
        <v>46440</v>
      </c>
      <c r="F1932" s="62" t="s">
        <v>1945</v>
      </c>
      <c r="G1932" s="62" t="s">
        <v>403</v>
      </c>
      <c r="H1932" s="62" t="s">
        <v>373</v>
      </c>
      <c r="I1932" s="62" t="s">
        <v>424</v>
      </c>
      <c r="J1932" s="62" t="s">
        <v>579</v>
      </c>
      <c r="K1932" s="62" t="s">
        <v>428</v>
      </c>
      <c r="L1932" s="62" t="s">
        <v>2421</v>
      </c>
      <c r="M1932" s="66" t="s">
        <v>2021</v>
      </c>
    </row>
    <row r="1933" spans="1:13" x14ac:dyDescent="0.3">
      <c r="A1933" s="61" t="s">
        <v>2314</v>
      </c>
      <c r="B1933" s="62" t="s">
        <v>1661</v>
      </c>
      <c r="C1933" s="62" t="s">
        <v>1662</v>
      </c>
      <c r="D1933" s="63">
        <v>45601</v>
      </c>
      <c r="E1933" s="63">
        <v>46440</v>
      </c>
      <c r="F1933" s="62" t="s">
        <v>1945</v>
      </c>
      <c r="G1933" s="62" t="s">
        <v>404</v>
      </c>
      <c r="H1933" s="62" t="s">
        <v>373</v>
      </c>
      <c r="I1933" s="62" t="s">
        <v>424</v>
      </c>
      <c r="J1933" s="62" t="s">
        <v>579</v>
      </c>
      <c r="K1933" s="62" t="s">
        <v>428</v>
      </c>
      <c r="L1933" s="62" t="s">
        <v>2421</v>
      </c>
      <c r="M1933" s="66" t="s">
        <v>2021</v>
      </c>
    </row>
    <row r="1934" spans="1:13" x14ac:dyDescent="0.3">
      <c r="A1934" s="61" t="s">
        <v>2315</v>
      </c>
      <c r="B1934" s="62" t="s">
        <v>1663</v>
      </c>
      <c r="C1934" s="62" t="s">
        <v>1664</v>
      </c>
      <c r="D1934" s="63">
        <v>43770</v>
      </c>
      <c r="E1934" s="63">
        <v>46387</v>
      </c>
      <c r="F1934" s="62" t="s">
        <v>287</v>
      </c>
      <c r="G1934" s="62" t="s">
        <v>589</v>
      </c>
      <c r="H1934" s="62" t="s">
        <v>1665</v>
      </c>
      <c r="I1934" s="62" t="s">
        <v>457</v>
      </c>
      <c r="J1934" s="62" t="s">
        <v>458</v>
      </c>
      <c r="K1934" s="62" t="s">
        <v>459</v>
      </c>
      <c r="L1934" s="62" t="s">
        <v>2421</v>
      </c>
      <c r="M1934" s="66" t="s">
        <v>1977</v>
      </c>
    </row>
    <row r="1935" spans="1:13" x14ac:dyDescent="0.3">
      <c r="A1935" s="61" t="s">
        <v>2315</v>
      </c>
      <c r="B1935" s="62" t="s">
        <v>1663</v>
      </c>
      <c r="C1935" s="62" t="s">
        <v>1664</v>
      </c>
      <c r="D1935" s="63">
        <v>43770</v>
      </c>
      <c r="E1935" s="63">
        <v>46387</v>
      </c>
      <c r="F1935" s="62" t="s">
        <v>287</v>
      </c>
      <c r="G1935" s="62" t="s">
        <v>768</v>
      </c>
      <c r="H1935" s="62" t="s">
        <v>1665</v>
      </c>
      <c r="I1935" s="62" t="s">
        <v>457</v>
      </c>
      <c r="J1935" s="62" t="s">
        <v>458</v>
      </c>
      <c r="K1935" s="62" t="s">
        <v>459</v>
      </c>
      <c r="L1935" s="62" t="s">
        <v>2421</v>
      </c>
      <c r="M1935" s="66" t="s">
        <v>1977</v>
      </c>
    </row>
    <row r="1936" spans="1:13" x14ac:dyDescent="0.3">
      <c r="A1936" s="61" t="s">
        <v>2315</v>
      </c>
      <c r="B1936" s="62" t="s">
        <v>1663</v>
      </c>
      <c r="C1936" s="62" t="s">
        <v>1664</v>
      </c>
      <c r="D1936" s="63">
        <v>43770</v>
      </c>
      <c r="E1936" s="63">
        <v>46387</v>
      </c>
      <c r="F1936" s="62" t="s">
        <v>287</v>
      </c>
      <c r="G1936" s="62" t="s">
        <v>1083</v>
      </c>
      <c r="H1936" s="62" t="s">
        <v>1665</v>
      </c>
      <c r="I1936" s="62" t="s">
        <v>457</v>
      </c>
      <c r="J1936" s="62" t="s">
        <v>458</v>
      </c>
      <c r="K1936" s="62" t="s">
        <v>459</v>
      </c>
      <c r="L1936" s="62" t="s">
        <v>2421</v>
      </c>
      <c r="M1936" s="66" t="s">
        <v>1977</v>
      </c>
    </row>
    <row r="1937" spans="1:13" x14ac:dyDescent="0.3">
      <c r="A1937" s="61" t="s">
        <v>2315</v>
      </c>
      <c r="B1937" s="62" t="s">
        <v>1663</v>
      </c>
      <c r="C1937" s="62" t="s">
        <v>1664</v>
      </c>
      <c r="D1937" s="63">
        <v>43770</v>
      </c>
      <c r="E1937" s="63">
        <v>46387</v>
      </c>
      <c r="F1937" s="62" t="s">
        <v>287</v>
      </c>
      <c r="G1937" s="62" t="s">
        <v>769</v>
      </c>
      <c r="H1937" s="62" t="s">
        <v>1665</v>
      </c>
      <c r="I1937" s="62" t="s">
        <v>457</v>
      </c>
      <c r="J1937" s="62" t="s">
        <v>458</v>
      </c>
      <c r="K1937" s="62" t="s">
        <v>459</v>
      </c>
      <c r="L1937" s="62" t="s">
        <v>2421</v>
      </c>
      <c r="M1937" s="66" t="s">
        <v>1977</v>
      </c>
    </row>
    <row r="1938" spans="1:13" x14ac:dyDescent="0.3">
      <c r="A1938" s="61" t="s">
        <v>2315</v>
      </c>
      <c r="B1938" s="62" t="s">
        <v>1663</v>
      </c>
      <c r="C1938" s="62" t="s">
        <v>1664</v>
      </c>
      <c r="D1938" s="63">
        <v>43770</v>
      </c>
      <c r="E1938" s="63">
        <v>46387</v>
      </c>
      <c r="F1938" s="62" t="s">
        <v>287</v>
      </c>
      <c r="G1938" s="62" t="s">
        <v>770</v>
      </c>
      <c r="H1938" s="62" t="s">
        <v>1665</v>
      </c>
      <c r="I1938" s="62" t="s">
        <v>457</v>
      </c>
      <c r="J1938" s="62" t="s">
        <v>458</v>
      </c>
      <c r="K1938" s="62" t="s">
        <v>459</v>
      </c>
      <c r="L1938" s="62" t="s">
        <v>2421</v>
      </c>
      <c r="M1938" s="66" t="s">
        <v>1977</v>
      </c>
    </row>
    <row r="1939" spans="1:13" x14ac:dyDescent="0.3">
      <c r="A1939" s="61" t="s">
        <v>2315</v>
      </c>
      <c r="B1939" s="62" t="s">
        <v>1663</v>
      </c>
      <c r="C1939" s="62" t="s">
        <v>1664</v>
      </c>
      <c r="D1939" s="63">
        <v>43770</v>
      </c>
      <c r="E1939" s="63">
        <v>46387</v>
      </c>
      <c r="F1939" s="62" t="s">
        <v>287</v>
      </c>
      <c r="G1939" s="62" t="s">
        <v>591</v>
      </c>
      <c r="H1939" s="62" t="s">
        <v>1665</v>
      </c>
      <c r="I1939" s="62" t="s">
        <v>457</v>
      </c>
      <c r="J1939" s="62" t="s">
        <v>458</v>
      </c>
      <c r="K1939" s="62" t="s">
        <v>459</v>
      </c>
      <c r="L1939" s="62" t="s">
        <v>2421</v>
      </c>
      <c r="M1939" s="66" t="s">
        <v>1977</v>
      </c>
    </row>
    <row r="1940" spans="1:13" x14ac:dyDescent="0.3">
      <c r="A1940" s="61" t="s">
        <v>2315</v>
      </c>
      <c r="B1940" s="62" t="s">
        <v>1663</v>
      </c>
      <c r="C1940" s="62" t="s">
        <v>1664</v>
      </c>
      <c r="D1940" s="63">
        <v>43770</v>
      </c>
      <c r="E1940" s="63">
        <v>46387</v>
      </c>
      <c r="F1940" s="62" t="s">
        <v>287</v>
      </c>
      <c r="G1940" s="62" t="s">
        <v>392</v>
      </c>
      <c r="H1940" s="62" t="s">
        <v>1665</v>
      </c>
      <c r="I1940" s="62" t="s">
        <v>457</v>
      </c>
      <c r="J1940" s="62" t="s">
        <v>458</v>
      </c>
      <c r="K1940" s="62" t="s">
        <v>459</v>
      </c>
      <c r="L1940" s="62" t="s">
        <v>2421</v>
      </c>
      <c r="M1940" s="66" t="s">
        <v>1977</v>
      </c>
    </row>
    <row r="1941" spans="1:13" x14ac:dyDescent="0.3">
      <c r="A1941" s="61" t="s">
        <v>2315</v>
      </c>
      <c r="B1941" s="62" t="s">
        <v>1663</v>
      </c>
      <c r="C1941" s="62" t="s">
        <v>1664</v>
      </c>
      <c r="D1941" s="63">
        <v>43770</v>
      </c>
      <c r="E1941" s="63">
        <v>46387</v>
      </c>
      <c r="F1941" s="62" t="s">
        <v>287</v>
      </c>
      <c r="G1941" s="62" t="s">
        <v>592</v>
      </c>
      <c r="H1941" s="62" t="s">
        <v>1665</v>
      </c>
      <c r="I1941" s="62" t="s">
        <v>457</v>
      </c>
      <c r="J1941" s="62" t="s">
        <v>458</v>
      </c>
      <c r="K1941" s="62" t="s">
        <v>459</v>
      </c>
      <c r="L1941" s="62" t="s">
        <v>2421</v>
      </c>
      <c r="M1941" s="66" t="s">
        <v>1977</v>
      </c>
    </row>
    <row r="1942" spans="1:13" x14ac:dyDescent="0.3">
      <c r="A1942" s="61" t="s">
        <v>2315</v>
      </c>
      <c r="B1942" s="62" t="s">
        <v>1663</v>
      </c>
      <c r="C1942" s="62" t="s">
        <v>1664</v>
      </c>
      <c r="D1942" s="63">
        <v>43770</v>
      </c>
      <c r="E1942" s="63">
        <v>46387</v>
      </c>
      <c r="F1942" s="62" t="s">
        <v>287</v>
      </c>
      <c r="G1942" s="62" t="s">
        <v>1262</v>
      </c>
      <c r="H1942" s="62" t="s">
        <v>1665</v>
      </c>
      <c r="I1942" s="62" t="s">
        <v>457</v>
      </c>
      <c r="J1942" s="62" t="s">
        <v>458</v>
      </c>
      <c r="K1942" s="62" t="s">
        <v>459</v>
      </c>
      <c r="L1942" s="62" t="s">
        <v>2421</v>
      </c>
      <c r="M1942" s="66" t="s">
        <v>1977</v>
      </c>
    </row>
    <row r="1943" spans="1:13" x14ac:dyDescent="0.3">
      <c r="A1943" s="61" t="s">
        <v>2315</v>
      </c>
      <c r="B1943" s="62" t="s">
        <v>1663</v>
      </c>
      <c r="C1943" s="62" t="s">
        <v>1664</v>
      </c>
      <c r="D1943" s="63">
        <v>43770</v>
      </c>
      <c r="E1943" s="63">
        <v>46387</v>
      </c>
      <c r="F1943" s="62" t="s">
        <v>287</v>
      </c>
      <c r="G1943" s="62" t="s">
        <v>1540</v>
      </c>
      <c r="H1943" s="62" t="s">
        <v>1665</v>
      </c>
      <c r="I1943" s="62" t="s">
        <v>457</v>
      </c>
      <c r="J1943" s="62" t="s">
        <v>458</v>
      </c>
      <c r="K1943" s="62" t="s">
        <v>459</v>
      </c>
      <c r="L1943" s="62" t="s">
        <v>2421</v>
      </c>
      <c r="M1943" s="66" t="s">
        <v>1977</v>
      </c>
    </row>
    <row r="1944" spans="1:13" x14ac:dyDescent="0.3">
      <c r="A1944" s="61" t="s">
        <v>2315</v>
      </c>
      <c r="B1944" s="62" t="s">
        <v>1663</v>
      </c>
      <c r="C1944" s="62" t="s">
        <v>1664</v>
      </c>
      <c r="D1944" s="63">
        <v>43770</v>
      </c>
      <c r="E1944" s="63">
        <v>46387</v>
      </c>
      <c r="F1944" s="62" t="s">
        <v>287</v>
      </c>
      <c r="G1944" s="62" t="s">
        <v>1108</v>
      </c>
      <c r="H1944" s="62" t="s">
        <v>1665</v>
      </c>
      <c r="I1944" s="62" t="s">
        <v>457</v>
      </c>
      <c r="J1944" s="62" t="s">
        <v>458</v>
      </c>
      <c r="K1944" s="62" t="s">
        <v>459</v>
      </c>
      <c r="L1944" s="62" t="s">
        <v>2421</v>
      </c>
      <c r="M1944" s="66" t="s">
        <v>1977</v>
      </c>
    </row>
    <row r="1945" spans="1:13" x14ac:dyDescent="0.3">
      <c r="A1945" s="61" t="s">
        <v>2315</v>
      </c>
      <c r="B1945" s="62" t="s">
        <v>1663</v>
      </c>
      <c r="C1945" s="62" t="s">
        <v>1664</v>
      </c>
      <c r="D1945" s="63">
        <v>43770</v>
      </c>
      <c r="E1945" s="63">
        <v>46387</v>
      </c>
      <c r="F1945" s="62" t="s">
        <v>287</v>
      </c>
      <c r="G1945" s="62" t="s">
        <v>394</v>
      </c>
      <c r="H1945" s="62" t="s">
        <v>1665</v>
      </c>
      <c r="I1945" s="62" t="s">
        <v>457</v>
      </c>
      <c r="J1945" s="62" t="s">
        <v>458</v>
      </c>
      <c r="K1945" s="62" t="s">
        <v>459</v>
      </c>
      <c r="L1945" s="62" t="s">
        <v>2421</v>
      </c>
      <c r="M1945" s="66" t="s">
        <v>1977</v>
      </c>
    </row>
    <row r="1946" spans="1:13" x14ac:dyDescent="0.3">
      <c r="A1946" s="61" t="s">
        <v>2315</v>
      </c>
      <c r="B1946" s="62" t="s">
        <v>1663</v>
      </c>
      <c r="C1946" s="62" t="s">
        <v>1664</v>
      </c>
      <c r="D1946" s="63">
        <v>43770</v>
      </c>
      <c r="E1946" s="63">
        <v>46387</v>
      </c>
      <c r="F1946" s="62" t="s">
        <v>287</v>
      </c>
      <c r="G1946" s="62" t="s">
        <v>593</v>
      </c>
      <c r="H1946" s="62" t="s">
        <v>1665</v>
      </c>
      <c r="I1946" s="62" t="s">
        <v>457</v>
      </c>
      <c r="J1946" s="62" t="s">
        <v>458</v>
      </c>
      <c r="K1946" s="62" t="s">
        <v>459</v>
      </c>
      <c r="L1946" s="62" t="s">
        <v>2421</v>
      </c>
      <c r="M1946" s="66" t="s">
        <v>1977</v>
      </c>
    </row>
    <row r="1947" spans="1:13" x14ac:dyDescent="0.3">
      <c r="A1947" s="61" t="s">
        <v>2315</v>
      </c>
      <c r="B1947" s="62" t="s">
        <v>1663</v>
      </c>
      <c r="C1947" s="62" t="s">
        <v>1664</v>
      </c>
      <c r="D1947" s="63">
        <v>43770</v>
      </c>
      <c r="E1947" s="63">
        <v>46387</v>
      </c>
      <c r="F1947" s="62" t="s">
        <v>287</v>
      </c>
      <c r="G1947" s="62" t="s">
        <v>395</v>
      </c>
      <c r="H1947" s="62" t="s">
        <v>1665</v>
      </c>
      <c r="I1947" s="62" t="s">
        <v>457</v>
      </c>
      <c r="J1947" s="62" t="s">
        <v>458</v>
      </c>
      <c r="K1947" s="62" t="s">
        <v>459</v>
      </c>
      <c r="L1947" s="62" t="s">
        <v>2421</v>
      </c>
      <c r="M1947" s="66" t="s">
        <v>1977</v>
      </c>
    </row>
    <row r="1948" spans="1:13" x14ac:dyDescent="0.3">
      <c r="A1948" s="61" t="s">
        <v>2315</v>
      </c>
      <c r="B1948" s="62" t="s">
        <v>1663</v>
      </c>
      <c r="C1948" s="62" t="s">
        <v>1664</v>
      </c>
      <c r="D1948" s="63">
        <v>43770</v>
      </c>
      <c r="E1948" s="63">
        <v>46387</v>
      </c>
      <c r="F1948" s="62" t="s">
        <v>287</v>
      </c>
      <c r="G1948" s="62" t="s">
        <v>396</v>
      </c>
      <c r="H1948" s="62" t="s">
        <v>1665</v>
      </c>
      <c r="I1948" s="62" t="s">
        <v>457</v>
      </c>
      <c r="J1948" s="62" t="s">
        <v>458</v>
      </c>
      <c r="K1948" s="62" t="s">
        <v>459</v>
      </c>
      <c r="L1948" s="62" t="s">
        <v>2421</v>
      </c>
      <c r="M1948" s="66" t="s">
        <v>1977</v>
      </c>
    </row>
    <row r="1949" spans="1:13" x14ac:dyDescent="0.3">
      <c r="A1949" s="61" t="s">
        <v>2315</v>
      </c>
      <c r="B1949" s="62" t="s">
        <v>1663</v>
      </c>
      <c r="C1949" s="62" t="s">
        <v>1664</v>
      </c>
      <c r="D1949" s="63">
        <v>43770</v>
      </c>
      <c r="E1949" s="63">
        <v>46387</v>
      </c>
      <c r="F1949" s="62" t="s">
        <v>287</v>
      </c>
      <c r="G1949" s="62" t="s">
        <v>697</v>
      </c>
      <c r="H1949" s="62" t="s">
        <v>1665</v>
      </c>
      <c r="I1949" s="62" t="s">
        <v>457</v>
      </c>
      <c r="J1949" s="62" t="s">
        <v>458</v>
      </c>
      <c r="K1949" s="62" t="s">
        <v>459</v>
      </c>
      <c r="L1949" s="62" t="s">
        <v>2421</v>
      </c>
      <c r="M1949" s="66" t="s">
        <v>1977</v>
      </c>
    </row>
    <row r="1950" spans="1:13" x14ac:dyDescent="0.3">
      <c r="A1950" s="61" t="s">
        <v>2315</v>
      </c>
      <c r="B1950" s="62" t="s">
        <v>1663</v>
      </c>
      <c r="C1950" s="62" t="s">
        <v>1664</v>
      </c>
      <c r="D1950" s="63">
        <v>43770</v>
      </c>
      <c r="E1950" s="63">
        <v>46387</v>
      </c>
      <c r="F1950" s="62" t="s">
        <v>287</v>
      </c>
      <c r="G1950" s="62" t="s">
        <v>423</v>
      </c>
      <c r="H1950" s="62" t="s">
        <v>1665</v>
      </c>
      <c r="I1950" s="62" t="s">
        <v>457</v>
      </c>
      <c r="J1950" s="62" t="s">
        <v>458</v>
      </c>
      <c r="K1950" s="62" t="s">
        <v>459</v>
      </c>
      <c r="L1950" s="62" t="s">
        <v>2421</v>
      </c>
      <c r="M1950" s="66" t="s">
        <v>1977</v>
      </c>
    </row>
    <row r="1951" spans="1:13" x14ac:dyDescent="0.3">
      <c r="A1951" s="61" t="s">
        <v>2315</v>
      </c>
      <c r="B1951" s="62" t="s">
        <v>1663</v>
      </c>
      <c r="C1951" s="62" t="s">
        <v>1664</v>
      </c>
      <c r="D1951" s="63">
        <v>43770</v>
      </c>
      <c r="E1951" s="63">
        <v>46387</v>
      </c>
      <c r="F1951" s="62" t="s">
        <v>1930</v>
      </c>
      <c r="G1951" s="62" t="s">
        <v>572</v>
      </c>
      <c r="H1951" s="62" t="s">
        <v>1665</v>
      </c>
      <c r="I1951" s="62" t="s">
        <v>457</v>
      </c>
      <c r="J1951" s="62" t="s">
        <v>458</v>
      </c>
      <c r="K1951" s="62" t="s">
        <v>459</v>
      </c>
      <c r="L1951" s="62" t="s">
        <v>2421</v>
      </c>
      <c r="M1951" s="66" t="s">
        <v>1977</v>
      </c>
    </row>
    <row r="1952" spans="1:13" x14ac:dyDescent="0.3">
      <c r="A1952" s="61" t="s">
        <v>2315</v>
      </c>
      <c r="B1952" s="62" t="s">
        <v>1663</v>
      </c>
      <c r="C1952" s="62" t="s">
        <v>1664</v>
      </c>
      <c r="D1952" s="63">
        <v>43770</v>
      </c>
      <c r="E1952" s="63">
        <v>46387</v>
      </c>
      <c r="F1952" s="62" t="s">
        <v>1930</v>
      </c>
      <c r="G1952" s="62" t="s">
        <v>760</v>
      </c>
      <c r="H1952" s="62" t="s">
        <v>1665</v>
      </c>
      <c r="I1952" s="62" t="s">
        <v>457</v>
      </c>
      <c r="J1952" s="62" t="s">
        <v>458</v>
      </c>
      <c r="K1952" s="62" t="s">
        <v>459</v>
      </c>
      <c r="L1952" s="62" t="s">
        <v>2421</v>
      </c>
      <c r="M1952" s="66" t="s">
        <v>1977</v>
      </c>
    </row>
    <row r="1953" spans="1:13" x14ac:dyDescent="0.3">
      <c r="A1953" s="61" t="s">
        <v>2315</v>
      </c>
      <c r="B1953" s="62" t="s">
        <v>1663</v>
      </c>
      <c r="C1953" s="62" t="s">
        <v>1664</v>
      </c>
      <c r="D1953" s="63">
        <v>43770</v>
      </c>
      <c r="E1953" s="63">
        <v>46387</v>
      </c>
      <c r="F1953" s="62" t="s">
        <v>1930</v>
      </c>
      <c r="G1953" s="62" t="s">
        <v>563</v>
      </c>
      <c r="H1953" s="62" t="s">
        <v>1665</v>
      </c>
      <c r="I1953" s="62" t="s">
        <v>457</v>
      </c>
      <c r="J1953" s="62" t="s">
        <v>458</v>
      </c>
      <c r="K1953" s="62" t="s">
        <v>459</v>
      </c>
      <c r="L1953" s="62" t="s">
        <v>2421</v>
      </c>
      <c r="M1953" s="66" t="s">
        <v>1977</v>
      </c>
    </row>
    <row r="1954" spans="1:13" x14ac:dyDescent="0.3">
      <c r="A1954" s="61" t="s">
        <v>2315</v>
      </c>
      <c r="B1954" s="62" t="s">
        <v>1663</v>
      </c>
      <c r="C1954" s="62" t="s">
        <v>1664</v>
      </c>
      <c r="D1954" s="63">
        <v>43770</v>
      </c>
      <c r="E1954" s="63">
        <v>46387</v>
      </c>
      <c r="F1954" s="62" t="s">
        <v>1930</v>
      </c>
      <c r="G1954" s="62" t="s">
        <v>580</v>
      </c>
      <c r="H1954" s="62" t="s">
        <v>1665</v>
      </c>
      <c r="I1954" s="62" t="s">
        <v>457</v>
      </c>
      <c r="J1954" s="62" t="s">
        <v>458</v>
      </c>
      <c r="K1954" s="62" t="s">
        <v>459</v>
      </c>
      <c r="L1954" s="62" t="s">
        <v>2421</v>
      </c>
      <c r="M1954" s="66" t="s">
        <v>1977</v>
      </c>
    </row>
    <row r="1955" spans="1:13" x14ac:dyDescent="0.3">
      <c r="A1955" s="61" t="s">
        <v>2315</v>
      </c>
      <c r="B1955" s="62" t="s">
        <v>1663</v>
      </c>
      <c r="C1955" s="62" t="s">
        <v>1664</v>
      </c>
      <c r="D1955" s="63">
        <v>43770</v>
      </c>
      <c r="E1955" s="63">
        <v>46387</v>
      </c>
      <c r="F1955" s="62" t="s">
        <v>1930</v>
      </c>
      <c r="G1955" s="62" t="s">
        <v>284</v>
      </c>
      <c r="H1955" s="62" t="s">
        <v>1665</v>
      </c>
      <c r="I1955" s="62" t="s">
        <v>457</v>
      </c>
      <c r="J1955" s="62" t="s">
        <v>458</v>
      </c>
      <c r="K1955" s="62" t="s">
        <v>459</v>
      </c>
      <c r="L1955" s="62" t="s">
        <v>2421</v>
      </c>
      <c r="M1955" s="66" t="s">
        <v>1977</v>
      </c>
    </row>
    <row r="1956" spans="1:13" x14ac:dyDescent="0.3">
      <c r="A1956" s="61" t="s">
        <v>2315</v>
      </c>
      <c r="B1956" s="62" t="s">
        <v>1663</v>
      </c>
      <c r="C1956" s="62" t="s">
        <v>1664</v>
      </c>
      <c r="D1956" s="63">
        <v>43770</v>
      </c>
      <c r="E1956" s="63">
        <v>46387</v>
      </c>
      <c r="F1956" s="62" t="s">
        <v>1930</v>
      </c>
      <c r="G1956" s="62" t="s">
        <v>995</v>
      </c>
      <c r="H1956" s="62" t="s">
        <v>1665</v>
      </c>
      <c r="I1956" s="62" t="s">
        <v>457</v>
      </c>
      <c r="J1956" s="62" t="s">
        <v>458</v>
      </c>
      <c r="K1956" s="62" t="s">
        <v>459</v>
      </c>
      <c r="L1956" s="62" t="s">
        <v>2421</v>
      </c>
      <c r="M1956" s="66" t="s">
        <v>1977</v>
      </c>
    </row>
    <row r="1957" spans="1:13" x14ac:dyDescent="0.3">
      <c r="A1957" s="61" t="s">
        <v>2315</v>
      </c>
      <c r="B1957" s="62" t="s">
        <v>1663</v>
      </c>
      <c r="C1957" s="62" t="s">
        <v>1664</v>
      </c>
      <c r="D1957" s="63">
        <v>43770</v>
      </c>
      <c r="E1957" s="63">
        <v>46387</v>
      </c>
      <c r="F1957" s="62" t="s">
        <v>1930</v>
      </c>
      <c r="G1957" s="62" t="s">
        <v>419</v>
      </c>
      <c r="H1957" s="62" t="s">
        <v>1665</v>
      </c>
      <c r="I1957" s="62" t="s">
        <v>457</v>
      </c>
      <c r="J1957" s="62" t="s">
        <v>458</v>
      </c>
      <c r="K1957" s="62" t="s">
        <v>459</v>
      </c>
      <c r="L1957" s="62" t="s">
        <v>2421</v>
      </c>
      <c r="M1957" s="66" t="s">
        <v>1977</v>
      </c>
    </row>
    <row r="1958" spans="1:13" x14ac:dyDescent="0.3">
      <c r="A1958" s="61" t="s">
        <v>2315</v>
      </c>
      <c r="B1958" s="62" t="s">
        <v>1663</v>
      </c>
      <c r="C1958" s="62" t="s">
        <v>1664</v>
      </c>
      <c r="D1958" s="63">
        <v>43770</v>
      </c>
      <c r="E1958" s="63">
        <v>46387</v>
      </c>
      <c r="F1958" s="62" t="s">
        <v>1930</v>
      </c>
      <c r="G1958" s="62" t="s">
        <v>641</v>
      </c>
      <c r="H1958" s="62" t="s">
        <v>1665</v>
      </c>
      <c r="I1958" s="62" t="s">
        <v>457</v>
      </c>
      <c r="J1958" s="62" t="s">
        <v>458</v>
      </c>
      <c r="K1958" s="62" t="s">
        <v>459</v>
      </c>
      <c r="L1958" s="62" t="s">
        <v>2421</v>
      </c>
      <c r="M1958" s="66" t="s">
        <v>1977</v>
      </c>
    </row>
    <row r="1959" spans="1:13" x14ac:dyDescent="0.3">
      <c r="A1959" s="61" t="s">
        <v>2315</v>
      </c>
      <c r="B1959" s="62" t="s">
        <v>1663</v>
      </c>
      <c r="C1959" s="62" t="s">
        <v>1664</v>
      </c>
      <c r="D1959" s="63">
        <v>43770</v>
      </c>
      <c r="E1959" s="63">
        <v>46387</v>
      </c>
      <c r="F1959" s="62" t="s">
        <v>1930</v>
      </c>
      <c r="G1959" s="62" t="s">
        <v>996</v>
      </c>
      <c r="H1959" s="62" t="s">
        <v>1665</v>
      </c>
      <c r="I1959" s="62" t="s">
        <v>457</v>
      </c>
      <c r="J1959" s="62" t="s">
        <v>458</v>
      </c>
      <c r="K1959" s="62" t="s">
        <v>459</v>
      </c>
      <c r="L1959" s="62" t="s">
        <v>2421</v>
      </c>
      <c r="M1959" s="66" t="s">
        <v>1977</v>
      </c>
    </row>
    <row r="1960" spans="1:13" x14ac:dyDescent="0.3">
      <c r="A1960" s="61" t="s">
        <v>2315</v>
      </c>
      <c r="B1960" s="62" t="s">
        <v>1663</v>
      </c>
      <c r="C1960" s="62" t="s">
        <v>1664</v>
      </c>
      <c r="D1960" s="63">
        <v>43770</v>
      </c>
      <c r="E1960" s="63">
        <v>46387</v>
      </c>
      <c r="F1960" s="62" t="s">
        <v>1930</v>
      </c>
      <c r="G1960" s="62" t="s">
        <v>642</v>
      </c>
      <c r="H1960" s="62" t="s">
        <v>1665</v>
      </c>
      <c r="I1960" s="62" t="s">
        <v>457</v>
      </c>
      <c r="J1960" s="62" t="s">
        <v>458</v>
      </c>
      <c r="K1960" s="62" t="s">
        <v>459</v>
      </c>
      <c r="L1960" s="62" t="s">
        <v>2421</v>
      </c>
      <c r="M1960" s="66" t="s">
        <v>1977</v>
      </c>
    </row>
    <row r="1961" spans="1:13" x14ac:dyDescent="0.3">
      <c r="A1961" s="61" t="s">
        <v>2315</v>
      </c>
      <c r="B1961" s="62" t="s">
        <v>1663</v>
      </c>
      <c r="C1961" s="62" t="s">
        <v>1664</v>
      </c>
      <c r="D1961" s="63">
        <v>43770</v>
      </c>
      <c r="E1961" s="63">
        <v>46387</v>
      </c>
      <c r="F1961" s="62" t="s">
        <v>1930</v>
      </c>
      <c r="G1961" s="62" t="s">
        <v>581</v>
      </c>
      <c r="H1961" s="62" t="s">
        <v>1665</v>
      </c>
      <c r="I1961" s="62" t="s">
        <v>457</v>
      </c>
      <c r="J1961" s="62" t="s">
        <v>458</v>
      </c>
      <c r="K1961" s="62" t="s">
        <v>459</v>
      </c>
      <c r="L1961" s="62" t="s">
        <v>2421</v>
      </c>
      <c r="M1961" s="66" t="s">
        <v>1977</v>
      </c>
    </row>
    <row r="1962" spans="1:13" x14ac:dyDescent="0.3">
      <c r="A1962" s="61" t="s">
        <v>2315</v>
      </c>
      <c r="B1962" s="62" t="s">
        <v>1663</v>
      </c>
      <c r="C1962" s="62" t="s">
        <v>1664</v>
      </c>
      <c r="D1962" s="63">
        <v>43770</v>
      </c>
      <c r="E1962" s="63">
        <v>46387</v>
      </c>
      <c r="F1962" s="62" t="s">
        <v>1930</v>
      </c>
      <c r="G1962" s="62" t="s">
        <v>997</v>
      </c>
      <c r="H1962" s="62" t="s">
        <v>1665</v>
      </c>
      <c r="I1962" s="62" t="s">
        <v>457</v>
      </c>
      <c r="J1962" s="62" t="s">
        <v>458</v>
      </c>
      <c r="K1962" s="62" t="s">
        <v>459</v>
      </c>
      <c r="L1962" s="62" t="s">
        <v>2421</v>
      </c>
      <c r="M1962" s="66" t="s">
        <v>1977</v>
      </c>
    </row>
    <row r="1963" spans="1:13" x14ac:dyDescent="0.3">
      <c r="A1963" s="61" t="s">
        <v>2315</v>
      </c>
      <c r="B1963" s="62" t="s">
        <v>1663</v>
      </c>
      <c r="C1963" s="62" t="s">
        <v>1664</v>
      </c>
      <c r="D1963" s="63">
        <v>43770</v>
      </c>
      <c r="E1963" s="63">
        <v>46387</v>
      </c>
      <c r="F1963" s="62" t="s">
        <v>1930</v>
      </c>
      <c r="G1963" s="62" t="s">
        <v>453</v>
      </c>
      <c r="H1963" s="62" t="s">
        <v>1665</v>
      </c>
      <c r="I1963" s="62" t="s">
        <v>457</v>
      </c>
      <c r="J1963" s="62" t="s">
        <v>458</v>
      </c>
      <c r="K1963" s="62" t="s">
        <v>459</v>
      </c>
      <c r="L1963" s="62" t="s">
        <v>2421</v>
      </c>
      <c r="M1963" s="66" t="s">
        <v>1977</v>
      </c>
    </row>
    <row r="1964" spans="1:13" x14ac:dyDescent="0.3">
      <c r="A1964" s="61" t="s">
        <v>2315</v>
      </c>
      <c r="B1964" s="62" t="s">
        <v>1663</v>
      </c>
      <c r="C1964" s="62" t="s">
        <v>1664</v>
      </c>
      <c r="D1964" s="63">
        <v>43770</v>
      </c>
      <c r="E1964" s="63">
        <v>46387</v>
      </c>
      <c r="F1964" s="62" t="s">
        <v>1930</v>
      </c>
      <c r="G1964" s="62" t="s">
        <v>998</v>
      </c>
      <c r="H1964" s="62" t="s">
        <v>1665</v>
      </c>
      <c r="I1964" s="62" t="s">
        <v>457</v>
      </c>
      <c r="J1964" s="62" t="s">
        <v>458</v>
      </c>
      <c r="K1964" s="62" t="s">
        <v>459</v>
      </c>
      <c r="L1964" s="62" t="s">
        <v>2421</v>
      </c>
      <c r="M1964" s="66" t="s">
        <v>1977</v>
      </c>
    </row>
    <row r="1965" spans="1:13" x14ac:dyDescent="0.3">
      <c r="A1965" s="61" t="s">
        <v>2315</v>
      </c>
      <c r="B1965" s="62" t="s">
        <v>1663</v>
      </c>
      <c r="C1965" s="62" t="s">
        <v>1664</v>
      </c>
      <c r="D1965" s="63">
        <v>43770</v>
      </c>
      <c r="E1965" s="63">
        <v>46387</v>
      </c>
      <c r="F1965" s="62" t="s">
        <v>1930</v>
      </c>
      <c r="G1965" s="62" t="s">
        <v>502</v>
      </c>
      <c r="H1965" s="62" t="s">
        <v>1665</v>
      </c>
      <c r="I1965" s="62" t="s">
        <v>457</v>
      </c>
      <c r="J1965" s="62" t="s">
        <v>458</v>
      </c>
      <c r="K1965" s="62" t="s">
        <v>459</v>
      </c>
      <c r="L1965" s="62" t="s">
        <v>2421</v>
      </c>
      <c r="M1965" s="66" t="s">
        <v>1977</v>
      </c>
    </row>
    <row r="1966" spans="1:13" x14ac:dyDescent="0.3">
      <c r="A1966" s="61" t="s">
        <v>2315</v>
      </c>
      <c r="B1966" s="62" t="s">
        <v>1663</v>
      </c>
      <c r="C1966" s="62" t="s">
        <v>1664</v>
      </c>
      <c r="D1966" s="63">
        <v>43770</v>
      </c>
      <c r="E1966" s="63">
        <v>46387</v>
      </c>
      <c r="F1966" s="62" t="s">
        <v>1930</v>
      </c>
      <c r="G1966" s="62" t="s">
        <v>573</v>
      </c>
      <c r="H1966" s="62" t="s">
        <v>1665</v>
      </c>
      <c r="I1966" s="62" t="s">
        <v>457</v>
      </c>
      <c r="J1966" s="62" t="s">
        <v>458</v>
      </c>
      <c r="K1966" s="62" t="s">
        <v>459</v>
      </c>
      <c r="L1966" s="62" t="s">
        <v>2421</v>
      </c>
      <c r="M1966" s="66" t="s">
        <v>1977</v>
      </c>
    </row>
    <row r="1967" spans="1:13" x14ac:dyDescent="0.3">
      <c r="A1967" s="61" t="s">
        <v>2315</v>
      </c>
      <c r="B1967" s="62" t="s">
        <v>1663</v>
      </c>
      <c r="C1967" s="62" t="s">
        <v>1664</v>
      </c>
      <c r="D1967" s="63">
        <v>43770</v>
      </c>
      <c r="E1967" s="63">
        <v>46387</v>
      </c>
      <c r="F1967" s="62" t="s">
        <v>1941</v>
      </c>
      <c r="G1967" s="62" t="s">
        <v>319</v>
      </c>
      <c r="H1967" s="62" t="s">
        <v>1665</v>
      </c>
      <c r="I1967" s="62" t="s">
        <v>457</v>
      </c>
      <c r="J1967" s="62" t="s">
        <v>458</v>
      </c>
      <c r="K1967" s="62" t="s">
        <v>459</v>
      </c>
      <c r="L1967" s="62" t="s">
        <v>2421</v>
      </c>
      <c r="M1967" s="66" t="s">
        <v>1977</v>
      </c>
    </row>
    <row r="1968" spans="1:13" x14ac:dyDescent="0.3">
      <c r="A1968" s="61" t="s">
        <v>2315</v>
      </c>
      <c r="B1968" s="62" t="s">
        <v>1663</v>
      </c>
      <c r="C1968" s="62" t="s">
        <v>1664</v>
      </c>
      <c r="D1968" s="63">
        <v>43770</v>
      </c>
      <c r="E1968" s="63">
        <v>46387</v>
      </c>
      <c r="F1968" s="62" t="s">
        <v>1941</v>
      </c>
      <c r="G1968" s="62" t="s">
        <v>494</v>
      </c>
      <c r="H1968" s="62" t="s">
        <v>1665</v>
      </c>
      <c r="I1968" s="62" t="s">
        <v>457</v>
      </c>
      <c r="J1968" s="62" t="s">
        <v>458</v>
      </c>
      <c r="K1968" s="62" t="s">
        <v>459</v>
      </c>
      <c r="L1968" s="62" t="s">
        <v>2421</v>
      </c>
      <c r="M1968" s="66" t="s">
        <v>1977</v>
      </c>
    </row>
    <row r="1969" spans="1:13" x14ac:dyDescent="0.3">
      <c r="A1969" s="61" t="s">
        <v>2315</v>
      </c>
      <c r="B1969" s="62" t="s">
        <v>1663</v>
      </c>
      <c r="C1969" s="62" t="s">
        <v>1664</v>
      </c>
      <c r="D1969" s="63">
        <v>43770</v>
      </c>
      <c r="E1969" s="63">
        <v>46387</v>
      </c>
      <c r="F1969" s="62" t="s">
        <v>1941</v>
      </c>
      <c r="G1969" s="62" t="s">
        <v>495</v>
      </c>
      <c r="H1969" s="62" t="s">
        <v>1665</v>
      </c>
      <c r="I1969" s="62" t="s">
        <v>457</v>
      </c>
      <c r="J1969" s="62" t="s">
        <v>458</v>
      </c>
      <c r="K1969" s="62" t="s">
        <v>459</v>
      </c>
      <c r="L1969" s="62" t="s">
        <v>2421</v>
      </c>
      <c r="M1969" s="66" t="s">
        <v>1977</v>
      </c>
    </row>
    <row r="1970" spans="1:13" x14ac:dyDescent="0.3">
      <c r="A1970" s="61" t="s">
        <v>2315</v>
      </c>
      <c r="B1970" s="62" t="s">
        <v>1663</v>
      </c>
      <c r="C1970" s="62" t="s">
        <v>1664</v>
      </c>
      <c r="D1970" s="63">
        <v>43770</v>
      </c>
      <c r="E1970" s="63">
        <v>46387</v>
      </c>
      <c r="F1970" s="62" t="s">
        <v>1941</v>
      </c>
      <c r="G1970" s="62" t="s">
        <v>322</v>
      </c>
      <c r="H1970" s="62" t="s">
        <v>1665</v>
      </c>
      <c r="I1970" s="62" t="s">
        <v>457</v>
      </c>
      <c r="J1970" s="62" t="s">
        <v>458</v>
      </c>
      <c r="K1970" s="62" t="s">
        <v>459</v>
      </c>
      <c r="L1970" s="62" t="s">
        <v>2421</v>
      </c>
      <c r="M1970" s="66" t="s">
        <v>1977</v>
      </c>
    </row>
    <row r="1971" spans="1:13" x14ac:dyDescent="0.3">
      <c r="A1971" s="61" t="s">
        <v>2315</v>
      </c>
      <c r="B1971" s="62" t="s">
        <v>1663</v>
      </c>
      <c r="C1971" s="62" t="s">
        <v>1664</v>
      </c>
      <c r="D1971" s="63">
        <v>43770</v>
      </c>
      <c r="E1971" s="63">
        <v>46387</v>
      </c>
      <c r="F1971" s="62" t="s">
        <v>1941</v>
      </c>
      <c r="G1971" s="62" t="s">
        <v>496</v>
      </c>
      <c r="H1971" s="62" t="s">
        <v>1665</v>
      </c>
      <c r="I1971" s="62" t="s">
        <v>457</v>
      </c>
      <c r="J1971" s="62" t="s">
        <v>458</v>
      </c>
      <c r="K1971" s="62" t="s">
        <v>459</v>
      </c>
      <c r="L1971" s="62" t="s">
        <v>2421</v>
      </c>
      <c r="M1971" s="66" t="s">
        <v>1977</v>
      </c>
    </row>
    <row r="1972" spans="1:13" x14ac:dyDescent="0.3">
      <c r="A1972" s="61" t="s">
        <v>2315</v>
      </c>
      <c r="B1972" s="62" t="s">
        <v>1663</v>
      </c>
      <c r="C1972" s="62" t="s">
        <v>1664</v>
      </c>
      <c r="D1972" s="63">
        <v>43770</v>
      </c>
      <c r="E1972" s="63">
        <v>46387</v>
      </c>
      <c r="F1972" s="62" t="s">
        <v>1941</v>
      </c>
      <c r="G1972" s="62" t="s">
        <v>397</v>
      </c>
      <c r="H1972" s="62" t="s">
        <v>1665</v>
      </c>
      <c r="I1972" s="62" t="s">
        <v>457</v>
      </c>
      <c r="J1972" s="62" t="s">
        <v>458</v>
      </c>
      <c r="K1972" s="62" t="s">
        <v>459</v>
      </c>
      <c r="L1972" s="62" t="s">
        <v>2421</v>
      </c>
      <c r="M1972" s="66" t="s">
        <v>1977</v>
      </c>
    </row>
    <row r="1973" spans="1:13" x14ac:dyDescent="0.3">
      <c r="A1973" s="61" t="s">
        <v>2315</v>
      </c>
      <c r="B1973" s="62" t="s">
        <v>1663</v>
      </c>
      <c r="C1973" s="62" t="s">
        <v>1664</v>
      </c>
      <c r="D1973" s="63">
        <v>43770</v>
      </c>
      <c r="E1973" s="63">
        <v>46387</v>
      </c>
      <c r="F1973" s="62" t="s">
        <v>1941</v>
      </c>
      <c r="G1973" s="62" t="s">
        <v>1329</v>
      </c>
      <c r="H1973" s="62" t="s">
        <v>1665</v>
      </c>
      <c r="I1973" s="62" t="s">
        <v>457</v>
      </c>
      <c r="J1973" s="62" t="s">
        <v>458</v>
      </c>
      <c r="K1973" s="62" t="s">
        <v>459</v>
      </c>
      <c r="L1973" s="62" t="s">
        <v>2421</v>
      </c>
      <c r="M1973" s="66" t="s">
        <v>1977</v>
      </c>
    </row>
    <row r="1974" spans="1:13" x14ac:dyDescent="0.3">
      <c r="A1974" s="61" t="s">
        <v>2315</v>
      </c>
      <c r="B1974" s="62" t="s">
        <v>1663</v>
      </c>
      <c r="C1974" s="62" t="s">
        <v>1664</v>
      </c>
      <c r="D1974" s="63">
        <v>43770</v>
      </c>
      <c r="E1974" s="63">
        <v>46387</v>
      </c>
      <c r="F1974" s="62" t="s">
        <v>1941</v>
      </c>
      <c r="G1974" s="62" t="s">
        <v>398</v>
      </c>
      <c r="H1974" s="62" t="s">
        <v>1665</v>
      </c>
      <c r="I1974" s="62" t="s">
        <v>457</v>
      </c>
      <c r="J1974" s="62" t="s">
        <v>458</v>
      </c>
      <c r="K1974" s="62" t="s">
        <v>459</v>
      </c>
      <c r="L1974" s="62" t="s">
        <v>2421</v>
      </c>
      <c r="M1974" s="66" t="s">
        <v>1977</v>
      </c>
    </row>
    <row r="1975" spans="1:13" x14ac:dyDescent="0.3">
      <c r="A1975" s="61" t="s">
        <v>2315</v>
      </c>
      <c r="B1975" s="62" t="s">
        <v>1663</v>
      </c>
      <c r="C1975" s="62" t="s">
        <v>1664</v>
      </c>
      <c r="D1975" s="63">
        <v>43770</v>
      </c>
      <c r="E1975" s="63">
        <v>46387</v>
      </c>
      <c r="F1975" s="62" t="s">
        <v>1941</v>
      </c>
      <c r="G1975" s="62" t="s">
        <v>399</v>
      </c>
      <c r="H1975" s="62" t="s">
        <v>1665</v>
      </c>
      <c r="I1975" s="62" t="s">
        <v>457</v>
      </c>
      <c r="J1975" s="62" t="s">
        <v>458</v>
      </c>
      <c r="K1975" s="62" t="s">
        <v>459</v>
      </c>
      <c r="L1975" s="62" t="s">
        <v>2421</v>
      </c>
      <c r="M1975" s="66" t="s">
        <v>1977</v>
      </c>
    </row>
    <row r="1976" spans="1:13" x14ac:dyDescent="0.3">
      <c r="A1976" s="61" t="s">
        <v>2315</v>
      </c>
      <c r="B1976" s="62" t="s">
        <v>1663</v>
      </c>
      <c r="C1976" s="62" t="s">
        <v>1664</v>
      </c>
      <c r="D1976" s="63">
        <v>43770</v>
      </c>
      <c r="E1976" s="63">
        <v>46387</v>
      </c>
      <c r="F1976" s="62" t="s">
        <v>1934</v>
      </c>
      <c r="G1976" s="62" t="s">
        <v>497</v>
      </c>
      <c r="H1976" s="62" t="s">
        <v>1665</v>
      </c>
      <c r="I1976" s="62" t="s">
        <v>457</v>
      </c>
      <c r="J1976" s="62" t="s">
        <v>458</v>
      </c>
      <c r="K1976" s="62" t="s">
        <v>459</v>
      </c>
      <c r="L1976" s="62" t="s">
        <v>2421</v>
      </c>
      <c r="M1976" s="66" t="s">
        <v>1977</v>
      </c>
    </row>
    <row r="1977" spans="1:13" x14ac:dyDescent="0.3">
      <c r="A1977" s="61" t="s">
        <v>2315</v>
      </c>
      <c r="B1977" s="62" t="s">
        <v>1663</v>
      </c>
      <c r="C1977" s="62" t="s">
        <v>1664</v>
      </c>
      <c r="D1977" s="63">
        <v>43770</v>
      </c>
      <c r="E1977" s="63">
        <v>46387</v>
      </c>
      <c r="F1977" s="62" t="s">
        <v>1934</v>
      </c>
      <c r="G1977" s="62" t="s">
        <v>477</v>
      </c>
      <c r="H1977" s="62" t="s">
        <v>1665</v>
      </c>
      <c r="I1977" s="62" t="s">
        <v>457</v>
      </c>
      <c r="J1977" s="62" t="s">
        <v>458</v>
      </c>
      <c r="K1977" s="62" t="s">
        <v>459</v>
      </c>
      <c r="L1977" s="62" t="s">
        <v>2421</v>
      </c>
      <c r="M1977" s="66" t="s">
        <v>1977</v>
      </c>
    </row>
    <row r="1978" spans="1:13" x14ac:dyDescent="0.3">
      <c r="A1978" s="61" t="s">
        <v>2315</v>
      </c>
      <c r="B1978" s="62" t="s">
        <v>1663</v>
      </c>
      <c r="C1978" s="62" t="s">
        <v>1664</v>
      </c>
      <c r="D1978" s="63">
        <v>43770</v>
      </c>
      <c r="E1978" s="63">
        <v>46387</v>
      </c>
      <c r="F1978" s="62" t="s">
        <v>1934</v>
      </c>
      <c r="G1978" s="62" t="s">
        <v>499</v>
      </c>
      <c r="H1978" s="62" t="s">
        <v>1665</v>
      </c>
      <c r="I1978" s="62" t="s">
        <v>457</v>
      </c>
      <c r="J1978" s="62" t="s">
        <v>458</v>
      </c>
      <c r="K1978" s="62" t="s">
        <v>459</v>
      </c>
      <c r="L1978" s="62" t="s">
        <v>2421</v>
      </c>
      <c r="M1978" s="66" t="s">
        <v>1977</v>
      </c>
    </row>
    <row r="1979" spans="1:13" x14ac:dyDescent="0.3">
      <c r="A1979" s="61" t="s">
        <v>2315</v>
      </c>
      <c r="B1979" s="62" t="s">
        <v>1663</v>
      </c>
      <c r="C1979" s="62" t="s">
        <v>1664</v>
      </c>
      <c r="D1979" s="63">
        <v>43770</v>
      </c>
      <c r="E1979" s="63">
        <v>46387</v>
      </c>
      <c r="F1979" s="62" t="s">
        <v>1945</v>
      </c>
      <c r="G1979" s="62" t="s">
        <v>400</v>
      </c>
      <c r="H1979" s="62" t="s">
        <v>1665</v>
      </c>
      <c r="I1979" s="62" t="s">
        <v>457</v>
      </c>
      <c r="J1979" s="62" t="s">
        <v>458</v>
      </c>
      <c r="K1979" s="62" t="s">
        <v>459</v>
      </c>
      <c r="L1979" s="62" t="s">
        <v>2421</v>
      </c>
      <c r="M1979" s="66" t="s">
        <v>1977</v>
      </c>
    </row>
    <row r="1980" spans="1:13" x14ac:dyDescent="0.3">
      <c r="A1980" s="61" t="s">
        <v>2315</v>
      </c>
      <c r="B1980" s="62" t="s">
        <v>1663</v>
      </c>
      <c r="C1980" s="62" t="s">
        <v>1664</v>
      </c>
      <c r="D1980" s="63">
        <v>43770</v>
      </c>
      <c r="E1980" s="63">
        <v>46387</v>
      </c>
      <c r="F1980" s="62" t="s">
        <v>1945</v>
      </c>
      <c r="G1980" s="62" t="s">
        <v>403</v>
      </c>
      <c r="H1980" s="62" t="s">
        <v>1665</v>
      </c>
      <c r="I1980" s="62" t="s">
        <v>457</v>
      </c>
      <c r="J1980" s="62" t="s">
        <v>458</v>
      </c>
      <c r="K1980" s="62" t="s">
        <v>459</v>
      </c>
      <c r="L1980" s="62" t="s">
        <v>2421</v>
      </c>
      <c r="M1980" s="66" t="s">
        <v>1977</v>
      </c>
    </row>
    <row r="1981" spans="1:13" x14ac:dyDescent="0.3">
      <c r="A1981" s="61" t="s">
        <v>2315</v>
      </c>
      <c r="B1981" s="62" t="s">
        <v>1663</v>
      </c>
      <c r="C1981" s="62" t="s">
        <v>1664</v>
      </c>
      <c r="D1981" s="63">
        <v>43770</v>
      </c>
      <c r="E1981" s="63">
        <v>46387</v>
      </c>
      <c r="F1981" s="62" t="s">
        <v>282</v>
      </c>
      <c r="G1981" s="62" t="s">
        <v>507</v>
      </c>
      <c r="H1981" s="62" t="s">
        <v>1665</v>
      </c>
      <c r="I1981" s="62" t="s">
        <v>457</v>
      </c>
      <c r="J1981" s="62" t="s">
        <v>458</v>
      </c>
      <c r="K1981" s="62" t="s">
        <v>459</v>
      </c>
      <c r="L1981" s="62" t="s">
        <v>2421</v>
      </c>
      <c r="M1981" s="66" t="s">
        <v>1977</v>
      </c>
    </row>
    <row r="1982" spans="1:13" x14ac:dyDescent="0.3">
      <c r="A1982" s="61" t="s">
        <v>2315</v>
      </c>
      <c r="B1982" s="62" t="s">
        <v>1663</v>
      </c>
      <c r="C1982" s="62" t="s">
        <v>1664</v>
      </c>
      <c r="D1982" s="63">
        <v>43770</v>
      </c>
      <c r="E1982" s="63">
        <v>46387</v>
      </c>
      <c r="F1982" s="62" t="s">
        <v>1921</v>
      </c>
      <c r="G1982" s="62" t="s">
        <v>487</v>
      </c>
      <c r="H1982" s="62" t="s">
        <v>1665</v>
      </c>
      <c r="I1982" s="62" t="s">
        <v>457</v>
      </c>
      <c r="J1982" s="62" t="s">
        <v>458</v>
      </c>
      <c r="K1982" s="62" t="s">
        <v>459</v>
      </c>
      <c r="L1982" s="62" t="s">
        <v>2421</v>
      </c>
      <c r="M1982" s="66" t="s">
        <v>1977</v>
      </c>
    </row>
    <row r="1983" spans="1:13" x14ac:dyDescent="0.3">
      <c r="A1983" s="61" t="s">
        <v>2315</v>
      </c>
      <c r="B1983" s="62" t="s">
        <v>1663</v>
      </c>
      <c r="C1983" s="62" t="s">
        <v>1664</v>
      </c>
      <c r="D1983" s="63">
        <v>43770</v>
      </c>
      <c r="E1983" s="63">
        <v>46387</v>
      </c>
      <c r="F1983" s="62" t="s">
        <v>1943</v>
      </c>
      <c r="G1983" s="62" t="s">
        <v>878</v>
      </c>
      <c r="H1983" s="62" t="s">
        <v>1665</v>
      </c>
      <c r="I1983" s="62" t="s">
        <v>457</v>
      </c>
      <c r="J1983" s="62" t="s">
        <v>458</v>
      </c>
      <c r="K1983" s="62" t="s">
        <v>459</v>
      </c>
      <c r="L1983" s="62" t="s">
        <v>2421</v>
      </c>
      <c r="M1983" s="66" t="s">
        <v>1977</v>
      </c>
    </row>
    <row r="1984" spans="1:13" x14ac:dyDescent="0.3">
      <c r="A1984" s="61" t="s">
        <v>2315</v>
      </c>
      <c r="B1984" s="62" t="s">
        <v>1663</v>
      </c>
      <c r="C1984" s="62" t="s">
        <v>1664</v>
      </c>
      <c r="D1984" s="63">
        <v>43770</v>
      </c>
      <c r="E1984" s="63">
        <v>46387</v>
      </c>
      <c r="F1984" s="62" t="s">
        <v>1938</v>
      </c>
      <c r="G1984" s="62" t="s">
        <v>506</v>
      </c>
      <c r="H1984" s="62" t="s">
        <v>1665</v>
      </c>
      <c r="I1984" s="62" t="s">
        <v>457</v>
      </c>
      <c r="J1984" s="62" t="s">
        <v>458</v>
      </c>
      <c r="K1984" s="62" t="s">
        <v>459</v>
      </c>
      <c r="L1984" s="62" t="s">
        <v>2421</v>
      </c>
      <c r="M1984" s="66" t="s">
        <v>1977</v>
      </c>
    </row>
    <row r="1985" spans="1:13" x14ac:dyDescent="0.3">
      <c r="A1985" s="61" t="s">
        <v>2315</v>
      </c>
      <c r="B1985" s="62" t="s">
        <v>1663</v>
      </c>
      <c r="C1985" s="62" t="s">
        <v>1664</v>
      </c>
      <c r="D1985" s="63">
        <v>43770</v>
      </c>
      <c r="E1985" s="63">
        <v>46387</v>
      </c>
      <c r="F1985" s="62" t="s">
        <v>1936</v>
      </c>
      <c r="G1985" s="62" t="s">
        <v>411</v>
      </c>
      <c r="H1985" s="62" t="s">
        <v>1665</v>
      </c>
      <c r="I1985" s="62" t="s">
        <v>457</v>
      </c>
      <c r="J1985" s="62" t="s">
        <v>458</v>
      </c>
      <c r="K1985" s="62" t="s">
        <v>459</v>
      </c>
      <c r="L1985" s="62" t="s">
        <v>2421</v>
      </c>
      <c r="M1985" s="66" t="s">
        <v>1977</v>
      </c>
    </row>
    <row r="1986" spans="1:13" x14ac:dyDescent="0.3">
      <c r="A1986" s="61" t="s">
        <v>2316</v>
      </c>
      <c r="B1986" s="62" t="s">
        <v>1666</v>
      </c>
      <c r="C1986" s="62" t="s">
        <v>1667</v>
      </c>
      <c r="D1986" s="63">
        <v>45748</v>
      </c>
      <c r="E1986" s="63">
        <v>46356</v>
      </c>
      <c r="F1986" s="62" t="s">
        <v>1930</v>
      </c>
      <c r="G1986" s="62" t="s">
        <v>287</v>
      </c>
      <c r="H1986" s="62" t="s">
        <v>1668</v>
      </c>
      <c r="I1986" s="62" t="s">
        <v>424</v>
      </c>
      <c r="J1986" s="62" t="s">
        <v>971</v>
      </c>
      <c r="K1986" s="62" t="s">
        <v>358</v>
      </c>
      <c r="L1986" s="62" t="s">
        <v>2421</v>
      </c>
      <c r="M1986" s="66" t="s">
        <v>1975</v>
      </c>
    </row>
    <row r="1987" spans="1:13" x14ac:dyDescent="0.3">
      <c r="A1987" s="61" t="s">
        <v>2317</v>
      </c>
      <c r="B1987" s="62" t="s">
        <v>1669</v>
      </c>
      <c r="C1987" s="62" t="s">
        <v>1670</v>
      </c>
      <c r="D1987" s="63">
        <v>45732</v>
      </c>
      <c r="E1987" s="63">
        <v>46387</v>
      </c>
      <c r="F1987" s="62" t="s">
        <v>1987</v>
      </c>
      <c r="G1987" s="62" t="s">
        <v>304</v>
      </c>
      <c r="H1987" s="62" t="s">
        <v>1668</v>
      </c>
      <c r="I1987" s="62" t="s">
        <v>1518</v>
      </c>
      <c r="J1987" s="62" t="s">
        <v>464</v>
      </c>
      <c r="K1987" s="62" t="s">
        <v>465</v>
      </c>
      <c r="L1987" s="62" t="s">
        <v>2421</v>
      </c>
      <c r="M1987" s="66" t="s">
        <v>1971</v>
      </c>
    </row>
    <row r="1988" spans="1:13" x14ac:dyDescent="0.3">
      <c r="A1988" s="61" t="s">
        <v>2317</v>
      </c>
      <c r="B1988" s="62" t="s">
        <v>1669</v>
      </c>
      <c r="C1988" s="62" t="s">
        <v>1670</v>
      </c>
      <c r="D1988" s="63">
        <v>45732</v>
      </c>
      <c r="E1988" s="63">
        <v>46387</v>
      </c>
      <c r="F1988" s="62" t="s">
        <v>1931</v>
      </c>
      <c r="G1988" s="62" t="s">
        <v>304</v>
      </c>
      <c r="H1988" s="62" t="s">
        <v>1668</v>
      </c>
      <c r="I1988" s="62" t="s">
        <v>1518</v>
      </c>
      <c r="J1988" s="62" t="s">
        <v>464</v>
      </c>
      <c r="K1988" s="62" t="s">
        <v>465</v>
      </c>
      <c r="L1988" s="62" t="s">
        <v>2421</v>
      </c>
      <c r="M1988" s="66" t="s">
        <v>1971</v>
      </c>
    </row>
    <row r="1989" spans="1:13" x14ac:dyDescent="0.3">
      <c r="A1989" s="61" t="s">
        <v>2317</v>
      </c>
      <c r="B1989" s="62" t="s">
        <v>1669</v>
      </c>
      <c r="C1989" s="62" t="s">
        <v>1670</v>
      </c>
      <c r="D1989" s="63">
        <v>45732</v>
      </c>
      <c r="E1989" s="63">
        <v>46387</v>
      </c>
      <c r="F1989" s="62" t="s">
        <v>1935</v>
      </c>
      <c r="G1989" s="62" t="s">
        <v>304</v>
      </c>
      <c r="H1989" s="62" t="s">
        <v>1668</v>
      </c>
      <c r="I1989" s="62" t="s">
        <v>1518</v>
      </c>
      <c r="J1989" s="62" t="s">
        <v>464</v>
      </c>
      <c r="K1989" s="62" t="s">
        <v>465</v>
      </c>
      <c r="L1989" s="62" t="s">
        <v>2421</v>
      </c>
      <c r="M1989" s="66" t="s">
        <v>1971</v>
      </c>
    </row>
    <row r="1990" spans="1:13" x14ac:dyDescent="0.3">
      <c r="A1990" s="61" t="s">
        <v>2317</v>
      </c>
      <c r="B1990" s="62" t="s">
        <v>1669</v>
      </c>
      <c r="C1990" s="62" t="s">
        <v>1670</v>
      </c>
      <c r="D1990" s="63">
        <v>45732</v>
      </c>
      <c r="E1990" s="63">
        <v>46387</v>
      </c>
      <c r="F1990" s="62" t="s">
        <v>1921</v>
      </c>
      <c r="G1990" s="62" t="s">
        <v>304</v>
      </c>
      <c r="H1990" s="62" t="s">
        <v>1668</v>
      </c>
      <c r="I1990" s="62" t="s">
        <v>1518</v>
      </c>
      <c r="J1990" s="62" t="s">
        <v>464</v>
      </c>
      <c r="K1990" s="62" t="s">
        <v>465</v>
      </c>
      <c r="L1990" s="62" t="s">
        <v>2421</v>
      </c>
      <c r="M1990" s="66" t="s">
        <v>1971</v>
      </c>
    </row>
    <row r="1991" spans="1:13" x14ac:dyDescent="0.3">
      <c r="A1991" s="61" t="s">
        <v>2317</v>
      </c>
      <c r="B1991" s="62" t="s">
        <v>1669</v>
      </c>
      <c r="C1991" s="62" t="s">
        <v>1670</v>
      </c>
      <c r="D1991" s="63">
        <v>45732</v>
      </c>
      <c r="E1991" s="63">
        <v>46387</v>
      </c>
      <c r="F1991" s="62" t="s">
        <v>1940</v>
      </c>
      <c r="G1991" s="62" t="s">
        <v>304</v>
      </c>
      <c r="H1991" s="62" t="s">
        <v>1668</v>
      </c>
      <c r="I1991" s="62" t="s">
        <v>1518</v>
      </c>
      <c r="J1991" s="62" t="s">
        <v>464</v>
      </c>
      <c r="K1991" s="62" t="s">
        <v>465</v>
      </c>
      <c r="L1991" s="62" t="s">
        <v>2421</v>
      </c>
      <c r="M1991" s="66" t="s">
        <v>1971</v>
      </c>
    </row>
    <row r="1992" spans="1:13" x14ac:dyDescent="0.3">
      <c r="A1992" s="61" t="s">
        <v>2317</v>
      </c>
      <c r="B1992" s="62" t="s">
        <v>1669</v>
      </c>
      <c r="C1992" s="62" t="s">
        <v>1670</v>
      </c>
      <c r="D1992" s="63">
        <v>45732</v>
      </c>
      <c r="E1992" s="63">
        <v>46387</v>
      </c>
      <c r="F1992" s="62" t="s">
        <v>1939</v>
      </c>
      <c r="G1992" s="62" t="s">
        <v>304</v>
      </c>
      <c r="H1992" s="62" t="s">
        <v>1668</v>
      </c>
      <c r="I1992" s="62" t="s">
        <v>1518</v>
      </c>
      <c r="J1992" s="62" t="s">
        <v>464</v>
      </c>
      <c r="K1992" s="62" t="s">
        <v>465</v>
      </c>
      <c r="L1992" s="62" t="s">
        <v>2421</v>
      </c>
      <c r="M1992" s="66" t="s">
        <v>1971</v>
      </c>
    </row>
    <row r="1993" spans="1:13" x14ac:dyDescent="0.3">
      <c r="A1993" s="61" t="s">
        <v>2317</v>
      </c>
      <c r="B1993" s="62" t="s">
        <v>1669</v>
      </c>
      <c r="C1993" s="62" t="s">
        <v>1670</v>
      </c>
      <c r="D1993" s="63">
        <v>45732</v>
      </c>
      <c r="E1993" s="63">
        <v>46387</v>
      </c>
      <c r="F1993" s="62" t="s">
        <v>1948</v>
      </c>
      <c r="G1993" s="62" t="s">
        <v>304</v>
      </c>
      <c r="H1993" s="62" t="s">
        <v>1668</v>
      </c>
      <c r="I1993" s="62" t="s">
        <v>1518</v>
      </c>
      <c r="J1993" s="62" t="s">
        <v>464</v>
      </c>
      <c r="K1993" s="62" t="s">
        <v>465</v>
      </c>
      <c r="L1993" s="62" t="s">
        <v>2421</v>
      </c>
      <c r="M1993" s="66" t="s">
        <v>1971</v>
      </c>
    </row>
    <row r="1994" spans="1:13" x14ac:dyDescent="0.3">
      <c r="A1994" s="61" t="s">
        <v>2317</v>
      </c>
      <c r="B1994" s="62" t="s">
        <v>1669</v>
      </c>
      <c r="C1994" s="62" t="s">
        <v>1670</v>
      </c>
      <c r="D1994" s="63">
        <v>45732</v>
      </c>
      <c r="E1994" s="63">
        <v>46387</v>
      </c>
      <c r="F1994" s="62" t="s">
        <v>1945</v>
      </c>
      <c r="G1994" s="62" t="s">
        <v>304</v>
      </c>
      <c r="H1994" s="62" t="s">
        <v>1668</v>
      </c>
      <c r="I1994" s="62" t="s">
        <v>1518</v>
      </c>
      <c r="J1994" s="62" t="s">
        <v>464</v>
      </c>
      <c r="K1994" s="62" t="s">
        <v>465</v>
      </c>
      <c r="L1994" s="62" t="s">
        <v>2421</v>
      </c>
      <c r="M1994" s="66" t="s">
        <v>1971</v>
      </c>
    </row>
    <row r="1995" spans="1:13" x14ac:dyDescent="0.3">
      <c r="A1995" s="61" t="s">
        <v>2318</v>
      </c>
      <c r="B1995" s="62" t="s">
        <v>1671</v>
      </c>
      <c r="C1995" s="62" t="s">
        <v>1662</v>
      </c>
      <c r="D1995" s="63">
        <v>45659</v>
      </c>
      <c r="E1995" s="63">
        <v>46440</v>
      </c>
      <c r="F1995" s="62" t="s">
        <v>1959</v>
      </c>
      <c r="G1995" s="62" t="s">
        <v>466</v>
      </c>
      <c r="H1995" s="62" t="s">
        <v>373</v>
      </c>
      <c r="I1995" s="62" t="s">
        <v>424</v>
      </c>
      <c r="J1995" s="62" t="s">
        <v>579</v>
      </c>
      <c r="K1995" s="62" t="s">
        <v>428</v>
      </c>
      <c r="L1995" s="62" t="s">
        <v>2421</v>
      </c>
      <c r="M1995" s="66" t="s">
        <v>2021</v>
      </c>
    </row>
    <row r="1996" spans="1:13" x14ac:dyDescent="0.3">
      <c r="A1996" s="61" t="s">
        <v>2318</v>
      </c>
      <c r="B1996" s="62" t="s">
        <v>1671</v>
      </c>
      <c r="C1996" s="62" t="s">
        <v>1662</v>
      </c>
      <c r="D1996" s="63">
        <v>45659</v>
      </c>
      <c r="E1996" s="63">
        <v>46440</v>
      </c>
      <c r="F1996" s="62" t="s">
        <v>1959</v>
      </c>
      <c r="G1996" s="62" t="s">
        <v>583</v>
      </c>
      <c r="H1996" s="62" t="s">
        <v>373</v>
      </c>
      <c r="I1996" s="62" t="s">
        <v>424</v>
      </c>
      <c r="J1996" s="62" t="s">
        <v>579</v>
      </c>
      <c r="K1996" s="62" t="s">
        <v>428</v>
      </c>
      <c r="L1996" s="62" t="s">
        <v>2421</v>
      </c>
      <c r="M1996" s="66" t="s">
        <v>2021</v>
      </c>
    </row>
    <row r="1997" spans="1:13" x14ac:dyDescent="0.3">
      <c r="A1997" s="61" t="s">
        <v>2318</v>
      </c>
      <c r="B1997" s="62" t="s">
        <v>1671</v>
      </c>
      <c r="C1997" s="62" t="s">
        <v>1662</v>
      </c>
      <c r="D1997" s="63">
        <v>45659</v>
      </c>
      <c r="E1997" s="63">
        <v>46440</v>
      </c>
      <c r="F1997" s="62" t="s">
        <v>1959</v>
      </c>
      <c r="G1997" s="62" t="s">
        <v>795</v>
      </c>
      <c r="H1997" s="62" t="s">
        <v>373</v>
      </c>
      <c r="I1997" s="62" t="s">
        <v>424</v>
      </c>
      <c r="J1997" s="62" t="s">
        <v>579</v>
      </c>
      <c r="K1997" s="62" t="s">
        <v>428</v>
      </c>
      <c r="L1997" s="62" t="s">
        <v>2421</v>
      </c>
      <c r="M1997" s="66" t="s">
        <v>2021</v>
      </c>
    </row>
    <row r="1998" spans="1:13" x14ac:dyDescent="0.3">
      <c r="A1998" s="61" t="s">
        <v>2318</v>
      </c>
      <c r="B1998" s="62" t="s">
        <v>1671</v>
      </c>
      <c r="C1998" s="62" t="s">
        <v>1662</v>
      </c>
      <c r="D1998" s="63">
        <v>45659</v>
      </c>
      <c r="E1998" s="63">
        <v>46440</v>
      </c>
      <c r="F1998" s="62" t="s">
        <v>1959</v>
      </c>
      <c r="G1998" s="62" t="s">
        <v>808</v>
      </c>
      <c r="H1998" s="62" t="s">
        <v>373</v>
      </c>
      <c r="I1998" s="62" t="s">
        <v>424</v>
      </c>
      <c r="J1998" s="62" t="s">
        <v>579</v>
      </c>
      <c r="K1998" s="62" t="s">
        <v>428</v>
      </c>
      <c r="L1998" s="62" t="s">
        <v>2421</v>
      </c>
      <c r="M1998" s="66" t="s">
        <v>2021</v>
      </c>
    </row>
    <row r="1999" spans="1:13" x14ac:dyDescent="0.3">
      <c r="A1999" s="61" t="s">
        <v>2318</v>
      </c>
      <c r="B1999" s="62" t="s">
        <v>1671</v>
      </c>
      <c r="C1999" s="62" t="s">
        <v>1662</v>
      </c>
      <c r="D1999" s="63">
        <v>45659</v>
      </c>
      <c r="E1999" s="63">
        <v>46440</v>
      </c>
      <c r="F1999" s="62" t="s">
        <v>1945</v>
      </c>
      <c r="G1999" s="62" t="s">
        <v>402</v>
      </c>
      <c r="H1999" s="62" t="s">
        <v>373</v>
      </c>
      <c r="I1999" s="62" t="s">
        <v>424</v>
      </c>
      <c r="J1999" s="62" t="s">
        <v>579</v>
      </c>
      <c r="K1999" s="62" t="s">
        <v>428</v>
      </c>
      <c r="L1999" s="62" t="s">
        <v>2421</v>
      </c>
      <c r="M1999" s="66" t="s">
        <v>2021</v>
      </c>
    </row>
    <row r="2000" spans="1:13" x14ac:dyDescent="0.3">
      <c r="A2000" s="61" t="s">
        <v>2318</v>
      </c>
      <c r="B2000" s="62" t="s">
        <v>1671</v>
      </c>
      <c r="C2000" s="62" t="s">
        <v>1662</v>
      </c>
      <c r="D2000" s="63">
        <v>45659</v>
      </c>
      <c r="E2000" s="63">
        <v>46440</v>
      </c>
      <c r="F2000" s="62" t="s">
        <v>1945</v>
      </c>
      <c r="G2000" s="62" t="s">
        <v>403</v>
      </c>
      <c r="H2000" s="62" t="s">
        <v>373</v>
      </c>
      <c r="I2000" s="62" t="s">
        <v>424</v>
      </c>
      <c r="J2000" s="62" t="s">
        <v>579</v>
      </c>
      <c r="K2000" s="62" t="s">
        <v>428</v>
      </c>
      <c r="L2000" s="62" t="s">
        <v>2421</v>
      </c>
      <c r="M2000" s="66" t="s">
        <v>2021</v>
      </c>
    </row>
    <row r="2001" spans="1:13" x14ac:dyDescent="0.3">
      <c r="A2001" s="61" t="s">
        <v>2318</v>
      </c>
      <c r="B2001" s="62" t="s">
        <v>1671</v>
      </c>
      <c r="C2001" s="62" t="s">
        <v>1662</v>
      </c>
      <c r="D2001" s="63">
        <v>45659</v>
      </c>
      <c r="E2001" s="63">
        <v>46440</v>
      </c>
      <c r="F2001" s="62" t="s">
        <v>1945</v>
      </c>
      <c r="G2001" s="62" t="s">
        <v>404</v>
      </c>
      <c r="H2001" s="62" t="s">
        <v>373</v>
      </c>
      <c r="I2001" s="62" t="s">
        <v>424</v>
      </c>
      <c r="J2001" s="62" t="s">
        <v>579</v>
      </c>
      <c r="K2001" s="62" t="s">
        <v>428</v>
      </c>
      <c r="L2001" s="62" t="s">
        <v>2421</v>
      </c>
      <c r="M2001" s="66" t="s">
        <v>2021</v>
      </c>
    </row>
    <row r="2002" spans="1:13" x14ac:dyDescent="0.3">
      <c r="A2002" s="61" t="s">
        <v>2319</v>
      </c>
      <c r="B2002" s="62" t="s">
        <v>1672</v>
      </c>
      <c r="C2002" s="62" t="s">
        <v>1673</v>
      </c>
      <c r="D2002" s="63">
        <v>45532</v>
      </c>
      <c r="E2002" s="63">
        <v>46112</v>
      </c>
      <c r="F2002" s="62" t="s">
        <v>350</v>
      </c>
      <c r="G2002" s="62" t="s">
        <v>304</v>
      </c>
      <c r="H2002" s="62" t="s">
        <v>549</v>
      </c>
      <c r="I2002" s="62" t="s">
        <v>1518</v>
      </c>
      <c r="J2002" s="62" t="s">
        <v>911</v>
      </c>
      <c r="K2002" s="62" t="s">
        <v>375</v>
      </c>
      <c r="L2002" s="62" t="s">
        <v>2421</v>
      </c>
      <c r="M2002" s="66" t="s">
        <v>1971</v>
      </c>
    </row>
    <row r="2003" spans="1:13" x14ac:dyDescent="0.3">
      <c r="A2003" s="61" t="s">
        <v>2320</v>
      </c>
      <c r="B2003" s="62" t="s">
        <v>1674</v>
      </c>
      <c r="C2003" s="62" t="s">
        <v>1675</v>
      </c>
      <c r="D2003" s="63">
        <v>45625</v>
      </c>
      <c r="E2003" s="63">
        <v>46752</v>
      </c>
      <c r="F2003" s="62" t="s">
        <v>350</v>
      </c>
      <c r="G2003" s="62" t="s">
        <v>304</v>
      </c>
      <c r="H2003" s="62" t="s">
        <v>441</v>
      </c>
      <c r="I2003" s="62" t="s">
        <v>1518</v>
      </c>
      <c r="J2003" s="62" t="s">
        <v>314</v>
      </c>
      <c r="K2003" s="62" t="s">
        <v>315</v>
      </c>
      <c r="L2003" s="62" t="s">
        <v>2421</v>
      </c>
      <c r="M2003" s="66" t="s">
        <v>1969</v>
      </c>
    </row>
    <row r="2004" spans="1:13" x14ac:dyDescent="0.3">
      <c r="A2004" s="61" t="s">
        <v>2321</v>
      </c>
      <c r="B2004" s="62" t="s">
        <v>1676</v>
      </c>
      <c r="C2004" s="62" t="s">
        <v>1677</v>
      </c>
      <c r="D2004" s="63">
        <v>43469</v>
      </c>
      <c r="E2004" s="63">
        <v>46387</v>
      </c>
      <c r="F2004" s="62" t="s">
        <v>1958</v>
      </c>
      <c r="G2004" s="62" t="s">
        <v>328</v>
      </c>
      <c r="H2004" s="62" t="s">
        <v>441</v>
      </c>
      <c r="I2004" s="62" t="s">
        <v>457</v>
      </c>
      <c r="J2004" s="62" t="s">
        <v>314</v>
      </c>
      <c r="K2004" s="62" t="s">
        <v>315</v>
      </c>
      <c r="L2004" s="62" t="s">
        <v>2421</v>
      </c>
      <c r="M2004" s="66" t="s">
        <v>1969</v>
      </c>
    </row>
    <row r="2005" spans="1:13" x14ac:dyDescent="0.3">
      <c r="A2005" s="61" t="s">
        <v>2321</v>
      </c>
      <c r="B2005" s="62" t="s">
        <v>1676</v>
      </c>
      <c r="C2005" s="62" t="s">
        <v>1677</v>
      </c>
      <c r="D2005" s="63">
        <v>43469</v>
      </c>
      <c r="E2005" s="63">
        <v>46387</v>
      </c>
      <c r="F2005" s="62" t="s">
        <v>1958</v>
      </c>
      <c r="G2005" s="62" t="s">
        <v>329</v>
      </c>
      <c r="H2005" s="62" t="s">
        <v>441</v>
      </c>
      <c r="I2005" s="62" t="s">
        <v>457</v>
      </c>
      <c r="J2005" s="62" t="s">
        <v>314</v>
      </c>
      <c r="K2005" s="62" t="s">
        <v>315</v>
      </c>
      <c r="L2005" s="62" t="s">
        <v>2421</v>
      </c>
      <c r="M2005" s="66" t="s">
        <v>1969</v>
      </c>
    </row>
    <row r="2006" spans="1:13" x14ac:dyDescent="0.3">
      <c r="A2006" s="61" t="s">
        <v>2321</v>
      </c>
      <c r="B2006" s="62" t="s">
        <v>1676</v>
      </c>
      <c r="C2006" s="62" t="s">
        <v>1677</v>
      </c>
      <c r="D2006" s="63">
        <v>43469</v>
      </c>
      <c r="E2006" s="63">
        <v>46387</v>
      </c>
      <c r="F2006" s="62" t="s">
        <v>1958</v>
      </c>
      <c r="G2006" s="62" t="s">
        <v>330</v>
      </c>
      <c r="H2006" s="62" t="s">
        <v>441</v>
      </c>
      <c r="I2006" s="62" t="s">
        <v>457</v>
      </c>
      <c r="J2006" s="62" t="s">
        <v>314</v>
      </c>
      <c r="K2006" s="62" t="s">
        <v>315</v>
      </c>
      <c r="L2006" s="62" t="s">
        <v>2421</v>
      </c>
      <c r="M2006" s="66" t="s">
        <v>1969</v>
      </c>
    </row>
    <row r="2007" spans="1:13" x14ac:dyDescent="0.3">
      <c r="A2007" s="61" t="s">
        <v>2321</v>
      </c>
      <c r="B2007" s="62" t="s">
        <v>1676</v>
      </c>
      <c r="C2007" s="62" t="s">
        <v>1677</v>
      </c>
      <c r="D2007" s="63">
        <v>43469</v>
      </c>
      <c r="E2007" s="63">
        <v>46387</v>
      </c>
      <c r="F2007" s="62" t="s">
        <v>1958</v>
      </c>
      <c r="G2007" s="62" t="s">
        <v>331</v>
      </c>
      <c r="H2007" s="62" t="s">
        <v>441</v>
      </c>
      <c r="I2007" s="62" t="s">
        <v>457</v>
      </c>
      <c r="J2007" s="62" t="s">
        <v>314</v>
      </c>
      <c r="K2007" s="62" t="s">
        <v>315</v>
      </c>
      <c r="L2007" s="62" t="s">
        <v>2421</v>
      </c>
      <c r="M2007" s="66" t="s">
        <v>1969</v>
      </c>
    </row>
    <row r="2008" spans="1:13" x14ac:dyDescent="0.3">
      <c r="A2008" s="61" t="s">
        <v>2321</v>
      </c>
      <c r="B2008" s="62" t="s">
        <v>1676</v>
      </c>
      <c r="C2008" s="62" t="s">
        <v>1677</v>
      </c>
      <c r="D2008" s="63">
        <v>43469</v>
      </c>
      <c r="E2008" s="63">
        <v>46387</v>
      </c>
      <c r="F2008" s="62" t="s">
        <v>1958</v>
      </c>
      <c r="G2008" s="62" t="s">
        <v>333</v>
      </c>
      <c r="H2008" s="62" t="s">
        <v>441</v>
      </c>
      <c r="I2008" s="62" t="s">
        <v>457</v>
      </c>
      <c r="J2008" s="62" t="s">
        <v>314</v>
      </c>
      <c r="K2008" s="62" t="s">
        <v>315</v>
      </c>
      <c r="L2008" s="62" t="s">
        <v>2421</v>
      </c>
      <c r="M2008" s="66" t="s">
        <v>1969</v>
      </c>
    </row>
    <row r="2009" spans="1:13" x14ac:dyDescent="0.3">
      <c r="A2009" s="61" t="s">
        <v>2321</v>
      </c>
      <c r="B2009" s="62" t="s">
        <v>1676</v>
      </c>
      <c r="C2009" s="62" t="s">
        <v>1677</v>
      </c>
      <c r="D2009" s="63">
        <v>43469</v>
      </c>
      <c r="E2009" s="63">
        <v>46387</v>
      </c>
      <c r="F2009" s="62" t="s">
        <v>1958</v>
      </c>
      <c r="G2009" s="62" t="s">
        <v>334</v>
      </c>
      <c r="H2009" s="62" t="s">
        <v>441</v>
      </c>
      <c r="I2009" s="62" t="s">
        <v>457</v>
      </c>
      <c r="J2009" s="62" t="s">
        <v>314</v>
      </c>
      <c r="K2009" s="62" t="s">
        <v>315</v>
      </c>
      <c r="L2009" s="62" t="s">
        <v>2421</v>
      </c>
      <c r="M2009" s="66" t="s">
        <v>1969</v>
      </c>
    </row>
    <row r="2010" spans="1:13" x14ac:dyDescent="0.3">
      <c r="A2010" s="61" t="s">
        <v>2321</v>
      </c>
      <c r="B2010" s="62" t="s">
        <v>1676</v>
      </c>
      <c r="C2010" s="62" t="s">
        <v>1677</v>
      </c>
      <c r="D2010" s="63">
        <v>43469</v>
      </c>
      <c r="E2010" s="63">
        <v>46387</v>
      </c>
      <c r="F2010" s="62" t="s">
        <v>1958</v>
      </c>
      <c r="G2010" s="62" t="s">
        <v>335</v>
      </c>
      <c r="H2010" s="62" t="s">
        <v>441</v>
      </c>
      <c r="I2010" s="62" t="s">
        <v>457</v>
      </c>
      <c r="J2010" s="62" t="s">
        <v>314</v>
      </c>
      <c r="K2010" s="62" t="s">
        <v>315</v>
      </c>
      <c r="L2010" s="62" t="s">
        <v>2421</v>
      </c>
      <c r="M2010" s="66" t="s">
        <v>1969</v>
      </c>
    </row>
    <row r="2011" spans="1:13" x14ac:dyDescent="0.3">
      <c r="A2011" s="61" t="s">
        <v>2321</v>
      </c>
      <c r="B2011" s="62" t="s">
        <v>1676</v>
      </c>
      <c r="C2011" s="62" t="s">
        <v>1677</v>
      </c>
      <c r="D2011" s="63">
        <v>43469</v>
      </c>
      <c r="E2011" s="63">
        <v>46387</v>
      </c>
      <c r="F2011" s="62" t="s">
        <v>1922</v>
      </c>
      <c r="G2011" s="62" t="s">
        <v>376</v>
      </c>
      <c r="H2011" s="62" t="s">
        <v>441</v>
      </c>
      <c r="I2011" s="62" t="s">
        <v>457</v>
      </c>
      <c r="J2011" s="62" t="s">
        <v>314</v>
      </c>
      <c r="K2011" s="62" t="s">
        <v>315</v>
      </c>
      <c r="L2011" s="62" t="s">
        <v>2421</v>
      </c>
      <c r="M2011" s="66" t="s">
        <v>1969</v>
      </c>
    </row>
    <row r="2012" spans="1:13" x14ac:dyDescent="0.3">
      <c r="A2012" s="61" t="s">
        <v>2321</v>
      </c>
      <c r="B2012" s="62" t="s">
        <v>1676</v>
      </c>
      <c r="C2012" s="62" t="s">
        <v>1677</v>
      </c>
      <c r="D2012" s="63">
        <v>43469</v>
      </c>
      <c r="E2012" s="63">
        <v>46387</v>
      </c>
      <c r="F2012" s="62" t="s">
        <v>1922</v>
      </c>
      <c r="G2012" s="62" t="s">
        <v>381</v>
      </c>
      <c r="H2012" s="62" t="s">
        <v>441</v>
      </c>
      <c r="I2012" s="62" t="s">
        <v>457</v>
      </c>
      <c r="J2012" s="62" t="s">
        <v>314</v>
      </c>
      <c r="K2012" s="62" t="s">
        <v>315</v>
      </c>
      <c r="L2012" s="62" t="s">
        <v>2421</v>
      </c>
      <c r="M2012" s="66" t="s">
        <v>1969</v>
      </c>
    </row>
    <row r="2013" spans="1:13" x14ac:dyDescent="0.3">
      <c r="A2013" s="61" t="s">
        <v>2321</v>
      </c>
      <c r="B2013" s="62" t="s">
        <v>1676</v>
      </c>
      <c r="C2013" s="62" t="s">
        <v>1677</v>
      </c>
      <c r="D2013" s="63">
        <v>43469</v>
      </c>
      <c r="E2013" s="63">
        <v>46387</v>
      </c>
      <c r="F2013" s="62" t="s">
        <v>1922</v>
      </c>
      <c r="G2013" s="62" t="s">
        <v>1678</v>
      </c>
      <c r="H2013" s="62" t="s">
        <v>441</v>
      </c>
      <c r="I2013" s="62" t="s">
        <v>457</v>
      </c>
      <c r="J2013" s="62" t="s">
        <v>314</v>
      </c>
      <c r="K2013" s="62" t="s">
        <v>315</v>
      </c>
      <c r="L2013" s="62" t="s">
        <v>2421</v>
      </c>
      <c r="M2013" s="66" t="s">
        <v>1969</v>
      </c>
    </row>
    <row r="2014" spans="1:13" x14ac:dyDescent="0.3">
      <c r="A2014" s="61" t="s">
        <v>2321</v>
      </c>
      <c r="B2014" s="62" t="s">
        <v>1676</v>
      </c>
      <c r="C2014" s="62" t="s">
        <v>1677</v>
      </c>
      <c r="D2014" s="63">
        <v>43469</v>
      </c>
      <c r="E2014" s="63">
        <v>46387</v>
      </c>
      <c r="F2014" s="62" t="s">
        <v>1922</v>
      </c>
      <c r="G2014" s="62" t="s">
        <v>383</v>
      </c>
      <c r="H2014" s="62" t="s">
        <v>441</v>
      </c>
      <c r="I2014" s="62" t="s">
        <v>457</v>
      </c>
      <c r="J2014" s="62" t="s">
        <v>314</v>
      </c>
      <c r="K2014" s="62" t="s">
        <v>315</v>
      </c>
      <c r="L2014" s="62" t="s">
        <v>2421</v>
      </c>
      <c r="M2014" s="66" t="s">
        <v>1969</v>
      </c>
    </row>
    <row r="2015" spans="1:13" x14ac:dyDescent="0.3">
      <c r="A2015" s="61" t="s">
        <v>2321</v>
      </c>
      <c r="B2015" s="62" t="s">
        <v>1676</v>
      </c>
      <c r="C2015" s="62" t="s">
        <v>1677</v>
      </c>
      <c r="D2015" s="63">
        <v>43469</v>
      </c>
      <c r="E2015" s="63">
        <v>46387</v>
      </c>
      <c r="F2015" s="62" t="s">
        <v>1922</v>
      </c>
      <c r="G2015" s="62" t="s">
        <v>386</v>
      </c>
      <c r="H2015" s="62" t="s">
        <v>441</v>
      </c>
      <c r="I2015" s="62" t="s">
        <v>457</v>
      </c>
      <c r="J2015" s="62" t="s">
        <v>314</v>
      </c>
      <c r="K2015" s="62" t="s">
        <v>315</v>
      </c>
      <c r="L2015" s="62" t="s">
        <v>2421</v>
      </c>
      <c r="M2015" s="66" t="s">
        <v>1969</v>
      </c>
    </row>
    <row r="2016" spans="1:13" x14ac:dyDescent="0.3">
      <c r="A2016" s="61" t="s">
        <v>2321</v>
      </c>
      <c r="B2016" s="62" t="s">
        <v>1676</v>
      </c>
      <c r="C2016" s="62" t="s">
        <v>1677</v>
      </c>
      <c r="D2016" s="63">
        <v>43469</v>
      </c>
      <c r="E2016" s="63">
        <v>46387</v>
      </c>
      <c r="F2016" s="62" t="s">
        <v>1922</v>
      </c>
      <c r="G2016" s="62" t="s">
        <v>387</v>
      </c>
      <c r="H2016" s="62" t="s">
        <v>441</v>
      </c>
      <c r="I2016" s="62" t="s">
        <v>457</v>
      </c>
      <c r="J2016" s="62" t="s">
        <v>314</v>
      </c>
      <c r="K2016" s="62" t="s">
        <v>315</v>
      </c>
      <c r="L2016" s="62" t="s">
        <v>2421</v>
      </c>
      <c r="M2016" s="66" t="s">
        <v>1969</v>
      </c>
    </row>
    <row r="2017" spans="1:13" x14ac:dyDescent="0.3">
      <c r="A2017" s="61" t="s">
        <v>2321</v>
      </c>
      <c r="B2017" s="62" t="s">
        <v>1676</v>
      </c>
      <c r="C2017" s="62" t="s">
        <v>1677</v>
      </c>
      <c r="D2017" s="63">
        <v>43469</v>
      </c>
      <c r="E2017" s="63">
        <v>46387</v>
      </c>
      <c r="F2017" s="62" t="s">
        <v>1934</v>
      </c>
      <c r="G2017" s="62" t="s">
        <v>497</v>
      </c>
      <c r="H2017" s="62" t="s">
        <v>441</v>
      </c>
      <c r="I2017" s="62" t="s">
        <v>457</v>
      </c>
      <c r="J2017" s="62" t="s">
        <v>314</v>
      </c>
      <c r="K2017" s="62" t="s">
        <v>315</v>
      </c>
      <c r="L2017" s="62" t="s">
        <v>2421</v>
      </c>
      <c r="M2017" s="66" t="s">
        <v>1969</v>
      </c>
    </row>
    <row r="2018" spans="1:13" x14ac:dyDescent="0.3">
      <c r="A2018" s="61" t="s">
        <v>2321</v>
      </c>
      <c r="B2018" s="62" t="s">
        <v>1676</v>
      </c>
      <c r="C2018" s="62" t="s">
        <v>1677</v>
      </c>
      <c r="D2018" s="63">
        <v>43469</v>
      </c>
      <c r="E2018" s="63">
        <v>46387</v>
      </c>
      <c r="F2018" s="62" t="s">
        <v>1934</v>
      </c>
      <c r="G2018" s="62" t="s">
        <v>524</v>
      </c>
      <c r="H2018" s="62" t="s">
        <v>441</v>
      </c>
      <c r="I2018" s="62" t="s">
        <v>457</v>
      </c>
      <c r="J2018" s="62" t="s">
        <v>314</v>
      </c>
      <c r="K2018" s="62" t="s">
        <v>315</v>
      </c>
      <c r="L2018" s="62" t="s">
        <v>2421</v>
      </c>
      <c r="M2018" s="66" t="s">
        <v>1969</v>
      </c>
    </row>
    <row r="2019" spans="1:13" x14ac:dyDescent="0.3">
      <c r="A2019" s="61" t="s">
        <v>2321</v>
      </c>
      <c r="B2019" s="62" t="s">
        <v>1676</v>
      </c>
      <c r="C2019" s="62" t="s">
        <v>1677</v>
      </c>
      <c r="D2019" s="63">
        <v>43469</v>
      </c>
      <c r="E2019" s="63">
        <v>46387</v>
      </c>
      <c r="F2019" s="62" t="s">
        <v>1934</v>
      </c>
      <c r="G2019" s="62" t="s">
        <v>525</v>
      </c>
      <c r="H2019" s="62" t="s">
        <v>441</v>
      </c>
      <c r="I2019" s="62" t="s">
        <v>457</v>
      </c>
      <c r="J2019" s="62" t="s">
        <v>314</v>
      </c>
      <c r="K2019" s="62" t="s">
        <v>315</v>
      </c>
      <c r="L2019" s="62" t="s">
        <v>2421</v>
      </c>
      <c r="M2019" s="66" t="s">
        <v>1969</v>
      </c>
    </row>
    <row r="2020" spans="1:13" x14ac:dyDescent="0.3">
      <c r="A2020" s="61" t="s">
        <v>2321</v>
      </c>
      <c r="B2020" s="62" t="s">
        <v>1676</v>
      </c>
      <c r="C2020" s="62" t="s">
        <v>1677</v>
      </c>
      <c r="D2020" s="63">
        <v>43469</v>
      </c>
      <c r="E2020" s="63">
        <v>46387</v>
      </c>
      <c r="F2020" s="62" t="s">
        <v>1934</v>
      </c>
      <c r="G2020" s="62" t="s">
        <v>477</v>
      </c>
      <c r="H2020" s="62" t="s">
        <v>441</v>
      </c>
      <c r="I2020" s="62" t="s">
        <v>457</v>
      </c>
      <c r="J2020" s="62" t="s">
        <v>314</v>
      </c>
      <c r="K2020" s="62" t="s">
        <v>315</v>
      </c>
      <c r="L2020" s="62" t="s">
        <v>2421</v>
      </c>
      <c r="M2020" s="66" t="s">
        <v>1969</v>
      </c>
    </row>
    <row r="2021" spans="1:13" x14ac:dyDescent="0.3">
      <c r="A2021" s="61" t="s">
        <v>2321</v>
      </c>
      <c r="B2021" s="62" t="s">
        <v>1676</v>
      </c>
      <c r="C2021" s="62" t="s">
        <v>1677</v>
      </c>
      <c r="D2021" s="63">
        <v>43469</v>
      </c>
      <c r="E2021" s="63">
        <v>46387</v>
      </c>
      <c r="F2021" s="62" t="s">
        <v>1934</v>
      </c>
      <c r="G2021" s="62" t="s">
        <v>526</v>
      </c>
      <c r="H2021" s="62" t="s">
        <v>441</v>
      </c>
      <c r="I2021" s="62" t="s">
        <v>457</v>
      </c>
      <c r="J2021" s="62" t="s">
        <v>314</v>
      </c>
      <c r="K2021" s="62" t="s">
        <v>315</v>
      </c>
      <c r="L2021" s="62" t="s">
        <v>2421</v>
      </c>
      <c r="M2021" s="66" t="s">
        <v>1969</v>
      </c>
    </row>
    <row r="2022" spans="1:13" x14ac:dyDescent="0.3">
      <c r="A2022" s="61" t="s">
        <v>2321</v>
      </c>
      <c r="B2022" s="62" t="s">
        <v>1676</v>
      </c>
      <c r="C2022" s="62" t="s">
        <v>1677</v>
      </c>
      <c r="D2022" s="63">
        <v>43469</v>
      </c>
      <c r="E2022" s="63">
        <v>46387</v>
      </c>
      <c r="F2022" s="62" t="s">
        <v>1934</v>
      </c>
      <c r="G2022" s="62" t="s">
        <v>631</v>
      </c>
      <c r="H2022" s="62" t="s">
        <v>441</v>
      </c>
      <c r="I2022" s="62" t="s">
        <v>457</v>
      </c>
      <c r="J2022" s="62" t="s">
        <v>314</v>
      </c>
      <c r="K2022" s="62" t="s">
        <v>315</v>
      </c>
      <c r="L2022" s="62" t="s">
        <v>2421</v>
      </c>
      <c r="M2022" s="66" t="s">
        <v>1969</v>
      </c>
    </row>
    <row r="2023" spans="1:13" x14ac:dyDescent="0.3">
      <c r="A2023" s="61" t="s">
        <v>2321</v>
      </c>
      <c r="B2023" s="62" t="s">
        <v>1676</v>
      </c>
      <c r="C2023" s="62" t="s">
        <v>1677</v>
      </c>
      <c r="D2023" s="63">
        <v>43469</v>
      </c>
      <c r="E2023" s="63">
        <v>46387</v>
      </c>
      <c r="F2023" s="62" t="s">
        <v>284</v>
      </c>
      <c r="G2023" s="62" t="s">
        <v>1679</v>
      </c>
      <c r="H2023" s="62" t="s">
        <v>441</v>
      </c>
      <c r="I2023" s="62" t="s">
        <v>457</v>
      </c>
      <c r="J2023" s="62" t="s">
        <v>314</v>
      </c>
      <c r="K2023" s="62" t="s">
        <v>315</v>
      </c>
      <c r="L2023" s="62" t="s">
        <v>2421</v>
      </c>
      <c r="M2023" s="66" t="s">
        <v>1969</v>
      </c>
    </row>
    <row r="2024" spans="1:13" x14ac:dyDescent="0.3">
      <c r="A2024" s="61" t="s">
        <v>2321</v>
      </c>
      <c r="B2024" s="62" t="s">
        <v>1676</v>
      </c>
      <c r="C2024" s="62" t="s">
        <v>1677</v>
      </c>
      <c r="D2024" s="63">
        <v>43469</v>
      </c>
      <c r="E2024" s="63">
        <v>46387</v>
      </c>
      <c r="F2024" s="62" t="s">
        <v>284</v>
      </c>
      <c r="G2024" s="62" t="s">
        <v>1367</v>
      </c>
      <c r="H2024" s="62" t="s">
        <v>441</v>
      </c>
      <c r="I2024" s="62" t="s">
        <v>457</v>
      </c>
      <c r="J2024" s="62" t="s">
        <v>314</v>
      </c>
      <c r="K2024" s="62" t="s">
        <v>315</v>
      </c>
      <c r="L2024" s="62" t="s">
        <v>2421</v>
      </c>
      <c r="M2024" s="66" t="s">
        <v>1969</v>
      </c>
    </row>
    <row r="2025" spans="1:13" x14ac:dyDescent="0.3">
      <c r="A2025" s="61" t="s">
        <v>2321</v>
      </c>
      <c r="B2025" s="62" t="s">
        <v>1676</v>
      </c>
      <c r="C2025" s="62" t="s">
        <v>1677</v>
      </c>
      <c r="D2025" s="63">
        <v>43469</v>
      </c>
      <c r="E2025" s="63">
        <v>46387</v>
      </c>
      <c r="F2025" s="62" t="s">
        <v>284</v>
      </c>
      <c r="G2025" s="62" t="s">
        <v>285</v>
      </c>
      <c r="H2025" s="62" t="s">
        <v>441</v>
      </c>
      <c r="I2025" s="62" t="s">
        <v>457</v>
      </c>
      <c r="J2025" s="62" t="s">
        <v>314</v>
      </c>
      <c r="K2025" s="62" t="s">
        <v>315</v>
      </c>
      <c r="L2025" s="62" t="s">
        <v>2421</v>
      </c>
      <c r="M2025" s="66" t="s">
        <v>1969</v>
      </c>
    </row>
    <row r="2026" spans="1:13" x14ac:dyDescent="0.3">
      <c r="A2026" s="61" t="s">
        <v>2321</v>
      </c>
      <c r="B2026" s="62" t="s">
        <v>1676</v>
      </c>
      <c r="C2026" s="62" t="s">
        <v>1677</v>
      </c>
      <c r="D2026" s="63">
        <v>43469</v>
      </c>
      <c r="E2026" s="63">
        <v>46387</v>
      </c>
      <c r="F2026" s="62" t="s">
        <v>284</v>
      </c>
      <c r="G2026" s="62" t="s">
        <v>412</v>
      </c>
      <c r="H2026" s="62" t="s">
        <v>441</v>
      </c>
      <c r="I2026" s="62" t="s">
        <v>457</v>
      </c>
      <c r="J2026" s="62" t="s">
        <v>314</v>
      </c>
      <c r="K2026" s="62" t="s">
        <v>315</v>
      </c>
      <c r="L2026" s="62" t="s">
        <v>2421</v>
      </c>
      <c r="M2026" s="66" t="s">
        <v>1969</v>
      </c>
    </row>
    <row r="2027" spans="1:13" x14ac:dyDescent="0.3">
      <c r="A2027" s="61" t="s">
        <v>2321</v>
      </c>
      <c r="B2027" s="62" t="s">
        <v>1676</v>
      </c>
      <c r="C2027" s="62" t="s">
        <v>1677</v>
      </c>
      <c r="D2027" s="63">
        <v>43469</v>
      </c>
      <c r="E2027" s="63">
        <v>46387</v>
      </c>
      <c r="F2027" s="62" t="s">
        <v>284</v>
      </c>
      <c r="G2027" s="62" t="s">
        <v>818</v>
      </c>
      <c r="H2027" s="62" t="s">
        <v>441</v>
      </c>
      <c r="I2027" s="62" t="s">
        <v>457</v>
      </c>
      <c r="J2027" s="62" t="s">
        <v>314</v>
      </c>
      <c r="K2027" s="62" t="s">
        <v>315</v>
      </c>
      <c r="L2027" s="62" t="s">
        <v>2421</v>
      </c>
      <c r="M2027" s="66" t="s">
        <v>1969</v>
      </c>
    </row>
    <row r="2028" spans="1:13" x14ac:dyDescent="0.3">
      <c r="A2028" s="61" t="s">
        <v>2321</v>
      </c>
      <c r="B2028" s="62" t="s">
        <v>1676</v>
      </c>
      <c r="C2028" s="62" t="s">
        <v>1677</v>
      </c>
      <c r="D2028" s="63">
        <v>43469</v>
      </c>
      <c r="E2028" s="63">
        <v>46387</v>
      </c>
      <c r="F2028" s="62" t="s">
        <v>284</v>
      </c>
      <c r="G2028" s="62" t="s">
        <v>1680</v>
      </c>
      <c r="H2028" s="62" t="s">
        <v>441</v>
      </c>
      <c r="I2028" s="62" t="s">
        <v>457</v>
      </c>
      <c r="J2028" s="62" t="s">
        <v>314</v>
      </c>
      <c r="K2028" s="62" t="s">
        <v>315</v>
      </c>
      <c r="L2028" s="62" t="s">
        <v>2421</v>
      </c>
      <c r="M2028" s="66" t="s">
        <v>1969</v>
      </c>
    </row>
    <row r="2029" spans="1:13" x14ac:dyDescent="0.3">
      <c r="A2029" s="61" t="s">
        <v>2321</v>
      </c>
      <c r="B2029" s="62" t="s">
        <v>1676</v>
      </c>
      <c r="C2029" s="62" t="s">
        <v>1677</v>
      </c>
      <c r="D2029" s="63">
        <v>43469</v>
      </c>
      <c r="E2029" s="63">
        <v>46387</v>
      </c>
      <c r="F2029" s="62" t="s">
        <v>1941</v>
      </c>
      <c r="G2029" s="62" t="s">
        <v>494</v>
      </c>
      <c r="H2029" s="62" t="s">
        <v>441</v>
      </c>
      <c r="I2029" s="62" t="s">
        <v>457</v>
      </c>
      <c r="J2029" s="62" t="s">
        <v>314</v>
      </c>
      <c r="K2029" s="62" t="s">
        <v>315</v>
      </c>
      <c r="L2029" s="62" t="s">
        <v>2421</v>
      </c>
      <c r="M2029" s="66" t="s">
        <v>1969</v>
      </c>
    </row>
    <row r="2030" spans="1:13" x14ac:dyDescent="0.3">
      <c r="A2030" s="61" t="s">
        <v>2321</v>
      </c>
      <c r="B2030" s="62" t="s">
        <v>1676</v>
      </c>
      <c r="C2030" s="62" t="s">
        <v>1677</v>
      </c>
      <c r="D2030" s="63">
        <v>43469</v>
      </c>
      <c r="E2030" s="63">
        <v>46387</v>
      </c>
      <c r="F2030" s="62" t="s">
        <v>1941</v>
      </c>
      <c r="G2030" s="62" t="s">
        <v>495</v>
      </c>
      <c r="H2030" s="62" t="s">
        <v>441</v>
      </c>
      <c r="I2030" s="62" t="s">
        <v>457</v>
      </c>
      <c r="J2030" s="62" t="s">
        <v>314</v>
      </c>
      <c r="K2030" s="62" t="s">
        <v>315</v>
      </c>
      <c r="L2030" s="62" t="s">
        <v>2421</v>
      </c>
      <c r="M2030" s="66" t="s">
        <v>1969</v>
      </c>
    </row>
    <row r="2031" spans="1:13" x14ac:dyDescent="0.3">
      <c r="A2031" s="61" t="s">
        <v>2321</v>
      </c>
      <c r="B2031" s="62" t="s">
        <v>1676</v>
      </c>
      <c r="C2031" s="62" t="s">
        <v>1677</v>
      </c>
      <c r="D2031" s="63">
        <v>43469</v>
      </c>
      <c r="E2031" s="63">
        <v>46387</v>
      </c>
      <c r="F2031" s="62" t="s">
        <v>1941</v>
      </c>
      <c r="G2031" s="62" t="s">
        <v>496</v>
      </c>
      <c r="H2031" s="62" t="s">
        <v>441</v>
      </c>
      <c r="I2031" s="62" t="s">
        <v>457</v>
      </c>
      <c r="J2031" s="62" t="s">
        <v>314</v>
      </c>
      <c r="K2031" s="62" t="s">
        <v>315</v>
      </c>
      <c r="L2031" s="62" t="s">
        <v>2421</v>
      </c>
      <c r="M2031" s="66" t="s">
        <v>1969</v>
      </c>
    </row>
    <row r="2032" spans="1:13" x14ac:dyDescent="0.3">
      <c r="A2032" s="61" t="s">
        <v>2321</v>
      </c>
      <c r="B2032" s="62" t="s">
        <v>1676</v>
      </c>
      <c r="C2032" s="62" t="s">
        <v>1677</v>
      </c>
      <c r="D2032" s="63">
        <v>43469</v>
      </c>
      <c r="E2032" s="63">
        <v>46387</v>
      </c>
      <c r="F2032" s="62" t="s">
        <v>1941</v>
      </c>
      <c r="G2032" s="62" t="s">
        <v>398</v>
      </c>
      <c r="H2032" s="62" t="s">
        <v>441</v>
      </c>
      <c r="I2032" s="62" t="s">
        <v>457</v>
      </c>
      <c r="J2032" s="62" t="s">
        <v>314</v>
      </c>
      <c r="K2032" s="62" t="s">
        <v>315</v>
      </c>
      <c r="L2032" s="62" t="s">
        <v>2421</v>
      </c>
      <c r="M2032" s="66" t="s">
        <v>1969</v>
      </c>
    </row>
    <row r="2033" spans="1:13" x14ac:dyDescent="0.3">
      <c r="A2033" s="61" t="s">
        <v>2321</v>
      </c>
      <c r="B2033" s="62" t="s">
        <v>1676</v>
      </c>
      <c r="C2033" s="62" t="s">
        <v>1677</v>
      </c>
      <c r="D2033" s="63">
        <v>43469</v>
      </c>
      <c r="E2033" s="63">
        <v>46387</v>
      </c>
      <c r="F2033" s="62" t="s">
        <v>1941</v>
      </c>
      <c r="G2033" s="62" t="s">
        <v>399</v>
      </c>
      <c r="H2033" s="62" t="s">
        <v>441</v>
      </c>
      <c r="I2033" s="62" t="s">
        <v>457</v>
      </c>
      <c r="J2033" s="62" t="s">
        <v>314</v>
      </c>
      <c r="K2033" s="62" t="s">
        <v>315</v>
      </c>
      <c r="L2033" s="62" t="s">
        <v>2421</v>
      </c>
      <c r="M2033" s="66" t="s">
        <v>1969</v>
      </c>
    </row>
    <row r="2034" spans="1:13" x14ac:dyDescent="0.3">
      <c r="A2034" s="61" t="s">
        <v>2321</v>
      </c>
      <c r="B2034" s="62" t="s">
        <v>1676</v>
      </c>
      <c r="C2034" s="62" t="s">
        <v>1677</v>
      </c>
      <c r="D2034" s="63">
        <v>43469</v>
      </c>
      <c r="E2034" s="63">
        <v>46387</v>
      </c>
      <c r="F2034" s="62" t="s">
        <v>282</v>
      </c>
      <c r="G2034" s="62" t="s">
        <v>668</v>
      </c>
      <c r="H2034" s="62" t="s">
        <v>441</v>
      </c>
      <c r="I2034" s="62" t="s">
        <v>457</v>
      </c>
      <c r="J2034" s="62" t="s">
        <v>314</v>
      </c>
      <c r="K2034" s="62" t="s">
        <v>315</v>
      </c>
      <c r="L2034" s="62" t="s">
        <v>2421</v>
      </c>
      <c r="M2034" s="66" t="s">
        <v>1969</v>
      </c>
    </row>
    <row r="2035" spans="1:13" x14ac:dyDescent="0.3">
      <c r="A2035" s="61" t="s">
        <v>2321</v>
      </c>
      <c r="B2035" s="62" t="s">
        <v>1676</v>
      </c>
      <c r="C2035" s="62" t="s">
        <v>1677</v>
      </c>
      <c r="D2035" s="63">
        <v>43469</v>
      </c>
      <c r="E2035" s="63">
        <v>46387</v>
      </c>
      <c r="F2035" s="62" t="s">
        <v>282</v>
      </c>
      <c r="G2035" s="62" t="s">
        <v>786</v>
      </c>
      <c r="H2035" s="62" t="s">
        <v>441</v>
      </c>
      <c r="I2035" s="62" t="s">
        <v>457</v>
      </c>
      <c r="J2035" s="62" t="s">
        <v>314</v>
      </c>
      <c r="K2035" s="62" t="s">
        <v>315</v>
      </c>
      <c r="L2035" s="62" t="s">
        <v>2421</v>
      </c>
      <c r="M2035" s="66" t="s">
        <v>1969</v>
      </c>
    </row>
    <row r="2036" spans="1:13" x14ac:dyDescent="0.3">
      <c r="A2036" s="61" t="s">
        <v>2321</v>
      </c>
      <c r="B2036" s="62" t="s">
        <v>1676</v>
      </c>
      <c r="C2036" s="62" t="s">
        <v>1677</v>
      </c>
      <c r="D2036" s="63">
        <v>43469</v>
      </c>
      <c r="E2036" s="63">
        <v>46387</v>
      </c>
      <c r="F2036" s="62" t="s">
        <v>282</v>
      </c>
      <c r="G2036" s="62" t="s">
        <v>507</v>
      </c>
      <c r="H2036" s="62" t="s">
        <v>441</v>
      </c>
      <c r="I2036" s="62" t="s">
        <v>457</v>
      </c>
      <c r="J2036" s="62" t="s">
        <v>314</v>
      </c>
      <c r="K2036" s="62" t="s">
        <v>315</v>
      </c>
      <c r="L2036" s="62" t="s">
        <v>2421</v>
      </c>
      <c r="M2036" s="66" t="s">
        <v>1969</v>
      </c>
    </row>
    <row r="2037" spans="1:13" x14ac:dyDescent="0.3">
      <c r="A2037" s="61" t="s">
        <v>2321</v>
      </c>
      <c r="B2037" s="62" t="s">
        <v>1676</v>
      </c>
      <c r="C2037" s="62" t="s">
        <v>1677</v>
      </c>
      <c r="D2037" s="63">
        <v>43469</v>
      </c>
      <c r="E2037" s="63">
        <v>46387</v>
      </c>
      <c r="F2037" s="62" t="s">
        <v>282</v>
      </c>
      <c r="G2037" s="62" t="s">
        <v>787</v>
      </c>
      <c r="H2037" s="62" t="s">
        <v>441</v>
      </c>
      <c r="I2037" s="62" t="s">
        <v>457</v>
      </c>
      <c r="J2037" s="62" t="s">
        <v>314</v>
      </c>
      <c r="K2037" s="62" t="s">
        <v>315</v>
      </c>
      <c r="L2037" s="62" t="s">
        <v>2421</v>
      </c>
      <c r="M2037" s="66" t="s">
        <v>1969</v>
      </c>
    </row>
    <row r="2038" spans="1:13" x14ac:dyDescent="0.3">
      <c r="A2038" s="61" t="s">
        <v>2321</v>
      </c>
      <c r="B2038" s="62" t="s">
        <v>1676</v>
      </c>
      <c r="C2038" s="62" t="s">
        <v>1677</v>
      </c>
      <c r="D2038" s="63">
        <v>43469</v>
      </c>
      <c r="E2038" s="63">
        <v>46387</v>
      </c>
      <c r="F2038" s="62" t="s">
        <v>1959</v>
      </c>
      <c r="G2038" s="62" t="s">
        <v>582</v>
      </c>
      <c r="H2038" s="62" t="s">
        <v>441</v>
      </c>
      <c r="I2038" s="62" t="s">
        <v>457</v>
      </c>
      <c r="J2038" s="62" t="s">
        <v>314</v>
      </c>
      <c r="K2038" s="62" t="s">
        <v>315</v>
      </c>
      <c r="L2038" s="62" t="s">
        <v>2421</v>
      </c>
      <c r="M2038" s="66" t="s">
        <v>1969</v>
      </c>
    </row>
    <row r="2039" spans="1:13" x14ac:dyDescent="0.3">
      <c r="A2039" s="61" t="s">
        <v>2321</v>
      </c>
      <c r="B2039" s="62" t="s">
        <v>1676</v>
      </c>
      <c r="C2039" s="62" t="s">
        <v>1677</v>
      </c>
      <c r="D2039" s="63">
        <v>43469</v>
      </c>
      <c r="E2039" s="63">
        <v>46387</v>
      </c>
      <c r="F2039" s="62" t="s">
        <v>1959</v>
      </c>
      <c r="G2039" s="62" t="s">
        <v>584</v>
      </c>
      <c r="H2039" s="62" t="s">
        <v>441</v>
      </c>
      <c r="I2039" s="62" t="s">
        <v>457</v>
      </c>
      <c r="J2039" s="62" t="s">
        <v>314</v>
      </c>
      <c r="K2039" s="62" t="s">
        <v>315</v>
      </c>
      <c r="L2039" s="62" t="s">
        <v>2421</v>
      </c>
      <c r="M2039" s="66" t="s">
        <v>1969</v>
      </c>
    </row>
    <row r="2040" spans="1:13" x14ac:dyDescent="0.3">
      <c r="A2040" s="61" t="s">
        <v>2321</v>
      </c>
      <c r="B2040" s="62" t="s">
        <v>1676</v>
      </c>
      <c r="C2040" s="62" t="s">
        <v>1677</v>
      </c>
      <c r="D2040" s="63">
        <v>43469</v>
      </c>
      <c r="E2040" s="63">
        <v>46387</v>
      </c>
      <c r="F2040" s="62" t="s">
        <v>1959</v>
      </c>
      <c r="G2040" s="62" t="s">
        <v>585</v>
      </c>
      <c r="H2040" s="62" t="s">
        <v>441</v>
      </c>
      <c r="I2040" s="62" t="s">
        <v>457</v>
      </c>
      <c r="J2040" s="62" t="s">
        <v>314</v>
      </c>
      <c r="K2040" s="62" t="s">
        <v>315</v>
      </c>
      <c r="L2040" s="62" t="s">
        <v>2421</v>
      </c>
      <c r="M2040" s="66" t="s">
        <v>1969</v>
      </c>
    </row>
    <row r="2041" spans="1:13" x14ac:dyDescent="0.3">
      <c r="A2041" s="61" t="s">
        <v>2321</v>
      </c>
      <c r="B2041" s="62" t="s">
        <v>1676</v>
      </c>
      <c r="C2041" s="62" t="s">
        <v>1677</v>
      </c>
      <c r="D2041" s="63">
        <v>43469</v>
      </c>
      <c r="E2041" s="63">
        <v>46387</v>
      </c>
      <c r="F2041" s="62" t="s">
        <v>1959</v>
      </c>
      <c r="G2041" s="62" t="s">
        <v>588</v>
      </c>
      <c r="H2041" s="62" t="s">
        <v>441</v>
      </c>
      <c r="I2041" s="62" t="s">
        <v>457</v>
      </c>
      <c r="J2041" s="62" t="s">
        <v>314</v>
      </c>
      <c r="K2041" s="62" t="s">
        <v>315</v>
      </c>
      <c r="L2041" s="62" t="s">
        <v>2421</v>
      </c>
      <c r="M2041" s="66" t="s">
        <v>1969</v>
      </c>
    </row>
    <row r="2042" spans="1:13" x14ac:dyDescent="0.3">
      <c r="A2042" s="61" t="s">
        <v>2321</v>
      </c>
      <c r="B2042" s="62" t="s">
        <v>1676</v>
      </c>
      <c r="C2042" s="62" t="s">
        <v>1677</v>
      </c>
      <c r="D2042" s="63">
        <v>43469</v>
      </c>
      <c r="E2042" s="63">
        <v>46387</v>
      </c>
      <c r="F2042" s="62" t="s">
        <v>1938</v>
      </c>
      <c r="G2042" s="62" t="s">
        <v>503</v>
      </c>
      <c r="H2042" s="62" t="s">
        <v>441</v>
      </c>
      <c r="I2042" s="62" t="s">
        <v>457</v>
      </c>
      <c r="J2042" s="62" t="s">
        <v>314</v>
      </c>
      <c r="K2042" s="62" t="s">
        <v>315</v>
      </c>
      <c r="L2042" s="62" t="s">
        <v>2421</v>
      </c>
      <c r="M2042" s="66" t="s">
        <v>1969</v>
      </c>
    </row>
    <row r="2043" spans="1:13" x14ac:dyDescent="0.3">
      <c r="A2043" s="61" t="s">
        <v>2321</v>
      </c>
      <c r="B2043" s="62" t="s">
        <v>1676</v>
      </c>
      <c r="C2043" s="62" t="s">
        <v>1677</v>
      </c>
      <c r="D2043" s="63">
        <v>43469</v>
      </c>
      <c r="E2043" s="63">
        <v>46387</v>
      </c>
      <c r="F2043" s="62" t="s">
        <v>1938</v>
      </c>
      <c r="G2043" s="62" t="s">
        <v>504</v>
      </c>
      <c r="H2043" s="62" t="s">
        <v>441</v>
      </c>
      <c r="I2043" s="62" t="s">
        <v>457</v>
      </c>
      <c r="J2043" s="62" t="s">
        <v>314</v>
      </c>
      <c r="K2043" s="62" t="s">
        <v>315</v>
      </c>
      <c r="L2043" s="62" t="s">
        <v>2421</v>
      </c>
      <c r="M2043" s="66" t="s">
        <v>1969</v>
      </c>
    </row>
    <row r="2044" spans="1:13" x14ac:dyDescent="0.3">
      <c r="A2044" s="61" t="s">
        <v>2321</v>
      </c>
      <c r="B2044" s="62" t="s">
        <v>1676</v>
      </c>
      <c r="C2044" s="62" t="s">
        <v>1677</v>
      </c>
      <c r="D2044" s="63">
        <v>43469</v>
      </c>
      <c r="E2044" s="63">
        <v>46387</v>
      </c>
      <c r="F2044" s="62" t="s">
        <v>1938</v>
      </c>
      <c r="G2044" s="62" t="s">
        <v>506</v>
      </c>
      <c r="H2044" s="62" t="s">
        <v>441</v>
      </c>
      <c r="I2044" s="62" t="s">
        <v>457</v>
      </c>
      <c r="J2044" s="62" t="s">
        <v>314</v>
      </c>
      <c r="K2044" s="62" t="s">
        <v>315</v>
      </c>
      <c r="L2044" s="62" t="s">
        <v>2421</v>
      </c>
      <c r="M2044" s="66" t="s">
        <v>1969</v>
      </c>
    </row>
    <row r="2045" spans="1:13" x14ac:dyDescent="0.3">
      <c r="A2045" s="61" t="s">
        <v>2321</v>
      </c>
      <c r="B2045" s="62" t="s">
        <v>1676</v>
      </c>
      <c r="C2045" s="62" t="s">
        <v>1677</v>
      </c>
      <c r="D2045" s="63">
        <v>43469</v>
      </c>
      <c r="E2045" s="63">
        <v>46387</v>
      </c>
      <c r="F2045" s="62" t="s">
        <v>287</v>
      </c>
      <c r="G2045" s="62" t="s">
        <v>554</v>
      </c>
      <c r="H2045" s="62" t="s">
        <v>441</v>
      </c>
      <c r="I2045" s="62" t="s">
        <v>457</v>
      </c>
      <c r="J2045" s="62" t="s">
        <v>314</v>
      </c>
      <c r="K2045" s="62" t="s">
        <v>315</v>
      </c>
      <c r="L2045" s="62" t="s">
        <v>2421</v>
      </c>
      <c r="M2045" s="66" t="s">
        <v>1969</v>
      </c>
    </row>
    <row r="2046" spans="1:13" x14ac:dyDescent="0.3">
      <c r="A2046" s="61" t="s">
        <v>2321</v>
      </c>
      <c r="B2046" s="62" t="s">
        <v>1676</v>
      </c>
      <c r="C2046" s="62" t="s">
        <v>1677</v>
      </c>
      <c r="D2046" s="63">
        <v>43469</v>
      </c>
      <c r="E2046" s="63">
        <v>46387</v>
      </c>
      <c r="F2046" s="62" t="s">
        <v>287</v>
      </c>
      <c r="G2046" s="62" t="s">
        <v>396</v>
      </c>
      <c r="H2046" s="62" t="s">
        <v>441</v>
      </c>
      <c r="I2046" s="62" t="s">
        <v>457</v>
      </c>
      <c r="J2046" s="62" t="s">
        <v>314</v>
      </c>
      <c r="K2046" s="62" t="s">
        <v>315</v>
      </c>
      <c r="L2046" s="62" t="s">
        <v>2421</v>
      </c>
      <c r="M2046" s="66" t="s">
        <v>1969</v>
      </c>
    </row>
    <row r="2047" spans="1:13" x14ac:dyDescent="0.3">
      <c r="A2047" s="61" t="s">
        <v>2321</v>
      </c>
      <c r="B2047" s="62" t="s">
        <v>1676</v>
      </c>
      <c r="C2047" s="62" t="s">
        <v>1677</v>
      </c>
      <c r="D2047" s="63">
        <v>43469</v>
      </c>
      <c r="E2047" s="63">
        <v>46387</v>
      </c>
      <c r="F2047" s="62" t="s">
        <v>287</v>
      </c>
      <c r="G2047" s="62" t="s">
        <v>1545</v>
      </c>
      <c r="H2047" s="62" t="s">
        <v>441</v>
      </c>
      <c r="I2047" s="62" t="s">
        <v>457</v>
      </c>
      <c r="J2047" s="62" t="s">
        <v>314</v>
      </c>
      <c r="K2047" s="62" t="s">
        <v>315</v>
      </c>
      <c r="L2047" s="62" t="s">
        <v>2421</v>
      </c>
      <c r="M2047" s="66" t="s">
        <v>1969</v>
      </c>
    </row>
    <row r="2048" spans="1:13" x14ac:dyDescent="0.3">
      <c r="A2048" s="61" t="s">
        <v>2321</v>
      </c>
      <c r="B2048" s="62" t="s">
        <v>1676</v>
      </c>
      <c r="C2048" s="62" t="s">
        <v>1677</v>
      </c>
      <c r="D2048" s="63">
        <v>43469</v>
      </c>
      <c r="E2048" s="63">
        <v>46387</v>
      </c>
      <c r="F2048" s="62" t="s">
        <v>1945</v>
      </c>
      <c r="G2048" s="62" t="s">
        <v>282</v>
      </c>
      <c r="H2048" s="62" t="s">
        <v>441</v>
      </c>
      <c r="I2048" s="62" t="s">
        <v>457</v>
      </c>
      <c r="J2048" s="62" t="s">
        <v>314</v>
      </c>
      <c r="K2048" s="62" t="s">
        <v>315</v>
      </c>
      <c r="L2048" s="62" t="s">
        <v>2421</v>
      </c>
      <c r="M2048" s="66" t="s">
        <v>1969</v>
      </c>
    </row>
    <row r="2049" spans="1:13" x14ac:dyDescent="0.3">
      <c r="A2049" s="61" t="s">
        <v>2321</v>
      </c>
      <c r="B2049" s="62" t="s">
        <v>1676</v>
      </c>
      <c r="C2049" s="62" t="s">
        <v>1677</v>
      </c>
      <c r="D2049" s="63">
        <v>43469</v>
      </c>
      <c r="E2049" s="63">
        <v>46387</v>
      </c>
      <c r="F2049" s="62" t="s">
        <v>1945</v>
      </c>
      <c r="G2049" s="62" t="s">
        <v>400</v>
      </c>
      <c r="H2049" s="62" t="s">
        <v>441</v>
      </c>
      <c r="I2049" s="62" t="s">
        <v>457</v>
      </c>
      <c r="J2049" s="62" t="s">
        <v>314</v>
      </c>
      <c r="K2049" s="62" t="s">
        <v>315</v>
      </c>
      <c r="L2049" s="62" t="s">
        <v>2421</v>
      </c>
      <c r="M2049" s="66" t="s">
        <v>1969</v>
      </c>
    </row>
    <row r="2050" spans="1:13" x14ac:dyDescent="0.3">
      <c r="A2050" s="61" t="s">
        <v>2321</v>
      </c>
      <c r="B2050" s="62" t="s">
        <v>1676</v>
      </c>
      <c r="C2050" s="62" t="s">
        <v>1677</v>
      </c>
      <c r="D2050" s="63">
        <v>43469</v>
      </c>
      <c r="E2050" s="63">
        <v>46387</v>
      </c>
      <c r="F2050" s="62" t="s">
        <v>1945</v>
      </c>
      <c r="G2050" s="62" t="s">
        <v>401</v>
      </c>
      <c r="H2050" s="62" t="s">
        <v>441</v>
      </c>
      <c r="I2050" s="62" t="s">
        <v>457</v>
      </c>
      <c r="J2050" s="62" t="s">
        <v>314</v>
      </c>
      <c r="K2050" s="62" t="s">
        <v>315</v>
      </c>
      <c r="L2050" s="62" t="s">
        <v>2421</v>
      </c>
      <c r="M2050" s="66" t="s">
        <v>1969</v>
      </c>
    </row>
    <row r="2051" spans="1:13" x14ac:dyDescent="0.3">
      <c r="A2051" s="61" t="s">
        <v>2321</v>
      </c>
      <c r="B2051" s="62" t="s">
        <v>1676</v>
      </c>
      <c r="C2051" s="62" t="s">
        <v>1677</v>
      </c>
      <c r="D2051" s="63">
        <v>43469</v>
      </c>
      <c r="E2051" s="63">
        <v>46387</v>
      </c>
      <c r="F2051" s="62" t="s">
        <v>1944</v>
      </c>
      <c r="G2051" s="62" t="s">
        <v>676</v>
      </c>
      <c r="H2051" s="62" t="s">
        <v>441</v>
      </c>
      <c r="I2051" s="62" t="s">
        <v>457</v>
      </c>
      <c r="J2051" s="62" t="s">
        <v>314</v>
      </c>
      <c r="K2051" s="62" t="s">
        <v>315</v>
      </c>
      <c r="L2051" s="62" t="s">
        <v>2421</v>
      </c>
      <c r="M2051" s="66" t="s">
        <v>1969</v>
      </c>
    </row>
    <row r="2052" spans="1:13" x14ac:dyDescent="0.3">
      <c r="A2052" s="61" t="s">
        <v>2321</v>
      </c>
      <c r="B2052" s="62" t="s">
        <v>1676</v>
      </c>
      <c r="C2052" s="62" t="s">
        <v>1677</v>
      </c>
      <c r="D2052" s="63">
        <v>43469</v>
      </c>
      <c r="E2052" s="63">
        <v>46387</v>
      </c>
      <c r="F2052" s="62" t="s">
        <v>1944</v>
      </c>
      <c r="G2052" s="62" t="s">
        <v>1330</v>
      </c>
      <c r="H2052" s="62" t="s">
        <v>441</v>
      </c>
      <c r="I2052" s="62" t="s">
        <v>457</v>
      </c>
      <c r="J2052" s="62" t="s">
        <v>314</v>
      </c>
      <c r="K2052" s="62" t="s">
        <v>315</v>
      </c>
      <c r="L2052" s="62" t="s">
        <v>2421</v>
      </c>
      <c r="M2052" s="66" t="s">
        <v>1969</v>
      </c>
    </row>
    <row r="2053" spans="1:13" x14ac:dyDescent="0.3">
      <c r="A2053" s="61" t="s">
        <v>2321</v>
      </c>
      <c r="B2053" s="62" t="s">
        <v>1676</v>
      </c>
      <c r="C2053" s="62" t="s">
        <v>1677</v>
      </c>
      <c r="D2053" s="63">
        <v>43469</v>
      </c>
      <c r="E2053" s="63">
        <v>46387</v>
      </c>
      <c r="F2053" s="62" t="s">
        <v>1930</v>
      </c>
      <c r="G2053" s="62" t="s">
        <v>415</v>
      </c>
      <c r="H2053" s="62" t="s">
        <v>441</v>
      </c>
      <c r="I2053" s="62" t="s">
        <v>457</v>
      </c>
      <c r="J2053" s="62" t="s">
        <v>314</v>
      </c>
      <c r="K2053" s="62" t="s">
        <v>315</v>
      </c>
      <c r="L2053" s="62" t="s">
        <v>2421</v>
      </c>
      <c r="M2053" s="66" t="s">
        <v>1969</v>
      </c>
    </row>
    <row r="2054" spans="1:13" x14ac:dyDescent="0.3">
      <c r="A2054" s="61" t="s">
        <v>2321</v>
      </c>
      <c r="B2054" s="62" t="s">
        <v>1676</v>
      </c>
      <c r="C2054" s="62" t="s">
        <v>1677</v>
      </c>
      <c r="D2054" s="63">
        <v>43469</v>
      </c>
      <c r="E2054" s="63">
        <v>46387</v>
      </c>
      <c r="F2054" s="62" t="s">
        <v>1930</v>
      </c>
      <c r="G2054" s="62" t="s">
        <v>1135</v>
      </c>
      <c r="H2054" s="62" t="s">
        <v>441</v>
      </c>
      <c r="I2054" s="62" t="s">
        <v>457</v>
      </c>
      <c r="J2054" s="62" t="s">
        <v>314</v>
      </c>
      <c r="K2054" s="62" t="s">
        <v>315</v>
      </c>
      <c r="L2054" s="62" t="s">
        <v>2421</v>
      </c>
      <c r="M2054" s="66" t="s">
        <v>1969</v>
      </c>
    </row>
    <row r="2055" spans="1:13" x14ac:dyDescent="0.3">
      <c r="A2055" s="61" t="s">
        <v>2321</v>
      </c>
      <c r="B2055" s="62" t="s">
        <v>1676</v>
      </c>
      <c r="C2055" s="62" t="s">
        <v>1677</v>
      </c>
      <c r="D2055" s="63">
        <v>43469</v>
      </c>
      <c r="E2055" s="63">
        <v>46387</v>
      </c>
      <c r="F2055" s="62" t="s">
        <v>280</v>
      </c>
      <c r="G2055" s="62" t="s">
        <v>409</v>
      </c>
      <c r="H2055" s="62" t="s">
        <v>441</v>
      </c>
      <c r="I2055" s="62" t="s">
        <v>457</v>
      </c>
      <c r="J2055" s="62" t="s">
        <v>314</v>
      </c>
      <c r="K2055" s="62" t="s">
        <v>315</v>
      </c>
      <c r="L2055" s="62" t="s">
        <v>2421</v>
      </c>
      <c r="M2055" s="66" t="s">
        <v>1969</v>
      </c>
    </row>
    <row r="2056" spans="1:13" x14ac:dyDescent="0.3">
      <c r="A2056" s="61" t="s">
        <v>2321</v>
      </c>
      <c r="B2056" s="62" t="s">
        <v>1676</v>
      </c>
      <c r="C2056" s="62" t="s">
        <v>1677</v>
      </c>
      <c r="D2056" s="63">
        <v>43469</v>
      </c>
      <c r="E2056" s="63">
        <v>46387</v>
      </c>
      <c r="F2056" s="62" t="s">
        <v>280</v>
      </c>
      <c r="G2056" s="62" t="s">
        <v>410</v>
      </c>
      <c r="H2056" s="62" t="s">
        <v>441</v>
      </c>
      <c r="I2056" s="62" t="s">
        <v>457</v>
      </c>
      <c r="J2056" s="62" t="s">
        <v>314</v>
      </c>
      <c r="K2056" s="62" t="s">
        <v>315</v>
      </c>
      <c r="L2056" s="62" t="s">
        <v>2421</v>
      </c>
      <c r="M2056" s="66" t="s">
        <v>1969</v>
      </c>
    </row>
    <row r="2057" spans="1:13" x14ac:dyDescent="0.3">
      <c r="A2057" s="61" t="s">
        <v>2321</v>
      </c>
      <c r="B2057" s="62" t="s">
        <v>1676</v>
      </c>
      <c r="C2057" s="62" t="s">
        <v>1677</v>
      </c>
      <c r="D2057" s="63">
        <v>43469</v>
      </c>
      <c r="E2057" s="63">
        <v>46387</v>
      </c>
      <c r="F2057" s="62" t="s">
        <v>286</v>
      </c>
      <c r="G2057" s="62" t="s">
        <v>476</v>
      </c>
      <c r="H2057" s="62" t="s">
        <v>441</v>
      </c>
      <c r="I2057" s="62" t="s">
        <v>457</v>
      </c>
      <c r="J2057" s="62" t="s">
        <v>314</v>
      </c>
      <c r="K2057" s="62" t="s">
        <v>315</v>
      </c>
      <c r="L2057" s="62" t="s">
        <v>2421</v>
      </c>
      <c r="M2057" s="66" t="s">
        <v>1969</v>
      </c>
    </row>
    <row r="2058" spans="1:13" x14ac:dyDescent="0.3">
      <c r="A2058" s="61" t="s">
        <v>2321</v>
      </c>
      <c r="B2058" s="62" t="s">
        <v>1676</v>
      </c>
      <c r="C2058" s="62" t="s">
        <v>1677</v>
      </c>
      <c r="D2058" s="63">
        <v>43469</v>
      </c>
      <c r="E2058" s="63">
        <v>46387</v>
      </c>
      <c r="F2058" s="62" t="s">
        <v>1921</v>
      </c>
      <c r="G2058" s="62" t="s">
        <v>487</v>
      </c>
      <c r="H2058" s="62" t="s">
        <v>441</v>
      </c>
      <c r="I2058" s="62" t="s">
        <v>457</v>
      </c>
      <c r="J2058" s="62" t="s">
        <v>314</v>
      </c>
      <c r="K2058" s="62" t="s">
        <v>315</v>
      </c>
      <c r="L2058" s="62" t="s">
        <v>2421</v>
      </c>
      <c r="M2058" s="66" t="s">
        <v>1969</v>
      </c>
    </row>
    <row r="2059" spans="1:13" x14ac:dyDescent="0.3">
      <c r="A2059" s="61" t="s">
        <v>2321</v>
      </c>
      <c r="B2059" s="62" t="s">
        <v>1676</v>
      </c>
      <c r="C2059" s="62" t="s">
        <v>1677</v>
      </c>
      <c r="D2059" s="63">
        <v>43469</v>
      </c>
      <c r="E2059" s="63">
        <v>46387</v>
      </c>
      <c r="F2059" s="62" t="s">
        <v>1940</v>
      </c>
      <c r="G2059" s="62" t="s">
        <v>451</v>
      </c>
      <c r="H2059" s="62" t="s">
        <v>441</v>
      </c>
      <c r="I2059" s="62" t="s">
        <v>457</v>
      </c>
      <c r="J2059" s="62" t="s">
        <v>314</v>
      </c>
      <c r="K2059" s="62" t="s">
        <v>315</v>
      </c>
      <c r="L2059" s="62" t="s">
        <v>2421</v>
      </c>
      <c r="M2059" s="66" t="s">
        <v>1969</v>
      </c>
    </row>
    <row r="2060" spans="1:13" x14ac:dyDescent="0.3">
      <c r="A2060" s="61" t="s">
        <v>2321</v>
      </c>
      <c r="B2060" s="62" t="s">
        <v>1676</v>
      </c>
      <c r="C2060" s="62" t="s">
        <v>1677</v>
      </c>
      <c r="D2060" s="63">
        <v>43469</v>
      </c>
      <c r="E2060" s="63">
        <v>46387</v>
      </c>
      <c r="F2060" s="62" t="s">
        <v>348</v>
      </c>
      <c r="G2060" s="62" t="s">
        <v>348</v>
      </c>
      <c r="H2060" s="62" t="s">
        <v>441</v>
      </c>
      <c r="I2060" s="62" t="s">
        <v>457</v>
      </c>
      <c r="J2060" s="62" t="s">
        <v>314</v>
      </c>
      <c r="K2060" s="62" t="s">
        <v>315</v>
      </c>
      <c r="L2060" s="62" t="s">
        <v>2421</v>
      </c>
      <c r="M2060" s="66" t="s">
        <v>1969</v>
      </c>
    </row>
    <row r="2061" spans="1:13" x14ac:dyDescent="0.3">
      <c r="A2061" s="61" t="s">
        <v>2321</v>
      </c>
      <c r="B2061" s="62" t="s">
        <v>1676</v>
      </c>
      <c r="C2061" s="62" t="s">
        <v>1677</v>
      </c>
      <c r="D2061" s="63">
        <v>43469</v>
      </c>
      <c r="E2061" s="63">
        <v>46387</v>
      </c>
      <c r="F2061" s="62" t="s">
        <v>1939</v>
      </c>
      <c r="G2061" s="62" t="s">
        <v>539</v>
      </c>
      <c r="H2061" s="62" t="s">
        <v>441</v>
      </c>
      <c r="I2061" s="62" t="s">
        <v>457</v>
      </c>
      <c r="J2061" s="62" t="s">
        <v>314</v>
      </c>
      <c r="K2061" s="62" t="s">
        <v>315</v>
      </c>
      <c r="L2061" s="62" t="s">
        <v>2421</v>
      </c>
      <c r="M2061" s="66" t="s">
        <v>1969</v>
      </c>
    </row>
    <row r="2062" spans="1:13" x14ac:dyDescent="0.3">
      <c r="A2062" s="61" t="s">
        <v>2322</v>
      </c>
      <c r="B2062" s="62" t="s">
        <v>1681</v>
      </c>
      <c r="C2062" s="62" t="s">
        <v>1682</v>
      </c>
      <c r="D2062" s="63">
        <v>45615</v>
      </c>
      <c r="E2062" s="63">
        <v>46160</v>
      </c>
      <c r="F2062" s="62" t="s">
        <v>350</v>
      </c>
      <c r="G2062" s="62" t="s">
        <v>350</v>
      </c>
      <c r="H2062" s="62" t="s">
        <v>468</v>
      </c>
      <c r="I2062" s="62" t="s">
        <v>825</v>
      </c>
      <c r="J2062" s="62" t="s">
        <v>603</v>
      </c>
      <c r="K2062" s="62" t="s">
        <v>371</v>
      </c>
      <c r="L2062" s="62" t="s">
        <v>2421</v>
      </c>
      <c r="M2062" s="66" t="s">
        <v>2021</v>
      </c>
    </row>
    <row r="2063" spans="1:13" x14ac:dyDescent="0.3">
      <c r="A2063" s="61" t="s">
        <v>2323</v>
      </c>
      <c r="B2063" s="62" t="s">
        <v>1683</v>
      </c>
      <c r="C2063" s="62" t="s">
        <v>1684</v>
      </c>
      <c r="D2063" s="63">
        <v>45627</v>
      </c>
      <c r="E2063" s="63">
        <v>46905</v>
      </c>
      <c r="F2063" s="62" t="s">
        <v>1939</v>
      </c>
      <c r="G2063" s="62" t="s">
        <v>304</v>
      </c>
      <c r="H2063" s="62" t="s">
        <v>2505</v>
      </c>
      <c r="I2063" s="62" t="s">
        <v>2443</v>
      </c>
      <c r="J2063" s="62" t="s">
        <v>911</v>
      </c>
      <c r="K2063" s="62" t="s">
        <v>375</v>
      </c>
      <c r="L2063" s="62" t="s">
        <v>2421</v>
      </c>
      <c r="M2063" s="66" t="s">
        <v>1968</v>
      </c>
    </row>
    <row r="2064" spans="1:13" x14ac:dyDescent="0.3">
      <c r="A2064" s="61" t="s">
        <v>2323</v>
      </c>
      <c r="B2064" s="62" t="s">
        <v>1683</v>
      </c>
      <c r="C2064" s="62" t="s">
        <v>1684</v>
      </c>
      <c r="D2064" s="63">
        <v>45627</v>
      </c>
      <c r="E2064" s="63">
        <v>46905</v>
      </c>
      <c r="F2064" s="62" t="s">
        <v>1930</v>
      </c>
      <c r="G2064" s="62" t="s">
        <v>304</v>
      </c>
      <c r="H2064" s="62" t="s">
        <v>2505</v>
      </c>
      <c r="I2064" s="62" t="s">
        <v>2443</v>
      </c>
      <c r="J2064" s="62" t="s">
        <v>911</v>
      </c>
      <c r="K2064" s="62" t="s">
        <v>375</v>
      </c>
      <c r="L2064" s="62" t="s">
        <v>2421</v>
      </c>
      <c r="M2064" s="66" t="s">
        <v>1968</v>
      </c>
    </row>
    <row r="2065" spans="1:13" x14ac:dyDescent="0.3">
      <c r="A2065" s="61" t="s">
        <v>2323</v>
      </c>
      <c r="B2065" s="62" t="s">
        <v>1683</v>
      </c>
      <c r="C2065" s="62" t="s">
        <v>1684</v>
      </c>
      <c r="D2065" s="63">
        <v>45627</v>
      </c>
      <c r="E2065" s="63">
        <v>46905</v>
      </c>
      <c r="F2065" s="62" t="s">
        <v>1939</v>
      </c>
      <c r="G2065" s="62" t="s">
        <v>304</v>
      </c>
      <c r="H2065" s="62" t="s">
        <v>373</v>
      </c>
      <c r="I2065" s="62" t="s">
        <v>2443</v>
      </c>
      <c r="J2065" s="62" t="s">
        <v>911</v>
      </c>
      <c r="K2065" s="62" t="s">
        <v>375</v>
      </c>
      <c r="L2065" s="62" t="s">
        <v>2421</v>
      </c>
      <c r="M2065" s="66" t="s">
        <v>1968</v>
      </c>
    </row>
    <row r="2066" spans="1:13" x14ac:dyDescent="0.3">
      <c r="A2066" s="61" t="s">
        <v>2323</v>
      </c>
      <c r="B2066" s="62" t="s">
        <v>1683</v>
      </c>
      <c r="C2066" s="62" t="s">
        <v>1684</v>
      </c>
      <c r="D2066" s="63">
        <v>45627</v>
      </c>
      <c r="E2066" s="63">
        <v>46905</v>
      </c>
      <c r="F2066" s="62" t="s">
        <v>1930</v>
      </c>
      <c r="G2066" s="62" t="s">
        <v>304</v>
      </c>
      <c r="H2066" s="62" t="s">
        <v>373</v>
      </c>
      <c r="I2066" s="62" t="s">
        <v>2443</v>
      </c>
      <c r="J2066" s="62" t="s">
        <v>911</v>
      </c>
      <c r="K2066" s="62" t="s">
        <v>375</v>
      </c>
      <c r="L2066" s="62" t="s">
        <v>2421</v>
      </c>
      <c r="M2066" s="66" t="s">
        <v>1968</v>
      </c>
    </row>
    <row r="2067" spans="1:13" x14ac:dyDescent="0.3">
      <c r="A2067" s="61" t="s">
        <v>2324</v>
      </c>
      <c r="B2067" s="62" t="s">
        <v>1685</v>
      </c>
      <c r="C2067" s="62" t="s">
        <v>1686</v>
      </c>
      <c r="D2067" s="63">
        <v>45303</v>
      </c>
      <c r="E2067" s="63">
        <v>46028</v>
      </c>
      <c r="F2067" s="62" t="s">
        <v>350</v>
      </c>
      <c r="G2067" s="62" t="s">
        <v>304</v>
      </c>
      <c r="H2067" s="62" t="s">
        <v>1668</v>
      </c>
      <c r="I2067" s="62" t="s">
        <v>424</v>
      </c>
      <c r="J2067" s="62" t="s">
        <v>374</v>
      </c>
      <c r="K2067" s="62" t="s">
        <v>375</v>
      </c>
      <c r="L2067" s="62" t="s">
        <v>2421</v>
      </c>
      <c r="M2067" s="66" t="s">
        <v>1975</v>
      </c>
    </row>
    <row r="2068" spans="1:13" x14ac:dyDescent="0.3">
      <c r="A2068" s="61" t="s">
        <v>2325</v>
      </c>
      <c r="B2068" s="62" t="s">
        <v>1687</v>
      </c>
      <c r="C2068" s="62" t="s">
        <v>1688</v>
      </c>
      <c r="D2068" s="63">
        <v>44382</v>
      </c>
      <c r="E2068" s="63">
        <v>46387</v>
      </c>
      <c r="F2068" s="62" t="s">
        <v>1959</v>
      </c>
      <c r="G2068" s="62" t="s">
        <v>304</v>
      </c>
      <c r="H2068" s="62" t="s">
        <v>1668</v>
      </c>
      <c r="I2068" s="62" t="s">
        <v>424</v>
      </c>
      <c r="J2068" s="62" t="s">
        <v>743</v>
      </c>
      <c r="K2068" s="62" t="s">
        <v>744</v>
      </c>
      <c r="L2068" s="62" t="s">
        <v>2421</v>
      </c>
      <c r="M2068" s="66" t="s">
        <v>1971</v>
      </c>
    </row>
    <row r="2069" spans="1:13" x14ac:dyDescent="0.3">
      <c r="A2069" s="61" t="s">
        <v>2325</v>
      </c>
      <c r="B2069" s="62" t="s">
        <v>1687</v>
      </c>
      <c r="C2069" s="62" t="s">
        <v>1688</v>
      </c>
      <c r="D2069" s="63">
        <v>44382</v>
      </c>
      <c r="E2069" s="63">
        <v>46387</v>
      </c>
      <c r="F2069" s="62" t="s">
        <v>1936</v>
      </c>
      <c r="G2069" s="62" t="s">
        <v>304</v>
      </c>
      <c r="H2069" s="62" t="s">
        <v>1668</v>
      </c>
      <c r="I2069" s="62" t="s">
        <v>424</v>
      </c>
      <c r="J2069" s="62" t="s">
        <v>743</v>
      </c>
      <c r="K2069" s="62" t="s">
        <v>744</v>
      </c>
      <c r="L2069" s="62" t="s">
        <v>2421</v>
      </c>
      <c r="M2069" s="66" t="s">
        <v>1971</v>
      </c>
    </row>
    <row r="2070" spans="1:13" x14ac:dyDescent="0.3">
      <c r="A2070" s="61" t="s">
        <v>2325</v>
      </c>
      <c r="B2070" s="62" t="s">
        <v>1687</v>
      </c>
      <c r="C2070" s="62" t="s">
        <v>1688</v>
      </c>
      <c r="D2070" s="63">
        <v>44382</v>
      </c>
      <c r="E2070" s="63">
        <v>46387</v>
      </c>
      <c r="F2070" s="62" t="s">
        <v>1945</v>
      </c>
      <c r="G2070" s="62" t="s">
        <v>304</v>
      </c>
      <c r="H2070" s="62" t="s">
        <v>1668</v>
      </c>
      <c r="I2070" s="62" t="s">
        <v>424</v>
      </c>
      <c r="J2070" s="62" t="s">
        <v>743</v>
      </c>
      <c r="K2070" s="62" t="s">
        <v>744</v>
      </c>
      <c r="L2070" s="62" t="s">
        <v>2421</v>
      </c>
      <c r="M2070" s="66" t="s">
        <v>1971</v>
      </c>
    </row>
    <row r="2071" spans="1:13" x14ac:dyDescent="0.3">
      <c r="A2071" s="61" t="s">
        <v>2326</v>
      </c>
      <c r="B2071" s="62" t="s">
        <v>1689</v>
      </c>
      <c r="C2071" s="62" t="s">
        <v>1226</v>
      </c>
      <c r="D2071" s="63">
        <v>45748</v>
      </c>
      <c r="E2071" s="63">
        <v>46112</v>
      </c>
      <c r="F2071" s="62" t="s">
        <v>1931</v>
      </c>
      <c r="G2071" s="62" t="s">
        <v>304</v>
      </c>
      <c r="H2071" s="62" t="s">
        <v>609</v>
      </c>
      <c r="I2071" s="62" t="s">
        <v>2465</v>
      </c>
      <c r="J2071" s="62" t="s">
        <v>1227</v>
      </c>
      <c r="K2071" s="62" t="s">
        <v>596</v>
      </c>
      <c r="L2071" s="62" t="s">
        <v>2421</v>
      </c>
      <c r="M2071" s="66" t="s">
        <v>1985</v>
      </c>
    </row>
    <row r="2072" spans="1:13" x14ac:dyDescent="0.3">
      <c r="A2072" s="61" t="s">
        <v>2326</v>
      </c>
      <c r="B2072" s="62" t="s">
        <v>1689</v>
      </c>
      <c r="C2072" s="62" t="s">
        <v>1226</v>
      </c>
      <c r="D2072" s="63">
        <v>45748</v>
      </c>
      <c r="E2072" s="63">
        <v>46112</v>
      </c>
      <c r="F2072" s="62" t="s">
        <v>282</v>
      </c>
      <c r="G2072" s="62" t="s">
        <v>304</v>
      </c>
      <c r="H2072" s="62" t="s">
        <v>609</v>
      </c>
      <c r="I2072" s="62" t="s">
        <v>2465</v>
      </c>
      <c r="J2072" s="62" t="s">
        <v>1227</v>
      </c>
      <c r="K2072" s="62" t="s">
        <v>596</v>
      </c>
      <c r="L2072" s="62" t="s">
        <v>2421</v>
      </c>
      <c r="M2072" s="66" t="s">
        <v>1985</v>
      </c>
    </row>
    <row r="2073" spans="1:13" x14ac:dyDescent="0.3">
      <c r="A2073" s="61" t="s">
        <v>2326</v>
      </c>
      <c r="B2073" s="62" t="s">
        <v>1689</v>
      </c>
      <c r="C2073" s="62" t="s">
        <v>1226</v>
      </c>
      <c r="D2073" s="63">
        <v>45748</v>
      </c>
      <c r="E2073" s="63">
        <v>46112</v>
      </c>
      <c r="F2073" s="62" t="s">
        <v>286</v>
      </c>
      <c r="G2073" s="62" t="s">
        <v>304</v>
      </c>
      <c r="H2073" s="62" t="s">
        <v>609</v>
      </c>
      <c r="I2073" s="62" t="s">
        <v>2465</v>
      </c>
      <c r="J2073" s="62" t="s">
        <v>1227</v>
      </c>
      <c r="K2073" s="62" t="s">
        <v>596</v>
      </c>
      <c r="L2073" s="62" t="s">
        <v>2421</v>
      </c>
      <c r="M2073" s="66" t="s">
        <v>1985</v>
      </c>
    </row>
    <row r="2074" spans="1:13" x14ac:dyDescent="0.3">
      <c r="A2074" s="61" t="s">
        <v>2326</v>
      </c>
      <c r="B2074" s="62" t="s">
        <v>1689</v>
      </c>
      <c r="C2074" s="62" t="s">
        <v>1226</v>
      </c>
      <c r="D2074" s="63">
        <v>45748</v>
      </c>
      <c r="E2074" s="63">
        <v>46112</v>
      </c>
      <c r="F2074" s="62" t="s">
        <v>1921</v>
      </c>
      <c r="G2074" s="62" t="s">
        <v>304</v>
      </c>
      <c r="H2074" s="62" t="s">
        <v>609</v>
      </c>
      <c r="I2074" s="62" t="s">
        <v>2465</v>
      </c>
      <c r="J2074" s="62" t="s">
        <v>1227</v>
      </c>
      <c r="K2074" s="62" t="s">
        <v>596</v>
      </c>
      <c r="L2074" s="62" t="s">
        <v>2421</v>
      </c>
      <c r="M2074" s="66" t="s">
        <v>1985</v>
      </c>
    </row>
    <row r="2075" spans="1:13" x14ac:dyDescent="0.3">
      <c r="A2075" s="61" t="s">
        <v>2326</v>
      </c>
      <c r="B2075" s="62" t="s">
        <v>1689</v>
      </c>
      <c r="C2075" s="62" t="s">
        <v>1226</v>
      </c>
      <c r="D2075" s="63">
        <v>45748</v>
      </c>
      <c r="E2075" s="63">
        <v>46112</v>
      </c>
      <c r="F2075" s="62" t="s">
        <v>1940</v>
      </c>
      <c r="G2075" s="62" t="s">
        <v>304</v>
      </c>
      <c r="H2075" s="62" t="s">
        <v>609</v>
      </c>
      <c r="I2075" s="62" t="s">
        <v>2465</v>
      </c>
      <c r="J2075" s="62" t="s">
        <v>1227</v>
      </c>
      <c r="K2075" s="62" t="s">
        <v>596</v>
      </c>
      <c r="L2075" s="62" t="s">
        <v>2421</v>
      </c>
      <c r="M2075" s="66" t="s">
        <v>1985</v>
      </c>
    </row>
    <row r="2076" spans="1:13" x14ac:dyDescent="0.3">
      <c r="A2076" s="61" t="s">
        <v>2326</v>
      </c>
      <c r="B2076" s="62" t="s">
        <v>1689</v>
      </c>
      <c r="C2076" s="62" t="s">
        <v>1226</v>
      </c>
      <c r="D2076" s="63">
        <v>45748</v>
      </c>
      <c r="E2076" s="63">
        <v>46112</v>
      </c>
      <c r="F2076" s="62" t="s">
        <v>289</v>
      </c>
      <c r="G2076" s="62" t="s">
        <v>304</v>
      </c>
      <c r="H2076" s="62" t="s">
        <v>609</v>
      </c>
      <c r="I2076" s="62" t="s">
        <v>2465</v>
      </c>
      <c r="J2076" s="62" t="s">
        <v>1227</v>
      </c>
      <c r="K2076" s="62" t="s">
        <v>596</v>
      </c>
      <c r="L2076" s="62" t="s">
        <v>2421</v>
      </c>
      <c r="M2076" s="66" t="s">
        <v>1985</v>
      </c>
    </row>
    <row r="2077" spans="1:13" x14ac:dyDescent="0.3">
      <c r="A2077" s="61" t="s">
        <v>2326</v>
      </c>
      <c r="B2077" s="62" t="s">
        <v>1689</v>
      </c>
      <c r="C2077" s="62" t="s">
        <v>1226</v>
      </c>
      <c r="D2077" s="63">
        <v>45748</v>
      </c>
      <c r="E2077" s="63">
        <v>46112</v>
      </c>
      <c r="F2077" s="62" t="s">
        <v>348</v>
      </c>
      <c r="G2077" s="62" t="s">
        <v>304</v>
      </c>
      <c r="H2077" s="62" t="s">
        <v>609</v>
      </c>
      <c r="I2077" s="62" t="s">
        <v>2465</v>
      </c>
      <c r="J2077" s="62" t="s">
        <v>1227</v>
      </c>
      <c r="K2077" s="62" t="s">
        <v>596</v>
      </c>
      <c r="L2077" s="62" t="s">
        <v>2421</v>
      </c>
      <c r="M2077" s="66" t="s">
        <v>1985</v>
      </c>
    </row>
    <row r="2078" spans="1:13" x14ac:dyDescent="0.3">
      <c r="A2078" s="61" t="s">
        <v>2326</v>
      </c>
      <c r="B2078" s="62" t="s">
        <v>1689</v>
      </c>
      <c r="C2078" s="62" t="s">
        <v>1226</v>
      </c>
      <c r="D2078" s="63">
        <v>45748</v>
      </c>
      <c r="E2078" s="63">
        <v>46112</v>
      </c>
      <c r="F2078" s="62" t="s">
        <v>1933</v>
      </c>
      <c r="G2078" s="62" t="s">
        <v>304</v>
      </c>
      <c r="H2078" s="62" t="s">
        <v>609</v>
      </c>
      <c r="I2078" s="62" t="s">
        <v>2465</v>
      </c>
      <c r="J2078" s="62" t="s">
        <v>1227</v>
      </c>
      <c r="K2078" s="62" t="s">
        <v>596</v>
      </c>
      <c r="L2078" s="62" t="s">
        <v>2421</v>
      </c>
      <c r="M2078" s="66" t="s">
        <v>1985</v>
      </c>
    </row>
    <row r="2079" spans="1:13" x14ac:dyDescent="0.3">
      <c r="A2079" s="61" t="s">
        <v>2326</v>
      </c>
      <c r="B2079" s="62" t="s">
        <v>1689</v>
      </c>
      <c r="C2079" s="62" t="s">
        <v>1226</v>
      </c>
      <c r="D2079" s="63">
        <v>45748</v>
      </c>
      <c r="E2079" s="63">
        <v>46112</v>
      </c>
      <c r="F2079" s="62" t="s">
        <v>1937</v>
      </c>
      <c r="G2079" s="62" t="s">
        <v>304</v>
      </c>
      <c r="H2079" s="62" t="s">
        <v>609</v>
      </c>
      <c r="I2079" s="62" t="s">
        <v>2465</v>
      </c>
      <c r="J2079" s="62" t="s">
        <v>1227</v>
      </c>
      <c r="K2079" s="62" t="s">
        <v>596</v>
      </c>
      <c r="L2079" s="62" t="s">
        <v>2421</v>
      </c>
      <c r="M2079" s="66" t="s">
        <v>1985</v>
      </c>
    </row>
    <row r="2080" spans="1:13" x14ac:dyDescent="0.3">
      <c r="A2080" s="61" t="s">
        <v>2326</v>
      </c>
      <c r="B2080" s="62" t="s">
        <v>1689</v>
      </c>
      <c r="C2080" s="62" t="s">
        <v>1226</v>
      </c>
      <c r="D2080" s="63">
        <v>45748</v>
      </c>
      <c r="E2080" s="63">
        <v>46112</v>
      </c>
      <c r="F2080" s="62" t="s">
        <v>1943</v>
      </c>
      <c r="G2080" s="62" t="s">
        <v>304</v>
      </c>
      <c r="H2080" s="62" t="s">
        <v>609</v>
      </c>
      <c r="I2080" s="62" t="s">
        <v>2465</v>
      </c>
      <c r="J2080" s="62" t="s">
        <v>1227</v>
      </c>
      <c r="K2080" s="62" t="s">
        <v>596</v>
      </c>
      <c r="L2080" s="62" t="s">
        <v>2421</v>
      </c>
      <c r="M2080" s="66" t="s">
        <v>1985</v>
      </c>
    </row>
    <row r="2081" spans="1:13" x14ac:dyDescent="0.3">
      <c r="A2081" s="61" t="s">
        <v>2326</v>
      </c>
      <c r="B2081" s="62" t="s">
        <v>1689</v>
      </c>
      <c r="C2081" s="62" t="s">
        <v>1226</v>
      </c>
      <c r="D2081" s="63">
        <v>45748</v>
      </c>
      <c r="E2081" s="63">
        <v>46112</v>
      </c>
      <c r="F2081" s="62" t="s">
        <v>1939</v>
      </c>
      <c r="G2081" s="62" t="s">
        <v>304</v>
      </c>
      <c r="H2081" s="62" t="s">
        <v>609</v>
      </c>
      <c r="I2081" s="62" t="s">
        <v>2465</v>
      </c>
      <c r="J2081" s="62" t="s">
        <v>1227</v>
      </c>
      <c r="K2081" s="62" t="s">
        <v>596</v>
      </c>
      <c r="L2081" s="62" t="s">
        <v>2421</v>
      </c>
      <c r="M2081" s="66" t="s">
        <v>1985</v>
      </c>
    </row>
    <row r="2082" spans="1:13" x14ac:dyDescent="0.3">
      <c r="A2082" s="61" t="s">
        <v>2326</v>
      </c>
      <c r="B2082" s="62" t="s">
        <v>1689</v>
      </c>
      <c r="C2082" s="62" t="s">
        <v>1226</v>
      </c>
      <c r="D2082" s="63">
        <v>45748</v>
      </c>
      <c r="E2082" s="63">
        <v>46112</v>
      </c>
      <c r="F2082" s="62" t="s">
        <v>1944</v>
      </c>
      <c r="G2082" s="62" t="s">
        <v>304</v>
      </c>
      <c r="H2082" s="62" t="s">
        <v>609</v>
      </c>
      <c r="I2082" s="62" t="s">
        <v>2465</v>
      </c>
      <c r="J2082" s="62" t="s">
        <v>1227</v>
      </c>
      <c r="K2082" s="62" t="s">
        <v>596</v>
      </c>
      <c r="L2082" s="62" t="s">
        <v>2421</v>
      </c>
      <c r="M2082" s="66" t="s">
        <v>1985</v>
      </c>
    </row>
    <row r="2083" spans="1:13" x14ac:dyDescent="0.3">
      <c r="A2083" s="61" t="s">
        <v>2326</v>
      </c>
      <c r="B2083" s="62" t="s">
        <v>1689</v>
      </c>
      <c r="C2083" s="62" t="s">
        <v>1226</v>
      </c>
      <c r="D2083" s="63">
        <v>45748</v>
      </c>
      <c r="E2083" s="63">
        <v>46112</v>
      </c>
      <c r="F2083" s="62" t="s">
        <v>1930</v>
      </c>
      <c r="G2083" s="62" t="s">
        <v>304</v>
      </c>
      <c r="H2083" s="62" t="s">
        <v>609</v>
      </c>
      <c r="I2083" s="62" t="s">
        <v>2465</v>
      </c>
      <c r="J2083" s="62" t="s">
        <v>1227</v>
      </c>
      <c r="K2083" s="62" t="s">
        <v>596</v>
      </c>
      <c r="L2083" s="62" t="s">
        <v>2421</v>
      </c>
      <c r="M2083" s="66" t="s">
        <v>1985</v>
      </c>
    </row>
    <row r="2084" spans="1:13" x14ac:dyDescent="0.3">
      <c r="A2084" s="61" t="s">
        <v>2326</v>
      </c>
      <c r="B2084" s="62" t="s">
        <v>1689</v>
      </c>
      <c r="C2084" s="62" t="s">
        <v>1226</v>
      </c>
      <c r="D2084" s="63">
        <v>45748</v>
      </c>
      <c r="E2084" s="63">
        <v>46112</v>
      </c>
      <c r="F2084" s="62" t="s">
        <v>284</v>
      </c>
      <c r="G2084" s="62" t="s">
        <v>304</v>
      </c>
      <c r="H2084" s="62" t="s">
        <v>609</v>
      </c>
      <c r="I2084" s="62" t="s">
        <v>2465</v>
      </c>
      <c r="J2084" s="62" t="s">
        <v>1227</v>
      </c>
      <c r="K2084" s="62" t="s">
        <v>596</v>
      </c>
      <c r="L2084" s="62" t="s">
        <v>2421</v>
      </c>
      <c r="M2084" s="66" t="s">
        <v>1985</v>
      </c>
    </row>
    <row r="2085" spans="1:13" x14ac:dyDescent="0.3">
      <c r="A2085" s="61" t="s">
        <v>2326</v>
      </c>
      <c r="B2085" s="62" t="s">
        <v>1689</v>
      </c>
      <c r="C2085" s="62" t="s">
        <v>1226</v>
      </c>
      <c r="D2085" s="63">
        <v>45748</v>
      </c>
      <c r="E2085" s="63">
        <v>46112</v>
      </c>
      <c r="F2085" s="62" t="s">
        <v>1942</v>
      </c>
      <c r="G2085" s="62" t="s">
        <v>304</v>
      </c>
      <c r="H2085" s="62" t="s">
        <v>609</v>
      </c>
      <c r="I2085" s="62" t="s">
        <v>2465</v>
      </c>
      <c r="J2085" s="62" t="s">
        <v>1227</v>
      </c>
      <c r="K2085" s="62" t="s">
        <v>596</v>
      </c>
      <c r="L2085" s="62" t="s">
        <v>2421</v>
      </c>
      <c r="M2085" s="66" t="s">
        <v>1985</v>
      </c>
    </row>
    <row r="2086" spans="1:13" x14ac:dyDescent="0.3">
      <c r="A2086" s="61" t="s">
        <v>2326</v>
      </c>
      <c r="B2086" s="62" t="s">
        <v>1689</v>
      </c>
      <c r="C2086" s="62" t="s">
        <v>1226</v>
      </c>
      <c r="D2086" s="63">
        <v>45748</v>
      </c>
      <c r="E2086" s="63">
        <v>46112</v>
      </c>
      <c r="F2086" s="62" t="s">
        <v>288</v>
      </c>
      <c r="G2086" s="62" t="s">
        <v>304</v>
      </c>
      <c r="H2086" s="62" t="s">
        <v>609</v>
      </c>
      <c r="I2086" s="62" t="s">
        <v>2465</v>
      </c>
      <c r="J2086" s="62" t="s">
        <v>1227</v>
      </c>
      <c r="K2086" s="62" t="s">
        <v>596</v>
      </c>
      <c r="L2086" s="62" t="s">
        <v>2421</v>
      </c>
      <c r="M2086" s="66" t="s">
        <v>1985</v>
      </c>
    </row>
    <row r="2087" spans="1:13" x14ac:dyDescent="0.3">
      <c r="A2087" s="61" t="s">
        <v>2326</v>
      </c>
      <c r="B2087" s="62" t="s">
        <v>1689</v>
      </c>
      <c r="C2087" s="62" t="s">
        <v>1226</v>
      </c>
      <c r="D2087" s="63">
        <v>45748</v>
      </c>
      <c r="E2087" s="63">
        <v>46112</v>
      </c>
      <c r="F2087" s="62" t="s">
        <v>1960</v>
      </c>
      <c r="G2087" s="62" t="s">
        <v>304</v>
      </c>
      <c r="H2087" s="62" t="s">
        <v>609</v>
      </c>
      <c r="I2087" s="62" t="s">
        <v>2465</v>
      </c>
      <c r="J2087" s="62" t="s">
        <v>1227</v>
      </c>
      <c r="K2087" s="62" t="s">
        <v>596</v>
      </c>
      <c r="L2087" s="62" t="s">
        <v>2421</v>
      </c>
      <c r="M2087" s="66" t="s">
        <v>1985</v>
      </c>
    </row>
    <row r="2088" spans="1:13" x14ac:dyDescent="0.3">
      <c r="A2088" s="61" t="s">
        <v>2326</v>
      </c>
      <c r="B2088" s="62" t="s">
        <v>1689</v>
      </c>
      <c r="C2088" s="62" t="s">
        <v>1226</v>
      </c>
      <c r="D2088" s="63">
        <v>45748</v>
      </c>
      <c r="E2088" s="63">
        <v>46112</v>
      </c>
      <c r="F2088" s="62" t="s">
        <v>1945</v>
      </c>
      <c r="G2088" s="62" t="s">
        <v>304</v>
      </c>
      <c r="H2088" s="62" t="s">
        <v>609</v>
      </c>
      <c r="I2088" s="62" t="s">
        <v>2465</v>
      </c>
      <c r="J2088" s="62" t="s">
        <v>1227</v>
      </c>
      <c r="K2088" s="62" t="s">
        <v>596</v>
      </c>
      <c r="L2088" s="62" t="s">
        <v>2421</v>
      </c>
      <c r="M2088" s="66" t="s">
        <v>1985</v>
      </c>
    </row>
    <row r="2089" spans="1:13" x14ac:dyDescent="0.3">
      <c r="A2089" s="61" t="s">
        <v>2327</v>
      </c>
      <c r="B2089" s="62" t="s">
        <v>1691</v>
      </c>
      <c r="C2089" s="62" t="s">
        <v>1692</v>
      </c>
      <c r="D2089" s="63">
        <v>45260</v>
      </c>
      <c r="E2089" s="63">
        <v>46752</v>
      </c>
      <c r="F2089" s="62" t="s">
        <v>1939</v>
      </c>
      <c r="G2089" s="62" t="s">
        <v>304</v>
      </c>
      <c r="H2089" s="62" t="s">
        <v>939</v>
      </c>
      <c r="I2089" s="62" t="s">
        <v>825</v>
      </c>
      <c r="J2089" s="62" t="s">
        <v>370</v>
      </c>
      <c r="K2089" s="62" t="s">
        <v>371</v>
      </c>
      <c r="L2089" s="62" t="s">
        <v>2421</v>
      </c>
      <c r="M2089" s="66" t="s">
        <v>1969</v>
      </c>
    </row>
    <row r="2090" spans="1:13" x14ac:dyDescent="0.3">
      <c r="A2090" s="61" t="s">
        <v>2328</v>
      </c>
      <c r="B2090" s="62" t="s">
        <v>1694</v>
      </c>
      <c r="C2090" s="62" t="s">
        <v>1695</v>
      </c>
      <c r="D2090" s="63">
        <v>45643</v>
      </c>
      <c r="E2090" s="63">
        <v>46373</v>
      </c>
      <c r="F2090" s="62" t="s">
        <v>350</v>
      </c>
      <c r="G2090" s="62" t="s">
        <v>304</v>
      </c>
      <c r="H2090" s="62" t="s">
        <v>1696</v>
      </c>
      <c r="I2090" s="62" t="s">
        <v>2465</v>
      </c>
      <c r="J2090" s="62" t="s">
        <v>1697</v>
      </c>
      <c r="K2090" s="62" t="s">
        <v>596</v>
      </c>
      <c r="L2090" s="62" t="s">
        <v>2421</v>
      </c>
      <c r="M2090" s="66" t="s">
        <v>1973</v>
      </c>
    </row>
    <row r="2091" spans="1:13" x14ac:dyDescent="0.3">
      <c r="A2091" s="61" t="s">
        <v>2329</v>
      </c>
      <c r="B2091" s="62" t="s">
        <v>1698</v>
      </c>
      <c r="C2091" s="62" t="s">
        <v>1699</v>
      </c>
      <c r="D2091" s="63">
        <v>45488</v>
      </c>
      <c r="E2091" s="63">
        <v>46218</v>
      </c>
      <c r="F2091" s="62" t="s">
        <v>1940</v>
      </c>
      <c r="G2091" s="62" t="s">
        <v>304</v>
      </c>
      <c r="H2091" s="62" t="s">
        <v>2453</v>
      </c>
      <c r="I2091" s="62" t="s">
        <v>2465</v>
      </c>
      <c r="J2091" s="62" t="s">
        <v>644</v>
      </c>
      <c r="K2091" s="62" t="s">
        <v>371</v>
      </c>
      <c r="L2091" s="62" t="s">
        <v>2421</v>
      </c>
      <c r="M2091" s="66" t="s">
        <v>1972</v>
      </c>
    </row>
    <row r="2092" spans="1:13" x14ac:dyDescent="0.3">
      <c r="A2092" s="61" t="s">
        <v>2330</v>
      </c>
      <c r="B2092" s="62" t="s">
        <v>1700</v>
      </c>
      <c r="C2092" s="62" t="s">
        <v>1701</v>
      </c>
      <c r="D2092" s="63">
        <v>45456</v>
      </c>
      <c r="E2092" s="63">
        <v>46673</v>
      </c>
      <c r="F2092" s="62" t="s">
        <v>350</v>
      </c>
      <c r="G2092" s="62" t="s">
        <v>304</v>
      </c>
      <c r="H2092" s="62" t="s">
        <v>601</v>
      </c>
      <c r="I2092" s="62" t="s">
        <v>1518</v>
      </c>
      <c r="J2092" s="62" t="s">
        <v>949</v>
      </c>
      <c r="K2092" s="62" t="s">
        <v>309</v>
      </c>
      <c r="L2092" s="62" t="s">
        <v>2421</v>
      </c>
      <c r="M2092" s="66" t="s">
        <v>1971</v>
      </c>
    </row>
    <row r="2093" spans="1:13" x14ac:dyDescent="0.3">
      <c r="A2093" s="61" t="s">
        <v>2331</v>
      </c>
      <c r="B2093" s="62" t="s">
        <v>1702</v>
      </c>
      <c r="C2093" s="62" t="s">
        <v>1703</v>
      </c>
      <c r="D2093" s="63">
        <v>44927</v>
      </c>
      <c r="E2093" s="63">
        <v>46537</v>
      </c>
      <c r="F2093" s="62" t="s">
        <v>350</v>
      </c>
      <c r="G2093" s="62" t="s">
        <v>304</v>
      </c>
      <c r="H2093" s="62" t="s">
        <v>1704</v>
      </c>
      <c r="I2093" s="62" t="s">
        <v>1518</v>
      </c>
      <c r="J2093" s="62" t="s">
        <v>755</v>
      </c>
      <c r="K2093" s="62" t="s">
        <v>365</v>
      </c>
      <c r="L2093" s="62" t="s">
        <v>2421</v>
      </c>
      <c r="M2093" s="66" t="s">
        <v>1971</v>
      </c>
    </row>
    <row r="2094" spans="1:13" x14ac:dyDescent="0.3">
      <c r="A2094" s="61" t="s">
        <v>2332</v>
      </c>
      <c r="B2094" s="62" t="s">
        <v>1705</v>
      </c>
      <c r="C2094" s="62" t="s">
        <v>1706</v>
      </c>
      <c r="D2094" s="63">
        <v>45444</v>
      </c>
      <c r="E2094" s="63">
        <v>46356</v>
      </c>
      <c r="F2094" s="62" t="s">
        <v>350</v>
      </c>
      <c r="G2094" s="62" t="s">
        <v>304</v>
      </c>
      <c r="H2094" s="62" t="s">
        <v>1707</v>
      </c>
      <c r="I2094" s="62" t="s">
        <v>424</v>
      </c>
      <c r="J2094" s="62" t="s">
        <v>971</v>
      </c>
      <c r="K2094" s="62" t="s">
        <v>358</v>
      </c>
      <c r="L2094" s="62" t="s">
        <v>2421</v>
      </c>
      <c r="M2094" s="66" t="s">
        <v>1975</v>
      </c>
    </row>
    <row r="2095" spans="1:13" x14ac:dyDescent="0.3">
      <c r="A2095" s="61" t="s">
        <v>2333</v>
      </c>
      <c r="B2095" s="62" t="s">
        <v>1708</v>
      </c>
      <c r="C2095" s="62" t="s">
        <v>1692</v>
      </c>
      <c r="D2095" s="63">
        <v>45260</v>
      </c>
      <c r="E2095" s="63">
        <v>46752</v>
      </c>
      <c r="F2095" s="62" t="s">
        <v>1934</v>
      </c>
      <c r="G2095" s="62" t="s">
        <v>304</v>
      </c>
      <c r="H2095" s="62" t="s">
        <v>939</v>
      </c>
      <c r="I2095" s="62" t="s">
        <v>825</v>
      </c>
      <c r="J2095" s="62" t="s">
        <v>370</v>
      </c>
      <c r="K2095" s="62" t="s">
        <v>371</v>
      </c>
      <c r="L2095" s="62" t="s">
        <v>2421</v>
      </c>
      <c r="M2095" s="66" t="s">
        <v>1969</v>
      </c>
    </row>
    <row r="2096" spans="1:13" x14ac:dyDescent="0.3">
      <c r="A2096" s="61" t="s">
        <v>2333</v>
      </c>
      <c r="B2096" s="62" t="s">
        <v>1708</v>
      </c>
      <c r="C2096" s="62" t="s">
        <v>1692</v>
      </c>
      <c r="D2096" s="63">
        <v>45260</v>
      </c>
      <c r="E2096" s="63">
        <v>46752</v>
      </c>
      <c r="F2096" s="62" t="s">
        <v>1930</v>
      </c>
      <c r="G2096" s="62" t="s">
        <v>304</v>
      </c>
      <c r="H2096" s="62" t="s">
        <v>939</v>
      </c>
      <c r="I2096" s="62" t="s">
        <v>825</v>
      </c>
      <c r="J2096" s="62" t="s">
        <v>370</v>
      </c>
      <c r="K2096" s="62" t="s">
        <v>371</v>
      </c>
      <c r="L2096" s="62" t="s">
        <v>2421</v>
      </c>
      <c r="M2096" s="66" t="s">
        <v>1969</v>
      </c>
    </row>
    <row r="2097" spans="1:13" x14ac:dyDescent="0.3">
      <c r="A2097" s="61" t="s">
        <v>2334</v>
      </c>
      <c r="B2097" s="62" t="s">
        <v>1709</v>
      </c>
      <c r="C2097" s="62" t="s">
        <v>1710</v>
      </c>
      <c r="D2097" s="63">
        <v>45348</v>
      </c>
      <c r="E2097" s="63">
        <v>46443</v>
      </c>
      <c r="F2097" s="62" t="s">
        <v>350</v>
      </c>
      <c r="G2097" s="62" t="s">
        <v>304</v>
      </c>
      <c r="H2097" s="62" t="s">
        <v>939</v>
      </c>
      <c r="I2097" s="62" t="s">
        <v>1518</v>
      </c>
      <c r="J2097" s="62" t="s">
        <v>558</v>
      </c>
      <c r="K2097" s="62" t="s">
        <v>426</v>
      </c>
      <c r="L2097" s="62" t="s">
        <v>2421</v>
      </c>
      <c r="M2097" s="66" t="s">
        <v>1970</v>
      </c>
    </row>
    <row r="2098" spans="1:13" x14ac:dyDescent="0.3">
      <c r="A2098" s="61" t="s">
        <v>2335</v>
      </c>
      <c r="B2098" s="62" t="s">
        <v>1711</v>
      </c>
      <c r="C2098" s="62" t="s">
        <v>1712</v>
      </c>
      <c r="D2098" s="63">
        <v>45536</v>
      </c>
      <c r="E2098" s="63">
        <v>46112</v>
      </c>
      <c r="F2098" s="62" t="s">
        <v>350</v>
      </c>
      <c r="G2098" s="62" t="s">
        <v>304</v>
      </c>
      <c r="H2098" s="62" t="s">
        <v>939</v>
      </c>
      <c r="I2098" s="62" t="s">
        <v>825</v>
      </c>
      <c r="J2098" s="62" t="s">
        <v>370</v>
      </c>
      <c r="K2098" s="62" t="s">
        <v>371</v>
      </c>
      <c r="L2098" s="62" t="s">
        <v>2421</v>
      </c>
      <c r="M2098" s="66" t="s">
        <v>1969</v>
      </c>
    </row>
    <row r="2099" spans="1:13" x14ac:dyDescent="0.3">
      <c r="A2099" s="61" t="s">
        <v>2336</v>
      </c>
      <c r="B2099" s="62" t="s">
        <v>1713</v>
      </c>
      <c r="C2099" s="62" t="s">
        <v>1714</v>
      </c>
      <c r="D2099" s="63">
        <v>45505</v>
      </c>
      <c r="E2099" s="63">
        <v>46600</v>
      </c>
      <c r="F2099" s="62" t="s">
        <v>1987</v>
      </c>
      <c r="G2099" s="62" t="s">
        <v>962</v>
      </c>
      <c r="H2099" s="62" t="s">
        <v>522</v>
      </c>
      <c r="I2099" s="62" t="s">
        <v>1518</v>
      </c>
      <c r="J2099" s="62" t="s">
        <v>960</v>
      </c>
      <c r="K2099" s="62" t="s">
        <v>358</v>
      </c>
      <c r="L2099" s="62" t="s">
        <v>2421</v>
      </c>
      <c r="M2099" s="66" t="s">
        <v>1971</v>
      </c>
    </row>
    <row r="2100" spans="1:13" x14ac:dyDescent="0.3">
      <c r="A2100" s="61" t="s">
        <v>2336</v>
      </c>
      <c r="B2100" s="62" t="s">
        <v>1713</v>
      </c>
      <c r="C2100" s="62" t="s">
        <v>1714</v>
      </c>
      <c r="D2100" s="63">
        <v>45505</v>
      </c>
      <c r="E2100" s="63">
        <v>46600</v>
      </c>
      <c r="F2100" s="62" t="s">
        <v>1916</v>
      </c>
      <c r="G2100" s="62" t="s">
        <v>630</v>
      </c>
      <c r="H2100" s="62" t="s">
        <v>522</v>
      </c>
      <c r="I2100" s="62" t="s">
        <v>1518</v>
      </c>
      <c r="J2100" s="62" t="s">
        <v>960</v>
      </c>
      <c r="K2100" s="62" t="s">
        <v>358</v>
      </c>
      <c r="L2100" s="62" t="s">
        <v>2421</v>
      </c>
      <c r="M2100" s="66" t="s">
        <v>1971</v>
      </c>
    </row>
    <row r="2101" spans="1:13" x14ac:dyDescent="0.3">
      <c r="A2101" s="61" t="s">
        <v>2337</v>
      </c>
      <c r="B2101" s="62" t="s">
        <v>1715</v>
      </c>
      <c r="C2101" s="62" t="s">
        <v>1716</v>
      </c>
      <c r="D2101" s="63">
        <v>45293</v>
      </c>
      <c r="E2101" s="63">
        <v>46142</v>
      </c>
      <c r="F2101" s="62" t="s">
        <v>282</v>
      </c>
      <c r="G2101" s="62" t="s">
        <v>304</v>
      </c>
      <c r="H2101" s="62" t="s">
        <v>645</v>
      </c>
      <c r="I2101" s="62" t="s">
        <v>825</v>
      </c>
      <c r="J2101" s="62" t="s">
        <v>2424</v>
      </c>
      <c r="K2101" s="62" t="s">
        <v>426</v>
      </c>
      <c r="L2101" s="62" t="s">
        <v>2421</v>
      </c>
      <c r="M2101" s="66" t="s">
        <v>1970</v>
      </c>
    </row>
    <row r="2102" spans="1:13" x14ac:dyDescent="0.3">
      <c r="A2102" s="61" t="s">
        <v>2337</v>
      </c>
      <c r="B2102" s="62" t="s">
        <v>1715</v>
      </c>
      <c r="C2102" s="62" t="s">
        <v>1716</v>
      </c>
      <c r="D2102" s="63">
        <v>45293</v>
      </c>
      <c r="E2102" s="63">
        <v>46142</v>
      </c>
      <c r="F2102" s="62" t="s">
        <v>286</v>
      </c>
      <c r="G2102" s="62" t="s">
        <v>304</v>
      </c>
      <c r="H2102" s="62" t="s">
        <v>645</v>
      </c>
      <c r="I2102" s="62" t="s">
        <v>825</v>
      </c>
      <c r="J2102" s="62" t="s">
        <v>2424</v>
      </c>
      <c r="K2102" s="62" t="s">
        <v>426</v>
      </c>
      <c r="L2102" s="62" t="s">
        <v>2421</v>
      </c>
      <c r="M2102" s="66" t="s">
        <v>1970</v>
      </c>
    </row>
    <row r="2103" spans="1:13" x14ac:dyDescent="0.3">
      <c r="A2103" s="61" t="s">
        <v>2337</v>
      </c>
      <c r="B2103" s="62" t="s">
        <v>1715</v>
      </c>
      <c r="C2103" s="62" t="s">
        <v>1716</v>
      </c>
      <c r="D2103" s="63">
        <v>45293</v>
      </c>
      <c r="E2103" s="63">
        <v>46142</v>
      </c>
      <c r="F2103" s="62" t="s">
        <v>289</v>
      </c>
      <c r="G2103" s="62" t="s">
        <v>304</v>
      </c>
      <c r="H2103" s="62" t="s">
        <v>645</v>
      </c>
      <c r="I2103" s="62" t="s">
        <v>825</v>
      </c>
      <c r="J2103" s="62" t="s">
        <v>2424</v>
      </c>
      <c r="K2103" s="62" t="s">
        <v>426</v>
      </c>
      <c r="L2103" s="62" t="s">
        <v>2421</v>
      </c>
      <c r="M2103" s="66" t="s">
        <v>1970</v>
      </c>
    </row>
    <row r="2104" spans="1:13" x14ac:dyDescent="0.3">
      <c r="A2104" s="61" t="s">
        <v>2338</v>
      </c>
      <c r="B2104" s="62" t="s">
        <v>1717</v>
      </c>
      <c r="C2104" s="62" t="s">
        <v>1718</v>
      </c>
      <c r="D2104" s="63">
        <v>45413</v>
      </c>
      <c r="E2104" s="63">
        <v>46508</v>
      </c>
      <c r="F2104" s="62" t="s">
        <v>350</v>
      </c>
      <c r="G2104" s="62" t="s">
        <v>304</v>
      </c>
      <c r="H2104" s="62" t="s">
        <v>1704</v>
      </c>
      <c r="I2104" s="62" t="s">
        <v>1518</v>
      </c>
      <c r="J2104" s="62" t="s">
        <v>755</v>
      </c>
      <c r="K2104" s="62" t="s">
        <v>365</v>
      </c>
      <c r="L2104" s="62" t="s">
        <v>2421</v>
      </c>
      <c r="M2104" s="66" t="s">
        <v>1971</v>
      </c>
    </row>
    <row r="2105" spans="1:13" x14ac:dyDescent="0.3">
      <c r="A2105" s="61" t="s">
        <v>2339</v>
      </c>
      <c r="B2105" s="62" t="s">
        <v>1719</v>
      </c>
      <c r="C2105" s="62" t="s">
        <v>1720</v>
      </c>
      <c r="D2105" s="63">
        <v>45649</v>
      </c>
      <c r="E2105" s="63">
        <v>46190</v>
      </c>
      <c r="F2105" s="62" t="s">
        <v>350</v>
      </c>
      <c r="G2105" s="62" t="s">
        <v>304</v>
      </c>
      <c r="H2105" s="62" t="s">
        <v>1721</v>
      </c>
      <c r="I2105" s="62" t="s">
        <v>825</v>
      </c>
      <c r="J2105" s="62" t="s">
        <v>799</v>
      </c>
      <c r="K2105" s="62" t="s">
        <v>428</v>
      </c>
      <c r="L2105" s="62" t="s">
        <v>2421</v>
      </c>
      <c r="M2105" s="66" t="s">
        <v>2021</v>
      </c>
    </row>
    <row r="2106" spans="1:13" x14ac:dyDescent="0.3">
      <c r="A2106" s="61" t="s">
        <v>2340</v>
      </c>
      <c r="B2106" s="62" t="s">
        <v>1722</v>
      </c>
      <c r="C2106" s="62" t="s">
        <v>1723</v>
      </c>
      <c r="D2106" s="63">
        <v>45474</v>
      </c>
      <c r="E2106" s="63">
        <v>46934</v>
      </c>
      <c r="F2106" s="62" t="s">
        <v>350</v>
      </c>
      <c r="G2106" s="62" t="s">
        <v>304</v>
      </c>
      <c r="H2106" s="62" t="s">
        <v>373</v>
      </c>
      <c r="I2106" s="62" t="s">
        <v>424</v>
      </c>
      <c r="J2106" s="62" t="s">
        <v>416</v>
      </c>
      <c r="K2106" s="62" t="s">
        <v>417</v>
      </c>
      <c r="L2106" s="62" t="s">
        <v>2421</v>
      </c>
      <c r="M2106" s="66" t="s">
        <v>1967</v>
      </c>
    </row>
    <row r="2107" spans="1:13" x14ac:dyDescent="0.3">
      <c r="A2107" s="61" t="s">
        <v>2341</v>
      </c>
      <c r="B2107" s="62" t="s">
        <v>1724</v>
      </c>
      <c r="C2107" s="62" t="s">
        <v>1725</v>
      </c>
      <c r="D2107" s="63">
        <v>45602</v>
      </c>
      <c r="E2107" s="63">
        <v>46697</v>
      </c>
      <c r="F2107" s="62" t="s">
        <v>1933</v>
      </c>
      <c r="G2107" s="62" t="s">
        <v>304</v>
      </c>
      <c r="H2107" s="62" t="s">
        <v>522</v>
      </c>
      <c r="I2107" s="62" t="s">
        <v>1518</v>
      </c>
      <c r="J2107" s="62" t="s">
        <v>926</v>
      </c>
      <c r="K2107" s="62" t="s">
        <v>365</v>
      </c>
      <c r="L2107" s="62" t="s">
        <v>2421</v>
      </c>
      <c r="M2107" s="66" t="s">
        <v>1971</v>
      </c>
    </row>
    <row r="2108" spans="1:13" x14ac:dyDescent="0.3">
      <c r="A2108" s="61" t="s">
        <v>2341</v>
      </c>
      <c r="B2108" s="62" t="s">
        <v>1724</v>
      </c>
      <c r="C2108" s="62" t="s">
        <v>1725</v>
      </c>
      <c r="D2108" s="63">
        <v>45602</v>
      </c>
      <c r="E2108" s="63">
        <v>46697</v>
      </c>
      <c r="F2108" s="62" t="s">
        <v>1937</v>
      </c>
      <c r="G2108" s="62" t="s">
        <v>304</v>
      </c>
      <c r="H2108" s="62" t="s">
        <v>522</v>
      </c>
      <c r="I2108" s="62" t="s">
        <v>1518</v>
      </c>
      <c r="J2108" s="62" t="s">
        <v>926</v>
      </c>
      <c r="K2108" s="62" t="s">
        <v>365</v>
      </c>
      <c r="L2108" s="62" t="s">
        <v>2421</v>
      </c>
      <c r="M2108" s="66" t="s">
        <v>1971</v>
      </c>
    </row>
    <row r="2109" spans="1:13" x14ac:dyDescent="0.3">
      <c r="A2109" s="61" t="s">
        <v>2341</v>
      </c>
      <c r="B2109" s="62" t="s">
        <v>1724</v>
      </c>
      <c r="C2109" s="62" t="s">
        <v>1725</v>
      </c>
      <c r="D2109" s="63">
        <v>45602</v>
      </c>
      <c r="E2109" s="63">
        <v>46697</v>
      </c>
      <c r="F2109" s="62" t="s">
        <v>1939</v>
      </c>
      <c r="G2109" s="62" t="s">
        <v>304</v>
      </c>
      <c r="H2109" s="62" t="s">
        <v>522</v>
      </c>
      <c r="I2109" s="62" t="s">
        <v>1518</v>
      </c>
      <c r="J2109" s="62" t="s">
        <v>926</v>
      </c>
      <c r="K2109" s="62" t="s">
        <v>365</v>
      </c>
      <c r="L2109" s="62" t="s">
        <v>2421</v>
      </c>
      <c r="M2109" s="66" t="s">
        <v>1971</v>
      </c>
    </row>
    <row r="2110" spans="1:13" x14ac:dyDescent="0.3">
      <c r="A2110" s="61" t="s">
        <v>2341</v>
      </c>
      <c r="B2110" s="62" t="s">
        <v>1724</v>
      </c>
      <c r="C2110" s="62" t="s">
        <v>1725</v>
      </c>
      <c r="D2110" s="63">
        <v>45602</v>
      </c>
      <c r="E2110" s="63">
        <v>46697</v>
      </c>
      <c r="F2110" s="62" t="s">
        <v>1944</v>
      </c>
      <c r="G2110" s="62" t="s">
        <v>304</v>
      </c>
      <c r="H2110" s="62" t="s">
        <v>522</v>
      </c>
      <c r="I2110" s="62" t="s">
        <v>1518</v>
      </c>
      <c r="J2110" s="62" t="s">
        <v>926</v>
      </c>
      <c r="K2110" s="62" t="s">
        <v>365</v>
      </c>
      <c r="L2110" s="62" t="s">
        <v>2421</v>
      </c>
      <c r="M2110" s="66" t="s">
        <v>1971</v>
      </c>
    </row>
    <row r="2111" spans="1:13" x14ac:dyDescent="0.3">
      <c r="A2111" s="61" t="s">
        <v>2342</v>
      </c>
      <c r="B2111" s="62" t="s">
        <v>1726</v>
      </c>
      <c r="C2111" s="62" t="s">
        <v>1727</v>
      </c>
      <c r="D2111" s="63">
        <v>45200</v>
      </c>
      <c r="E2111" s="63">
        <v>46387</v>
      </c>
      <c r="F2111" s="62" t="s">
        <v>350</v>
      </c>
      <c r="G2111" s="62" t="s">
        <v>304</v>
      </c>
      <c r="H2111" s="62" t="s">
        <v>363</v>
      </c>
      <c r="I2111" s="62" t="s">
        <v>825</v>
      </c>
      <c r="J2111" s="62" t="s">
        <v>948</v>
      </c>
      <c r="K2111" s="62" t="s">
        <v>428</v>
      </c>
      <c r="L2111" s="62" t="s">
        <v>2421</v>
      </c>
      <c r="M2111" s="66" t="s">
        <v>2021</v>
      </c>
    </row>
    <row r="2112" spans="1:13" x14ac:dyDescent="0.3">
      <c r="A2112" s="61" t="s">
        <v>2343</v>
      </c>
      <c r="B2112" s="62" t="s">
        <v>1728</v>
      </c>
      <c r="C2112" s="62" t="s">
        <v>1729</v>
      </c>
      <c r="D2112" s="63">
        <v>45444</v>
      </c>
      <c r="E2112" s="63">
        <v>46356</v>
      </c>
      <c r="F2112" s="62" t="s">
        <v>1930</v>
      </c>
      <c r="G2112" s="62" t="s">
        <v>284</v>
      </c>
      <c r="H2112" s="62" t="s">
        <v>1293</v>
      </c>
      <c r="I2112" s="62" t="s">
        <v>825</v>
      </c>
      <c r="J2112" s="62" t="s">
        <v>551</v>
      </c>
      <c r="K2112" s="62" t="s">
        <v>428</v>
      </c>
      <c r="L2112" s="62" t="s">
        <v>2421</v>
      </c>
      <c r="M2112" s="66" t="s">
        <v>2021</v>
      </c>
    </row>
    <row r="2113" spans="1:13" x14ac:dyDescent="0.3">
      <c r="A2113" s="61" t="s">
        <v>2343</v>
      </c>
      <c r="B2113" s="62" t="s">
        <v>1728</v>
      </c>
      <c r="C2113" s="62" t="s">
        <v>1729</v>
      </c>
      <c r="D2113" s="63">
        <v>45444</v>
      </c>
      <c r="E2113" s="63">
        <v>46356</v>
      </c>
      <c r="F2113" s="62" t="s">
        <v>1930</v>
      </c>
      <c r="G2113" s="62" t="s">
        <v>642</v>
      </c>
      <c r="H2113" s="62" t="s">
        <v>1293</v>
      </c>
      <c r="I2113" s="62" t="s">
        <v>825</v>
      </c>
      <c r="J2113" s="62" t="s">
        <v>551</v>
      </c>
      <c r="K2113" s="62" t="s">
        <v>428</v>
      </c>
      <c r="L2113" s="62" t="s">
        <v>2421</v>
      </c>
      <c r="M2113" s="66" t="s">
        <v>2021</v>
      </c>
    </row>
    <row r="2114" spans="1:13" x14ac:dyDescent="0.3">
      <c r="A2114" s="61" t="s">
        <v>2343</v>
      </c>
      <c r="B2114" s="62" t="s">
        <v>1728</v>
      </c>
      <c r="C2114" s="62" t="s">
        <v>1729</v>
      </c>
      <c r="D2114" s="63">
        <v>45444</v>
      </c>
      <c r="E2114" s="63">
        <v>46356</v>
      </c>
      <c r="F2114" s="62" t="s">
        <v>1930</v>
      </c>
      <c r="G2114" s="62" t="s">
        <v>997</v>
      </c>
      <c r="H2114" s="62" t="s">
        <v>1293</v>
      </c>
      <c r="I2114" s="62" t="s">
        <v>825</v>
      </c>
      <c r="J2114" s="62" t="s">
        <v>551</v>
      </c>
      <c r="K2114" s="62" t="s">
        <v>428</v>
      </c>
      <c r="L2114" s="62" t="s">
        <v>2421</v>
      </c>
      <c r="M2114" s="66" t="s">
        <v>2021</v>
      </c>
    </row>
    <row r="2115" spans="1:13" x14ac:dyDescent="0.3">
      <c r="A2115" s="61" t="s">
        <v>2343</v>
      </c>
      <c r="B2115" s="62" t="s">
        <v>1728</v>
      </c>
      <c r="C2115" s="62" t="s">
        <v>1729</v>
      </c>
      <c r="D2115" s="63">
        <v>45444</v>
      </c>
      <c r="E2115" s="63">
        <v>46356</v>
      </c>
      <c r="F2115" s="62" t="s">
        <v>1930</v>
      </c>
      <c r="G2115" s="62" t="s">
        <v>998</v>
      </c>
      <c r="H2115" s="62" t="s">
        <v>1293</v>
      </c>
      <c r="I2115" s="62" t="s">
        <v>825</v>
      </c>
      <c r="J2115" s="62" t="s">
        <v>551</v>
      </c>
      <c r="K2115" s="62" t="s">
        <v>428</v>
      </c>
      <c r="L2115" s="62" t="s">
        <v>2421</v>
      </c>
      <c r="M2115" s="66" t="s">
        <v>2021</v>
      </c>
    </row>
    <row r="2116" spans="1:13" x14ac:dyDescent="0.3">
      <c r="A2116" s="61" t="s">
        <v>2343</v>
      </c>
      <c r="B2116" s="62" t="s">
        <v>1728</v>
      </c>
      <c r="C2116" s="62" t="s">
        <v>1729</v>
      </c>
      <c r="D2116" s="63">
        <v>45444</v>
      </c>
      <c r="E2116" s="63">
        <v>46356</v>
      </c>
      <c r="F2116" s="62" t="s">
        <v>1941</v>
      </c>
      <c r="G2116" s="62" t="s">
        <v>310</v>
      </c>
      <c r="H2116" s="62" t="s">
        <v>1293</v>
      </c>
      <c r="I2116" s="62" t="s">
        <v>825</v>
      </c>
      <c r="J2116" s="62" t="s">
        <v>551</v>
      </c>
      <c r="K2116" s="62" t="s">
        <v>428</v>
      </c>
      <c r="L2116" s="62" t="s">
        <v>2421</v>
      </c>
      <c r="M2116" s="66" t="s">
        <v>2021</v>
      </c>
    </row>
    <row r="2117" spans="1:13" x14ac:dyDescent="0.3">
      <c r="A2117" s="61" t="s">
        <v>2343</v>
      </c>
      <c r="B2117" s="62" t="s">
        <v>1728</v>
      </c>
      <c r="C2117" s="62" t="s">
        <v>1729</v>
      </c>
      <c r="D2117" s="63">
        <v>45444</v>
      </c>
      <c r="E2117" s="63">
        <v>46356</v>
      </c>
      <c r="F2117" s="62" t="s">
        <v>1941</v>
      </c>
      <c r="G2117" s="62" t="s">
        <v>319</v>
      </c>
      <c r="H2117" s="62" t="s">
        <v>1293</v>
      </c>
      <c r="I2117" s="62" t="s">
        <v>825</v>
      </c>
      <c r="J2117" s="62" t="s">
        <v>551</v>
      </c>
      <c r="K2117" s="62" t="s">
        <v>428</v>
      </c>
      <c r="L2117" s="62" t="s">
        <v>2421</v>
      </c>
      <c r="M2117" s="66" t="s">
        <v>2021</v>
      </c>
    </row>
    <row r="2118" spans="1:13" x14ac:dyDescent="0.3">
      <c r="A2118" s="61" t="s">
        <v>2343</v>
      </c>
      <c r="B2118" s="62" t="s">
        <v>1728</v>
      </c>
      <c r="C2118" s="62" t="s">
        <v>1729</v>
      </c>
      <c r="D2118" s="63">
        <v>45444</v>
      </c>
      <c r="E2118" s="63">
        <v>46356</v>
      </c>
      <c r="F2118" s="62" t="s">
        <v>1941</v>
      </c>
      <c r="G2118" s="62" t="s">
        <v>325</v>
      </c>
      <c r="H2118" s="62" t="s">
        <v>1293</v>
      </c>
      <c r="I2118" s="62" t="s">
        <v>825</v>
      </c>
      <c r="J2118" s="62" t="s">
        <v>551</v>
      </c>
      <c r="K2118" s="62" t="s">
        <v>428</v>
      </c>
      <c r="L2118" s="62" t="s">
        <v>2421</v>
      </c>
      <c r="M2118" s="66" t="s">
        <v>2021</v>
      </c>
    </row>
    <row r="2119" spans="1:13" x14ac:dyDescent="0.3">
      <c r="A2119" s="61" t="s">
        <v>2343</v>
      </c>
      <c r="B2119" s="62" t="s">
        <v>1728</v>
      </c>
      <c r="C2119" s="62" t="s">
        <v>1729</v>
      </c>
      <c r="D2119" s="63">
        <v>45444</v>
      </c>
      <c r="E2119" s="63">
        <v>46356</v>
      </c>
      <c r="F2119" s="62" t="s">
        <v>1921</v>
      </c>
      <c r="G2119" s="62" t="s">
        <v>484</v>
      </c>
      <c r="H2119" s="62" t="s">
        <v>1293</v>
      </c>
      <c r="I2119" s="62" t="s">
        <v>825</v>
      </c>
      <c r="J2119" s="62" t="s">
        <v>551</v>
      </c>
      <c r="K2119" s="62" t="s">
        <v>428</v>
      </c>
      <c r="L2119" s="62" t="s">
        <v>2421</v>
      </c>
      <c r="M2119" s="66" t="s">
        <v>2021</v>
      </c>
    </row>
    <row r="2120" spans="1:13" x14ac:dyDescent="0.3">
      <c r="A2120" s="61" t="s">
        <v>2343</v>
      </c>
      <c r="B2120" s="62" t="s">
        <v>1728</v>
      </c>
      <c r="C2120" s="62" t="s">
        <v>1729</v>
      </c>
      <c r="D2120" s="63">
        <v>45444</v>
      </c>
      <c r="E2120" s="63">
        <v>46356</v>
      </c>
      <c r="F2120" s="62" t="s">
        <v>1921</v>
      </c>
      <c r="G2120" s="62" t="s">
        <v>559</v>
      </c>
      <c r="H2120" s="62" t="s">
        <v>1293</v>
      </c>
      <c r="I2120" s="62" t="s">
        <v>825</v>
      </c>
      <c r="J2120" s="62" t="s">
        <v>551</v>
      </c>
      <c r="K2120" s="62" t="s">
        <v>428</v>
      </c>
      <c r="L2120" s="62" t="s">
        <v>2421</v>
      </c>
      <c r="M2120" s="66" t="s">
        <v>2021</v>
      </c>
    </row>
    <row r="2121" spans="1:13" x14ac:dyDescent="0.3">
      <c r="A2121" s="61" t="s">
        <v>2344</v>
      </c>
      <c r="B2121" s="62" t="s">
        <v>1730</v>
      </c>
      <c r="C2121" s="62" t="s">
        <v>1731</v>
      </c>
      <c r="D2121" s="63">
        <v>45292</v>
      </c>
      <c r="E2121" s="63">
        <v>46387</v>
      </c>
      <c r="F2121" s="62" t="s">
        <v>350</v>
      </c>
      <c r="G2121" s="62" t="s">
        <v>304</v>
      </c>
      <c r="H2121" s="62" t="s">
        <v>1732</v>
      </c>
      <c r="I2121" s="62" t="s">
        <v>1518</v>
      </c>
      <c r="J2121" s="62" t="s">
        <v>1733</v>
      </c>
      <c r="K2121" s="62" t="s">
        <v>358</v>
      </c>
      <c r="L2121" s="62" t="s">
        <v>2421</v>
      </c>
      <c r="M2121" s="66" t="s">
        <v>1971</v>
      </c>
    </row>
    <row r="2122" spans="1:13" x14ac:dyDescent="0.3">
      <c r="A2122" s="61" t="s">
        <v>2345</v>
      </c>
      <c r="B2122" s="62" t="s">
        <v>1734</v>
      </c>
      <c r="C2122" s="62" t="s">
        <v>1735</v>
      </c>
      <c r="D2122" s="63">
        <v>45078</v>
      </c>
      <c r="E2122" s="63">
        <v>46173</v>
      </c>
      <c r="F2122" s="62" t="s">
        <v>1945</v>
      </c>
      <c r="G2122" s="62" t="s">
        <v>304</v>
      </c>
      <c r="H2122" s="62" t="s">
        <v>363</v>
      </c>
      <c r="I2122" s="62" t="s">
        <v>825</v>
      </c>
      <c r="J2122" s="62" t="s">
        <v>640</v>
      </c>
      <c r="K2122" s="62" t="s">
        <v>417</v>
      </c>
      <c r="L2122" s="62" t="s">
        <v>2421</v>
      </c>
      <c r="M2122" s="66" t="s">
        <v>2021</v>
      </c>
    </row>
    <row r="2123" spans="1:13" x14ac:dyDescent="0.3">
      <c r="A2123" s="61" t="s">
        <v>2346</v>
      </c>
      <c r="B2123" s="62" t="s">
        <v>2506</v>
      </c>
      <c r="C2123" s="62" t="s">
        <v>1736</v>
      </c>
      <c r="D2123" s="63">
        <v>45444</v>
      </c>
      <c r="E2123" s="63">
        <v>46235</v>
      </c>
      <c r="F2123" s="62" t="s">
        <v>286</v>
      </c>
      <c r="G2123" s="62" t="s">
        <v>304</v>
      </c>
      <c r="H2123" s="62" t="s">
        <v>1293</v>
      </c>
      <c r="I2123" s="62" t="s">
        <v>825</v>
      </c>
      <c r="J2123" s="62" t="s">
        <v>442</v>
      </c>
      <c r="K2123" s="62" t="s">
        <v>315</v>
      </c>
      <c r="L2123" s="62" t="s">
        <v>2421</v>
      </c>
      <c r="M2123" s="66" t="s">
        <v>1969</v>
      </c>
    </row>
    <row r="2124" spans="1:13" x14ac:dyDescent="0.3">
      <c r="A2124" s="61" t="s">
        <v>2346</v>
      </c>
      <c r="B2124" s="62" t="s">
        <v>2506</v>
      </c>
      <c r="C2124" s="62" t="s">
        <v>1736</v>
      </c>
      <c r="D2124" s="63">
        <v>45444</v>
      </c>
      <c r="E2124" s="63">
        <v>46235</v>
      </c>
      <c r="F2124" s="62" t="s">
        <v>1921</v>
      </c>
      <c r="G2124" s="62" t="s">
        <v>304</v>
      </c>
      <c r="H2124" s="62" t="s">
        <v>1293</v>
      </c>
      <c r="I2124" s="62" t="s">
        <v>825</v>
      </c>
      <c r="J2124" s="62" t="s">
        <v>442</v>
      </c>
      <c r="K2124" s="62" t="s">
        <v>315</v>
      </c>
      <c r="L2124" s="62" t="s">
        <v>2421</v>
      </c>
      <c r="M2124" s="66" t="s">
        <v>1969</v>
      </c>
    </row>
    <row r="2125" spans="1:13" x14ac:dyDescent="0.3">
      <c r="A2125" s="61" t="s">
        <v>2346</v>
      </c>
      <c r="B2125" s="62" t="s">
        <v>2506</v>
      </c>
      <c r="C2125" s="62" t="s">
        <v>1736</v>
      </c>
      <c r="D2125" s="63">
        <v>45444</v>
      </c>
      <c r="E2125" s="63">
        <v>46235</v>
      </c>
      <c r="F2125" s="62" t="s">
        <v>289</v>
      </c>
      <c r="G2125" s="62" t="s">
        <v>304</v>
      </c>
      <c r="H2125" s="62" t="s">
        <v>1293</v>
      </c>
      <c r="I2125" s="62" t="s">
        <v>825</v>
      </c>
      <c r="J2125" s="62" t="s">
        <v>442</v>
      </c>
      <c r="K2125" s="62" t="s">
        <v>315</v>
      </c>
      <c r="L2125" s="62" t="s">
        <v>2421</v>
      </c>
      <c r="M2125" s="66" t="s">
        <v>1969</v>
      </c>
    </row>
    <row r="2126" spans="1:13" x14ac:dyDescent="0.3">
      <c r="A2126" s="61" t="s">
        <v>2346</v>
      </c>
      <c r="B2126" s="62" t="s">
        <v>2506</v>
      </c>
      <c r="C2126" s="62" t="s">
        <v>1736</v>
      </c>
      <c r="D2126" s="63">
        <v>45444</v>
      </c>
      <c r="E2126" s="63">
        <v>46235</v>
      </c>
      <c r="F2126" s="62" t="s">
        <v>284</v>
      </c>
      <c r="G2126" s="62" t="s">
        <v>304</v>
      </c>
      <c r="H2126" s="62" t="s">
        <v>1293</v>
      </c>
      <c r="I2126" s="62" t="s">
        <v>825</v>
      </c>
      <c r="J2126" s="62" t="s">
        <v>442</v>
      </c>
      <c r="K2126" s="62" t="s">
        <v>315</v>
      </c>
      <c r="L2126" s="62" t="s">
        <v>2421</v>
      </c>
      <c r="M2126" s="66" t="s">
        <v>1969</v>
      </c>
    </row>
    <row r="2127" spans="1:13" x14ac:dyDescent="0.3">
      <c r="A2127" s="61" t="s">
        <v>2347</v>
      </c>
      <c r="B2127" s="62" t="s">
        <v>1737</v>
      </c>
      <c r="C2127" s="62" t="s">
        <v>1738</v>
      </c>
      <c r="D2127" s="63">
        <v>45464</v>
      </c>
      <c r="E2127" s="63">
        <v>46326</v>
      </c>
      <c r="F2127" s="62" t="s">
        <v>1940</v>
      </c>
      <c r="G2127" s="62" t="s">
        <v>304</v>
      </c>
      <c r="H2127" s="62" t="s">
        <v>984</v>
      </c>
      <c r="I2127" s="62" t="s">
        <v>1518</v>
      </c>
      <c r="J2127" s="62" t="s">
        <v>314</v>
      </c>
      <c r="K2127" s="62" t="s">
        <v>315</v>
      </c>
      <c r="L2127" s="62" t="s">
        <v>2421</v>
      </c>
      <c r="M2127" s="66" t="s">
        <v>1971</v>
      </c>
    </row>
    <row r="2128" spans="1:13" x14ac:dyDescent="0.3">
      <c r="A2128" s="61" t="s">
        <v>2347</v>
      </c>
      <c r="B2128" s="62" t="s">
        <v>1737</v>
      </c>
      <c r="C2128" s="62" t="s">
        <v>1738</v>
      </c>
      <c r="D2128" s="63">
        <v>45464</v>
      </c>
      <c r="E2128" s="63">
        <v>46326</v>
      </c>
      <c r="F2128" s="62" t="s">
        <v>348</v>
      </c>
      <c r="G2128" s="62" t="s">
        <v>304</v>
      </c>
      <c r="H2128" s="62" t="s">
        <v>984</v>
      </c>
      <c r="I2128" s="62" t="s">
        <v>1518</v>
      </c>
      <c r="J2128" s="62" t="s">
        <v>314</v>
      </c>
      <c r="K2128" s="62" t="s">
        <v>315</v>
      </c>
      <c r="L2128" s="62" t="s">
        <v>2421</v>
      </c>
      <c r="M2128" s="66" t="s">
        <v>1971</v>
      </c>
    </row>
    <row r="2129" spans="1:13" x14ac:dyDescent="0.3">
      <c r="A2129" s="61" t="s">
        <v>2348</v>
      </c>
      <c r="B2129" s="62" t="s">
        <v>1739</v>
      </c>
      <c r="C2129" s="62" t="s">
        <v>1740</v>
      </c>
      <c r="D2129" s="63">
        <v>45293</v>
      </c>
      <c r="E2129" s="63">
        <v>46112</v>
      </c>
      <c r="F2129" s="62" t="s">
        <v>350</v>
      </c>
      <c r="G2129" s="62" t="s">
        <v>304</v>
      </c>
      <c r="H2129" s="62" t="s">
        <v>645</v>
      </c>
      <c r="I2129" s="62" t="s">
        <v>825</v>
      </c>
      <c r="J2129" s="62" t="s">
        <v>370</v>
      </c>
      <c r="K2129" s="62" t="s">
        <v>371</v>
      </c>
      <c r="L2129" s="62" t="s">
        <v>2421</v>
      </c>
      <c r="M2129" s="66" t="s">
        <v>1978</v>
      </c>
    </row>
    <row r="2130" spans="1:13" x14ac:dyDescent="0.3">
      <c r="A2130" s="61" t="s">
        <v>2349</v>
      </c>
      <c r="B2130" s="62" t="s">
        <v>1741</v>
      </c>
      <c r="C2130" s="62" t="s">
        <v>1742</v>
      </c>
      <c r="D2130" s="63">
        <v>45231</v>
      </c>
      <c r="E2130" s="63">
        <v>46327</v>
      </c>
      <c r="F2130" s="62" t="s">
        <v>1935</v>
      </c>
      <c r="G2130" s="62" t="s">
        <v>304</v>
      </c>
      <c r="H2130" s="62" t="s">
        <v>363</v>
      </c>
      <c r="I2130" s="62" t="s">
        <v>1518</v>
      </c>
      <c r="J2130" s="62" t="s">
        <v>960</v>
      </c>
      <c r="K2130" s="62" t="s">
        <v>358</v>
      </c>
      <c r="L2130" s="62" t="s">
        <v>2421</v>
      </c>
      <c r="M2130" s="66" t="s">
        <v>1971</v>
      </c>
    </row>
    <row r="2131" spans="1:13" x14ac:dyDescent="0.3">
      <c r="A2131" s="61" t="s">
        <v>2350</v>
      </c>
      <c r="B2131" s="62" t="s">
        <v>1743</v>
      </c>
      <c r="C2131" s="62" t="s">
        <v>1744</v>
      </c>
      <c r="D2131" s="63">
        <v>45292</v>
      </c>
      <c r="E2131" s="63">
        <v>46568</v>
      </c>
      <c r="F2131" s="62" t="s">
        <v>350</v>
      </c>
      <c r="G2131" s="62" t="s">
        <v>304</v>
      </c>
      <c r="H2131" s="62" t="s">
        <v>645</v>
      </c>
      <c r="I2131" s="62" t="s">
        <v>1518</v>
      </c>
      <c r="J2131" s="62" t="s">
        <v>364</v>
      </c>
      <c r="K2131" s="62" t="s">
        <v>365</v>
      </c>
      <c r="L2131" s="62" t="s">
        <v>2421</v>
      </c>
      <c r="M2131" s="66" t="s">
        <v>1974</v>
      </c>
    </row>
    <row r="2132" spans="1:13" x14ac:dyDescent="0.3">
      <c r="A2132" s="61" t="s">
        <v>2351</v>
      </c>
      <c r="B2132" s="62" t="s">
        <v>1745</v>
      </c>
      <c r="C2132" s="62" t="s">
        <v>1746</v>
      </c>
      <c r="D2132" s="63">
        <v>45292</v>
      </c>
      <c r="E2132" s="63">
        <v>46477</v>
      </c>
      <c r="F2132" s="62" t="s">
        <v>350</v>
      </c>
      <c r="G2132" s="62" t="s">
        <v>304</v>
      </c>
      <c r="H2132" s="62" t="s">
        <v>645</v>
      </c>
      <c r="I2132" s="62" t="s">
        <v>825</v>
      </c>
      <c r="J2132" s="62" t="s">
        <v>1218</v>
      </c>
      <c r="K2132" s="62" t="s">
        <v>596</v>
      </c>
      <c r="L2132" s="62" t="s">
        <v>2421</v>
      </c>
      <c r="M2132" s="66" t="s">
        <v>1972</v>
      </c>
    </row>
    <row r="2133" spans="1:13" x14ac:dyDescent="0.3">
      <c r="A2133" s="61" t="s">
        <v>2352</v>
      </c>
      <c r="B2133" s="62" t="s">
        <v>1747</v>
      </c>
      <c r="C2133" s="62" t="s">
        <v>1748</v>
      </c>
      <c r="D2133" s="63">
        <v>45642</v>
      </c>
      <c r="E2133" s="63">
        <v>47118</v>
      </c>
      <c r="F2133" s="62" t="s">
        <v>282</v>
      </c>
      <c r="G2133" s="62" t="s">
        <v>283</v>
      </c>
      <c r="H2133" s="62" t="s">
        <v>522</v>
      </c>
      <c r="I2133" s="62" t="s">
        <v>424</v>
      </c>
      <c r="J2133" s="62" t="s">
        <v>971</v>
      </c>
      <c r="K2133" s="62" t="s">
        <v>358</v>
      </c>
      <c r="L2133" s="62" t="s">
        <v>2421</v>
      </c>
      <c r="M2133" s="66" t="s">
        <v>1975</v>
      </c>
    </row>
    <row r="2134" spans="1:13" x14ac:dyDescent="0.3">
      <c r="A2134" s="61" t="s">
        <v>2353</v>
      </c>
      <c r="B2134" s="62" t="s">
        <v>1749</v>
      </c>
      <c r="C2134" s="62" t="s">
        <v>1750</v>
      </c>
      <c r="D2134" s="63">
        <v>45383</v>
      </c>
      <c r="E2134" s="63">
        <v>46477</v>
      </c>
      <c r="F2134" s="62" t="s">
        <v>350</v>
      </c>
      <c r="G2134" s="62" t="s">
        <v>350</v>
      </c>
      <c r="H2134" s="62" t="s">
        <v>645</v>
      </c>
      <c r="I2134" s="62" t="s">
        <v>2465</v>
      </c>
      <c r="J2134" s="62" t="s">
        <v>644</v>
      </c>
      <c r="K2134" s="62" t="s">
        <v>371</v>
      </c>
      <c r="L2134" s="62" t="s">
        <v>2421</v>
      </c>
      <c r="M2134" s="66" t="s">
        <v>1986</v>
      </c>
    </row>
    <row r="2135" spans="1:13" x14ac:dyDescent="0.3">
      <c r="A2135" s="61" t="s">
        <v>2354</v>
      </c>
      <c r="B2135" s="62" t="s">
        <v>1751</v>
      </c>
      <c r="C2135" s="62" t="s">
        <v>1752</v>
      </c>
      <c r="D2135" s="63">
        <v>45525</v>
      </c>
      <c r="E2135" s="63">
        <v>46356</v>
      </c>
      <c r="F2135" s="62" t="s">
        <v>350</v>
      </c>
      <c r="G2135" s="62" t="s">
        <v>304</v>
      </c>
      <c r="H2135" s="62" t="s">
        <v>1753</v>
      </c>
      <c r="I2135" s="62" t="s">
        <v>825</v>
      </c>
      <c r="J2135" s="62" t="s">
        <v>551</v>
      </c>
      <c r="K2135" s="62" t="s">
        <v>428</v>
      </c>
      <c r="L2135" s="62" t="s">
        <v>2421</v>
      </c>
      <c r="M2135" s="66" t="s">
        <v>2021</v>
      </c>
    </row>
    <row r="2136" spans="1:13" x14ac:dyDescent="0.3">
      <c r="A2136" s="61" t="s">
        <v>2355</v>
      </c>
      <c r="B2136" s="62" t="s">
        <v>1754</v>
      </c>
      <c r="C2136" s="62" t="s">
        <v>1755</v>
      </c>
      <c r="D2136" s="63">
        <v>45231</v>
      </c>
      <c r="E2136" s="63">
        <v>46327</v>
      </c>
      <c r="F2136" s="62" t="s">
        <v>1930</v>
      </c>
      <c r="G2136" s="62" t="s">
        <v>304</v>
      </c>
      <c r="H2136" s="62" t="s">
        <v>363</v>
      </c>
      <c r="I2136" s="62" t="s">
        <v>825</v>
      </c>
      <c r="J2136" s="62" t="s">
        <v>639</v>
      </c>
      <c r="K2136" s="62" t="s">
        <v>371</v>
      </c>
      <c r="L2136" s="62" t="s">
        <v>2421</v>
      </c>
      <c r="M2136" s="66" t="s">
        <v>1970</v>
      </c>
    </row>
    <row r="2137" spans="1:13" x14ac:dyDescent="0.3">
      <c r="A2137" s="61" t="s">
        <v>2355</v>
      </c>
      <c r="B2137" s="62" t="s">
        <v>1754</v>
      </c>
      <c r="C2137" s="62" t="s">
        <v>1755</v>
      </c>
      <c r="D2137" s="63">
        <v>45231</v>
      </c>
      <c r="E2137" s="63">
        <v>46327</v>
      </c>
      <c r="F2137" s="62" t="s">
        <v>1959</v>
      </c>
      <c r="G2137" s="62" t="s">
        <v>304</v>
      </c>
      <c r="H2137" s="62" t="s">
        <v>363</v>
      </c>
      <c r="I2137" s="62" t="s">
        <v>825</v>
      </c>
      <c r="J2137" s="62" t="s">
        <v>639</v>
      </c>
      <c r="K2137" s="62" t="s">
        <v>371</v>
      </c>
      <c r="L2137" s="62" t="s">
        <v>2421</v>
      </c>
      <c r="M2137" s="66" t="s">
        <v>1970</v>
      </c>
    </row>
    <row r="2138" spans="1:13" x14ac:dyDescent="0.3">
      <c r="A2138" s="61" t="s">
        <v>2355</v>
      </c>
      <c r="B2138" s="62" t="s">
        <v>1754</v>
      </c>
      <c r="C2138" s="62" t="s">
        <v>1755</v>
      </c>
      <c r="D2138" s="63">
        <v>45231</v>
      </c>
      <c r="E2138" s="63">
        <v>46327</v>
      </c>
      <c r="F2138" s="62" t="s">
        <v>1936</v>
      </c>
      <c r="G2138" s="62" t="s">
        <v>304</v>
      </c>
      <c r="H2138" s="62" t="s">
        <v>363</v>
      </c>
      <c r="I2138" s="62" t="s">
        <v>825</v>
      </c>
      <c r="J2138" s="62" t="s">
        <v>639</v>
      </c>
      <c r="K2138" s="62" t="s">
        <v>371</v>
      </c>
      <c r="L2138" s="62" t="s">
        <v>2421</v>
      </c>
      <c r="M2138" s="66" t="s">
        <v>1970</v>
      </c>
    </row>
    <row r="2139" spans="1:13" x14ac:dyDescent="0.3">
      <c r="A2139" s="61" t="s">
        <v>2356</v>
      </c>
      <c r="B2139" s="62" t="s">
        <v>1756</v>
      </c>
      <c r="C2139" s="62" t="s">
        <v>1757</v>
      </c>
      <c r="D2139" s="63">
        <v>45292</v>
      </c>
      <c r="E2139" s="63">
        <v>46904</v>
      </c>
      <c r="F2139" s="62" t="s">
        <v>1987</v>
      </c>
      <c r="G2139" s="62" t="s">
        <v>304</v>
      </c>
      <c r="H2139" s="62" t="s">
        <v>645</v>
      </c>
      <c r="I2139" s="62" t="s">
        <v>1518</v>
      </c>
      <c r="J2139" s="62" t="s">
        <v>864</v>
      </c>
      <c r="K2139" s="62" t="s">
        <v>309</v>
      </c>
      <c r="L2139" s="62" t="s">
        <v>2421</v>
      </c>
      <c r="M2139" s="66" t="s">
        <v>1971</v>
      </c>
    </row>
    <row r="2140" spans="1:13" x14ac:dyDescent="0.3">
      <c r="A2140" s="61" t="s">
        <v>2356</v>
      </c>
      <c r="B2140" s="62" t="s">
        <v>1756</v>
      </c>
      <c r="C2140" s="62" t="s">
        <v>1757</v>
      </c>
      <c r="D2140" s="63">
        <v>45292</v>
      </c>
      <c r="E2140" s="63">
        <v>46904</v>
      </c>
      <c r="F2140" s="62" t="s">
        <v>1935</v>
      </c>
      <c r="G2140" s="62" t="s">
        <v>304</v>
      </c>
      <c r="H2140" s="62" t="s">
        <v>645</v>
      </c>
      <c r="I2140" s="62" t="s">
        <v>1518</v>
      </c>
      <c r="J2140" s="62" t="s">
        <v>864</v>
      </c>
      <c r="K2140" s="62" t="s">
        <v>309</v>
      </c>
      <c r="L2140" s="62" t="s">
        <v>2421</v>
      </c>
      <c r="M2140" s="66" t="s">
        <v>1971</v>
      </c>
    </row>
    <row r="2141" spans="1:13" x14ac:dyDescent="0.3">
      <c r="A2141" s="61" t="s">
        <v>2356</v>
      </c>
      <c r="B2141" s="62" t="s">
        <v>1756</v>
      </c>
      <c r="C2141" s="62" t="s">
        <v>1757</v>
      </c>
      <c r="D2141" s="63">
        <v>45292</v>
      </c>
      <c r="E2141" s="63">
        <v>46904</v>
      </c>
      <c r="F2141" s="62" t="s">
        <v>1921</v>
      </c>
      <c r="G2141" s="62" t="s">
        <v>304</v>
      </c>
      <c r="H2141" s="62" t="s">
        <v>645</v>
      </c>
      <c r="I2141" s="62" t="s">
        <v>1518</v>
      </c>
      <c r="J2141" s="62" t="s">
        <v>864</v>
      </c>
      <c r="K2141" s="62" t="s">
        <v>309</v>
      </c>
      <c r="L2141" s="62" t="s">
        <v>2421</v>
      </c>
      <c r="M2141" s="66" t="s">
        <v>1971</v>
      </c>
    </row>
    <row r="2142" spans="1:13" x14ac:dyDescent="0.3">
      <c r="A2142" s="61" t="s">
        <v>2356</v>
      </c>
      <c r="B2142" s="62" t="s">
        <v>1756</v>
      </c>
      <c r="C2142" s="62" t="s">
        <v>1757</v>
      </c>
      <c r="D2142" s="63">
        <v>45292</v>
      </c>
      <c r="E2142" s="63">
        <v>46904</v>
      </c>
      <c r="F2142" s="62" t="s">
        <v>1916</v>
      </c>
      <c r="G2142" s="62" t="s">
        <v>304</v>
      </c>
      <c r="H2142" s="62" t="s">
        <v>645</v>
      </c>
      <c r="I2142" s="62" t="s">
        <v>1518</v>
      </c>
      <c r="J2142" s="62" t="s">
        <v>864</v>
      </c>
      <c r="K2142" s="62" t="s">
        <v>309</v>
      </c>
      <c r="L2142" s="62" t="s">
        <v>2421</v>
      </c>
      <c r="M2142" s="66" t="s">
        <v>1971</v>
      </c>
    </row>
    <row r="2143" spans="1:13" x14ac:dyDescent="0.3">
      <c r="A2143" s="61" t="s">
        <v>2356</v>
      </c>
      <c r="B2143" s="62" t="s">
        <v>1756</v>
      </c>
      <c r="C2143" s="62" t="s">
        <v>1757</v>
      </c>
      <c r="D2143" s="63">
        <v>45292</v>
      </c>
      <c r="E2143" s="63">
        <v>46904</v>
      </c>
      <c r="F2143" s="62" t="s">
        <v>1934</v>
      </c>
      <c r="G2143" s="62" t="s">
        <v>304</v>
      </c>
      <c r="H2143" s="62" t="s">
        <v>645</v>
      </c>
      <c r="I2143" s="62" t="s">
        <v>1518</v>
      </c>
      <c r="J2143" s="62" t="s">
        <v>864</v>
      </c>
      <c r="K2143" s="62" t="s">
        <v>309</v>
      </c>
      <c r="L2143" s="62" t="s">
        <v>2421</v>
      </c>
      <c r="M2143" s="66" t="s">
        <v>1971</v>
      </c>
    </row>
    <row r="2144" spans="1:13" x14ac:dyDescent="0.3">
      <c r="A2144" s="61" t="s">
        <v>2356</v>
      </c>
      <c r="B2144" s="62" t="s">
        <v>1756</v>
      </c>
      <c r="C2144" s="62" t="s">
        <v>1757</v>
      </c>
      <c r="D2144" s="63">
        <v>45292</v>
      </c>
      <c r="E2144" s="63">
        <v>46904</v>
      </c>
      <c r="F2144" s="62" t="s">
        <v>1958</v>
      </c>
      <c r="G2144" s="62" t="s">
        <v>304</v>
      </c>
      <c r="H2144" s="62" t="s">
        <v>645</v>
      </c>
      <c r="I2144" s="62" t="s">
        <v>1518</v>
      </c>
      <c r="J2144" s="62" t="s">
        <v>864</v>
      </c>
      <c r="K2144" s="62" t="s">
        <v>309</v>
      </c>
      <c r="L2144" s="62" t="s">
        <v>2421</v>
      </c>
      <c r="M2144" s="66" t="s">
        <v>1971</v>
      </c>
    </row>
    <row r="2145" spans="1:13" x14ac:dyDescent="0.3">
      <c r="A2145" s="61" t="s">
        <v>2356</v>
      </c>
      <c r="B2145" s="62" t="s">
        <v>1756</v>
      </c>
      <c r="C2145" s="62" t="s">
        <v>1757</v>
      </c>
      <c r="D2145" s="63">
        <v>45292</v>
      </c>
      <c r="E2145" s="63">
        <v>46904</v>
      </c>
      <c r="F2145" s="62" t="s">
        <v>1938</v>
      </c>
      <c r="G2145" s="62" t="s">
        <v>304</v>
      </c>
      <c r="H2145" s="62" t="s">
        <v>645</v>
      </c>
      <c r="I2145" s="62" t="s">
        <v>1518</v>
      </c>
      <c r="J2145" s="62" t="s">
        <v>864</v>
      </c>
      <c r="K2145" s="62" t="s">
        <v>309</v>
      </c>
      <c r="L2145" s="62" t="s">
        <v>2421</v>
      </c>
      <c r="M2145" s="66" t="s">
        <v>1971</v>
      </c>
    </row>
    <row r="2146" spans="1:13" x14ac:dyDescent="0.3">
      <c r="A2146" s="61" t="s">
        <v>2356</v>
      </c>
      <c r="B2146" s="62" t="s">
        <v>1756</v>
      </c>
      <c r="C2146" s="62" t="s">
        <v>1757</v>
      </c>
      <c r="D2146" s="63">
        <v>45292</v>
      </c>
      <c r="E2146" s="63">
        <v>46904</v>
      </c>
      <c r="F2146" s="62" t="s">
        <v>1936</v>
      </c>
      <c r="G2146" s="62" t="s">
        <v>304</v>
      </c>
      <c r="H2146" s="62" t="s">
        <v>645</v>
      </c>
      <c r="I2146" s="62" t="s">
        <v>1518</v>
      </c>
      <c r="J2146" s="62" t="s">
        <v>864</v>
      </c>
      <c r="K2146" s="62" t="s">
        <v>309</v>
      </c>
      <c r="L2146" s="62" t="s">
        <v>2421</v>
      </c>
      <c r="M2146" s="66" t="s">
        <v>1971</v>
      </c>
    </row>
    <row r="2147" spans="1:13" x14ac:dyDescent="0.3">
      <c r="A2147" s="61" t="s">
        <v>2356</v>
      </c>
      <c r="B2147" s="62" t="s">
        <v>1756</v>
      </c>
      <c r="C2147" s="62" t="s">
        <v>1757</v>
      </c>
      <c r="D2147" s="63">
        <v>45292</v>
      </c>
      <c r="E2147" s="63">
        <v>46904</v>
      </c>
      <c r="F2147" s="62" t="s">
        <v>287</v>
      </c>
      <c r="G2147" s="62" t="s">
        <v>304</v>
      </c>
      <c r="H2147" s="62" t="s">
        <v>645</v>
      </c>
      <c r="I2147" s="62" t="s">
        <v>1518</v>
      </c>
      <c r="J2147" s="62" t="s">
        <v>864</v>
      </c>
      <c r="K2147" s="62" t="s">
        <v>309</v>
      </c>
      <c r="L2147" s="62" t="s">
        <v>2421</v>
      </c>
      <c r="M2147" s="66" t="s">
        <v>1971</v>
      </c>
    </row>
    <row r="2148" spans="1:13" x14ac:dyDescent="0.3">
      <c r="A2148" s="61" t="s">
        <v>2357</v>
      </c>
      <c r="B2148" s="62" t="s">
        <v>1758</v>
      </c>
      <c r="C2148" s="62" t="s">
        <v>1759</v>
      </c>
      <c r="D2148" s="63">
        <v>45302</v>
      </c>
      <c r="E2148" s="63">
        <v>46104</v>
      </c>
      <c r="F2148" s="62" t="s">
        <v>1959</v>
      </c>
      <c r="G2148" s="62" t="s">
        <v>582</v>
      </c>
      <c r="H2148" s="62" t="s">
        <v>939</v>
      </c>
      <c r="I2148" s="62" t="s">
        <v>825</v>
      </c>
      <c r="J2148" s="62" t="s">
        <v>639</v>
      </c>
      <c r="K2148" s="62" t="s">
        <v>371</v>
      </c>
      <c r="L2148" s="62" t="s">
        <v>2421</v>
      </c>
      <c r="M2148" s="66" t="s">
        <v>2021</v>
      </c>
    </row>
    <row r="2149" spans="1:13" x14ac:dyDescent="0.3">
      <c r="A2149" s="61" t="s">
        <v>2357</v>
      </c>
      <c r="B2149" s="62" t="s">
        <v>1758</v>
      </c>
      <c r="C2149" s="62" t="s">
        <v>1759</v>
      </c>
      <c r="D2149" s="63">
        <v>45302</v>
      </c>
      <c r="E2149" s="63">
        <v>46104</v>
      </c>
      <c r="F2149" s="62" t="s">
        <v>1959</v>
      </c>
      <c r="G2149" s="62" t="s">
        <v>679</v>
      </c>
      <c r="H2149" s="62" t="s">
        <v>939</v>
      </c>
      <c r="I2149" s="62" t="s">
        <v>825</v>
      </c>
      <c r="J2149" s="62" t="s">
        <v>639</v>
      </c>
      <c r="K2149" s="62" t="s">
        <v>371</v>
      </c>
      <c r="L2149" s="62" t="s">
        <v>2421</v>
      </c>
      <c r="M2149" s="66" t="s">
        <v>2021</v>
      </c>
    </row>
    <row r="2150" spans="1:13" x14ac:dyDescent="0.3">
      <c r="A2150" s="61" t="s">
        <v>2357</v>
      </c>
      <c r="B2150" s="62" t="s">
        <v>1758</v>
      </c>
      <c r="C2150" s="62" t="s">
        <v>1759</v>
      </c>
      <c r="D2150" s="63">
        <v>45302</v>
      </c>
      <c r="E2150" s="63">
        <v>46104</v>
      </c>
      <c r="F2150" s="62" t="s">
        <v>1959</v>
      </c>
      <c r="G2150" s="62" t="s">
        <v>586</v>
      </c>
      <c r="H2150" s="62" t="s">
        <v>939</v>
      </c>
      <c r="I2150" s="62" t="s">
        <v>825</v>
      </c>
      <c r="J2150" s="62" t="s">
        <v>639</v>
      </c>
      <c r="K2150" s="62" t="s">
        <v>371</v>
      </c>
      <c r="L2150" s="62" t="s">
        <v>2421</v>
      </c>
      <c r="M2150" s="66" t="s">
        <v>2021</v>
      </c>
    </row>
    <row r="2151" spans="1:13" x14ac:dyDescent="0.3">
      <c r="A2151" s="61" t="s">
        <v>2357</v>
      </c>
      <c r="B2151" s="62" t="s">
        <v>1758</v>
      </c>
      <c r="C2151" s="62" t="s">
        <v>1759</v>
      </c>
      <c r="D2151" s="63">
        <v>45302</v>
      </c>
      <c r="E2151" s="63">
        <v>46104</v>
      </c>
      <c r="F2151" s="62" t="s">
        <v>1959</v>
      </c>
      <c r="G2151" s="62" t="s">
        <v>808</v>
      </c>
      <c r="H2151" s="62" t="s">
        <v>939</v>
      </c>
      <c r="I2151" s="62" t="s">
        <v>825</v>
      </c>
      <c r="J2151" s="62" t="s">
        <v>639</v>
      </c>
      <c r="K2151" s="62" t="s">
        <v>371</v>
      </c>
      <c r="L2151" s="62" t="s">
        <v>2421</v>
      </c>
      <c r="M2151" s="66" t="s">
        <v>2021</v>
      </c>
    </row>
    <row r="2152" spans="1:13" x14ac:dyDescent="0.3">
      <c r="A2152" s="61" t="s">
        <v>2357</v>
      </c>
      <c r="B2152" s="62" t="s">
        <v>1758</v>
      </c>
      <c r="C2152" s="62" t="s">
        <v>1759</v>
      </c>
      <c r="D2152" s="63">
        <v>45302</v>
      </c>
      <c r="E2152" s="63">
        <v>46104</v>
      </c>
      <c r="F2152" s="62" t="s">
        <v>1945</v>
      </c>
      <c r="G2152" s="62" t="s">
        <v>404</v>
      </c>
      <c r="H2152" s="62" t="s">
        <v>939</v>
      </c>
      <c r="I2152" s="62" t="s">
        <v>825</v>
      </c>
      <c r="J2152" s="62" t="s">
        <v>639</v>
      </c>
      <c r="K2152" s="62" t="s">
        <v>371</v>
      </c>
      <c r="L2152" s="62" t="s">
        <v>2421</v>
      </c>
      <c r="M2152" s="66" t="s">
        <v>2021</v>
      </c>
    </row>
    <row r="2153" spans="1:13" x14ac:dyDescent="0.3">
      <c r="A2153" s="61" t="s">
        <v>2358</v>
      </c>
      <c r="B2153" s="62" t="s">
        <v>1760</v>
      </c>
      <c r="C2153" s="62" t="s">
        <v>1761</v>
      </c>
      <c r="D2153" s="63">
        <v>45627</v>
      </c>
      <c r="E2153" s="63">
        <v>46783</v>
      </c>
      <c r="F2153" s="62" t="s">
        <v>350</v>
      </c>
      <c r="G2153" s="62" t="s">
        <v>304</v>
      </c>
      <c r="H2153" s="62" t="s">
        <v>363</v>
      </c>
      <c r="I2153" s="62" t="s">
        <v>2443</v>
      </c>
      <c r="J2153" s="62" t="s">
        <v>469</v>
      </c>
      <c r="K2153" s="62" t="s">
        <v>315</v>
      </c>
      <c r="L2153" s="62" t="s">
        <v>2421</v>
      </c>
      <c r="M2153" s="66" t="s">
        <v>1969</v>
      </c>
    </row>
    <row r="2154" spans="1:13" x14ac:dyDescent="0.3">
      <c r="A2154" s="61" t="s">
        <v>2359</v>
      </c>
      <c r="B2154" s="62" t="s">
        <v>1762</v>
      </c>
      <c r="C2154" s="62" t="s">
        <v>1763</v>
      </c>
      <c r="D2154" s="63">
        <v>45383</v>
      </c>
      <c r="E2154" s="63">
        <v>46507</v>
      </c>
      <c r="F2154" s="62" t="s">
        <v>350</v>
      </c>
      <c r="G2154" s="62" t="s">
        <v>304</v>
      </c>
      <c r="H2154" s="62" t="s">
        <v>363</v>
      </c>
      <c r="I2154" s="62" t="s">
        <v>825</v>
      </c>
      <c r="J2154" s="62" t="s">
        <v>663</v>
      </c>
      <c r="K2154" s="62" t="s">
        <v>371</v>
      </c>
      <c r="L2154" s="62" t="s">
        <v>2421</v>
      </c>
      <c r="M2154" s="66" t="s">
        <v>1970</v>
      </c>
    </row>
    <row r="2155" spans="1:13" x14ac:dyDescent="0.3">
      <c r="A2155" s="61" t="s">
        <v>2360</v>
      </c>
      <c r="B2155" s="62" t="s">
        <v>1764</v>
      </c>
      <c r="C2155" s="62" t="s">
        <v>1765</v>
      </c>
      <c r="D2155" s="63">
        <v>45474</v>
      </c>
      <c r="E2155" s="63">
        <v>46234</v>
      </c>
      <c r="F2155" s="62" t="s">
        <v>1922</v>
      </c>
      <c r="G2155" s="62" t="s">
        <v>304</v>
      </c>
      <c r="H2155" s="62" t="s">
        <v>363</v>
      </c>
      <c r="I2155" s="62" t="s">
        <v>825</v>
      </c>
      <c r="J2155" s="62" t="s">
        <v>799</v>
      </c>
      <c r="K2155" s="62" t="s">
        <v>428</v>
      </c>
      <c r="L2155" s="62" t="s">
        <v>2421</v>
      </c>
      <c r="M2155" s="66" t="s">
        <v>2021</v>
      </c>
    </row>
    <row r="2156" spans="1:13" x14ac:dyDescent="0.3">
      <c r="A2156" s="61" t="s">
        <v>2360</v>
      </c>
      <c r="B2156" s="62" t="s">
        <v>1764</v>
      </c>
      <c r="C2156" s="62" t="s">
        <v>1765</v>
      </c>
      <c r="D2156" s="63">
        <v>45474</v>
      </c>
      <c r="E2156" s="63">
        <v>46234</v>
      </c>
      <c r="F2156" s="62" t="s">
        <v>1959</v>
      </c>
      <c r="G2156" s="62" t="s">
        <v>304</v>
      </c>
      <c r="H2156" s="62" t="s">
        <v>363</v>
      </c>
      <c r="I2156" s="62" t="s">
        <v>825</v>
      </c>
      <c r="J2156" s="62" t="s">
        <v>799</v>
      </c>
      <c r="K2156" s="62" t="s">
        <v>428</v>
      </c>
      <c r="L2156" s="62" t="s">
        <v>2421</v>
      </c>
      <c r="M2156" s="66" t="s">
        <v>2021</v>
      </c>
    </row>
    <row r="2157" spans="1:13" x14ac:dyDescent="0.3">
      <c r="A2157" s="61" t="s">
        <v>2361</v>
      </c>
      <c r="B2157" s="62" t="s">
        <v>1766</v>
      </c>
      <c r="C2157" s="62" t="s">
        <v>1767</v>
      </c>
      <c r="D2157" s="63">
        <v>45474</v>
      </c>
      <c r="E2157" s="63">
        <v>46204</v>
      </c>
      <c r="F2157" s="62" t="s">
        <v>350</v>
      </c>
      <c r="G2157" s="62" t="s">
        <v>304</v>
      </c>
      <c r="H2157" s="62" t="s">
        <v>939</v>
      </c>
      <c r="I2157" s="62" t="s">
        <v>2465</v>
      </c>
      <c r="J2157" s="62" t="s">
        <v>579</v>
      </c>
      <c r="K2157" s="62" t="s">
        <v>428</v>
      </c>
      <c r="L2157" s="62" t="s">
        <v>2421</v>
      </c>
      <c r="M2157" s="66" t="s">
        <v>2021</v>
      </c>
    </row>
    <row r="2158" spans="1:13" x14ac:dyDescent="0.3">
      <c r="A2158" s="61" t="s">
        <v>2362</v>
      </c>
      <c r="B2158" s="62" t="s">
        <v>1768</v>
      </c>
      <c r="C2158" s="62" t="s">
        <v>1769</v>
      </c>
      <c r="D2158" s="63">
        <v>45444</v>
      </c>
      <c r="E2158" s="63">
        <v>46568</v>
      </c>
      <c r="F2158" s="62" t="s">
        <v>1930</v>
      </c>
      <c r="G2158" s="62" t="s">
        <v>304</v>
      </c>
      <c r="H2158" s="62" t="s">
        <v>363</v>
      </c>
      <c r="I2158" s="62" t="s">
        <v>825</v>
      </c>
      <c r="J2158" s="62" t="s">
        <v>948</v>
      </c>
      <c r="K2158" s="62" t="s">
        <v>428</v>
      </c>
      <c r="L2158" s="62" t="s">
        <v>2421</v>
      </c>
      <c r="M2158" s="66" t="s">
        <v>2021</v>
      </c>
    </row>
    <row r="2159" spans="1:13" x14ac:dyDescent="0.3">
      <c r="A2159" s="61" t="s">
        <v>2363</v>
      </c>
      <c r="B2159" s="62" t="s">
        <v>1770</v>
      </c>
      <c r="C2159" s="62" t="s">
        <v>1771</v>
      </c>
      <c r="D2159" s="63">
        <v>45566</v>
      </c>
      <c r="E2159" s="63">
        <v>46691</v>
      </c>
      <c r="F2159" s="62" t="s">
        <v>1943</v>
      </c>
      <c r="G2159" s="62" t="s">
        <v>304</v>
      </c>
      <c r="H2159" s="62" t="s">
        <v>363</v>
      </c>
      <c r="I2159" s="62" t="s">
        <v>1518</v>
      </c>
      <c r="J2159" s="62" t="s">
        <v>616</v>
      </c>
      <c r="K2159" s="62" t="s">
        <v>459</v>
      </c>
      <c r="L2159" s="62" t="s">
        <v>2421</v>
      </c>
      <c r="M2159" s="66" t="s">
        <v>1971</v>
      </c>
    </row>
    <row r="2160" spans="1:13" x14ac:dyDescent="0.3">
      <c r="A2160" s="61" t="s">
        <v>2364</v>
      </c>
      <c r="B2160" s="62" t="s">
        <v>1772</v>
      </c>
      <c r="C2160" s="62" t="s">
        <v>1773</v>
      </c>
      <c r="D2160" s="63">
        <v>45454</v>
      </c>
      <c r="E2160" s="63">
        <v>47848</v>
      </c>
      <c r="F2160" s="62" t="s">
        <v>350</v>
      </c>
      <c r="G2160" s="62" t="s">
        <v>304</v>
      </c>
      <c r="H2160" s="62" t="s">
        <v>534</v>
      </c>
      <c r="I2160" s="62" t="s">
        <v>1518</v>
      </c>
      <c r="J2160" s="62" t="s">
        <v>531</v>
      </c>
      <c r="K2160" s="62" t="s">
        <v>459</v>
      </c>
      <c r="L2160" s="62" t="s">
        <v>2421</v>
      </c>
      <c r="M2160" s="66" t="s">
        <v>1971</v>
      </c>
    </row>
    <row r="2161" spans="1:13" x14ac:dyDescent="0.3">
      <c r="A2161" s="61" t="s">
        <v>2365</v>
      </c>
      <c r="B2161" s="62" t="s">
        <v>1774</v>
      </c>
      <c r="C2161" s="62" t="s">
        <v>1775</v>
      </c>
      <c r="D2161" s="63">
        <v>45436</v>
      </c>
      <c r="E2161" s="63">
        <v>46715</v>
      </c>
      <c r="F2161" s="62" t="s">
        <v>350</v>
      </c>
      <c r="G2161" s="62" t="s">
        <v>304</v>
      </c>
      <c r="H2161" s="62" t="s">
        <v>601</v>
      </c>
      <c r="I2161" s="62" t="s">
        <v>1518</v>
      </c>
      <c r="J2161" s="62" t="s">
        <v>684</v>
      </c>
      <c r="K2161" s="62" t="s">
        <v>459</v>
      </c>
      <c r="L2161" s="62" t="s">
        <v>2421</v>
      </c>
      <c r="M2161" s="66" t="s">
        <v>1971</v>
      </c>
    </row>
    <row r="2162" spans="1:13" x14ac:dyDescent="0.3">
      <c r="A2162" s="61" t="s">
        <v>2366</v>
      </c>
      <c r="B2162" s="62" t="s">
        <v>1776</v>
      </c>
      <c r="C2162" s="62" t="s">
        <v>1777</v>
      </c>
      <c r="D2162" s="63">
        <v>45642</v>
      </c>
      <c r="E2162" s="63">
        <v>46382</v>
      </c>
      <c r="F2162" s="62" t="s">
        <v>350</v>
      </c>
      <c r="G2162" s="62" t="s">
        <v>304</v>
      </c>
      <c r="H2162" s="62" t="s">
        <v>939</v>
      </c>
      <c r="I2162" s="62" t="s">
        <v>825</v>
      </c>
      <c r="J2162" s="62" t="s">
        <v>985</v>
      </c>
      <c r="K2162" s="62" t="s">
        <v>375</v>
      </c>
      <c r="L2162" s="62" t="s">
        <v>2421</v>
      </c>
      <c r="M2162" s="66" t="s">
        <v>1984</v>
      </c>
    </row>
    <row r="2163" spans="1:13" x14ac:dyDescent="0.3">
      <c r="A2163" s="61" t="s">
        <v>2367</v>
      </c>
      <c r="B2163" s="62" t="s">
        <v>1778</v>
      </c>
      <c r="C2163" s="62" t="s">
        <v>1779</v>
      </c>
      <c r="D2163" s="63">
        <v>45505</v>
      </c>
      <c r="E2163" s="63">
        <v>46538</v>
      </c>
      <c r="F2163" s="62" t="s">
        <v>350</v>
      </c>
      <c r="G2163" s="62" t="s">
        <v>304</v>
      </c>
      <c r="H2163" s="62" t="s">
        <v>645</v>
      </c>
      <c r="I2163" s="62" t="s">
        <v>825</v>
      </c>
      <c r="J2163" s="62" t="s">
        <v>2424</v>
      </c>
      <c r="K2163" s="62" t="s">
        <v>426</v>
      </c>
      <c r="L2163" s="62" t="s">
        <v>2421</v>
      </c>
      <c r="M2163" s="66" t="s">
        <v>1968</v>
      </c>
    </row>
    <row r="2164" spans="1:13" x14ac:dyDescent="0.3">
      <c r="A2164" s="61" t="s">
        <v>2368</v>
      </c>
      <c r="B2164" s="62" t="s">
        <v>1780</v>
      </c>
      <c r="C2164" s="62" t="s">
        <v>1781</v>
      </c>
      <c r="D2164" s="63">
        <v>45292</v>
      </c>
      <c r="E2164" s="63">
        <v>46387</v>
      </c>
      <c r="F2164" s="62" t="s">
        <v>350</v>
      </c>
      <c r="G2164" s="62" t="s">
        <v>350</v>
      </c>
      <c r="H2164" s="62" t="s">
        <v>1782</v>
      </c>
      <c r="I2164" s="62" t="s">
        <v>2443</v>
      </c>
      <c r="J2164" s="62" t="s">
        <v>652</v>
      </c>
      <c r="K2164" s="62" t="s">
        <v>571</v>
      </c>
      <c r="L2164" s="62" t="s">
        <v>2421</v>
      </c>
      <c r="M2164" s="66" t="s">
        <v>2021</v>
      </c>
    </row>
    <row r="2165" spans="1:13" x14ac:dyDescent="0.3">
      <c r="A2165" s="61" t="s">
        <v>2369</v>
      </c>
      <c r="B2165" s="62" t="s">
        <v>1783</v>
      </c>
      <c r="C2165" s="62" t="s">
        <v>1784</v>
      </c>
      <c r="D2165" s="63">
        <v>45292</v>
      </c>
      <c r="E2165" s="63">
        <v>46752</v>
      </c>
      <c r="F2165" s="62" t="s">
        <v>350</v>
      </c>
      <c r="G2165" s="62" t="s">
        <v>350</v>
      </c>
      <c r="H2165" s="62" t="s">
        <v>1548</v>
      </c>
      <c r="I2165" s="62" t="s">
        <v>2443</v>
      </c>
      <c r="J2165" s="62" t="s">
        <v>636</v>
      </c>
      <c r="K2165" s="62" t="s">
        <v>637</v>
      </c>
      <c r="L2165" s="62" t="s">
        <v>2421</v>
      </c>
      <c r="M2165" s="66" t="s">
        <v>1973</v>
      </c>
    </row>
    <row r="2166" spans="1:13" x14ac:dyDescent="0.3">
      <c r="A2166" s="61" t="s">
        <v>2370</v>
      </c>
      <c r="B2166" s="62" t="s">
        <v>1785</v>
      </c>
      <c r="C2166" s="62" t="s">
        <v>1786</v>
      </c>
      <c r="D2166" s="63">
        <v>45580</v>
      </c>
      <c r="E2166" s="63">
        <v>46127</v>
      </c>
      <c r="F2166" s="62" t="s">
        <v>1943</v>
      </c>
      <c r="G2166" s="62" t="s">
        <v>304</v>
      </c>
      <c r="H2166" s="62" t="s">
        <v>2453</v>
      </c>
      <c r="I2166" s="62" t="s">
        <v>2465</v>
      </c>
      <c r="J2166" s="62" t="s">
        <v>793</v>
      </c>
      <c r="K2166" s="62" t="s">
        <v>358</v>
      </c>
      <c r="L2166" s="62" t="s">
        <v>2421</v>
      </c>
      <c r="M2166" s="66" t="s">
        <v>1983</v>
      </c>
    </row>
    <row r="2167" spans="1:13" x14ac:dyDescent="0.3">
      <c r="A2167" s="61" t="s">
        <v>2370</v>
      </c>
      <c r="B2167" s="62" t="s">
        <v>1785</v>
      </c>
      <c r="C2167" s="62" t="s">
        <v>1786</v>
      </c>
      <c r="D2167" s="63">
        <v>45580</v>
      </c>
      <c r="E2167" s="63">
        <v>46127</v>
      </c>
      <c r="F2167" s="62" t="s">
        <v>1916</v>
      </c>
      <c r="G2167" s="62" t="s">
        <v>304</v>
      </c>
      <c r="H2167" s="62" t="s">
        <v>2453</v>
      </c>
      <c r="I2167" s="62" t="s">
        <v>2465</v>
      </c>
      <c r="J2167" s="62" t="s">
        <v>793</v>
      </c>
      <c r="K2167" s="62" t="s">
        <v>358</v>
      </c>
      <c r="L2167" s="62" t="s">
        <v>2421</v>
      </c>
      <c r="M2167" s="66" t="s">
        <v>1983</v>
      </c>
    </row>
    <row r="2168" spans="1:13" x14ac:dyDescent="0.3">
      <c r="A2168" s="61" t="s">
        <v>2370</v>
      </c>
      <c r="B2168" s="62" t="s">
        <v>1785</v>
      </c>
      <c r="C2168" s="62" t="s">
        <v>1786</v>
      </c>
      <c r="D2168" s="63">
        <v>45580</v>
      </c>
      <c r="E2168" s="63">
        <v>46127</v>
      </c>
      <c r="F2168" s="62" t="s">
        <v>1958</v>
      </c>
      <c r="G2168" s="62" t="s">
        <v>304</v>
      </c>
      <c r="H2168" s="62" t="s">
        <v>2453</v>
      </c>
      <c r="I2168" s="62" t="s">
        <v>2465</v>
      </c>
      <c r="J2168" s="62" t="s">
        <v>793</v>
      </c>
      <c r="K2168" s="62" t="s">
        <v>358</v>
      </c>
      <c r="L2168" s="62" t="s">
        <v>2421</v>
      </c>
      <c r="M2168" s="66" t="s">
        <v>1983</v>
      </c>
    </row>
    <row r="2169" spans="1:13" x14ac:dyDescent="0.3">
      <c r="A2169" s="61" t="s">
        <v>2370</v>
      </c>
      <c r="B2169" s="62" t="s">
        <v>1785</v>
      </c>
      <c r="C2169" s="62" t="s">
        <v>1786</v>
      </c>
      <c r="D2169" s="63">
        <v>45580</v>
      </c>
      <c r="E2169" s="63">
        <v>46127</v>
      </c>
      <c r="F2169" s="62" t="s">
        <v>1930</v>
      </c>
      <c r="G2169" s="62" t="s">
        <v>304</v>
      </c>
      <c r="H2169" s="62" t="s">
        <v>2453</v>
      </c>
      <c r="I2169" s="62" t="s">
        <v>2465</v>
      </c>
      <c r="J2169" s="62" t="s">
        <v>793</v>
      </c>
      <c r="K2169" s="62" t="s">
        <v>358</v>
      </c>
      <c r="L2169" s="62" t="s">
        <v>2421</v>
      </c>
      <c r="M2169" s="66" t="s">
        <v>1983</v>
      </c>
    </row>
    <row r="2170" spans="1:13" x14ac:dyDescent="0.3">
      <c r="A2170" s="61" t="s">
        <v>2370</v>
      </c>
      <c r="B2170" s="62" t="s">
        <v>1785</v>
      </c>
      <c r="C2170" s="62" t="s">
        <v>1786</v>
      </c>
      <c r="D2170" s="63">
        <v>45580</v>
      </c>
      <c r="E2170" s="63">
        <v>46127</v>
      </c>
      <c r="F2170" s="62" t="s">
        <v>1960</v>
      </c>
      <c r="G2170" s="62" t="s">
        <v>304</v>
      </c>
      <c r="H2170" s="62" t="s">
        <v>2453</v>
      </c>
      <c r="I2170" s="62" t="s">
        <v>2465</v>
      </c>
      <c r="J2170" s="62" t="s">
        <v>793</v>
      </c>
      <c r="K2170" s="62" t="s">
        <v>358</v>
      </c>
      <c r="L2170" s="62" t="s">
        <v>2421</v>
      </c>
      <c r="M2170" s="66" t="s">
        <v>1983</v>
      </c>
    </row>
    <row r="2171" spans="1:13" x14ac:dyDescent="0.3">
      <c r="A2171" s="61" t="s">
        <v>2370</v>
      </c>
      <c r="B2171" s="62" t="s">
        <v>1785</v>
      </c>
      <c r="C2171" s="62" t="s">
        <v>1786</v>
      </c>
      <c r="D2171" s="63">
        <v>45580</v>
      </c>
      <c r="E2171" s="63">
        <v>46127</v>
      </c>
      <c r="F2171" s="62" t="s">
        <v>1961</v>
      </c>
      <c r="G2171" s="62" t="s">
        <v>304</v>
      </c>
      <c r="H2171" s="62" t="s">
        <v>2453</v>
      </c>
      <c r="I2171" s="62" t="s">
        <v>2465</v>
      </c>
      <c r="J2171" s="62" t="s">
        <v>793</v>
      </c>
      <c r="K2171" s="62" t="s">
        <v>358</v>
      </c>
      <c r="L2171" s="62" t="s">
        <v>2421</v>
      </c>
      <c r="M2171" s="66" t="s">
        <v>1983</v>
      </c>
    </row>
    <row r="2172" spans="1:13" x14ac:dyDescent="0.3">
      <c r="A2172" s="61" t="s">
        <v>2370</v>
      </c>
      <c r="B2172" s="62" t="s">
        <v>1785</v>
      </c>
      <c r="C2172" s="62" t="s">
        <v>1786</v>
      </c>
      <c r="D2172" s="63">
        <v>45580</v>
      </c>
      <c r="E2172" s="63">
        <v>46127</v>
      </c>
      <c r="F2172" s="62" t="s">
        <v>1941</v>
      </c>
      <c r="G2172" s="62" t="s">
        <v>304</v>
      </c>
      <c r="H2172" s="62" t="s">
        <v>2453</v>
      </c>
      <c r="I2172" s="62" t="s">
        <v>2465</v>
      </c>
      <c r="J2172" s="62" t="s">
        <v>793</v>
      </c>
      <c r="K2172" s="62" t="s">
        <v>358</v>
      </c>
      <c r="L2172" s="62" t="s">
        <v>2421</v>
      </c>
      <c r="M2172" s="66" t="s">
        <v>1983</v>
      </c>
    </row>
    <row r="2173" spans="1:13" x14ac:dyDescent="0.3">
      <c r="A2173" s="61" t="s">
        <v>2370</v>
      </c>
      <c r="B2173" s="62" t="s">
        <v>1785</v>
      </c>
      <c r="C2173" s="62" t="s">
        <v>1786</v>
      </c>
      <c r="D2173" s="63">
        <v>45580</v>
      </c>
      <c r="E2173" s="63">
        <v>46127</v>
      </c>
      <c r="F2173" s="62" t="s">
        <v>1948</v>
      </c>
      <c r="G2173" s="62" t="s">
        <v>304</v>
      </c>
      <c r="H2173" s="62" t="s">
        <v>2453</v>
      </c>
      <c r="I2173" s="62" t="s">
        <v>2465</v>
      </c>
      <c r="J2173" s="62" t="s">
        <v>793</v>
      </c>
      <c r="K2173" s="62" t="s">
        <v>358</v>
      </c>
      <c r="L2173" s="62" t="s">
        <v>2421</v>
      </c>
      <c r="M2173" s="66" t="s">
        <v>1983</v>
      </c>
    </row>
    <row r="2174" spans="1:13" x14ac:dyDescent="0.3">
      <c r="A2174" s="61" t="s">
        <v>2370</v>
      </c>
      <c r="B2174" s="62" t="s">
        <v>1785</v>
      </c>
      <c r="C2174" s="62" t="s">
        <v>1786</v>
      </c>
      <c r="D2174" s="63">
        <v>45580</v>
      </c>
      <c r="E2174" s="63">
        <v>46127</v>
      </c>
      <c r="F2174" s="62" t="s">
        <v>1959</v>
      </c>
      <c r="G2174" s="62" t="s">
        <v>304</v>
      </c>
      <c r="H2174" s="62" t="s">
        <v>2453</v>
      </c>
      <c r="I2174" s="62" t="s">
        <v>2465</v>
      </c>
      <c r="J2174" s="62" t="s">
        <v>793</v>
      </c>
      <c r="K2174" s="62" t="s">
        <v>358</v>
      </c>
      <c r="L2174" s="62" t="s">
        <v>2421</v>
      </c>
      <c r="M2174" s="66" t="s">
        <v>1983</v>
      </c>
    </row>
    <row r="2175" spans="1:13" x14ac:dyDescent="0.3">
      <c r="A2175" s="61" t="s">
        <v>2370</v>
      </c>
      <c r="B2175" s="62" t="s">
        <v>1785</v>
      </c>
      <c r="C2175" s="62" t="s">
        <v>1786</v>
      </c>
      <c r="D2175" s="63">
        <v>45580</v>
      </c>
      <c r="E2175" s="63">
        <v>46127</v>
      </c>
      <c r="F2175" s="62" t="s">
        <v>1936</v>
      </c>
      <c r="G2175" s="62" t="s">
        <v>304</v>
      </c>
      <c r="H2175" s="62" t="s">
        <v>2453</v>
      </c>
      <c r="I2175" s="62" t="s">
        <v>2465</v>
      </c>
      <c r="J2175" s="62" t="s">
        <v>793</v>
      </c>
      <c r="K2175" s="62" t="s">
        <v>358</v>
      </c>
      <c r="L2175" s="62" t="s">
        <v>2421</v>
      </c>
      <c r="M2175" s="66" t="s">
        <v>1983</v>
      </c>
    </row>
    <row r="2176" spans="1:13" x14ac:dyDescent="0.3">
      <c r="A2176" s="61" t="s">
        <v>2370</v>
      </c>
      <c r="B2176" s="62" t="s">
        <v>1785</v>
      </c>
      <c r="C2176" s="62" t="s">
        <v>1786</v>
      </c>
      <c r="D2176" s="63">
        <v>45580</v>
      </c>
      <c r="E2176" s="63">
        <v>46127</v>
      </c>
      <c r="F2176" s="62" t="s">
        <v>287</v>
      </c>
      <c r="G2176" s="62" t="s">
        <v>304</v>
      </c>
      <c r="H2176" s="62" t="s">
        <v>2453</v>
      </c>
      <c r="I2176" s="62" t="s">
        <v>2465</v>
      </c>
      <c r="J2176" s="62" t="s">
        <v>793</v>
      </c>
      <c r="K2176" s="62" t="s">
        <v>358</v>
      </c>
      <c r="L2176" s="62" t="s">
        <v>2421</v>
      </c>
      <c r="M2176" s="66" t="s">
        <v>1983</v>
      </c>
    </row>
    <row r="2177" spans="1:13" x14ac:dyDescent="0.3">
      <c r="A2177" s="61" t="s">
        <v>2370</v>
      </c>
      <c r="B2177" s="62" t="s">
        <v>1785</v>
      </c>
      <c r="C2177" s="62" t="s">
        <v>1786</v>
      </c>
      <c r="D2177" s="63">
        <v>45580</v>
      </c>
      <c r="E2177" s="63">
        <v>46127</v>
      </c>
      <c r="F2177" s="62" t="s">
        <v>1945</v>
      </c>
      <c r="G2177" s="62" t="s">
        <v>304</v>
      </c>
      <c r="H2177" s="62" t="s">
        <v>2453</v>
      </c>
      <c r="I2177" s="62" t="s">
        <v>2465</v>
      </c>
      <c r="J2177" s="62" t="s">
        <v>793</v>
      </c>
      <c r="K2177" s="62" t="s">
        <v>358</v>
      </c>
      <c r="L2177" s="62" t="s">
        <v>2421</v>
      </c>
      <c r="M2177" s="66" t="s">
        <v>1983</v>
      </c>
    </row>
    <row r="2178" spans="1:13" x14ac:dyDescent="0.3">
      <c r="A2178" s="61" t="s">
        <v>2371</v>
      </c>
      <c r="B2178" s="62" t="s">
        <v>1787</v>
      </c>
      <c r="C2178" s="62" t="s">
        <v>1788</v>
      </c>
      <c r="D2178" s="63">
        <v>45720</v>
      </c>
      <c r="E2178" s="63">
        <v>46084</v>
      </c>
      <c r="F2178" s="62" t="s">
        <v>1945</v>
      </c>
      <c r="G2178" s="62" t="s">
        <v>400</v>
      </c>
      <c r="H2178" s="62" t="s">
        <v>1110</v>
      </c>
      <c r="I2178" s="62" t="s">
        <v>2443</v>
      </c>
      <c r="J2178" s="62" t="s">
        <v>442</v>
      </c>
      <c r="K2178" s="62" t="s">
        <v>315</v>
      </c>
      <c r="L2178" s="62" t="s">
        <v>2421</v>
      </c>
      <c r="M2178" s="66" t="s">
        <v>1969</v>
      </c>
    </row>
    <row r="2179" spans="1:13" x14ac:dyDescent="0.3">
      <c r="A2179" s="61" t="s">
        <v>2372</v>
      </c>
      <c r="B2179" s="62" t="s">
        <v>1789</v>
      </c>
      <c r="C2179" s="62" t="s">
        <v>1790</v>
      </c>
      <c r="D2179" s="63">
        <v>45692</v>
      </c>
      <c r="E2179" s="63">
        <v>46056</v>
      </c>
      <c r="F2179" s="62" t="s">
        <v>1944</v>
      </c>
      <c r="G2179" s="62" t="s">
        <v>992</v>
      </c>
      <c r="H2179" s="62" t="s">
        <v>1110</v>
      </c>
      <c r="I2179" s="62" t="s">
        <v>825</v>
      </c>
      <c r="J2179" s="62" t="s">
        <v>1111</v>
      </c>
      <c r="K2179" s="62" t="s">
        <v>571</v>
      </c>
      <c r="L2179" s="62" t="s">
        <v>2421</v>
      </c>
      <c r="M2179" s="66" t="s">
        <v>1966</v>
      </c>
    </row>
    <row r="2180" spans="1:13" x14ac:dyDescent="0.3">
      <c r="A2180" s="61" t="s">
        <v>2373</v>
      </c>
      <c r="B2180" s="62" t="s">
        <v>1791</v>
      </c>
      <c r="C2180" s="62" t="s">
        <v>1792</v>
      </c>
      <c r="D2180" s="63">
        <v>45610</v>
      </c>
      <c r="E2180" s="63">
        <v>46521</v>
      </c>
      <c r="F2180" s="62" t="s">
        <v>1921</v>
      </c>
      <c r="G2180" s="62" t="s">
        <v>1793</v>
      </c>
      <c r="H2180" s="62" t="s">
        <v>468</v>
      </c>
      <c r="I2180" s="62" t="s">
        <v>2443</v>
      </c>
      <c r="J2180" s="62" t="s">
        <v>469</v>
      </c>
      <c r="K2180" s="62" t="s">
        <v>315</v>
      </c>
      <c r="L2180" s="62" t="s">
        <v>2421</v>
      </c>
      <c r="M2180" s="66" t="s">
        <v>1969</v>
      </c>
    </row>
    <row r="2181" spans="1:13" x14ac:dyDescent="0.3">
      <c r="A2181" s="61" t="s">
        <v>2373</v>
      </c>
      <c r="B2181" s="62" t="s">
        <v>1791</v>
      </c>
      <c r="C2181" s="62" t="s">
        <v>1792</v>
      </c>
      <c r="D2181" s="63">
        <v>45610</v>
      </c>
      <c r="E2181" s="63">
        <v>46521</v>
      </c>
      <c r="F2181" s="62" t="s">
        <v>1930</v>
      </c>
      <c r="G2181" s="62" t="s">
        <v>581</v>
      </c>
      <c r="H2181" s="62" t="s">
        <v>468</v>
      </c>
      <c r="I2181" s="62" t="s">
        <v>2443</v>
      </c>
      <c r="J2181" s="62" t="s">
        <v>469</v>
      </c>
      <c r="K2181" s="62" t="s">
        <v>315</v>
      </c>
      <c r="L2181" s="62" t="s">
        <v>2421</v>
      </c>
      <c r="M2181" s="66" t="s">
        <v>1969</v>
      </c>
    </row>
    <row r="2182" spans="1:13" x14ac:dyDescent="0.3">
      <c r="A2182" s="61" t="s">
        <v>2373</v>
      </c>
      <c r="B2182" s="62" t="s">
        <v>1791</v>
      </c>
      <c r="C2182" s="62" t="s">
        <v>1792</v>
      </c>
      <c r="D2182" s="63">
        <v>45610</v>
      </c>
      <c r="E2182" s="63">
        <v>46521</v>
      </c>
      <c r="F2182" s="62" t="s">
        <v>1936</v>
      </c>
      <c r="G2182" s="62" t="s">
        <v>414</v>
      </c>
      <c r="H2182" s="62" t="s">
        <v>468</v>
      </c>
      <c r="I2182" s="62" t="s">
        <v>2443</v>
      </c>
      <c r="J2182" s="62" t="s">
        <v>469</v>
      </c>
      <c r="K2182" s="62" t="s">
        <v>315</v>
      </c>
      <c r="L2182" s="62" t="s">
        <v>2421</v>
      </c>
      <c r="M2182" s="66" t="s">
        <v>1969</v>
      </c>
    </row>
    <row r="2183" spans="1:13" x14ac:dyDescent="0.3">
      <c r="A2183" s="61" t="s">
        <v>2373</v>
      </c>
      <c r="B2183" s="62" t="s">
        <v>1791</v>
      </c>
      <c r="C2183" s="62" t="s">
        <v>1792</v>
      </c>
      <c r="D2183" s="63">
        <v>45610</v>
      </c>
      <c r="E2183" s="63">
        <v>46521</v>
      </c>
      <c r="F2183" s="62" t="s">
        <v>1921</v>
      </c>
      <c r="G2183" s="62" t="s">
        <v>1793</v>
      </c>
      <c r="H2183" s="62" t="s">
        <v>1794</v>
      </c>
      <c r="I2183" s="62" t="s">
        <v>2443</v>
      </c>
      <c r="J2183" s="62" t="s">
        <v>469</v>
      </c>
      <c r="K2183" s="62" t="s">
        <v>315</v>
      </c>
      <c r="L2183" s="62" t="s">
        <v>2421</v>
      </c>
      <c r="M2183" s="66" t="s">
        <v>1969</v>
      </c>
    </row>
    <row r="2184" spans="1:13" x14ac:dyDescent="0.3">
      <c r="A2184" s="61" t="s">
        <v>2373</v>
      </c>
      <c r="B2184" s="62" t="s">
        <v>1791</v>
      </c>
      <c r="C2184" s="62" t="s">
        <v>1792</v>
      </c>
      <c r="D2184" s="63">
        <v>45610</v>
      </c>
      <c r="E2184" s="63">
        <v>46521</v>
      </c>
      <c r="F2184" s="62" t="s">
        <v>1930</v>
      </c>
      <c r="G2184" s="62" t="s">
        <v>581</v>
      </c>
      <c r="H2184" s="62" t="s">
        <v>1794</v>
      </c>
      <c r="I2184" s="62" t="s">
        <v>2443</v>
      </c>
      <c r="J2184" s="62" t="s">
        <v>469</v>
      </c>
      <c r="K2184" s="62" t="s">
        <v>315</v>
      </c>
      <c r="L2184" s="62" t="s">
        <v>2421</v>
      </c>
      <c r="M2184" s="66" t="s">
        <v>1969</v>
      </c>
    </row>
    <row r="2185" spans="1:13" x14ac:dyDescent="0.3">
      <c r="A2185" s="61" t="s">
        <v>2373</v>
      </c>
      <c r="B2185" s="62" t="s">
        <v>1791</v>
      </c>
      <c r="C2185" s="62" t="s">
        <v>1792</v>
      </c>
      <c r="D2185" s="63">
        <v>45610</v>
      </c>
      <c r="E2185" s="63">
        <v>46521</v>
      </c>
      <c r="F2185" s="62" t="s">
        <v>1936</v>
      </c>
      <c r="G2185" s="62" t="s">
        <v>414</v>
      </c>
      <c r="H2185" s="62" t="s">
        <v>1794</v>
      </c>
      <c r="I2185" s="62" t="s">
        <v>2443</v>
      </c>
      <c r="J2185" s="62" t="s">
        <v>469</v>
      </c>
      <c r="K2185" s="62" t="s">
        <v>315</v>
      </c>
      <c r="L2185" s="62" t="s">
        <v>2421</v>
      </c>
      <c r="M2185" s="66" t="s">
        <v>1969</v>
      </c>
    </row>
    <row r="2186" spans="1:13" x14ac:dyDescent="0.3">
      <c r="A2186" s="61" t="s">
        <v>2373</v>
      </c>
      <c r="B2186" s="62" t="s">
        <v>1791</v>
      </c>
      <c r="C2186" s="62" t="s">
        <v>1792</v>
      </c>
      <c r="D2186" s="63">
        <v>45610</v>
      </c>
      <c r="E2186" s="63">
        <v>46521</v>
      </c>
      <c r="F2186" s="62" t="s">
        <v>1921</v>
      </c>
      <c r="G2186" s="62" t="s">
        <v>1793</v>
      </c>
      <c r="H2186" s="62" t="s">
        <v>1795</v>
      </c>
      <c r="I2186" s="62" t="s">
        <v>2443</v>
      </c>
      <c r="J2186" s="62" t="s">
        <v>469</v>
      </c>
      <c r="K2186" s="62" t="s">
        <v>315</v>
      </c>
      <c r="L2186" s="62" t="s">
        <v>2421</v>
      </c>
      <c r="M2186" s="66" t="s">
        <v>1969</v>
      </c>
    </row>
    <row r="2187" spans="1:13" x14ac:dyDescent="0.3">
      <c r="A2187" s="61" t="s">
        <v>2373</v>
      </c>
      <c r="B2187" s="62" t="s">
        <v>1791</v>
      </c>
      <c r="C2187" s="62" t="s">
        <v>1792</v>
      </c>
      <c r="D2187" s="63">
        <v>45610</v>
      </c>
      <c r="E2187" s="63">
        <v>46521</v>
      </c>
      <c r="F2187" s="62" t="s">
        <v>1930</v>
      </c>
      <c r="G2187" s="62" t="s">
        <v>581</v>
      </c>
      <c r="H2187" s="62" t="s">
        <v>1795</v>
      </c>
      <c r="I2187" s="62" t="s">
        <v>2443</v>
      </c>
      <c r="J2187" s="62" t="s">
        <v>469</v>
      </c>
      <c r="K2187" s="62" t="s">
        <v>315</v>
      </c>
      <c r="L2187" s="62" t="s">
        <v>2421</v>
      </c>
      <c r="M2187" s="66" t="s">
        <v>1969</v>
      </c>
    </row>
    <row r="2188" spans="1:13" x14ac:dyDescent="0.3">
      <c r="A2188" s="61" t="s">
        <v>2373</v>
      </c>
      <c r="B2188" s="62" t="s">
        <v>1791</v>
      </c>
      <c r="C2188" s="62" t="s">
        <v>1792</v>
      </c>
      <c r="D2188" s="63">
        <v>45610</v>
      </c>
      <c r="E2188" s="63">
        <v>46521</v>
      </c>
      <c r="F2188" s="62" t="s">
        <v>1936</v>
      </c>
      <c r="G2188" s="62" t="s">
        <v>414</v>
      </c>
      <c r="H2188" s="62" t="s">
        <v>1795</v>
      </c>
      <c r="I2188" s="62" t="s">
        <v>2443</v>
      </c>
      <c r="J2188" s="62" t="s">
        <v>469</v>
      </c>
      <c r="K2188" s="62" t="s">
        <v>315</v>
      </c>
      <c r="L2188" s="62" t="s">
        <v>2421</v>
      </c>
      <c r="M2188" s="66" t="s">
        <v>1969</v>
      </c>
    </row>
    <row r="2189" spans="1:13" x14ac:dyDescent="0.3">
      <c r="A2189" s="61" t="s">
        <v>2374</v>
      </c>
      <c r="B2189" s="62" t="s">
        <v>1796</v>
      </c>
      <c r="C2189" s="62" t="s">
        <v>1797</v>
      </c>
      <c r="D2189" s="63">
        <v>45809</v>
      </c>
      <c r="E2189" s="63">
        <v>46173</v>
      </c>
      <c r="F2189" s="62" t="s">
        <v>1922</v>
      </c>
      <c r="G2189" s="62" t="s">
        <v>1196</v>
      </c>
      <c r="H2189" s="62" t="s">
        <v>373</v>
      </c>
      <c r="I2189" s="62" t="s">
        <v>825</v>
      </c>
      <c r="J2189" s="62" t="s">
        <v>935</v>
      </c>
      <c r="K2189" s="62" t="s">
        <v>347</v>
      </c>
      <c r="L2189" s="62" t="s">
        <v>2421</v>
      </c>
      <c r="M2189" s="66" t="s">
        <v>1972</v>
      </c>
    </row>
    <row r="2190" spans="1:13" x14ac:dyDescent="0.3">
      <c r="A2190" s="61" t="s">
        <v>2374</v>
      </c>
      <c r="B2190" s="62" t="s">
        <v>1796</v>
      </c>
      <c r="C2190" s="62" t="s">
        <v>1797</v>
      </c>
      <c r="D2190" s="63">
        <v>45809</v>
      </c>
      <c r="E2190" s="63">
        <v>46173</v>
      </c>
      <c r="F2190" s="62" t="s">
        <v>1922</v>
      </c>
      <c r="G2190" s="62" t="s">
        <v>1798</v>
      </c>
      <c r="H2190" s="62" t="s">
        <v>373</v>
      </c>
      <c r="I2190" s="62" t="s">
        <v>825</v>
      </c>
      <c r="J2190" s="62" t="s">
        <v>935</v>
      </c>
      <c r="K2190" s="62" t="s">
        <v>347</v>
      </c>
      <c r="L2190" s="62" t="s">
        <v>2421</v>
      </c>
      <c r="M2190" s="66" t="s">
        <v>1972</v>
      </c>
    </row>
    <row r="2191" spans="1:13" x14ac:dyDescent="0.3">
      <c r="A2191" s="61" t="s">
        <v>2374</v>
      </c>
      <c r="B2191" s="62" t="s">
        <v>1796</v>
      </c>
      <c r="C2191" s="62" t="s">
        <v>1797</v>
      </c>
      <c r="D2191" s="63">
        <v>45809</v>
      </c>
      <c r="E2191" s="63">
        <v>46173</v>
      </c>
      <c r="F2191" s="62" t="s">
        <v>1922</v>
      </c>
      <c r="G2191" s="62" t="s">
        <v>376</v>
      </c>
      <c r="H2191" s="62" t="s">
        <v>373</v>
      </c>
      <c r="I2191" s="62" t="s">
        <v>825</v>
      </c>
      <c r="J2191" s="62" t="s">
        <v>935</v>
      </c>
      <c r="K2191" s="62" t="s">
        <v>347</v>
      </c>
      <c r="L2191" s="62" t="s">
        <v>2421</v>
      </c>
      <c r="M2191" s="66" t="s">
        <v>1972</v>
      </c>
    </row>
    <row r="2192" spans="1:13" x14ac:dyDescent="0.3">
      <c r="A2192" s="61" t="s">
        <v>2374</v>
      </c>
      <c r="B2192" s="62" t="s">
        <v>1796</v>
      </c>
      <c r="C2192" s="62" t="s">
        <v>1797</v>
      </c>
      <c r="D2192" s="63">
        <v>45809</v>
      </c>
      <c r="E2192" s="63">
        <v>46173</v>
      </c>
      <c r="F2192" s="62" t="s">
        <v>1922</v>
      </c>
      <c r="G2192" s="62" t="s">
        <v>349</v>
      </c>
      <c r="H2192" s="62" t="s">
        <v>373</v>
      </c>
      <c r="I2192" s="62" t="s">
        <v>825</v>
      </c>
      <c r="J2192" s="62" t="s">
        <v>935</v>
      </c>
      <c r="K2192" s="62" t="s">
        <v>347</v>
      </c>
      <c r="L2192" s="62" t="s">
        <v>2421</v>
      </c>
      <c r="M2192" s="66" t="s">
        <v>1972</v>
      </c>
    </row>
    <row r="2193" spans="1:13" x14ac:dyDescent="0.3">
      <c r="A2193" s="61" t="s">
        <v>2374</v>
      </c>
      <c r="B2193" s="62" t="s">
        <v>1796</v>
      </c>
      <c r="C2193" s="62" t="s">
        <v>1797</v>
      </c>
      <c r="D2193" s="63">
        <v>45809</v>
      </c>
      <c r="E2193" s="63">
        <v>46173</v>
      </c>
      <c r="F2193" s="62" t="s">
        <v>1922</v>
      </c>
      <c r="G2193" s="62" t="s">
        <v>379</v>
      </c>
      <c r="H2193" s="62" t="s">
        <v>373</v>
      </c>
      <c r="I2193" s="62" t="s">
        <v>825</v>
      </c>
      <c r="J2193" s="62" t="s">
        <v>935</v>
      </c>
      <c r="K2193" s="62" t="s">
        <v>347</v>
      </c>
      <c r="L2193" s="62" t="s">
        <v>2421</v>
      </c>
      <c r="M2193" s="66" t="s">
        <v>1972</v>
      </c>
    </row>
    <row r="2194" spans="1:13" x14ac:dyDescent="0.3">
      <c r="A2194" s="61" t="s">
        <v>2374</v>
      </c>
      <c r="B2194" s="62" t="s">
        <v>1796</v>
      </c>
      <c r="C2194" s="62" t="s">
        <v>1797</v>
      </c>
      <c r="D2194" s="63">
        <v>45809</v>
      </c>
      <c r="E2194" s="63">
        <v>46173</v>
      </c>
      <c r="F2194" s="62" t="s">
        <v>1922</v>
      </c>
      <c r="G2194" s="62" t="s">
        <v>836</v>
      </c>
      <c r="H2194" s="62" t="s">
        <v>373</v>
      </c>
      <c r="I2194" s="62" t="s">
        <v>825</v>
      </c>
      <c r="J2194" s="62" t="s">
        <v>935</v>
      </c>
      <c r="K2194" s="62" t="s">
        <v>347</v>
      </c>
      <c r="L2194" s="62" t="s">
        <v>2421</v>
      </c>
      <c r="M2194" s="66" t="s">
        <v>1972</v>
      </c>
    </row>
    <row r="2195" spans="1:13" x14ac:dyDescent="0.3">
      <c r="A2195" s="61" t="s">
        <v>2374</v>
      </c>
      <c r="B2195" s="62" t="s">
        <v>1796</v>
      </c>
      <c r="C2195" s="62" t="s">
        <v>1797</v>
      </c>
      <c r="D2195" s="63">
        <v>45809</v>
      </c>
      <c r="E2195" s="63">
        <v>46173</v>
      </c>
      <c r="F2195" s="62" t="s">
        <v>1922</v>
      </c>
      <c r="G2195" s="62" t="s">
        <v>380</v>
      </c>
      <c r="H2195" s="62" t="s">
        <v>373</v>
      </c>
      <c r="I2195" s="62" t="s">
        <v>825</v>
      </c>
      <c r="J2195" s="62" t="s">
        <v>935</v>
      </c>
      <c r="K2195" s="62" t="s">
        <v>347</v>
      </c>
      <c r="L2195" s="62" t="s">
        <v>2421</v>
      </c>
      <c r="M2195" s="66" t="s">
        <v>1972</v>
      </c>
    </row>
    <row r="2196" spans="1:13" x14ac:dyDescent="0.3">
      <c r="A2196" s="61" t="s">
        <v>2374</v>
      </c>
      <c r="B2196" s="62" t="s">
        <v>1796</v>
      </c>
      <c r="C2196" s="62" t="s">
        <v>1797</v>
      </c>
      <c r="D2196" s="63">
        <v>45809</v>
      </c>
      <c r="E2196" s="63">
        <v>46173</v>
      </c>
      <c r="F2196" s="62" t="s">
        <v>1922</v>
      </c>
      <c r="G2196" s="62" t="s">
        <v>381</v>
      </c>
      <c r="H2196" s="62" t="s">
        <v>373</v>
      </c>
      <c r="I2196" s="62" t="s">
        <v>825</v>
      </c>
      <c r="J2196" s="62" t="s">
        <v>935</v>
      </c>
      <c r="K2196" s="62" t="s">
        <v>347</v>
      </c>
      <c r="L2196" s="62" t="s">
        <v>2421</v>
      </c>
      <c r="M2196" s="66" t="s">
        <v>1972</v>
      </c>
    </row>
    <row r="2197" spans="1:13" x14ac:dyDescent="0.3">
      <c r="A2197" s="61" t="s">
        <v>2374</v>
      </c>
      <c r="B2197" s="62" t="s">
        <v>1796</v>
      </c>
      <c r="C2197" s="62" t="s">
        <v>1797</v>
      </c>
      <c r="D2197" s="63">
        <v>45809</v>
      </c>
      <c r="E2197" s="63">
        <v>46173</v>
      </c>
      <c r="F2197" s="62" t="s">
        <v>1922</v>
      </c>
      <c r="G2197" s="62" t="s">
        <v>382</v>
      </c>
      <c r="H2197" s="62" t="s">
        <v>373</v>
      </c>
      <c r="I2197" s="62" t="s">
        <v>825</v>
      </c>
      <c r="J2197" s="62" t="s">
        <v>935</v>
      </c>
      <c r="K2197" s="62" t="s">
        <v>347</v>
      </c>
      <c r="L2197" s="62" t="s">
        <v>2421</v>
      </c>
      <c r="M2197" s="66" t="s">
        <v>1972</v>
      </c>
    </row>
    <row r="2198" spans="1:13" x14ac:dyDescent="0.3">
      <c r="A2198" s="61" t="s">
        <v>2374</v>
      </c>
      <c r="B2198" s="62" t="s">
        <v>1796</v>
      </c>
      <c r="C2198" s="62" t="s">
        <v>1797</v>
      </c>
      <c r="D2198" s="63">
        <v>45809</v>
      </c>
      <c r="E2198" s="63">
        <v>46173</v>
      </c>
      <c r="F2198" s="62" t="s">
        <v>1922</v>
      </c>
      <c r="G2198" s="62" t="s">
        <v>383</v>
      </c>
      <c r="H2198" s="62" t="s">
        <v>373</v>
      </c>
      <c r="I2198" s="62" t="s">
        <v>825</v>
      </c>
      <c r="J2198" s="62" t="s">
        <v>935</v>
      </c>
      <c r="K2198" s="62" t="s">
        <v>347</v>
      </c>
      <c r="L2198" s="62" t="s">
        <v>2421</v>
      </c>
      <c r="M2198" s="66" t="s">
        <v>1972</v>
      </c>
    </row>
    <row r="2199" spans="1:13" x14ac:dyDescent="0.3">
      <c r="A2199" s="61" t="s">
        <v>2374</v>
      </c>
      <c r="B2199" s="62" t="s">
        <v>1796</v>
      </c>
      <c r="C2199" s="62" t="s">
        <v>1797</v>
      </c>
      <c r="D2199" s="63">
        <v>45809</v>
      </c>
      <c r="E2199" s="63">
        <v>46173</v>
      </c>
      <c r="F2199" s="62" t="s">
        <v>1922</v>
      </c>
      <c r="G2199" s="62" t="s">
        <v>889</v>
      </c>
      <c r="H2199" s="62" t="s">
        <v>373</v>
      </c>
      <c r="I2199" s="62" t="s">
        <v>825</v>
      </c>
      <c r="J2199" s="62" t="s">
        <v>935</v>
      </c>
      <c r="K2199" s="62" t="s">
        <v>347</v>
      </c>
      <c r="L2199" s="62" t="s">
        <v>2421</v>
      </c>
      <c r="M2199" s="66" t="s">
        <v>1972</v>
      </c>
    </row>
    <row r="2200" spans="1:13" x14ac:dyDescent="0.3">
      <c r="A2200" s="61" t="s">
        <v>2374</v>
      </c>
      <c r="B2200" s="62" t="s">
        <v>1796</v>
      </c>
      <c r="C2200" s="62" t="s">
        <v>1797</v>
      </c>
      <c r="D2200" s="63">
        <v>45809</v>
      </c>
      <c r="E2200" s="63">
        <v>46173</v>
      </c>
      <c r="F2200" s="62" t="s">
        <v>1922</v>
      </c>
      <c r="G2200" s="62" t="s">
        <v>384</v>
      </c>
      <c r="H2200" s="62" t="s">
        <v>373</v>
      </c>
      <c r="I2200" s="62" t="s">
        <v>825</v>
      </c>
      <c r="J2200" s="62" t="s">
        <v>935</v>
      </c>
      <c r="K2200" s="62" t="s">
        <v>347</v>
      </c>
      <c r="L2200" s="62" t="s">
        <v>2421</v>
      </c>
      <c r="M2200" s="66" t="s">
        <v>1972</v>
      </c>
    </row>
    <row r="2201" spans="1:13" x14ac:dyDescent="0.3">
      <c r="A2201" s="61" t="s">
        <v>2374</v>
      </c>
      <c r="B2201" s="62" t="s">
        <v>1796</v>
      </c>
      <c r="C2201" s="62" t="s">
        <v>1797</v>
      </c>
      <c r="D2201" s="63">
        <v>45809</v>
      </c>
      <c r="E2201" s="63">
        <v>46173</v>
      </c>
      <c r="F2201" s="62" t="s">
        <v>1922</v>
      </c>
      <c r="G2201" s="62" t="s">
        <v>385</v>
      </c>
      <c r="H2201" s="62" t="s">
        <v>373</v>
      </c>
      <c r="I2201" s="62" t="s">
        <v>825</v>
      </c>
      <c r="J2201" s="62" t="s">
        <v>935</v>
      </c>
      <c r="K2201" s="62" t="s">
        <v>347</v>
      </c>
      <c r="L2201" s="62" t="s">
        <v>2421</v>
      </c>
      <c r="M2201" s="66" t="s">
        <v>1972</v>
      </c>
    </row>
    <row r="2202" spans="1:13" x14ac:dyDescent="0.3">
      <c r="A2202" s="61" t="s">
        <v>2374</v>
      </c>
      <c r="B2202" s="62" t="s">
        <v>1796</v>
      </c>
      <c r="C2202" s="62" t="s">
        <v>1797</v>
      </c>
      <c r="D2202" s="63">
        <v>45809</v>
      </c>
      <c r="E2202" s="63">
        <v>46173</v>
      </c>
      <c r="F2202" s="62" t="s">
        <v>1922</v>
      </c>
      <c r="G2202" s="62" t="s">
        <v>386</v>
      </c>
      <c r="H2202" s="62" t="s">
        <v>373</v>
      </c>
      <c r="I2202" s="62" t="s">
        <v>825</v>
      </c>
      <c r="J2202" s="62" t="s">
        <v>935</v>
      </c>
      <c r="K2202" s="62" t="s">
        <v>347</v>
      </c>
      <c r="L2202" s="62" t="s">
        <v>2421</v>
      </c>
      <c r="M2202" s="66" t="s">
        <v>1972</v>
      </c>
    </row>
    <row r="2203" spans="1:13" x14ac:dyDescent="0.3">
      <c r="A2203" s="61" t="s">
        <v>2374</v>
      </c>
      <c r="B2203" s="62" t="s">
        <v>1796</v>
      </c>
      <c r="C2203" s="62" t="s">
        <v>1797</v>
      </c>
      <c r="D2203" s="63">
        <v>45809</v>
      </c>
      <c r="E2203" s="63">
        <v>46173</v>
      </c>
      <c r="F2203" s="62" t="s">
        <v>1922</v>
      </c>
      <c r="G2203" s="62" t="s">
        <v>387</v>
      </c>
      <c r="H2203" s="62" t="s">
        <v>373</v>
      </c>
      <c r="I2203" s="62" t="s">
        <v>825</v>
      </c>
      <c r="J2203" s="62" t="s">
        <v>935</v>
      </c>
      <c r="K2203" s="62" t="s">
        <v>347</v>
      </c>
      <c r="L2203" s="62" t="s">
        <v>2421</v>
      </c>
      <c r="M2203" s="66" t="s">
        <v>1972</v>
      </c>
    </row>
    <row r="2204" spans="1:13" x14ac:dyDescent="0.3">
      <c r="A2204" s="61" t="s">
        <v>2374</v>
      </c>
      <c r="B2204" s="62" t="s">
        <v>1796</v>
      </c>
      <c r="C2204" s="62" t="s">
        <v>1797</v>
      </c>
      <c r="D2204" s="63">
        <v>45809</v>
      </c>
      <c r="E2204" s="63">
        <v>46173</v>
      </c>
      <c r="F2204" s="62" t="s">
        <v>1922</v>
      </c>
      <c r="G2204" s="62" t="s">
        <v>553</v>
      </c>
      <c r="H2204" s="62" t="s">
        <v>373</v>
      </c>
      <c r="I2204" s="62" t="s">
        <v>825</v>
      </c>
      <c r="J2204" s="62" t="s">
        <v>935</v>
      </c>
      <c r="K2204" s="62" t="s">
        <v>347</v>
      </c>
      <c r="L2204" s="62" t="s">
        <v>2421</v>
      </c>
      <c r="M2204" s="66" t="s">
        <v>1972</v>
      </c>
    </row>
    <row r="2205" spans="1:13" x14ac:dyDescent="0.3">
      <c r="A2205" s="61" t="s">
        <v>2374</v>
      </c>
      <c r="B2205" s="62" t="s">
        <v>1796</v>
      </c>
      <c r="C2205" s="62" t="s">
        <v>1797</v>
      </c>
      <c r="D2205" s="63">
        <v>45809</v>
      </c>
      <c r="E2205" s="63">
        <v>46173</v>
      </c>
      <c r="F2205" s="62" t="s">
        <v>280</v>
      </c>
      <c r="G2205" s="62" t="s">
        <v>280</v>
      </c>
      <c r="H2205" s="62" t="s">
        <v>373</v>
      </c>
      <c r="I2205" s="62" t="s">
        <v>825</v>
      </c>
      <c r="J2205" s="62" t="s">
        <v>935</v>
      </c>
      <c r="K2205" s="62" t="s">
        <v>347</v>
      </c>
      <c r="L2205" s="62" t="s">
        <v>2421</v>
      </c>
      <c r="M2205" s="66" t="s">
        <v>1972</v>
      </c>
    </row>
    <row r="2206" spans="1:13" x14ac:dyDescent="0.3">
      <c r="A2206" s="61" t="s">
        <v>2374</v>
      </c>
      <c r="B2206" s="62" t="s">
        <v>1796</v>
      </c>
      <c r="C2206" s="62" t="s">
        <v>1797</v>
      </c>
      <c r="D2206" s="63">
        <v>45809</v>
      </c>
      <c r="E2206" s="63">
        <v>46173</v>
      </c>
      <c r="F2206" s="62" t="s">
        <v>280</v>
      </c>
      <c r="G2206" s="62" t="s">
        <v>406</v>
      </c>
      <c r="H2206" s="62" t="s">
        <v>373</v>
      </c>
      <c r="I2206" s="62" t="s">
        <v>825</v>
      </c>
      <c r="J2206" s="62" t="s">
        <v>935</v>
      </c>
      <c r="K2206" s="62" t="s">
        <v>347</v>
      </c>
      <c r="L2206" s="62" t="s">
        <v>2421</v>
      </c>
      <c r="M2206" s="66" t="s">
        <v>1972</v>
      </c>
    </row>
    <row r="2207" spans="1:13" x14ac:dyDescent="0.3">
      <c r="A2207" s="61" t="s">
        <v>2374</v>
      </c>
      <c r="B2207" s="62" t="s">
        <v>1796</v>
      </c>
      <c r="C2207" s="62" t="s">
        <v>1797</v>
      </c>
      <c r="D2207" s="63">
        <v>45809</v>
      </c>
      <c r="E2207" s="63">
        <v>46173</v>
      </c>
      <c r="F2207" s="62" t="s">
        <v>280</v>
      </c>
      <c r="G2207" s="62" t="s">
        <v>1195</v>
      </c>
      <c r="H2207" s="62" t="s">
        <v>373</v>
      </c>
      <c r="I2207" s="62" t="s">
        <v>825</v>
      </c>
      <c r="J2207" s="62" t="s">
        <v>935</v>
      </c>
      <c r="K2207" s="62" t="s">
        <v>347</v>
      </c>
      <c r="L2207" s="62" t="s">
        <v>2421</v>
      </c>
      <c r="M2207" s="66" t="s">
        <v>1972</v>
      </c>
    </row>
    <row r="2208" spans="1:13" x14ac:dyDescent="0.3">
      <c r="A2208" s="61" t="s">
        <v>2374</v>
      </c>
      <c r="B2208" s="62" t="s">
        <v>1796</v>
      </c>
      <c r="C2208" s="62" t="s">
        <v>1797</v>
      </c>
      <c r="D2208" s="63">
        <v>45809</v>
      </c>
      <c r="E2208" s="63">
        <v>46173</v>
      </c>
      <c r="F2208" s="62" t="s">
        <v>280</v>
      </c>
      <c r="G2208" s="62" t="s">
        <v>407</v>
      </c>
      <c r="H2208" s="62" t="s">
        <v>373</v>
      </c>
      <c r="I2208" s="62" t="s">
        <v>825</v>
      </c>
      <c r="J2208" s="62" t="s">
        <v>935</v>
      </c>
      <c r="K2208" s="62" t="s">
        <v>347</v>
      </c>
      <c r="L2208" s="62" t="s">
        <v>2421</v>
      </c>
      <c r="M2208" s="66" t="s">
        <v>1972</v>
      </c>
    </row>
    <row r="2209" spans="1:13" x14ac:dyDescent="0.3">
      <c r="A2209" s="61" t="s">
        <v>2374</v>
      </c>
      <c r="B2209" s="62" t="s">
        <v>1796</v>
      </c>
      <c r="C2209" s="62" t="s">
        <v>1797</v>
      </c>
      <c r="D2209" s="63">
        <v>45809</v>
      </c>
      <c r="E2209" s="63">
        <v>46173</v>
      </c>
      <c r="F2209" s="62" t="s">
        <v>280</v>
      </c>
      <c r="G2209" s="62" t="s">
        <v>408</v>
      </c>
      <c r="H2209" s="62" t="s">
        <v>373</v>
      </c>
      <c r="I2209" s="62" t="s">
        <v>825</v>
      </c>
      <c r="J2209" s="62" t="s">
        <v>935</v>
      </c>
      <c r="K2209" s="62" t="s">
        <v>347</v>
      </c>
      <c r="L2209" s="62" t="s">
        <v>2421</v>
      </c>
      <c r="M2209" s="66" t="s">
        <v>1972</v>
      </c>
    </row>
    <row r="2210" spans="1:13" x14ac:dyDescent="0.3">
      <c r="A2210" s="61" t="s">
        <v>2374</v>
      </c>
      <c r="B2210" s="62" t="s">
        <v>1796</v>
      </c>
      <c r="C2210" s="62" t="s">
        <v>1797</v>
      </c>
      <c r="D2210" s="63">
        <v>45809</v>
      </c>
      <c r="E2210" s="63">
        <v>46173</v>
      </c>
      <c r="F2210" s="62" t="s">
        <v>280</v>
      </c>
      <c r="G2210" s="62" t="s">
        <v>409</v>
      </c>
      <c r="H2210" s="62" t="s">
        <v>373</v>
      </c>
      <c r="I2210" s="62" t="s">
        <v>825</v>
      </c>
      <c r="J2210" s="62" t="s">
        <v>935</v>
      </c>
      <c r="K2210" s="62" t="s">
        <v>347</v>
      </c>
      <c r="L2210" s="62" t="s">
        <v>2421</v>
      </c>
      <c r="M2210" s="66" t="s">
        <v>1972</v>
      </c>
    </row>
    <row r="2211" spans="1:13" x14ac:dyDescent="0.3">
      <c r="A2211" s="61" t="s">
        <v>2374</v>
      </c>
      <c r="B2211" s="62" t="s">
        <v>1796</v>
      </c>
      <c r="C2211" s="62" t="s">
        <v>1797</v>
      </c>
      <c r="D2211" s="63">
        <v>45809</v>
      </c>
      <c r="E2211" s="63">
        <v>46173</v>
      </c>
      <c r="F2211" s="62" t="s">
        <v>280</v>
      </c>
      <c r="G2211" s="62" t="s">
        <v>410</v>
      </c>
      <c r="H2211" s="62" t="s">
        <v>373</v>
      </c>
      <c r="I2211" s="62" t="s">
        <v>825</v>
      </c>
      <c r="J2211" s="62" t="s">
        <v>935</v>
      </c>
      <c r="K2211" s="62" t="s">
        <v>347</v>
      </c>
      <c r="L2211" s="62" t="s">
        <v>2421</v>
      </c>
      <c r="M2211" s="66" t="s">
        <v>1972</v>
      </c>
    </row>
    <row r="2212" spans="1:13" x14ac:dyDescent="0.3">
      <c r="A2212" s="61" t="s">
        <v>2374</v>
      </c>
      <c r="B2212" s="62" t="s">
        <v>1796</v>
      </c>
      <c r="C2212" s="62" t="s">
        <v>1797</v>
      </c>
      <c r="D2212" s="63">
        <v>45809</v>
      </c>
      <c r="E2212" s="63">
        <v>46173</v>
      </c>
      <c r="F2212" s="62" t="s">
        <v>287</v>
      </c>
      <c r="G2212" s="62" t="s">
        <v>589</v>
      </c>
      <c r="H2212" s="62" t="s">
        <v>373</v>
      </c>
      <c r="I2212" s="62" t="s">
        <v>825</v>
      </c>
      <c r="J2212" s="62" t="s">
        <v>935</v>
      </c>
      <c r="K2212" s="62" t="s">
        <v>347</v>
      </c>
      <c r="L2212" s="62" t="s">
        <v>2421</v>
      </c>
      <c r="M2212" s="66" t="s">
        <v>1972</v>
      </c>
    </row>
    <row r="2213" spans="1:13" x14ac:dyDescent="0.3">
      <c r="A2213" s="61" t="s">
        <v>2374</v>
      </c>
      <c r="B2213" s="62" t="s">
        <v>1796</v>
      </c>
      <c r="C2213" s="62" t="s">
        <v>1797</v>
      </c>
      <c r="D2213" s="63">
        <v>45809</v>
      </c>
      <c r="E2213" s="63">
        <v>46173</v>
      </c>
      <c r="F2213" s="62" t="s">
        <v>287</v>
      </c>
      <c r="G2213" s="62" t="s">
        <v>768</v>
      </c>
      <c r="H2213" s="62" t="s">
        <v>373</v>
      </c>
      <c r="I2213" s="62" t="s">
        <v>825</v>
      </c>
      <c r="J2213" s="62" t="s">
        <v>935</v>
      </c>
      <c r="K2213" s="62" t="s">
        <v>347</v>
      </c>
      <c r="L2213" s="62" t="s">
        <v>2421</v>
      </c>
      <c r="M2213" s="66" t="s">
        <v>1972</v>
      </c>
    </row>
    <row r="2214" spans="1:13" x14ac:dyDescent="0.3">
      <c r="A2214" s="61" t="s">
        <v>2374</v>
      </c>
      <c r="B2214" s="62" t="s">
        <v>1796</v>
      </c>
      <c r="C2214" s="62" t="s">
        <v>1797</v>
      </c>
      <c r="D2214" s="63">
        <v>45809</v>
      </c>
      <c r="E2214" s="63">
        <v>46173</v>
      </c>
      <c r="F2214" s="62" t="s">
        <v>287</v>
      </c>
      <c r="G2214" s="62" t="s">
        <v>392</v>
      </c>
      <c r="H2214" s="62" t="s">
        <v>373</v>
      </c>
      <c r="I2214" s="62" t="s">
        <v>825</v>
      </c>
      <c r="J2214" s="62" t="s">
        <v>935</v>
      </c>
      <c r="K2214" s="62" t="s">
        <v>347</v>
      </c>
      <c r="L2214" s="62" t="s">
        <v>2421</v>
      </c>
      <c r="M2214" s="66" t="s">
        <v>1972</v>
      </c>
    </row>
    <row r="2215" spans="1:13" x14ac:dyDescent="0.3">
      <c r="A2215" s="61" t="s">
        <v>2374</v>
      </c>
      <c r="B2215" s="62" t="s">
        <v>1796</v>
      </c>
      <c r="C2215" s="62" t="s">
        <v>1797</v>
      </c>
      <c r="D2215" s="63">
        <v>45809</v>
      </c>
      <c r="E2215" s="63">
        <v>46173</v>
      </c>
      <c r="F2215" s="62" t="s">
        <v>287</v>
      </c>
      <c r="G2215" s="62" t="s">
        <v>394</v>
      </c>
      <c r="H2215" s="62" t="s">
        <v>373</v>
      </c>
      <c r="I2215" s="62" t="s">
        <v>825</v>
      </c>
      <c r="J2215" s="62" t="s">
        <v>935</v>
      </c>
      <c r="K2215" s="62" t="s">
        <v>347</v>
      </c>
      <c r="L2215" s="62" t="s">
        <v>2421</v>
      </c>
      <c r="M2215" s="66" t="s">
        <v>1972</v>
      </c>
    </row>
    <row r="2216" spans="1:13" x14ac:dyDescent="0.3">
      <c r="A2216" s="61" t="s">
        <v>2374</v>
      </c>
      <c r="B2216" s="62" t="s">
        <v>1796</v>
      </c>
      <c r="C2216" s="62" t="s">
        <v>1797</v>
      </c>
      <c r="D2216" s="63">
        <v>45809</v>
      </c>
      <c r="E2216" s="63">
        <v>46173</v>
      </c>
      <c r="F2216" s="62" t="s">
        <v>287</v>
      </c>
      <c r="G2216" s="62" t="s">
        <v>395</v>
      </c>
      <c r="H2216" s="62" t="s">
        <v>373</v>
      </c>
      <c r="I2216" s="62" t="s">
        <v>825</v>
      </c>
      <c r="J2216" s="62" t="s">
        <v>935</v>
      </c>
      <c r="K2216" s="62" t="s">
        <v>347</v>
      </c>
      <c r="L2216" s="62" t="s">
        <v>2421</v>
      </c>
      <c r="M2216" s="66" t="s">
        <v>1972</v>
      </c>
    </row>
    <row r="2217" spans="1:13" x14ac:dyDescent="0.3">
      <c r="A2217" s="61" t="s">
        <v>2375</v>
      </c>
      <c r="B2217" s="62" t="s">
        <v>1799</v>
      </c>
      <c r="C2217" s="62" t="s">
        <v>1800</v>
      </c>
      <c r="D2217" s="63">
        <v>45512</v>
      </c>
      <c r="E2217" s="63">
        <v>46607</v>
      </c>
      <c r="F2217" s="62" t="s">
        <v>350</v>
      </c>
      <c r="G2217" s="62" t="s">
        <v>350</v>
      </c>
      <c r="H2217" s="62" t="s">
        <v>1515</v>
      </c>
      <c r="I2217" s="62" t="s">
        <v>424</v>
      </c>
      <c r="J2217" s="62" t="s">
        <v>652</v>
      </c>
      <c r="K2217" s="62" t="s">
        <v>571</v>
      </c>
      <c r="L2217" s="62" t="s">
        <v>2421</v>
      </c>
      <c r="M2217" s="66" t="s">
        <v>1966</v>
      </c>
    </row>
    <row r="2218" spans="1:13" x14ac:dyDescent="0.3">
      <c r="A2218" s="61" t="s">
        <v>2376</v>
      </c>
      <c r="B2218" s="62" t="s">
        <v>1801</v>
      </c>
      <c r="C2218" s="62" t="s">
        <v>1802</v>
      </c>
      <c r="D2218" s="63">
        <v>45569</v>
      </c>
      <c r="E2218" s="63">
        <v>47090</v>
      </c>
      <c r="F2218" s="62" t="s">
        <v>287</v>
      </c>
      <c r="G2218" s="62" t="s">
        <v>1342</v>
      </c>
      <c r="H2218" s="62" t="s">
        <v>1803</v>
      </c>
      <c r="I2218" s="62" t="s">
        <v>2443</v>
      </c>
      <c r="J2218" s="62" t="s">
        <v>314</v>
      </c>
      <c r="K2218" s="62" t="s">
        <v>315</v>
      </c>
      <c r="L2218" s="62" t="s">
        <v>2421</v>
      </c>
      <c r="M2218" s="66" t="s">
        <v>1969</v>
      </c>
    </row>
    <row r="2219" spans="1:13" x14ac:dyDescent="0.3">
      <c r="A2219" s="61" t="s">
        <v>2376</v>
      </c>
      <c r="B2219" s="62" t="s">
        <v>1801</v>
      </c>
      <c r="C2219" s="62" t="s">
        <v>1802</v>
      </c>
      <c r="D2219" s="63">
        <v>45569</v>
      </c>
      <c r="E2219" s="63">
        <v>47090</v>
      </c>
      <c r="F2219" s="62" t="s">
        <v>287</v>
      </c>
      <c r="G2219" s="62" t="s">
        <v>964</v>
      </c>
      <c r="H2219" s="62" t="s">
        <v>1803</v>
      </c>
      <c r="I2219" s="62" t="s">
        <v>2443</v>
      </c>
      <c r="J2219" s="62" t="s">
        <v>314</v>
      </c>
      <c r="K2219" s="62" t="s">
        <v>315</v>
      </c>
      <c r="L2219" s="62" t="s">
        <v>2421</v>
      </c>
      <c r="M2219" s="66" t="s">
        <v>1969</v>
      </c>
    </row>
    <row r="2220" spans="1:13" x14ac:dyDescent="0.3">
      <c r="A2220" s="61" t="s">
        <v>2376</v>
      </c>
      <c r="B2220" s="62" t="s">
        <v>1801</v>
      </c>
      <c r="C2220" s="62" t="s">
        <v>1802</v>
      </c>
      <c r="D2220" s="63">
        <v>45569</v>
      </c>
      <c r="E2220" s="63">
        <v>47090</v>
      </c>
      <c r="F2220" s="62" t="s">
        <v>287</v>
      </c>
      <c r="G2220" s="62" t="s">
        <v>933</v>
      </c>
      <c r="H2220" s="62" t="s">
        <v>1803</v>
      </c>
      <c r="I2220" s="62" t="s">
        <v>2443</v>
      </c>
      <c r="J2220" s="62" t="s">
        <v>314</v>
      </c>
      <c r="K2220" s="62" t="s">
        <v>315</v>
      </c>
      <c r="L2220" s="62" t="s">
        <v>2421</v>
      </c>
      <c r="M2220" s="66" t="s">
        <v>1969</v>
      </c>
    </row>
    <row r="2221" spans="1:13" x14ac:dyDescent="0.3">
      <c r="A2221" s="61" t="s">
        <v>2376</v>
      </c>
      <c r="B2221" s="62" t="s">
        <v>1801</v>
      </c>
      <c r="C2221" s="62" t="s">
        <v>1802</v>
      </c>
      <c r="D2221" s="63">
        <v>45569</v>
      </c>
      <c r="E2221" s="63">
        <v>47090</v>
      </c>
      <c r="F2221" s="62" t="s">
        <v>287</v>
      </c>
      <c r="G2221" s="62" t="s">
        <v>934</v>
      </c>
      <c r="H2221" s="62" t="s">
        <v>1803</v>
      </c>
      <c r="I2221" s="62" t="s">
        <v>2443</v>
      </c>
      <c r="J2221" s="62" t="s">
        <v>314</v>
      </c>
      <c r="K2221" s="62" t="s">
        <v>315</v>
      </c>
      <c r="L2221" s="62" t="s">
        <v>2421</v>
      </c>
      <c r="M2221" s="66" t="s">
        <v>1969</v>
      </c>
    </row>
    <row r="2222" spans="1:13" x14ac:dyDescent="0.3">
      <c r="A2222" s="61" t="s">
        <v>2376</v>
      </c>
      <c r="B2222" s="62" t="s">
        <v>1801</v>
      </c>
      <c r="C2222" s="62" t="s">
        <v>1802</v>
      </c>
      <c r="D2222" s="63">
        <v>45569</v>
      </c>
      <c r="E2222" s="63">
        <v>47090</v>
      </c>
      <c r="F2222" s="62" t="s">
        <v>287</v>
      </c>
      <c r="G2222" s="62" t="s">
        <v>1342</v>
      </c>
      <c r="H2222" s="62" t="s">
        <v>1804</v>
      </c>
      <c r="I2222" s="62" t="s">
        <v>2443</v>
      </c>
      <c r="J2222" s="62" t="s">
        <v>314</v>
      </c>
      <c r="K2222" s="62" t="s">
        <v>315</v>
      </c>
      <c r="L2222" s="62" t="s">
        <v>2421</v>
      </c>
      <c r="M2222" s="66" t="s">
        <v>1969</v>
      </c>
    </row>
    <row r="2223" spans="1:13" x14ac:dyDescent="0.3">
      <c r="A2223" s="61" t="s">
        <v>2376</v>
      </c>
      <c r="B2223" s="62" t="s">
        <v>1801</v>
      </c>
      <c r="C2223" s="62" t="s">
        <v>1802</v>
      </c>
      <c r="D2223" s="63">
        <v>45569</v>
      </c>
      <c r="E2223" s="63">
        <v>47090</v>
      </c>
      <c r="F2223" s="62" t="s">
        <v>287</v>
      </c>
      <c r="G2223" s="62" t="s">
        <v>964</v>
      </c>
      <c r="H2223" s="62" t="s">
        <v>1804</v>
      </c>
      <c r="I2223" s="62" t="s">
        <v>2443</v>
      </c>
      <c r="J2223" s="62" t="s">
        <v>314</v>
      </c>
      <c r="K2223" s="62" t="s">
        <v>315</v>
      </c>
      <c r="L2223" s="62" t="s">
        <v>2421</v>
      </c>
      <c r="M2223" s="66" t="s">
        <v>1969</v>
      </c>
    </row>
    <row r="2224" spans="1:13" x14ac:dyDescent="0.3">
      <c r="A2224" s="61" t="s">
        <v>2376</v>
      </c>
      <c r="B2224" s="62" t="s">
        <v>1801</v>
      </c>
      <c r="C2224" s="62" t="s">
        <v>1802</v>
      </c>
      <c r="D2224" s="63">
        <v>45569</v>
      </c>
      <c r="E2224" s="63">
        <v>47090</v>
      </c>
      <c r="F2224" s="62" t="s">
        <v>287</v>
      </c>
      <c r="G2224" s="62" t="s">
        <v>933</v>
      </c>
      <c r="H2224" s="62" t="s">
        <v>1804</v>
      </c>
      <c r="I2224" s="62" t="s">
        <v>2443</v>
      </c>
      <c r="J2224" s="62" t="s">
        <v>314</v>
      </c>
      <c r="K2224" s="62" t="s">
        <v>315</v>
      </c>
      <c r="L2224" s="62" t="s">
        <v>2421</v>
      </c>
      <c r="M2224" s="66" t="s">
        <v>1969</v>
      </c>
    </row>
    <row r="2225" spans="1:13" x14ac:dyDescent="0.3">
      <c r="A2225" s="61" t="s">
        <v>2376</v>
      </c>
      <c r="B2225" s="62" t="s">
        <v>1801</v>
      </c>
      <c r="C2225" s="62" t="s">
        <v>1802</v>
      </c>
      <c r="D2225" s="63">
        <v>45569</v>
      </c>
      <c r="E2225" s="63">
        <v>47090</v>
      </c>
      <c r="F2225" s="62" t="s">
        <v>287</v>
      </c>
      <c r="G2225" s="62" t="s">
        <v>934</v>
      </c>
      <c r="H2225" s="62" t="s">
        <v>1804</v>
      </c>
      <c r="I2225" s="62" t="s">
        <v>2443</v>
      </c>
      <c r="J2225" s="62" t="s">
        <v>314</v>
      </c>
      <c r="K2225" s="62" t="s">
        <v>315</v>
      </c>
      <c r="L2225" s="62" t="s">
        <v>2421</v>
      </c>
      <c r="M2225" s="66" t="s">
        <v>1969</v>
      </c>
    </row>
    <row r="2226" spans="1:13" x14ac:dyDescent="0.3">
      <c r="A2226" s="61" t="s">
        <v>2376</v>
      </c>
      <c r="B2226" s="62" t="s">
        <v>1801</v>
      </c>
      <c r="C2226" s="62" t="s">
        <v>1802</v>
      </c>
      <c r="D2226" s="63">
        <v>45569</v>
      </c>
      <c r="E2226" s="63">
        <v>47090</v>
      </c>
      <c r="F2226" s="62" t="s">
        <v>287</v>
      </c>
      <c r="G2226" s="62" t="s">
        <v>1342</v>
      </c>
      <c r="H2226" s="62" t="s">
        <v>1805</v>
      </c>
      <c r="I2226" s="62" t="s">
        <v>2443</v>
      </c>
      <c r="J2226" s="62" t="s">
        <v>314</v>
      </c>
      <c r="K2226" s="62" t="s">
        <v>315</v>
      </c>
      <c r="L2226" s="62" t="s">
        <v>2421</v>
      </c>
      <c r="M2226" s="66" t="s">
        <v>1969</v>
      </c>
    </row>
    <row r="2227" spans="1:13" x14ac:dyDescent="0.3">
      <c r="A2227" s="61" t="s">
        <v>2376</v>
      </c>
      <c r="B2227" s="62" t="s">
        <v>1801</v>
      </c>
      <c r="C2227" s="62" t="s">
        <v>1802</v>
      </c>
      <c r="D2227" s="63">
        <v>45569</v>
      </c>
      <c r="E2227" s="63">
        <v>47090</v>
      </c>
      <c r="F2227" s="62" t="s">
        <v>287</v>
      </c>
      <c r="G2227" s="62" t="s">
        <v>964</v>
      </c>
      <c r="H2227" s="62" t="s">
        <v>1805</v>
      </c>
      <c r="I2227" s="62" t="s">
        <v>2443</v>
      </c>
      <c r="J2227" s="62" t="s">
        <v>314</v>
      </c>
      <c r="K2227" s="62" t="s">
        <v>315</v>
      </c>
      <c r="L2227" s="62" t="s">
        <v>2421</v>
      </c>
      <c r="M2227" s="66" t="s">
        <v>1969</v>
      </c>
    </row>
    <row r="2228" spans="1:13" x14ac:dyDescent="0.3">
      <c r="A2228" s="61" t="s">
        <v>2376</v>
      </c>
      <c r="B2228" s="62" t="s">
        <v>1801</v>
      </c>
      <c r="C2228" s="62" t="s">
        <v>1802</v>
      </c>
      <c r="D2228" s="63">
        <v>45569</v>
      </c>
      <c r="E2228" s="63">
        <v>47090</v>
      </c>
      <c r="F2228" s="62" t="s">
        <v>287</v>
      </c>
      <c r="G2228" s="62" t="s">
        <v>933</v>
      </c>
      <c r="H2228" s="62" t="s">
        <v>1805</v>
      </c>
      <c r="I2228" s="62" t="s">
        <v>2443</v>
      </c>
      <c r="J2228" s="62" t="s">
        <v>314</v>
      </c>
      <c r="K2228" s="62" t="s">
        <v>315</v>
      </c>
      <c r="L2228" s="62" t="s">
        <v>2421</v>
      </c>
      <c r="M2228" s="66" t="s">
        <v>1969</v>
      </c>
    </row>
    <row r="2229" spans="1:13" x14ac:dyDescent="0.3">
      <c r="A2229" s="61" t="s">
        <v>2376</v>
      </c>
      <c r="B2229" s="62" t="s">
        <v>1801</v>
      </c>
      <c r="C2229" s="62" t="s">
        <v>1802</v>
      </c>
      <c r="D2229" s="63">
        <v>45569</v>
      </c>
      <c r="E2229" s="63">
        <v>47090</v>
      </c>
      <c r="F2229" s="62" t="s">
        <v>287</v>
      </c>
      <c r="G2229" s="62" t="s">
        <v>934</v>
      </c>
      <c r="H2229" s="62" t="s">
        <v>1805</v>
      </c>
      <c r="I2229" s="62" t="s">
        <v>2443</v>
      </c>
      <c r="J2229" s="62" t="s">
        <v>314</v>
      </c>
      <c r="K2229" s="62" t="s">
        <v>315</v>
      </c>
      <c r="L2229" s="62" t="s">
        <v>2421</v>
      </c>
      <c r="M2229" s="66" t="s">
        <v>1969</v>
      </c>
    </row>
    <row r="2230" spans="1:13" x14ac:dyDescent="0.3">
      <c r="A2230" s="61" t="s">
        <v>2377</v>
      </c>
      <c r="B2230" s="62" t="s">
        <v>1806</v>
      </c>
      <c r="C2230" s="62" t="s">
        <v>1802</v>
      </c>
      <c r="D2230" s="63">
        <v>45934</v>
      </c>
      <c r="E2230" s="63">
        <v>47090</v>
      </c>
      <c r="F2230" s="62" t="s">
        <v>287</v>
      </c>
      <c r="G2230" s="62" t="s">
        <v>1342</v>
      </c>
      <c r="H2230" s="62" t="s">
        <v>1804</v>
      </c>
      <c r="I2230" s="62" t="s">
        <v>2443</v>
      </c>
      <c r="J2230" s="62" t="s">
        <v>314</v>
      </c>
      <c r="K2230" s="62" t="s">
        <v>315</v>
      </c>
      <c r="L2230" s="62" t="s">
        <v>2421</v>
      </c>
      <c r="M2230" s="66" t="s">
        <v>1969</v>
      </c>
    </row>
    <row r="2231" spans="1:13" x14ac:dyDescent="0.3">
      <c r="A2231" s="61" t="s">
        <v>2377</v>
      </c>
      <c r="B2231" s="62" t="s">
        <v>1806</v>
      </c>
      <c r="C2231" s="62" t="s">
        <v>1802</v>
      </c>
      <c r="D2231" s="63">
        <v>45934</v>
      </c>
      <c r="E2231" s="63">
        <v>47090</v>
      </c>
      <c r="F2231" s="62" t="s">
        <v>287</v>
      </c>
      <c r="G2231" s="62" t="s">
        <v>964</v>
      </c>
      <c r="H2231" s="62" t="s">
        <v>1804</v>
      </c>
      <c r="I2231" s="62" t="s">
        <v>2443</v>
      </c>
      <c r="J2231" s="62" t="s">
        <v>314</v>
      </c>
      <c r="K2231" s="62" t="s">
        <v>315</v>
      </c>
      <c r="L2231" s="62" t="s">
        <v>2421</v>
      </c>
      <c r="M2231" s="66" t="s">
        <v>1969</v>
      </c>
    </row>
    <row r="2232" spans="1:13" x14ac:dyDescent="0.3">
      <c r="A2232" s="61" t="s">
        <v>2377</v>
      </c>
      <c r="B2232" s="62" t="s">
        <v>1806</v>
      </c>
      <c r="C2232" s="62" t="s">
        <v>1802</v>
      </c>
      <c r="D2232" s="63">
        <v>45934</v>
      </c>
      <c r="E2232" s="63">
        <v>47090</v>
      </c>
      <c r="F2232" s="62" t="s">
        <v>287</v>
      </c>
      <c r="G2232" s="62" t="s">
        <v>933</v>
      </c>
      <c r="H2232" s="62" t="s">
        <v>1804</v>
      </c>
      <c r="I2232" s="62" t="s">
        <v>2443</v>
      </c>
      <c r="J2232" s="62" t="s">
        <v>314</v>
      </c>
      <c r="K2232" s="62" t="s">
        <v>315</v>
      </c>
      <c r="L2232" s="62" t="s">
        <v>2421</v>
      </c>
      <c r="M2232" s="66" t="s">
        <v>1969</v>
      </c>
    </row>
    <row r="2233" spans="1:13" x14ac:dyDescent="0.3">
      <c r="A2233" s="61" t="s">
        <v>2377</v>
      </c>
      <c r="B2233" s="62" t="s">
        <v>1806</v>
      </c>
      <c r="C2233" s="62" t="s">
        <v>1802</v>
      </c>
      <c r="D2233" s="63">
        <v>45934</v>
      </c>
      <c r="E2233" s="63">
        <v>47090</v>
      </c>
      <c r="F2233" s="62" t="s">
        <v>287</v>
      </c>
      <c r="G2233" s="62" t="s">
        <v>934</v>
      </c>
      <c r="H2233" s="62" t="s">
        <v>1804</v>
      </c>
      <c r="I2233" s="62" t="s">
        <v>2443</v>
      </c>
      <c r="J2233" s="62" t="s">
        <v>314</v>
      </c>
      <c r="K2233" s="62" t="s">
        <v>315</v>
      </c>
      <c r="L2233" s="62" t="s">
        <v>2421</v>
      </c>
      <c r="M2233" s="66" t="s">
        <v>1969</v>
      </c>
    </row>
    <row r="2234" spans="1:13" x14ac:dyDescent="0.3">
      <c r="A2234" s="61" t="s">
        <v>2377</v>
      </c>
      <c r="B2234" s="62" t="s">
        <v>1806</v>
      </c>
      <c r="C2234" s="62" t="s">
        <v>1802</v>
      </c>
      <c r="D2234" s="63">
        <v>45934</v>
      </c>
      <c r="E2234" s="63">
        <v>47090</v>
      </c>
      <c r="F2234" s="62" t="s">
        <v>287</v>
      </c>
      <c r="G2234" s="62" t="s">
        <v>1342</v>
      </c>
      <c r="H2234" s="62" t="s">
        <v>1805</v>
      </c>
      <c r="I2234" s="62" t="s">
        <v>2443</v>
      </c>
      <c r="J2234" s="62" t="s">
        <v>314</v>
      </c>
      <c r="K2234" s="62" t="s">
        <v>315</v>
      </c>
      <c r="L2234" s="62" t="s">
        <v>2421</v>
      </c>
      <c r="M2234" s="66" t="s">
        <v>1969</v>
      </c>
    </row>
    <row r="2235" spans="1:13" x14ac:dyDescent="0.3">
      <c r="A2235" s="61" t="s">
        <v>2377</v>
      </c>
      <c r="B2235" s="62" t="s">
        <v>1806</v>
      </c>
      <c r="C2235" s="62" t="s">
        <v>1802</v>
      </c>
      <c r="D2235" s="63">
        <v>45934</v>
      </c>
      <c r="E2235" s="63">
        <v>47090</v>
      </c>
      <c r="F2235" s="62" t="s">
        <v>287</v>
      </c>
      <c r="G2235" s="62" t="s">
        <v>964</v>
      </c>
      <c r="H2235" s="62" t="s">
        <v>1805</v>
      </c>
      <c r="I2235" s="62" t="s">
        <v>2443</v>
      </c>
      <c r="J2235" s="62" t="s">
        <v>314</v>
      </c>
      <c r="K2235" s="62" t="s">
        <v>315</v>
      </c>
      <c r="L2235" s="62" t="s">
        <v>2421</v>
      </c>
      <c r="M2235" s="66" t="s">
        <v>1969</v>
      </c>
    </row>
    <row r="2236" spans="1:13" x14ac:dyDescent="0.3">
      <c r="A2236" s="61" t="s">
        <v>2377</v>
      </c>
      <c r="B2236" s="62" t="s">
        <v>1806</v>
      </c>
      <c r="C2236" s="62" t="s">
        <v>1802</v>
      </c>
      <c r="D2236" s="63">
        <v>45934</v>
      </c>
      <c r="E2236" s="63">
        <v>47090</v>
      </c>
      <c r="F2236" s="62" t="s">
        <v>287</v>
      </c>
      <c r="G2236" s="62" t="s">
        <v>933</v>
      </c>
      <c r="H2236" s="62" t="s">
        <v>1805</v>
      </c>
      <c r="I2236" s="62" t="s">
        <v>2443</v>
      </c>
      <c r="J2236" s="62" t="s">
        <v>314</v>
      </c>
      <c r="K2236" s="62" t="s">
        <v>315</v>
      </c>
      <c r="L2236" s="62" t="s">
        <v>2421</v>
      </c>
      <c r="M2236" s="66" t="s">
        <v>1969</v>
      </c>
    </row>
    <row r="2237" spans="1:13" x14ac:dyDescent="0.3">
      <c r="A2237" s="61" t="s">
        <v>2377</v>
      </c>
      <c r="B2237" s="62" t="s">
        <v>1806</v>
      </c>
      <c r="C2237" s="62" t="s">
        <v>1802</v>
      </c>
      <c r="D2237" s="63">
        <v>45934</v>
      </c>
      <c r="E2237" s="63">
        <v>47090</v>
      </c>
      <c r="F2237" s="62" t="s">
        <v>287</v>
      </c>
      <c r="G2237" s="62" t="s">
        <v>934</v>
      </c>
      <c r="H2237" s="62" t="s">
        <v>1805</v>
      </c>
      <c r="I2237" s="62" t="s">
        <v>2443</v>
      </c>
      <c r="J2237" s="62" t="s">
        <v>314</v>
      </c>
      <c r="K2237" s="62" t="s">
        <v>315</v>
      </c>
      <c r="L2237" s="62" t="s">
        <v>2421</v>
      </c>
      <c r="M2237" s="66" t="s">
        <v>1969</v>
      </c>
    </row>
    <row r="2238" spans="1:13" x14ac:dyDescent="0.3">
      <c r="A2238" s="61" t="s">
        <v>2378</v>
      </c>
      <c r="B2238" s="62" t="s">
        <v>1807</v>
      </c>
      <c r="C2238" s="62" t="s">
        <v>1802</v>
      </c>
      <c r="D2238" s="63">
        <v>46299</v>
      </c>
      <c r="E2238" s="63">
        <v>47090</v>
      </c>
      <c r="F2238" s="62" t="s">
        <v>287</v>
      </c>
      <c r="G2238" s="62" t="s">
        <v>1342</v>
      </c>
      <c r="H2238" s="62" t="s">
        <v>1804</v>
      </c>
      <c r="I2238" s="62" t="s">
        <v>2443</v>
      </c>
      <c r="J2238" s="62" t="s">
        <v>314</v>
      </c>
      <c r="K2238" s="62" t="s">
        <v>315</v>
      </c>
      <c r="L2238" s="62" t="s">
        <v>2421</v>
      </c>
      <c r="M2238" s="66" t="s">
        <v>1969</v>
      </c>
    </row>
    <row r="2239" spans="1:13" x14ac:dyDescent="0.3">
      <c r="A2239" s="61" t="s">
        <v>2378</v>
      </c>
      <c r="B2239" s="62" t="s">
        <v>1807</v>
      </c>
      <c r="C2239" s="62" t="s">
        <v>1802</v>
      </c>
      <c r="D2239" s="63">
        <v>46299</v>
      </c>
      <c r="E2239" s="63">
        <v>47090</v>
      </c>
      <c r="F2239" s="62" t="s">
        <v>287</v>
      </c>
      <c r="G2239" s="62" t="s">
        <v>964</v>
      </c>
      <c r="H2239" s="62" t="s">
        <v>1804</v>
      </c>
      <c r="I2239" s="62" t="s">
        <v>2443</v>
      </c>
      <c r="J2239" s="62" t="s">
        <v>314</v>
      </c>
      <c r="K2239" s="62" t="s">
        <v>315</v>
      </c>
      <c r="L2239" s="62" t="s">
        <v>2421</v>
      </c>
      <c r="M2239" s="66" t="s">
        <v>1969</v>
      </c>
    </row>
    <row r="2240" spans="1:13" x14ac:dyDescent="0.3">
      <c r="A2240" s="61" t="s">
        <v>2378</v>
      </c>
      <c r="B2240" s="62" t="s">
        <v>1807</v>
      </c>
      <c r="C2240" s="62" t="s">
        <v>1802</v>
      </c>
      <c r="D2240" s="63">
        <v>46299</v>
      </c>
      <c r="E2240" s="63">
        <v>47090</v>
      </c>
      <c r="F2240" s="62" t="s">
        <v>287</v>
      </c>
      <c r="G2240" s="62" t="s">
        <v>933</v>
      </c>
      <c r="H2240" s="62" t="s">
        <v>1804</v>
      </c>
      <c r="I2240" s="62" t="s">
        <v>2443</v>
      </c>
      <c r="J2240" s="62" t="s">
        <v>314</v>
      </c>
      <c r="K2240" s="62" t="s">
        <v>315</v>
      </c>
      <c r="L2240" s="62" t="s">
        <v>2421</v>
      </c>
      <c r="M2240" s="66" t="s">
        <v>1969</v>
      </c>
    </row>
    <row r="2241" spans="1:13" x14ac:dyDescent="0.3">
      <c r="A2241" s="61" t="s">
        <v>2378</v>
      </c>
      <c r="B2241" s="62" t="s">
        <v>1807</v>
      </c>
      <c r="C2241" s="62" t="s">
        <v>1802</v>
      </c>
      <c r="D2241" s="63">
        <v>46299</v>
      </c>
      <c r="E2241" s="63">
        <v>47090</v>
      </c>
      <c r="F2241" s="62" t="s">
        <v>287</v>
      </c>
      <c r="G2241" s="62" t="s">
        <v>934</v>
      </c>
      <c r="H2241" s="62" t="s">
        <v>1804</v>
      </c>
      <c r="I2241" s="62" t="s">
        <v>2443</v>
      </c>
      <c r="J2241" s="62" t="s">
        <v>314</v>
      </c>
      <c r="K2241" s="62" t="s">
        <v>315</v>
      </c>
      <c r="L2241" s="62" t="s">
        <v>2421</v>
      </c>
      <c r="M2241" s="66" t="s">
        <v>1969</v>
      </c>
    </row>
    <row r="2242" spans="1:13" x14ac:dyDescent="0.3">
      <c r="A2242" s="61" t="s">
        <v>2378</v>
      </c>
      <c r="B2242" s="62" t="s">
        <v>1807</v>
      </c>
      <c r="C2242" s="62" t="s">
        <v>1802</v>
      </c>
      <c r="D2242" s="63">
        <v>46299</v>
      </c>
      <c r="E2242" s="63">
        <v>47090</v>
      </c>
      <c r="F2242" s="62" t="s">
        <v>287</v>
      </c>
      <c r="G2242" s="62" t="s">
        <v>1342</v>
      </c>
      <c r="H2242" s="62" t="s">
        <v>1805</v>
      </c>
      <c r="I2242" s="62" t="s">
        <v>2443</v>
      </c>
      <c r="J2242" s="62" t="s">
        <v>314</v>
      </c>
      <c r="K2242" s="62" t="s">
        <v>315</v>
      </c>
      <c r="L2242" s="62" t="s">
        <v>2421</v>
      </c>
      <c r="M2242" s="66" t="s">
        <v>1969</v>
      </c>
    </row>
    <row r="2243" spans="1:13" x14ac:dyDescent="0.3">
      <c r="A2243" s="61" t="s">
        <v>2378</v>
      </c>
      <c r="B2243" s="62" t="s">
        <v>1807</v>
      </c>
      <c r="C2243" s="62" t="s">
        <v>1802</v>
      </c>
      <c r="D2243" s="63">
        <v>46299</v>
      </c>
      <c r="E2243" s="63">
        <v>47090</v>
      </c>
      <c r="F2243" s="62" t="s">
        <v>287</v>
      </c>
      <c r="G2243" s="62" t="s">
        <v>964</v>
      </c>
      <c r="H2243" s="62" t="s">
        <v>1805</v>
      </c>
      <c r="I2243" s="62" t="s">
        <v>2443</v>
      </c>
      <c r="J2243" s="62" t="s">
        <v>314</v>
      </c>
      <c r="K2243" s="62" t="s">
        <v>315</v>
      </c>
      <c r="L2243" s="62" t="s">
        <v>2421</v>
      </c>
      <c r="M2243" s="66" t="s">
        <v>1969</v>
      </c>
    </row>
    <row r="2244" spans="1:13" x14ac:dyDescent="0.3">
      <c r="A2244" s="61" t="s">
        <v>2378</v>
      </c>
      <c r="B2244" s="62" t="s">
        <v>1807</v>
      </c>
      <c r="C2244" s="62" t="s">
        <v>1802</v>
      </c>
      <c r="D2244" s="63">
        <v>46299</v>
      </c>
      <c r="E2244" s="63">
        <v>47090</v>
      </c>
      <c r="F2244" s="62" t="s">
        <v>287</v>
      </c>
      <c r="G2244" s="62" t="s">
        <v>933</v>
      </c>
      <c r="H2244" s="62" t="s">
        <v>1805</v>
      </c>
      <c r="I2244" s="62" t="s">
        <v>2443</v>
      </c>
      <c r="J2244" s="62" t="s">
        <v>314</v>
      </c>
      <c r="K2244" s="62" t="s">
        <v>315</v>
      </c>
      <c r="L2244" s="62" t="s">
        <v>2421</v>
      </c>
      <c r="M2244" s="66" t="s">
        <v>1969</v>
      </c>
    </row>
    <row r="2245" spans="1:13" x14ac:dyDescent="0.3">
      <c r="A2245" s="61" t="s">
        <v>2378</v>
      </c>
      <c r="B2245" s="62" t="s">
        <v>1807</v>
      </c>
      <c r="C2245" s="62" t="s">
        <v>1802</v>
      </c>
      <c r="D2245" s="63">
        <v>46299</v>
      </c>
      <c r="E2245" s="63">
        <v>47090</v>
      </c>
      <c r="F2245" s="62" t="s">
        <v>287</v>
      </c>
      <c r="G2245" s="62" t="s">
        <v>934</v>
      </c>
      <c r="H2245" s="62" t="s">
        <v>1805</v>
      </c>
      <c r="I2245" s="62" t="s">
        <v>2443</v>
      </c>
      <c r="J2245" s="62" t="s">
        <v>314</v>
      </c>
      <c r="K2245" s="62" t="s">
        <v>315</v>
      </c>
      <c r="L2245" s="62" t="s">
        <v>2421</v>
      </c>
      <c r="M2245" s="66" t="s">
        <v>1969</v>
      </c>
    </row>
    <row r="2246" spans="1:13" x14ac:dyDescent="0.3">
      <c r="A2246" s="61" t="s">
        <v>2379</v>
      </c>
      <c r="B2246" s="62" t="s">
        <v>1808</v>
      </c>
      <c r="C2246" s="62" t="s">
        <v>1809</v>
      </c>
      <c r="D2246" s="63">
        <v>45516</v>
      </c>
      <c r="E2246" s="63">
        <v>46610</v>
      </c>
      <c r="F2246" s="62" t="s">
        <v>350</v>
      </c>
      <c r="G2246" s="62" t="s">
        <v>350</v>
      </c>
      <c r="H2246" s="62" t="s">
        <v>1515</v>
      </c>
      <c r="I2246" s="62" t="s">
        <v>825</v>
      </c>
      <c r="J2246" s="62" t="s">
        <v>570</v>
      </c>
      <c r="K2246" s="62" t="s">
        <v>571</v>
      </c>
      <c r="L2246" s="62" t="s">
        <v>2421</v>
      </c>
      <c r="M2246" s="66" t="s">
        <v>1966</v>
      </c>
    </row>
    <row r="2247" spans="1:13" x14ac:dyDescent="0.3">
      <c r="A2247" s="61" t="s">
        <v>2380</v>
      </c>
      <c r="B2247" s="62" t="s">
        <v>1810</v>
      </c>
      <c r="C2247" s="62" t="s">
        <v>1811</v>
      </c>
      <c r="D2247" s="63">
        <v>45608</v>
      </c>
      <c r="E2247" s="63">
        <v>46519</v>
      </c>
      <c r="F2247" s="62" t="s">
        <v>1945</v>
      </c>
      <c r="G2247" s="62" t="s">
        <v>402</v>
      </c>
      <c r="H2247" s="62" t="s">
        <v>468</v>
      </c>
      <c r="I2247" s="62" t="s">
        <v>2443</v>
      </c>
      <c r="J2247" s="62" t="s">
        <v>469</v>
      </c>
      <c r="K2247" s="62" t="s">
        <v>315</v>
      </c>
      <c r="L2247" s="62" t="s">
        <v>2421</v>
      </c>
      <c r="M2247" s="66" t="s">
        <v>1969</v>
      </c>
    </row>
    <row r="2248" spans="1:13" x14ac:dyDescent="0.3">
      <c r="A2248" s="61" t="s">
        <v>2380</v>
      </c>
      <c r="B2248" s="62" t="s">
        <v>1810</v>
      </c>
      <c r="C2248" s="62" t="s">
        <v>1811</v>
      </c>
      <c r="D2248" s="63">
        <v>45608</v>
      </c>
      <c r="E2248" s="63">
        <v>46519</v>
      </c>
      <c r="F2248" s="62" t="s">
        <v>1945</v>
      </c>
      <c r="G2248" s="62" t="s">
        <v>404</v>
      </c>
      <c r="H2248" s="62" t="s">
        <v>468</v>
      </c>
      <c r="I2248" s="62" t="s">
        <v>2443</v>
      </c>
      <c r="J2248" s="62" t="s">
        <v>469</v>
      </c>
      <c r="K2248" s="62" t="s">
        <v>315</v>
      </c>
      <c r="L2248" s="62" t="s">
        <v>2421</v>
      </c>
      <c r="M2248" s="66" t="s">
        <v>1969</v>
      </c>
    </row>
    <row r="2249" spans="1:13" x14ac:dyDescent="0.3">
      <c r="A2249" s="61" t="s">
        <v>2380</v>
      </c>
      <c r="B2249" s="62" t="s">
        <v>1810</v>
      </c>
      <c r="C2249" s="62" t="s">
        <v>1811</v>
      </c>
      <c r="D2249" s="63">
        <v>45608</v>
      </c>
      <c r="E2249" s="63">
        <v>46519</v>
      </c>
      <c r="F2249" s="62" t="s">
        <v>1945</v>
      </c>
      <c r="G2249" s="62" t="s">
        <v>405</v>
      </c>
      <c r="H2249" s="62" t="s">
        <v>468</v>
      </c>
      <c r="I2249" s="62" t="s">
        <v>2443</v>
      </c>
      <c r="J2249" s="62" t="s">
        <v>469</v>
      </c>
      <c r="K2249" s="62" t="s">
        <v>315</v>
      </c>
      <c r="L2249" s="62" t="s">
        <v>2421</v>
      </c>
      <c r="M2249" s="66" t="s">
        <v>1969</v>
      </c>
    </row>
    <row r="2250" spans="1:13" x14ac:dyDescent="0.3">
      <c r="A2250" s="61" t="s">
        <v>2380</v>
      </c>
      <c r="B2250" s="62" t="s">
        <v>1810</v>
      </c>
      <c r="C2250" s="62" t="s">
        <v>1811</v>
      </c>
      <c r="D2250" s="63">
        <v>45608</v>
      </c>
      <c r="E2250" s="63">
        <v>46519</v>
      </c>
      <c r="F2250" s="62" t="s">
        <v>1945</v>
      </c>
      <c r="G2250" s="62" t="s">
        <v>402</v>
      </c>
      <c r="H2250" s="62" t="s">
        <v>1803</v>
      </c>
      <c r="I2250" s="62" t="s">
        <v>2443</v>
      </c>
      <c r="J2250" s="62" t="s">
        <v>469</v>
      </c>
      <c r="K2250" s="62" t="s">
        <v>315</v>
      </c>
      <c r="L2250" s="62" t="s">
        <v>2421</v>
      </c>
      <c r="M2250" s="66" t="s">
        <v>1969</v>
      </c>
    </row>
    <row r="2251" spans="1:13" x14ac:dyDescent="0.3">
      <c r="A2251" s="61" t="s">
        <v>2380</v>
      </c>
      <c r="B2251" s="62" t="s">
        <v>1810</v>
      </c>
      <c r="C2251" s="62" t="s">
        <v>1811</v>
      </c>
      <c r="D2251" s="63">
        <v>45608</v>
      </c>
      <c r="E2251" s="63">
        <v>46519</v>
      </c>
      <c r="F2251" s="62" t="s">
        <v>1945</v>
      </c>
      <c r="G2251" s="62" t="s">
        <v>404</v>
      </c>
      <c r="H2251" s="62" t="s">
        <v>1803</v>
      </c>
      <c r="I2251" s="62" t="s">
        <v>2443</v>
      </c>
      <c r="J2251" s="62" t="s">
        <v>469</v>
      </c>
      <c r="K2251" s="62" t="s">
        <v>315</v>
      </c>
      <c r="L2251" s="62" t="s">
        <v>2421</v>
      </c>
      <c r="M2251" s="66" t="s">
        <v>1969</v>
      </c>
    </row>
    <row r="2252" spans="1:13" x14ac:dyDescent="0.3">
      <c r="A2252" s="61" t="s">
        <v>2380</v>
      </c>
      <c r="B2252" s="62" t="s">
        <v>1810</v>
      </c>
      <c r="C2252" s="62" t="s">
        <v>1811</v>
      </c>
      <c r="D2252" s="63">
        <v>45608</v>
      </c>
      <c r="E2252" s="63">
        <v>46519</v>
      </c>
      <c r="F2252" s="62" t="s">
        <v>1945</v>
      </c>
      <c r="G2252" s="62" t="s">
        <v>405</v>
      </c>
      <c r="H2252" s="62" t="s">
        <v>1803</v>
      </c>
      <c r="I2252" s="62" t="s">
        <v>2443</v>
      </c>
      <c r="J2252" s="62" t="s">
        <v>469</v>
      </c>
      <c r="K2252" s="62" t="s">
        <v>315</v>
      </c>
      <c r="L2252" s="62" t="s">
        <v>2421</v>
      </c>
      <c r="M2252" s="66" t="s">
        <v>1969</v>
      </c>
    </row>
    <row r="2253" spans="1:13" x14ac:dyDescent="0.3">
      <c r="A2253" s="61" t="s">
        <v>2380</v>
      </c>
      <c r="B2253" s="62" t="s">
        <v>1810</v>
      </c>
      <c r="C2253" s="62" t="s">
        <v>1811</v>
      </c>
      <c r="D2253" s="63">
        <v>45608</v>
      </c>
      <c r="E2253" s="63">
        <v>46519</v>
      </c>
      <c r="F2253" s="62" t="s">
        <v>1945</v>
      </c>
      <c r="G2253" s="62" t="s">
        <v>402</v>
      </c>
      <c r="H2253" s="62" t="s">
        <v>2507</v>
      </c>
      <c r="I2253" s="62" t="s">
        <v>2443</v>
      </c>
      <c r="J2253" s="62" t="s">
        <v>469</v>
      </c>
      <c r="K2253" s="62" t="s">
        <v>315</v>
      </c>
      <c r="L2253" s="62" t="s">
        <v>2421</v>
      </c>
      <c r="M2253" s="66" t="s">
        <v>1969</v>
      </c>
    </row>
    <row r="2254" spans="1:13" x14ac:dyDescent="0.3">
      <c r="A2254" s="61" t="s">
        <v>2380</v>
      </c>
      <c r="B2254" s="62" t="s">
        <v>1810</v>
      </c>
      <c r="C2254" s="62" t="s">
        <v>1811</v>
      </c>
      <c r="D2254" s="63">
        <v>45608</v>
      </c>
      <c r="E2254" s="63">
        <v>46519</v>
      </c>
      <c r="F2254" s="62" t="s">
        <v>1945</v>
      </c>
      <c r="G2254" s="62" t="s">
        <v>404</v>
      </c>
      <c r="H2254" s="62" t="s">
        <v>2507</v>
      </c>
      <c r="I2254" s="62" t="s">
        <v>2443</v>
      </c>
      <c r="J2254" s="62" t="s">
        <v>469</v>
      </c>
      <c r="K2254" s="62" t="s">
        <v>315</v>
      </c>
      <c r="L2254" s="62" t="s">
        <v>2421</v>
      </c>
      <c r="M2254" s="66" t="s">
        <v>1969</v>
      </c>
    </row>
    <row r="2255" spans="1:13" x14ac:dyDescent="0.3">
      <c r="A2255" s="61" t="s">
        <v>2380</v>
      </c>
      <c r="B2255" s="62" t="s">
        <v>1810</v>
      </c>
      <c r="C2255" s="62" t="s">
        <v>1811</v>
      </c>
      <c r="D2255" s="63">
        <v>45608</v>
      </c>
      <c r="E2255" s="63">
        <v>46519</v>
      </c>
      <c r="F2255" s="62" t="s">
        <v>1945</v>
      </c>
      <c r="G2255" s="62" t="s">
        <v>405</v>
      </c>
      <c r="H2255" s="62" t="s">
        <v>2507</v>
      </c>
      <c r="I2255" s="62" t="s">
        <v>2443</v>
      </c>
      <c r="J2255" s="62" t="s">
        <v>469</v>
      </c>
      <c r="K2255" s="62" t="s">
        <v>315</v>
      </c>
      <c r="L2255" s="62" t="s">
        <v>2421</v>
      </c>
      <c r="M2255" s="66" t="s">
        <v>1969</v>
      </c>
    </row>
    <row r="2256" spans="1:13" x14ac:dyDescent="0.3">
      <c r="A2256" s="61" t="s">
        <v>2381</v>
      </c>
      <c r="B2256" s="62" t="s">
        <v>1812</v>
      </c>
      <c r="C2256" s="62" t="s">
        <v>1813</v>
      </c>
      <c r="D2256" s="63">
        <v>45657</v>
      </c>
      <c r="E2256" s="63">
        <v>46386</v>
      </c>
      <c r="F2256" s="62" t="s">
        <v>348</v>
      </c>
      <c r="G2256" s="62" t="s">
        <v>348</v>
      </c>
      <c r="H2256" s="62" t="s">
        <v>1322</v>
      </c>
      <c r="I2256" s="62" t="s">
        <v>825</v>
      </c>
      <c r="J2256" s="62" t="s">
        <v>374</v>
      </c>
      <c r="K2256" s="62" t="s">
        <v>375</v>
      </c>
      <c r="L2256" s="62" t="s">
        <v>2421</v>
      </c>
      <c r="M2256" s="66" t="s">
        <v>1967</v>
      </c>
    </row>
    <row r="2257" spans="1:13" x14ac:dyDescent="0.3">
      <c r="A2257" s="61" t="s">
        <v>2381</v>
      </c>
      <c r="B2257" s="62" t="s">
        <v>1812</v>
      </c>
      <c r="C2257" s="62" t="s">
        <v>1813</v>
      </c>
      <c r="D2257" s="63">
        <v>45657</v>
      </c>
      <c r="E2257" s="63">
        <v>46386</v>
      </c>
      <c r="F2257" s="62" t="s">
        <v>1944</v>
      </c>
      <c r="G2257" s="62" t="s">
        <v>680</v>
      </c>
      <c r="H2257" s="62" t="s">
        <v>1322</v>
      </c>
      <c r="I2257" s="62" t="s">
        <v>825</v>
      </c>
      <c r="J2257" s="62" t="s">
        <v>374</v>
      </c>
      <c r="K2257" s="62" t="s">
        <v>375</v>
      </c>
      <c r="L2257" s="62" t="s">
        <v>2421</v>
      </c>
      <c r="M2257" s="66" t="s">
        <v>1967</v>
      </c>
    </row>
    <row r="2258" spans="1:13" x14ac:dyDescent="0.3">
      <c r="A2258" s="61" t="s">
        <v>2381</v>
      </c>
      <c r="B2258" s="62" t="s">
        <v>1812</v>
      </c>
      <c r="C2258" s="62" t="s">
        <v>1813</v>
      </c>
      <c r="D2258" s="63">
        <v>45657</v>
      </c>
      <c r="E2258" s="63">
        <v>46386</v>
      </c>
      <c r="F2258" s="62" t="s">
        <v>1959</v>
      </c>
      <c r="G2258" s="62" t="s">
        <v>612</v>
      </c>
      <c r="H2258" s="62" t="s">
        <v>1322</v>
      </c>
      <c r="I2258" s="62" t="s">
        <v>825</v>
      </c>
      <c r="J2258" s="62" t="s">
        <v>374</v>
      </c>
      <c r="K2258" s="62" t="s">
        <v>375</v>
      </c>
      <c r="L2258" s="62" t="s">
        <v>2421</v>
      </c>
      <c r="M2258" s="66" t="s">
        <v>1967</v>
      </c>
    </row>
    <row r="2259" spans="1:13" x14ac:dyDescent="0.3">
      <c r="A2259" s="61" t="s">
        <v>2381</v>
      </c>
      <c r="B2259" s="62" t="s">
        <v>1812</v>
      </c>
      <c r="C2259" s="62" t="s">
        <v>1813</v>
      </c>
      <c r="D2259" s="63">
        <v>45657</v>
      </c>
      <c r="E2259" s="63">
        <v>46386</v>
      </c>
      <c r="F2259" s="62" t="s">
        <v>287</v>
      </c>
      <c r="G2259" s="62" t="s">
        <v>554</v>
      </c>
      <c r="H2259" s="62" t="s">
        <v>1322</v>
      </c>
      <c r="I2259" s="62" t="s">
        <v>825</v>
      </c>
      <c r="J2259" s="62" t="s">
        <v>374</v>
      </c>
      <c r="K2259" s="62" t="s">
        <v>375</v>
      </c>
      <c r="L2259" s="62" t="s">
        <v>2421</v>
      </c>
      <c r="M2259" s="66" t="s">
        <v>1967</v>
      </c>
    </row>
    <row r="2260" spans="1:13" x14ac:dyDescent="0.3">
      <c r="A2260" s="61" t="s">
        <v>2381</v>
      </c>
      <c r="B2260" s="62" t="s">
        <v>1812</v>
      </c>
      <c r="C2260" s="62" t="s">
        <v>1813</v>
      </c>
      <c r="D2260" s="63">
        <v>45657</v>
      </c>
      <c r="E2260" s="63">
        <v>46386</v>
      </c>
      <c r="F2260" s="62" t="s">
        <v>1945</v>
      </c>
      <c r="G2260" s="62" t="s">
        <v>555</v>
      </c>
      <c r="H2260" s="62" t="s">
        <v>1322</v>
      </c>
      <c r="I2260" s="62" t="s">
        <v>825</v>
      </c>
      <c r="J2260" s="62" t="s">
        <v>374</v>
      </c>
      <c r="K2260" s="62" t="s">
        <v>375</v>
      </c>
      <c r="L2260" s="62" t="s">
        <v>2421</v>
      </c>
      <c r="M2260" s="66" t="s">
        <v>1967</v>
      </c>
    </row>
    <row r="2261" spans="1:13" x14ac:dyDescent="0.3">
      <c r="A2261" s="61" t="s">
        <v>2381</v>
      </c>
      <c r="B2261" s="62" t="s">
        <v>1812</v>
      </c>
      <c r="C2261" s="62" t="s">
        <v>1813</v>
      </c>
      <c r="D2261" s="63">
        <v>45657</v>
      </c>
      <c r="E2261" s="63">
        <v>46386</v>
      </c>
      <c r="F2261" s="62" t="s">
        <v>348</v>
      </c>
      <c r="G2261" s="62" t="s">
        <v>348</v>
      </c>
      <c r="H2261" s="62" t="s">
        <v>1814</v>
      </c>
      <c r="I2261" s="62" t="s">
        <v>825</v>
      </c>
      <c r="J2261" s="62" t="s">
        <v>374</v>
      </c>
      <c r="K2261" s="62" t="s">
        <v>375</v>
      </c>
      <c r="L2261" s="62" t="s">
        <v>2421</v>
      </c>
      <c r="M2261" s="66" t="s">
        <v>1967</v>
      </c>
    </row>
    <row r="2262" spans="1:13" x14ac:dyDescent="0.3">
      <c r="A2262" s="61" t="s">
        <v>2381</v>
      </c>
      <c r="B2262" s="62" t="s">
        <v>1812</v>
      </c>
      <c r="C2262" s="62" t="s">
        <v>1813</v>
      </c>
      <c r="D2262" s="63">
        <v>45657</v>
      </c>
      <c r="E2262" s="63">
        <v>46386</v>
      </c>
      <c r="F2262" s="62" t="s">
        <v>1944</v>
      </c>
      <c r="G2262" s="62" t="s">
        <v>680</v>
      </c>
      <c r="H2262" s="62" t="s">
        <v>1814</v>
      </c>
      <c r="I2262" s="62" t="s">
        <v>825</v>
      </c>
      <c r="J2262" s="62" t="s">
        <v>374</v>
      </c>
      <c r="K2262" s="62" t="s">
        <v>375</v>
      </c>
      <c r="L2262" s="62" t="s">
        <v>2421</v>
      </c>
      <c r="M2262" s="66" t="s">
        <v>1967</v>
      </c>
    </row>
    <row r="2263" spans="1:13" x14ac:dyDescent="0.3">
      <c r="A2263" s="61" t="s">
        <v>2381</v>
      </c>
      <c r="B2263" s="62" t="s">
        <v>1812</v>
      </c>
      <c r="C2263" s="62" t="s">
        <v>1813</v>
      </c>
      <c r="D2263" s="63">
        <v>45657</v>
      </c>
      <c r="E2263" s="63">
        <v>46386</v>
      </c>
      <c r="F2263" s="62" t="s">
        <v>1959</v>
      </c>
      <c r="G2263" s="62" t="s">
        <v>612</v>
      </c>
      <c r="H2263" s="62" t="s">
        <v>1814</v>
      </c>
      <c r="I2263" s="62" t="s">
        <v>825</v>
      </c>
      <c r="J2263" s="62" t="s">
        <v>374</v>
      </c>
      <c r="K2263" s="62" t="s">
        <v>375</v>
      </c>
      <c r="L2263" s="62" t="s">
        <v>2421</v>
      </c>
      <c r="M2263" s="66" t="s">
        <v>1967</v>
      </c>
    </row>
    <row r="2264" spans="1:13" x14ac:dyDescent="0.3">
      <c r="A2264" s="61" t="s">
        <v>2381</v>
      </c>
      <c r="B2264" s="62" t="s">
        <v>1812</v>
      </c>
      <c r="C2264" s="62" t="s">
        <v>1813</v>
      </c>
      <c r="D2264" s="63">
        <v>45657</v>
      </c>
      <c r="E2264" s="63">
        <v>46386</v>
      </c>
      <c r="F2264" s="62" t="s">
        <v>287</v>
      </c>
      <c r="G2264" s="62" t="s">
        <v>554</v>
      </c>
      <c r="H2264" s="62" t="s">
        <v>1814</v>
      </c>
      <c r="I2264" s="62" t="s">
        <v>825</v>
      </c>
      <c r="J2264" s="62" t="s">
        <v>374</v>
      </c>
      <c r="K2264" s="62" t="s">
        <v>375</v>
      </c>
      <c r="L2264" s="62" t="s">
        <v>2421</v>
      </c>
      <c r="M2264" s="66" t="s">
        <v>1967</v>
      </c>
    </row>
    <row r="2265" spans="1:13" x14ac:dyDescent="0.3">
      <c r="A2265" s="61" t="s">
        <v>2381</v>
      </c>
      <c r="B2265" s="62" t="s">
        <v>1812</v>
      </c>
      <c r="C2265" s="62" t="s">
        <v>1813</v>
      </c>
      <c r="D2265" s="63">
        <v>45657</v>
      </c>
      <c r="E2265" s="63">
        <v>46386</v>
      </c>
      <c r="F2265" s="62" t="s">
        <v>1945</v>
      </c>
      <c r="G2265" s="62" t="s">
        <v>555</v>
      </c>
      <c r="H2265" s="62" t="s">
        <v>1814</v>
      </c>
      <c r="I2265" s="62" t="s">
        <v>825</v>
      </c>
      <c r="J2265" s="62" t="s">
        <v>374</v>
      </c>
      <c r="K2265" s="62" t="s">
        <v>375</v>
      </c>
      <c r="L2265" s="62" t="s">
        <v>2421</v>
      </c>
      <c r="M2265" s="66" t="s">
        <v>1967</v>
      </c>
    </row>
    <row r="2266" spans="1:13" x14ac:dyDescent="0.3">
      <c r="A2266" s="61" t="s">
        <v>2381</v>
      </c>
      <c r="B2266" s="62" t="s">
        <v>1812</v>
      </c>
      <c r="C2266" s="62" t="s">
        <v>1813</v>
      </c>
      <c r="D2266" s="63">
        <v>45657</v>
      </c>
      <c r="E2266" s="63">
        <v>46386</v>
      </c>
      <c r="F2266" s="62" t="s">
        <v>348</v>
      </c>
      <c r="G2266" s="62" t="s">
        <v>348</v>
      </c>
      <c r="H2266" s="62" t="s">
        <v>1395</v>
      </c>
      <c r="I2266" s="62" t="s">
        <v>825</v>
      </c>
      <c r="J2266" s="62" t="s">
        <v>374</v>
      </c>
      <c r="K2266" s="62" t="s">
        <v>375</v>
      </c>
      <c r="L2266" s="62" t="s">
        <v>2421</v>
      </c>
      <c r="M2266" s="66" t="s">
        <v>1967</v>
      </c>
    </row>
    <row r="2267" spans="1:13" x14ac:dyDescent="0.3">
      <c r="A2267" s="61" t="s">
        <v>2381</v>
      </c>
      <c r="B2267" s="62" t="s">
        <v>1812</v>
      </c>
      <c r="C2267" s="62" t="s">
        <v>1813</v>
      </c>
      <c r="D2267" s="63">
        <v>45657</v>
      </c>
      <c r="E2267" s="63">
        <v>46386</v>
      </c>
      <c r="F2267" s="62" t="s">
        <v>1944</v>
      </c>
      <c r="G2267" s="62" t="s">
        <v>680</v>
      </c>
      <c r="H2267" s="62" t="s">
        <v>1395</v>
      </c>
      <c r="I2267" s="62" t="s">
        <v>825</v>
      </c>
      <c r="J2267" s="62" t="s">
        <v>374</v>
      </c>
      <c r="K2267" s="62" t="s">
        <v>375</v>
      </c>
      <c r="L2267" s="62" t="s">
        <v>2421</v>
      </c>
      <c r="M2267" s="66" t="s">
        <v>1967</v>
      </c>
    </row>
    <row r="2268" spans="1:13" x14ac:dyDescent="0.3">
      <c r="A2268" s="61" t="s">
        <v>2381</v>
      </c>
      <c r="B2268" s="62" t="s">
        <v>1812</v>
      </c>
      <c r="C2268" s="62" t="s">
        <v>1813</v>
      </c>
      <c r="D2268" s="63">
        <v>45657</v>
      </c>
      <c r="E2268" s="63">
        <v>46386</v>
      </c>
      <c r="F2268" s="62" t="s">
        <v>1959</v>
      </c>
      <c r="G2268" s="62" t="s">
        <v>612</v>
      </c>
      <c r="H2268" s="62" t="s">
        <v>1395</v>
      </c>
      <c r="I2268" s="62" t="s">
        <v>825</v>
      </c>
      <c r="J2268" s="62" t="s">
        <v>374</v>
      </c>
      <c r="K2268" s="62" t="s">
        <v>375</v>
      </c>
      <c r="L2268" s="62" t="s">
        <v>2421</v>
      </c>
      <c r="M2268" s="66" t="s">
        <v>1967</v>
      </c>
    </row>
    <row r="2269" spans="1:13" x14ac:dyDescent="0.3">
      <c r="A2269" s="61" t="s">
        <v>2381</v>
      </c>
      <c r="B2269" s="62" t="s">
        <v>1812</v>
      </c>
      <c r="C2269" s="62" t="s">
        <v>1813</v>
      </c>
      <c r="D2269" s="63">
        <v>45657</v>
      </c>
      <c r="E2269" s="63">
        <v>46386</v>
      </c>
      <c r="F2269" s="62" t="s">
        <v>287</v>
      </c>
      <c r="G2269" s="62" t="s">
        <v>554</v>
      </c>
      <c r="H2269" s="62" t="s">
        <v>1395</v>
      </c>
      <c r="I2269" s="62" t="s">
        <v>825</v>
      </c>
      <c r="J2269" s="62" t="s">
        <v>374</v>
      </c>
      <c r="K2269" s="62" t="s">
        <v>375</v>
      </c>
      <c r="L2269" s="62" t="s">
        <v>2421</v>
      </c>
      <c r="M2269" s="66" t="s">
        <v>1967</v>
      </c>
    </row>
    <row r="2270" spans="1:13" x14ac:dyDescent="0.3">
      <c r="A2270" s="61" t="s">
        <v>2381</v>
      </c>
      <c r="B2270" s="62" t="s">
        <v>1812</v>
      </c>
      <c r="C2270" s="62" t="s">
        <v>1813</v>
      </c>
      <c r="D2270" s="63">
        <v>45657</v>
      </c>
      <c r="E2270" s="63">
        <v>46386</v>
      </c>
      <c r="F2270" s="62" t="s">
        <v>1945</v>
      </c>
      <c r="G2270" s="62" t="s">
        <v>555</v>
      </c>
      <c r="H2270" s="62" t="s">
        <v>1395</v>
      </c>
      <c r="I2270" s="62" t="s">
        <v>825</v>
      </c>
      <c r="J2270" s="62" t="s">
        <v>374</v>
      </c>
      <c r="K2270" s="62" t="s">
        <v>375</v>
      </c>
      <c r="L2270" s="62" t="s">
        <v>2421</v>
      </c>
      <c r="M2270" s="66" t="s">
        <v>1967</v>
      </c>
    </row>
    <row r="2271" spans="1:13" x14ac:dyDescent="0.3">
      <c r="A2271" s="61" t="s">
        <v>2382</v>
      </c>
      <c r="B2271" s="62" t="s">
        <v>1815</v>
      </c>
      <c r="C2271" s="62" t="s">
        <v>1816</v>
      </c>
      <c r="D2271" s="63">
        <v>45642</v>
      </c>
      <c r="E2271" s="63">
        <v>46053</v>
      </c>
      <c r="F2271" s="62" t="s">
        <v>1959</v>
      </c>
      <c r="G2271" s="62" t="s">
        <v>466</v>
      </c>
      <c r="H2271" s="62" t="s">
        <v>1632</v>
      </c>
      <c r="I2271" s="62" t="s">
        <v>1518</v>
      </c>
      <c r="J2271" s="62" t="s">
        <v>558</v>
      </c>
      <c r="K2271" s="62" t="s">
        <v>426</v>
      </c>
      <c r="L2271" s="62" t="s">
        <v>2421</v>
      </c>
      <c r="M2271" s="66" t="s">
        <v>1972</v>
      </c>
    </row>
    <row r="2272" spans="1:13" x14ac:dyDescent="0.3">
      <c r="A2272" s="61" t="s">
        <v>2382</v>
      </c>
      <c r="B2272" s="62" t="s">
        <v>1815</v>
      </c>
      <c r="C2272" s="62" t="s">
        <v>1816</v>
      </c>
      <c r="D2272" s="63">
        <v>45642</v>
      </c>
      <c r="E2272" s="63">
        <v>46053</v>
      </c>
      <c r="F2272" s="62" t="s">
        <v>1959</v>
      </c>
      <c r="G2272" s="62" t="s">
        <v>679</v>
      </c>
      <c r="H2272" s="62" t="s">
        <v>1632</v>
      </c>
      <c r="I2272" s="62" t="s">
        <v>1518</v>
      </c>
      <c r="J2272" s="62" t="s">
        <v>558</v>
      </c>
      <c r="K2272" s="62" t="s">
        <v>426</v>
      </c>
      <c r="L2272" s="62" t="s">
        <v>2421</v>
      </c>
      <c r="M2272" s="66" t="s">
        <v>1972</v>
      </c>
    </row>
    <row r="2273" spans="1:13" x14ac:dyDescent="0.3">
      <c r="A2273" s="61" t="s">
        <v>2382</v>
      </c>
      <c r="B2273" s="62" t="s">
        <v>1815</v>
      </c>
      <c r="C2273" s="62" t="s">
        <v>1816</v>
      </c>
      <c r="D2273" s="63">
        <v>45642</v>
      </c>
      <c r="E2273" s="63">
        <v>46053</v>
      </c>
      <c r="F2273" s="62" t="s">
        <v>1959</v>
      </c>
      <c r="G2273" s="62" t="s">
        <v>583</v>
      </c>
      <c r="H2273" s="62" t="s">
        <v>1632</v>
      </c>
      <c r="I2273" s="62" t="s">
        <v>1518</v>
      </c>
      <c r="J2273" s="62" t="s">
        <v>558</v>
      </c>
      <c r="K2273" s="62" t="s">
        <v>426</v>
      </c>
      <c r="L2273" s="62" t="s">
        <v>2421</v>
      </c>
      <c r="M2273" s="66" t="s">
        <v>1972</v>
      </c>
    </row>
    <row r="2274" spans="1:13" x14ac:dyDescent="0.3">
      <c r="A2274" s="61" t="s">
        <v>2382</v>
      </c>
      <c r="B2274" s="62" t="s">
        <v>1815</v>
      </c>
      <c r="C2274" s="62" t="s">
        <v>1816</v>
      </c>
      <c r="D2274" s="63">
        <v>45642</v>
      </c>
      <c r="E2274" s="63">
        <v>46053</v>
      </c>
      <c r="F2274" s="62" t="s">
        <v>1959</v>
      </c>
      <c r="G2274" s="62" t="s">
        <v>475</v>
      </c>
      <c r="H2274" s="62" t="s">
        <v>1632</v>
      </c>
      <c r="I2274" s="62" t="s">
        <v>1518</v>
      </c>
      <c r="J2274" s="62" t="s">
        <v>558</v>
      </c>
      <c r="K2274" s="62" t="s">
        <v>426</v>
      </c>
      <c r="L2274" s="62" t="s">
        <v>2421</v>
      </c>
      <c r="M2274" s="66" t="s">
        <v>1972</v>
      </c>
    </row>
    <row r="2275" spans="1:13" x14ac:dyDescent="0.3">
      <c r="A2275" s="61" t="s">
        <v>2382</v>
      </c>
      <c r="B2275" s="62" t="s">
        <v>1815</v>
      </c>
      <c r="C2275" s="62" t="s">
        <v>1816</v>
      </c>
      <c r="D2275" s="63">
        <v>45642</v>
      </c>
      <c r="E2275" s="63">
        <v>46053</v>
      </c>
      <c r="F2275" s="62" t="s">
        <v>1959</v>
      </c>
      <c r="G2275" s="62" t="s">
        <v>808</v>
      </c>
      <c r="H2275" s="62" t="s">
        <v>1632</v>
      </c>
      <c r="I2275" s="62" t="s">
        <v>1518</v>
      </c>
      <c r="J2275" s="62" t="s">
        <v>558</v>
      </c>
      <c r="K2275" s="62" t="s">
        <v>426</v>
      </c>
      <c r="L2275" s="62" t="s">
        <v>2421</v>
      </c>
      <c r="M2275" s="66" t="s">
        <v>1972</v>
      </c>
    </row>
    <row r="2276" spans="1:13" x14ac:dyDescent="0.3">
      <c r="A2276" s="61" t="s">
        <v>2382</v>
      </c>
      <c r="B2276" s="62" t="s">
        <v>1815</v>
      </c>
      <c r="C2276" s="62" t="s">
        <v>1816</v>
      </c>
      <c r="D2276" s="63">
        <v>45642</v>
      </c>
      <c r="E2276" s="63">
        <v>46053</v>
      </c>
      <c r="F2276" s="62" t="s">
        <v>1959</v>
      </c>
      <c r="G2276" s="62" t="s">
        <v>466</v>
      </c>
      <c r="H2276" s="62" t="s">
        <v>1188</v>
      </c>
      <c r="I2276" s="62" t="s">
        <v>1518</v>
      </c>
      <c r="J2276" s="62" t="s">
        <v>558</v>
      </c>
      <c r="K2276" s="62" t="s">
        <v>426</v>
      </c>
      <c r="L2276" s="62" t="s">
        <v>2421</v>
      </c>
      <c r="M2276" s="66" t="s">
        <v>1972</v>
      </c>
    </row>
    <row r="2277" spans="1:13" x14ac:dyDescent="0.3">
      <c r="A2277" s="61" t="s">
        <v>2382</v>
      </c>
      <c r="B2277" s="62" t="s">
        <v>1815</v>
      </c>
      <c r="C2277" s="62" t="s">
        <v>1816</v>
      </c>
      <c r="D2277" s="63">
        <v>45642</v>
      </c>
      <c r="E2277" s="63">
        <v>46053</v>
      </c>
      <c r="F2277" s="62" t="s">
        <v>1959</v>
      </c>
      <c r="G2277" s="62" t="s">
        <v>679</v>
      </c>
      <c r="H2277" s="62" t="s">
        <v>1188</v>
      </c>
      <c r="I2277" s="62" t="s">
        <v>1518</v>
      </c>
      <c r="J2277" s="62" t="s">
        <v>558</v>
      </c>
      <c r="K2277" s="62" t="s">
        <v>426</v>
      </c>
      <c r="L2277" s="62" t="s">
        <v>2421</v>
      </c>
      <c r="M2277" s="66" t="s">
        <v>1972</v>
      </c>
    </row>
    <row r="2278" spans="1:13" x14ac:dyDescent="0.3">
      <c r="A2278" s="61" t="s">
        <v>2382</v>
      </c>
      <c r="B2278" s="62" t="s">
        <v>1815</v>
      </c>
      <c r="C2278" s="62" t="s">
        <v>1816</v>
      </c>
      <c r="D2278" s="63">
        <v>45642</v>
      </c>
      <c r="E2278" s="63">
        <v>46053</v>
      </c>
      <c r="F2278" s="62" t="s">
        <v>1959</v>
      </c>
      <c r="G2278" s="62" t="s">
        <v>583</v>
      </c>
      <c r="H2278" s="62" t="s">
        <v>1188</v>
      </c>
      <c r="I2278" s="62" t="s">
        <v>1518</v>
      </c>
      <c r="J2278" s="62" t="s">
        <v>558</v>
      </c>
      <c r="K2278" s="62" t="s">
        <v>426</v>
      </c>
      <c r="L2278" s="62" t="s">
        <v>2421</v>
      </c>
      <c r="M2278" s="66" t="s">
        <v>1972</v>
      </c>
    </row>
    <row r="2279" spans="1:13" x14ac:dyDescent="0.3">
      <c r="A2279" s="61" t="s">
        <v>2382</v>
      </c>
      <c r="B2279" s="62" t="s">
        <v>1815</v>
      </c>
      <c r="C2279" s="62" t="s">
        <v>1816</v>
      </c>
      <c r="D2279" s="63">
        <v>45642</v>
      </c>
      <c r="E2279" s="63">
        <v>46053</v>
      </c>
      <c r="F2279" s="62" t="s">
        <v>1959</v>
      </c>
      <c r="G2279" s="62" t="s">
        <v>475</v>
      </c>
      <c r="H2279" s="62" t="s">
        <v>1188</v>
      </c>
      <c r="I2279" s="62" t="s">
        <v>1518</v>
      </c>
      <c r="J2279" s="62" t="s">
        <v>558</v>
      </c>
      <c r="K2279" s="62" t="s">
        <v>426</v>
      </c>
      <c r="L2279" s="62" t="s">
        <v>2421</v>
      </c>
      <c r="M2279" s="66" t="s">
        <v>1972</v>
      </c>
    </row>
    <row r="2280" spans="1:13" x14ac:dyDescent="0.3">
      <c r="A2280" s="61" t="s">
        <v>2382</v>
      </c>
      <c r="B2280" s="62" t="s">
        <v>1815</v>
      </c>
      <c r="C2280" s="62" t="s">
        <v>1816</v>
      </c>
      <c r="D2280" s="63">
        <v>45642</v>
      </c>
      <c r="E2280" s="63">
        <v>46053</v>
      </c>
      <c r="F2280" s="62" t="s">
        <v>1959</v>
      </c>
      <c r="G2280" s="62" t="s">
        <v>808</v>
      </c>
      <c r="H2280" s="62" t="s">
        <v>1188</v>
      </c>
      <c r="I2280" s="62" t="s">
        <v>1518</v>
      </c>
      <c r="J2280" s="62" t="s">
        <v>558</v>
      </c>
      <c r="K2280" s="62" t="s">
        <v>426</v>
      </c>
      <c r="L2280" s="62" t="s">
        <v>2421</v>
      </c>
      <c r="M2280" s="66" t="s">
        <v>1972</v>
      </c>
    </row>
    <row r="2281" spans="1:13" x14ac:dyDescent="0.3">
      <c r="A2281" s="61" t="s">
        <v>2382</v>
      </c>
      <c r="B2281" s="62" t="s">
        <v>1815</v>
      </c>
      <c r="C2281" s="62" t="s">
        <v>1816</v>
      </c>
      <c r="D2281" s="63">
        <v>45642</v>
      </c>
      <c r="E2281" s="63">
        <v>46053</v>
      </c>
      <c r="F2281" s="62" t="s">
        <v>1959</v>
      </c>
      <c r="G2281" s="62" t="s">
        <v>466</v>
      </c>
      <c r="H2281" s="62" t="s">
        <v>373</v>
      </c>
      <c r="I2281" s="62" t="s">
        <v>1518</v>
      </c>
      <c r="J2281" s="62" t="s">
        <v>558</v>
      </c>
      <c r="K2281" s="62" t="s">
        <v>426</v>
      </c>
      <c r="L2281" s="62" t="s">
        <v>2421</v>
      </c>
      <c r="M2281" s="66" t="s">
        <v>1972</v>
      </c>
    </row>
    <row r="2282" spans="1:13" x14ac:dyDescent="0.3">
      <c r="A2282" s="61" t="s">
        <v>2382</v>
      </c>
      <c r="B2282" s="62" t="s">
        <v>1815</v>
      </c>
      <c r="C2282" s="62" t="s">
        <v>1816</v>
      </c>
      <c r="D2282" s="63">
        <v>45642</v>
      </c>
      <c r="E2282" s="63">
        <v>46053</v>
      </c>
      <c r="F2282" s="62" t="s">
        <v>1959</v>
      </c>
      <c r="G2282" s="62" t="s">
        <v>679</v>
      </c>
      <c r="H2282" s="62" t="s">
        <v>373</v>
      </c>
      <c r="I2282" s="62" t="s">
        <v>1518</v>
      </c>
      <c r="J2282" s="62" t="s">
        <v>558</v>
      </c>
      <c r="K2282" s="62" t="s">
        <v>426</v>
      </c>
      <c r="L2282" s="62" t="s">
        <v>2421</v>
      </c>
      <c r="M2282" s="66" t="s">
        <v>1972</v>
      </c>
    </row>
    <row r="2283" spans="1:13" x14ac:dyDescent="0.3">
      <c r="A2283" s="61" t="s">
        <v>2382</v>
      </c>
      <c r="B2283" s="62" t="s">
        <v>1815</v>
      </c>
      <c r="C2283" s="62" t="s">
        <v>1816</v>
      </c>
      <c r="D2283" s="63">
        <v>45642</v>
      </c>
      <c r="E2283" s="63">
        <v>46053</v>
      </c>
      <c r="F2283" s="62" t="s">
        <v>1959</v>
      </c>
      <c r="G2283" s="62" t="s">
        <v>583</v>
      </c>
      <c r="H2283" s="62" t="s">
        <v>373</v>
      </c>
      <c r="I2283" s="62" t="s">
        <v>1518</v>
      </c>
      <c r="J2283" s="62" t="s">
        <v>558</v>
      </c>
      <c r="K2283" s="62" t="s">
        <v>426</v>
      </c>
      <c r="L2283" s="62" t="s">
        <v>2421</v>
      </c>
      <c r="M2283" s="66" t="s">
        <v>1972</v>
      </c>
    </row>
    <row r="2284" spans="1:13" x14ac:dyDescent="0.3">
      <c r="A2284" s="61" t="s">
        <v>2382</v>
      </c>
      <c r="B2284" s="62" t="s">
        <v>1815</v>
      </c>
      <c r="C2284" s="62" t="s">
        <v>1816</v>
      </c>
      <c r="D2284" s="63">
        <v>45642</v>
      </c>
      <c r="E2284" s="63">
        <v>46053</v>
      </c>
      <c r="F2284" s="62" t="s">
        <v>1959</v>
      </c>
      <c r="G2284" s="62" t="s">
        <v>475</v>
      </c>
      <c r="H2284" s="62" t="s">
        <v>373</v>
      </c>
      <c r="I2284" s="62" t="s">
        <v>1518</v>
      </c>
      <c r="J2284" s="62" t="s">
        <v>558</v>
      </c>
      <c r="K2284" s="62" t="s">
        <v>426</v>
      </c>
      <c r="L2284" s="62" t="s">
        <v>2421</v>
      </c>
      <c r="M2284" s="66" t="s">
        <v>1972</v>
      </c>
    </row>
    <row r="2285" spans="1:13" x14ac:dyDescent="0.3">
      <c r="A2285" s="61" t="s">
        <v>2382</v>
      </c>
      <c r="B2285" s="62" t="s">
        <v>1815</v>
      </c>
      <c r="C2285" s="62" t="s">
        <v>1816</v>
      </c>
      <c r="D2285" s="63">
        <v>45642</v>
      </c>
      <c r="E2285" s="63">
        <v>46053</v>
      </c>
      <c r="F2285" s="62" t="s">
        <v>1959</v>
      </c>
      <c r="G2285" s="62" t="s">
        <v>808</v>
      </c>
      <c r="H2285" s="62" t="s">
        <v>373</v>
      </c>
      <c r="I2285" s="62" t="s">
        <v>1518</v>
      </c>
      <c r="J2285" s="62" t="s">
        <v>558</v>
      </c>
      <c r="K2285" s="62" t="s">
        <v>426</v>
      </c>
      <c r="L2285" s="62" t="s">
        <v>2421</v>
      </c>
      <c r="M2285" s="66" t="s">
        <v>1972</v>
      </c>
    </row>
    <row r="2286" spans="1:13" x14ac:dyDescent="0.3">
      <c r="A2286" s="61" t="s">
        <v>2383</v>
      </c>
      <c r="B2286" s="62" t="s">
        <v>1817</v>
      </c>
      <c r="C2286" s="62" t="s">
        <v>1818</v>
      </c>
      <c r="D2286" s="63">
        <v>45748</v>
      </c>
      <c r="E2286" s="63">
        <v>46112</v>
      </c>
      <c r="F2286" s="62" t="s">
        <v>280</v>
      </c>
      <c r="G2286" s="62" t="s">
        <v>406</v>
      </c>
      <c r="H2286" s="62" t="s">
        <v>645</v>
      </c>
      <c r="I2286" s="62" t="s">
        <v>825</v>
      </c>
      <c r="J2286" s="62" t="s">
        <v>883</v>
      </c>
      <c r="K2286" s="62" t="s">
        <v>347</v>
      </c>
      <c r="L2286" s="62" t="s">
        <v>2421</v>
      </c>
      <c r="M2286" s="66" t="s">
        <v>1965</v>
      </c>
    </row>
    <row r="2287" spans="1:13" x14ac:dyDescent="0.3">
      <c r="A2287" s="61" t="s">
        <v>2383</v>
      </c>
      <c r="B2287" s="62" t="s">
        <v>1817</v>
      </c>
      <c r="C2287" s="62" t="s">
        <v>1818</v>
      </c>
      <c r="D2287" s="63">
        <v>45748</v>
      </c>
      <c r="E2287" s="63">
        <v>46112</v>
      </c>
      <c r="F2287" s="62" t="s">
        <v>280</v>
      </c>
      <c r="G2287" s="62" t="s">
        <v>1195</v>
      </c>
      <c r="H2287" s="62" t="s">
        <v>645</v>
      </c>
      <c r="I2287" s="62" t="s">
        <v>825</v>
      </c>
      <c r="J2287" s="62" t="s">
        <v>883</v>
      </c>
      <c r="K2287" s="62" t="s">
        <v>347</v>
      </c>
      <c r="L2287" s="62" t="s">
        <v>2421</v>
      </c>
      <c r="M2287" s="66" t="s">
        <v>1965</v>
      </c>
    </row>
    <row r="2288" spans="1:13" x14ac:dyDescent="0.3">
      <c r="A2288" s="61" t="s">
        <v>2383</v>
      </c>
      <c r="B2288" s="62" t="s">
        <v>1817</v>
      </c>
      <c r="C2288" s="62" t="s">
        <v>1818</v>
      </c>
      <c r="D2288" s="63">
        <v>45748</v>
      </c>
      <c r="E2288" s="63">
        <v>46112</v>
      </c>
      <c r="F2288" s="62" t="s">
        <v>280</v>
      </c>
      <c r="G2288" s="62" t="s">
        <v>407</v>
      </c>
      <c r="H2288" s="62" t="s">
        <v>645</v>
      </c>
      <c r="I2288" s="62" t="s">
        <v>825</v>
      </c>
      <c r="J2288" s="62" t="s">
        <v>883</v>
      </c>
      <c r="K2288" s="62" t="s">
        <v>347</v>
      </c>
      <c r="L2288" s="62" t="s">
        <v>2421</v>
      </c>
      <c r="M2288" s="66" t="s">
        <v>1965</v>
      </c>
    </row>
    <row r="2289" spans="1:13" x14ac:dyDescent="0.3">
      <c r="A2289" s="61" t="s">
        <v>2383</v>
      </c>
      <c r="B2289" s="62" t="s">
        <v>1817</v>
      </c>
      <c r="C2289" s="62" t="s">
        <v>1818</v>
      </c>
      <c r="D2289" s="63">
        <v>45748</v>
      </c>
      <c r="E2289" s="63">
        <v>46112</v>
      </c>
      <c r="F2289" s="62" t="s">
        <v>280</v>
      </c>
      <c r="G2289" s="62" t="s">
        <v>408</v>
      </c>
      <c r="H2289" s="62" t="s">
        <v>645</v>
      </c>
      <c r="I2289" s="62" t="s">
        <v>825</v>
      </c>
      <c r="J2289" s="62" t="s">
        <v>883</v>
      </c>
      <c r="K2289" s="62" t="s">
        <v>347</v>
      </c>
      <c r="L2289" s="62" t="s">
        <v>2421</v>
      </c>
      <c r="M2289" s="66" t="s">
        <v>1965</v>
      </c>
    </row>
    <row r="2290" spans="1:13" x14ac:dyDescent="0.3">
      <c r="A2290" s="61" t="s">
        <v>2383</v>
      </c>
      <c r="B2290" s="62" t="s">
        <v>1817</v>
      </c>
      <c r="C2290" s="62" t="s">
        <v>1818</v>
      </c>
      <c r="D2290" s="63">
        <v>45748</v>
      </c>
      <c r="E2290" s="63">
        <v>46112</v>
      </c>
      <c r="F2290" s="62" t="s">
        <v>280</v>
      </c>
      <c r="G2290" s="62" t="s">
        <v>409</v>
      </c>
      <c r="H2290" s="62" t="s">
        <v>645</v>
      </c>
      <c r="I2290" s="62" t="s">
        <v>825</v>
      </c>
      <c r="J2290" s="62" t="s">
        <v>883</v>
      </c>
      <c r="K2290" s="62" t="s">
        <v>347</v>
      </c>
      <c r="L2290" s="62" t="s">
        <v>2421</v>
      </c>
      <c r="M2290" s="66" t="s">
        <v>1965</v>
      </c>
    </row>
    <row r="2291" spans="1:13" x14ac:dyDescent="0.3">
      <c r="A2291" s="61" t="s">
        <v>2383</v>
      </c>
      <c r="B2291" s="62" t="s">
        <v>1817</v>
      </c>
      <c r="C2291" s="62" t="s">
        <v>1818</v>
      </c>
      <c r="D2291" s="63">
        <v>45748</v>
      </c>
      <c r="E2291" s="63">
        <v>46112</v>
      </c>
      <c r="F2291" s="62" t="s">
        <v>280</v>
      </c>
      <c r="G2291" s="62" t="s">
        <v>410</v>
      </c>
      <c r="H2291" s="62" t="s">
        <v>645</v>
      </c>
      <c r="I2291" s="62" t="s">
        <v>825</v>
      </c>
      <c r="J2291" s="62" t="s">
        <v>883</v>
      </c>
      <c r="K2291" s="62" t="s">
        <v>347</v>
      </c>
      <c r="L2291" s="62" t="s">
        <v>2421</v>
      </c>
      <c r="M2291" s="66" t="s">
        <v>1965</v>
      </c>
    </row>
    <row r="2292" spans="1:13" x14ac:dyDescent="0.3">
      <c r="A2292" s="61" t="s">
        <v>2383</v>
      </c>
      <c r="B2292" s="62" t="s">
        <v>1817</v>
      </c>
      <c r="C2292" s="62" t="s">
        <v>1818</v>
      </c>
      <c r="D2292" s="63">
        <v>45748</v>
      </c>
      <c r="E2292" s="63">
        <v>46112</v>
      </c>
      <c r="F2292" s="62" t="s">
        <v>1922</v>
      </c>
      <c r="G2292" s="62" t="s">
        <v>836</v>
      </c>
      <c r="H2292" s="62" t="s">
        <v>645</v>
      </c>
      <c r="I2292" s="62" t="s">
        <v>825</v>
      </c>
      <c r="J2292" s="62" t="s">
        <v>883</v>
      </c>
      <c r="K2292" s="62" t="s">
        <v>347</v>
      </c>
      <c r="L2292" s="62" t="s">
        <v>2421</v>
      </c>
      <c r="M2292" s="66" t="s">
        <v>1965</v>
      </c>
    </row>
    <row r="2293" spans="1:13" x14ac:dyDescent="0.3">
      <c r="A2293" s="61" t="s">
        <v>2383</v>
      </c>
      <c r="B2293" s="62" t="s">
        <v>1817</v>
      </c>
      <c r="C2293" s="62" t="s">
        <v>1818</v>
      </c>
      <c r="D2293" s="63">
        <v>45748</v>
      </c>
      <c r="E2293" s="63">
        <v>46112</v>
      </c>
      <c r="F2293" s="62" t="s">
        <v>1922</v>
      </c>
      <c r="G2293" s="62" t="s">
        <v>387</v>
      </c>
      <c r="H2293" s="62" t="s">
        <v>645</v>
      </c>
      <c r="I2293" s="62" t="s">
        <v>825</v>
      </c>
      <c r="J2293" s="62" t="s">
        <v>883</v>
      </c>
      <c r="K2293" s="62" t="s">
        <v>347</v>
      </c>
      <c r="L2293" s="62" t="s">
        <v>2421</v>
      </c>
      <c r="M2293" s="66" t="s">
        <v>1965</v>
      </c>
    </row>
    <row r="2294" spans="1:13" x14ac:dyDescent="0.3">
      <c r="A2294" s="61" t="s">
        <v>2384</v>
      </c>
      <c r="B2294" s="62" t="s">
        <v>1819</v>
      </c>
      <c r="C2294" s="62" t="s">
        <v>1820</v>
      </c>
      <c r="D2294" s="63">
        <v>45658</v>
      </c>
      <c r="E2294" s="63">
        <v>46752</v>
      </c>
      <c r="F2294" s="62" t="s">
        <v>1945</v>
      </c>
      <c r="G2294" s="62" t="s">
        <v>400</v>
      </c>
      <c r="H2294" s="62" t="s">
        <v>1821</v>
      </c>
      <c r="I2294" s="62" t="s">
        <v>825</v>
      </c>
      <c r="J2294" s="62" t="s">
        <v>552</v>
      </c>
      <c r="K2294" s="62" t="s">
        <v>371</v>
      </c>
      <c r="L2294" s="62" t="s">
        <v>2421</v>
      </c>
      <c r="M2294" s="66" t="s">
        <v>1972</v>
      </c>
    </row>
    <row r="2295" spans="1:13" x14ac:dyDescent="0.3">
      <c r="A2295" s="61" t="s">
        <v>2385</v>
      </c>
      <c r="B2295" s="62" t="s">
        <v>1822</v>
      </c>
      <c r="C2295" s="62" t="s">
        <v>1823</v>
      </c>
      <c r="D2295" s="63">
        <v>45748</v>
      </c>
      <c r="E2295" s="63">
        <v>46752</v>
      </c>
      <c r="F2295" s="62" t="s">
        <v>1916</v>
      </c>
      <c r="G2295" s="62" t="s">
        <v>304</v>
      </c>
      <c r="H2295" s="62" t="s">
        <v>1824</v>
      </c>
      <c r="I2295" s="62" t="s">
        <v>825</v>
      </c>
      <c r="J2295" s="62" t="s">
        <v>416</v>
      </c>
      <c r="K2295" s="62" t="s">
        <v>417</v>
      </c>
      <c r="L2295" s="62" t="s">
        <v>2421</v>
      </c>
      <c r="M2295" s="66" t="s">
        <v>1970</v>
      </c>
    </row>
    <row r="2296" spans="1:13" x14ac:dyDescent="0.3">
      <c r="A2296" s="61" t="s">
        <v>2385</v>
      </c>
      <c r="B2296" s="62" t="s">
        <v>1822</v>
      </c>
      <c r="C2296" s="62" t="s">
        <v>1823</v>
      </c>
      <c r="D2296" s="63">
        <v>45748</v>
      </c>
      <c r="E2296" s="63">
        <v>46752</v>
      </c>
      <c r="F2296" s="62" t="s">
        <v>1963</v>
      </c>
      <c r="G2296" s="62" t="s">
        <v>304</v>
      </c>
      <c r="H2296" s="62" t="s">
        <v>1824</v>
      </c>
      <c r="I2296" s="62" t="s">
        <v>825</v>
      </c>
      <c r="J2296" s="62" t="s">
        <v>416</v>
      </c>
      <c r="K2296" s="62" t="s">
        <v>417</v>
      </c>
      <c r="L2296" s="62" t="s">
        <v>2421</v>
      </c>
      <c r="M2296" s="66" t="s">
        <v>1970</v>
      </c>
    </row>
    <row r="2297" spans="1:13" x14ac:dyDescent="0.3">
      <c r="A2297" s="61" t="s">
        <v>2386</v>
      </c>
      <c r="B2297" s="62" t="s">
        <v>1825</v>
      </c>
      <c r="C2297" s="62" t="s">
        <v>1826</v>
      </c>
      <c r="D2297" s="63">
        <v>45596</v>
      </c>
      <c r="E2297" s="63">
        <v>46112</v>
      </c>
      <c r="F2297" s="62" t="s">
        <v>350</v>
      </c>
      <c r="G2297" s="62" t="s">
        <v>350</v>
      </c>
      <c r="H2297" s="62" t="s">
        <v>1821</v>
      </c>
      <c r="I2297" s="62" t="s">
        <v>825</v>
      </c>
      <c r="J2297" s="62" t="s">
        <v>935</v>
      </c>
      <c r="K2297" s="62" t="s">
        <v>347</v>
      </c>
      <c r="L2297" s="62" t="s">
        <v>2421</v>
      </c>
      <c r="M2297" s="66" t="s">
        <v>1965</v>
      </c>
    </row>
    <row r="2298" spans="1:13" x14ac:dyDescent="0.3">
      <c r="A2298" s="61" t="s">
        <v>2387</v>
      </c>
      <c r="B2298" s="62" t="s">
        <v>1827</v>
      </c>
      <c r="C2298" s="62" t="s">
        <v>1828</v>
      </c>
      <c r="D2298" s="63">
        <v>45139</v>
      </c>
      <c r="E2298" s="63">
        <v>46387</v>
      </c>
      <c r="F2298" s="62" t="s">
        <v>350</v>
      </c>
      <c r="G2298" s="62" t="s">
        <v>350</v>
      </c>
      <c r="H2298" s="62" t="s">
        <v>1821</v>
      </c>
      <c r="I2298" s="62" t="s">
        <v>825</v>
      </c>
      <c r="J2298" s="62" t="s">
        <v>644</v>
      </c>
      <c r="K2298" s="62" t="s">
        <v>371</v>
      </c>
      <c r="L2298" s="62" t="s">
        <v>2421</v>
      </c>
      <c r="M2298" s="66" t="s">
        <v>1978</v>
      </c>
    </row>
    <row r="2299" spans="1:13" x14ac:dyDescent="0.3">
      <c r="A2299" s="61" t="s">
        <v>2388</v>
      </c>
      <c r="B2299" s="62" t="s">
        <v>1829</v>
      </c>
      <c r="C2299" s="62" t="s">
        <v>1830</v>
      </c>
      <c r="D2299" s="63">
        <v>45611</v>
      </c>
      <c r="E2299" s="63">
        <v>46127</v>
      </c>
      <c r="F2299" s="62" t="s">
        <v>1916</v>
      </c>
      <c r="G2299" s="62" t="s">
        <v>304</v>
      </c>
      <c r="H2299" s="62" t="s">
        <v>1821</v>
      </c>
      <c r="I2299" s="62" t="s">
        <v>1518</v>
      </c>
      <c r="J2299" s="62" t="s">
        <v>864</v>
      </c>
      <c r="K2299" s="62" t="s">
        <v>309</v>
      </c>
      <c r="L2299" s="62" t="s">
        <v>2421</v>
      </c>
      <c r="M2299" s="66" t="s">
        <v>1971</v>
      </c>
    </row>
    <row r="2300" spans="1:13" x14ac:dyDescent="0.3">
      <c r="A2300" s="61" t="s">
        <v>2388</v>
      </c>
      <c r="B2300" s="62" t="s">
        <v>1829</v>
      </c>
      <c r="C2300" s="62" t="s">
        <v>1830</v>
      </c>
      <c r="D2300" s="63">
        <v>45611</v>
      </c>
      <c r="E2300" s="63">
        <v>46127</v>
      </c>
      <c r="F2300" s="62" t="s">
        <v>280</v>
      </c>
      <c r="G2300" s="62" t="s">
        <v>304</v>
      </c>
      <c r="H2300" s="62" t="s">
        <v>1821</v>
      </c>
      <c r="I2300" s="62" t="s">
        <v>1518</v>
      </c>
      <c r="J2300" s="62" t="s">
        <v>864</v>
      </c>
      <c r="K2300" s="62" t="s">
        <v>309</v>
      </c>
      <c r="L2300" s="62" t="s">
        <v>2421</v>
      </c>
      <c r="M2300" s="66" t="s">
        <v>1971</v>
      </c>
    </row>
    <row r="2301" spans="1:13" x14ac:dyDescent="0.3">
      <c r="A2301" s="61" t="s">
        <v>2388</v>
      </c>
      <c r="B2301" s="62" t="s">
        <v>1829</v>
      </c>
      <c r="C2301" s="62" t="s">
        <v>1830</v>
      </c>
      <c r="D2301" s="63">
        <v>45611</v>
      </c>
      <c r="E2301" s="63">
        <v>46127</v>
      </c>
      <c r="F2301" s="62" t="s">
        <v>1960</v>
      </c>
      <c r="G2301" s="62" t="s">
        <v>304</v>
      </c>
      <c r="H2301" s="62" t="s">
        <v>1821</v>
      </c>
      <c r="I2301" s="62" t="s">
        <v>1518</v>
      </c>
      <c r="J2301" s="62" t="s">
        <v>864</v>
      </c>
      <c r="K2301" s="62" t="s">
        <v>309</v>
      </c>
      <c r="L2301" s="62" t="s">
        <v>2421</v>
      </c>
      <c r="M2301" s="66" t="s">
        <v>1971</v>
      </c>
    </row>
    <row r="2302" spans="1:13" x14ac:dyDescent="0.3">
      <c r="A2302" s="61" t="s">
        <v>2388</v>
      </c>
      <c r="B2302" s="62" t="s">
        <v>1829</v>
      </c>
      <c r="C2302" s="62" t="s">
        <v>1830</v>
      </c>
      <c r="D2302" s="63">
        <v>45611</v>
      </c>
      <c r="E2302" s="63">
        <v>46127</v>
      </c>
      <c r="F2302" s="62" t="s">
        <v>1938</v>
      </c>
      <c r="G2302" s="62" t="s">
        <v>304</v>
      </c>
      <c r="H2302" s="62" t="s">
        <v>1821</v>
      </c>
      <c r="I2302" s="62" t="s">
        <v>1518</v>
      </c>
      <c r="J2302" s="62" t="s">
        <v>864</v>
      </c>
      <c r="K2302" s="62" t="s">
        <v>309</v>
      </c>
      <c r="L2302" s="62" t="s">
        <v>2421</v>
      </c>
      <c r="M2302" s="66" t="s">
        <v>1971</v>
      </c>
    </row>
    <row r="2303" spans="1:13" x14ac:dyDescent="0.3">
      <c r="A2303" s="61" t="s">
        <v>2388</v>
      </c>
      <c r="B2303" s="62" t="s">
        <v>1829</v>
      </c>
      <c r="C2303" s="62" t="s">
        <v>1830</v>
      </c>
      <c r="D2303" s="63">
        <v>45611</v>
      </c>
      <c r="E2303" s="63">
        <v>46127</v>
      </c>
      <c r="F2303" s="62" t="s">
        <v>1941</v>
      </c>
      <c r="G2303" s="62" t="s">
        <v>304</v>
      </c>
      <c r="H2303" s="62" t="s">
        <v>1821</v>
      </c>
      <c r="I2303" s="62" t="s">
        <v>1518</v>
      </c>
      <c r="J2303" s="62" t="s">
        <v>864</v>
      </c>
      <c r="K2303" s="62" t="s">
        <v>309</v>
      </c>
      <c r="L2303" s="62" t="s">
        <v>2421</v>
      </c>
      <c r="M2303" s="66" t="s">
        <v>1971</v>
      </c>
    </row>
    <row r="2304" spans="1:13" x14ac:dyDescent="0.3">
      <c r="A2304" s="61" t="s">
        <v>2388</v>
      </c>
      <c r="B2304" s="62" t="s">
        <v>1829</v>
      </c>
      <c r="C2304" s="62" t="s">
        <v>1830</v>
      </c>
      <c r="D2304" s="63">
        <v>45611</v>
      </c>
      <c r="E2304" s="63">
        <v>46127</v>
      </c>
      <c r="F2304" s="62" t="s">
        <v>1948</v>
      </c>
      <c r="G2304" s="62" t="s">
        <v>304</v>
      </c>
      <c r="H2304" s="62" t="s">
        <v>1821</v>
      </c>
      <c r="I2304" s="62" t="s">
        <v>1518</v>
      </c>
      <c r="J2304" s="62" t="s">
        <v>864</v>
      </c>
      <c r="K2304" s="62" t="s">
        <v>309</v>
      </c>
      <c r="L2304" s="62" t="s">
        <v>2421</v>
      </c>
      <c r="M2304" s="66" t="s">
        <v>1971</v>
      </c>
    </row>
    <row r="2305" spans="1:13" x14ac:dyDescent="0.3">
      <c r="A2305" s="61" t="s">
        <v>2389</v>
      </c>
      <c r="B2305" s="62" t="s">
        <v>1831</v>
      </c>
      <c r="C2305" s="62" t="s">
        <v>1832</v>
      </c>
      <c r="D2305" s="63">
        <v>45611</v>
      </c>
      <c r="E2305" s="63">
        <v>46037</v>
      </c>
      <c r="F2305" s="62" t="s">
        <v>1940</v>
      </c>
      <c r="G2305" s="62" t="s">
        <v>451</v>
      </c>
      <c r="H2305" s="62" t="s">
        <v>1821</v>
      </c>
      <c r="I2305" s="62" t="s">
        <v>2443</v>
      </c>
      <c r="J2305" s="62" t="s">
        <v>442</v>
      </c>
      <c r="K2305" s="62" t="s">
        <v>315</v>
      </c>
      <c r="L2305" s="62" t="s">
        <v>2421</v>
      </c>
      <c r="M2305" s="66" t="s">
        <v>1969</v>
      </c>
    </row>
    <row r="2306" spans="1:13" x14ac:dyDescent="0.3">
      <c r="A2306" s="61" t="s">
        <v>2390</v>
      </c>
      <c r="B2306" s="62" t="s">
        <v>835</v>
      </c>
      <c r="C2306" s="62" t="s">
        <v>1202</v>
      </c>
      <c r="D2306" s="63">
        <v>45776</v>
      </c>
      <c r="E2306" s="63">
        <v>46295</v>
      </c>
      <c r="F2306" s="62" t="s">
        <v>280</v>
      </c>
      <c r="G2306" s="62" t="s">
        <v>406</v>
      </c>
      <c r="H2306" s="62" t="s">
        <v>373</v>
      </c>
      <c r="I2306" s="62" t="s">
        <v>2443</v>
      </c>
      <c r="J2306" s="62" t="s">
        <v>671</v>
      </c>
      <c r="K2306" s="62" t="s">
        <v>426</v>
      </c>
      <c r="L2306" s="62" t="s">
        <v>2421</v>
      </c>
      <c r="M2306" s="66" t="s">
        <v>1972</v>
      </c>
    </row>
    <row r="2307" spans="1:13" x14ac:dyDescent="0.3">
      <c r="A2307" s="61" t="s">
        <v>2390</v>
      </c>
      <c r="B2307" s="62" t="s">
        <v>835</v>
      </c>
      <c r="C2307" s="62" t="s">
        <v>1202</v>
      </c>
      <c r="D2307" s="63">
        <v>45776</v>
      </c>
      <c r="E2307" s="63">
        <v>46295</v>
      </c>
      <c r="F2307" s="62" t="s">
        <v>280</v>
      </c>
      <c r="G2307" s="62" t="s">
        <v>409</v>
      </c>
      <c r="H2307" s="62" t="s">
        <v>373</v>
      </c>
      <c r="I2307" s="62" t="s">
        <v>2443</v>
      </c>
      <c r="J2307" s="62" t="s">
        <v>671</v>
      </c>
      <c r="K2307" s="62" t="s">
        <v>426</v>
      </c>
      <c r="L2307" s="62" t="s">
        <v>2421</v>
      </c>
      <c r="M2307" s="66" t="s">
        <v>1972</v>
      </c>
    </row>
    <row r="2308" spans="1:13" x14ac:dyDescent="0.3">
      <c r="A2308" s="61" t="s">
        <v>2390</v>
      </c>
      <c r="B2308" s="62" t="s">
        <v>835</v>
      </c>
      <c r="C2308" s="62" t="s">
        <v>1202</v>
      </c>
      <c r="D2308" s="63">
        <v>45776</v>
      </c>
      <c r="E2308" s="63">
        <v>46295</v>
      </c>
      <c r="F2308" s="62" t="s">
        <v>280</v>
      </c>
      <c r="G2308" s="62" t="s">
        <v>410</v>
      </c>
      <c r="H2308" s="62" t="s">
        <v>373</v>
      </c>
      <c r="I2308" s="62" t="s">
        <v>2443</v>
      </c>
      <c r="J2308" s="62" t="s">
        <v>671</v>
      </c>
      <c r="K2308" s="62" t="s">
        <v>426</v>
      </c>
      <c r="L2308" s="62" t="s">
        <v>2421</v>
      </c>
      <c r="M2308" s="66" t="s">
        <v>1972</v>
      </c>
    </row>
    <row r="2309" spans="1:13" x14ac:dyDescent="0.3">
      <c r="A2309" s="61" t="s">
        <v>2390</v>
      </c>
      <c r="B2309" s="62" t="s">
        <v>835</v>
      </c>
      <c r="C2309" s="62" t="s">
        <v>1202</v>
      </c>
      <c r="D2309" s="63">
        <v>45776</v>
      </c>
      <c r="E2309" s="63">
        <v>46295</v>
      </c>
      <c r="F2309" s="62" t="s">
        <v>1922</v>
      </c>
      <c r="G2309" s="62" t="s">
        <v>836</v>
      </c>
      <c r="H2309" s="62" t="s">
        <v>373</v>
      </c>
      <c r="I2309" s="62" t="s">
        <v>2443</v>
      </c>
      <c r="J2309" s="62" t="s">
        <v>671</v>
      </c>
      <c r="K2309" s="62" t="s">
        <v>426</v>
      </c>
      <c r="L2309" s="62" t="s">
        <v>2421</v>
      </c>
      <c r="M2309" s="66" t="s">
        <v>1972</v>
      </c>
    </row>
    <row r="2310" spans="1:13" x14ac:dyDescent="0.3">
      <c r="A2310" s="61" t="s">
        <v>2390</v>
      </c>
      <c r="B2310" s="62" t="s">
        <v>835</v>
      </c>
      <c r="C2310" s="62" t="s">
        <v>1202</v>
      </c>
      <c r="D2310" s="63">
        <v>45776</v>
      </c>
      <c r="E2310" s="63">
        <v>46295</v>
      </c>
      <c r="F2310" s="62" t="s">
        <v>1922</v>
      </c>
      <c r="G2310" s="62" t="s">
        <v>383</v>
      </c>
      <c r="H2310" s="62" t="s">
        <v>373</v>
      </c>
      <c r="I2310" s="62" t="s">
        <v>2443</v>
      </c>
      <c r="J2310" s="62" t="s">
        <v>671</v>
      </c>
      <c r="K2310" s="62" t="s">
        <v>426</v>
      </c>
      <c r="L2310" s="62" t="s">
        <v>2421</v>
      </c>
      <c r="M2310" s="66" t="s">
        <v>1972</v>
      </c>
    </row>
    <row r="2311" spans="1:13" x14ac:dyDescent="0.3">
      <c r="A2311" s="61" t="s">
        <v>2390</v>
      </c>
      <c r="B2311" s="62" t="s">
        <v>835</v>
      </c>
      <c r="C2311" s="62" t="s">
        <v>1202</v>
      </c>
      <c r="D2311" s="63">
        <v>45776</v>
      </c>
      <c r="E2311" s="63">
        <v>46295</v>
      </c>
      <c r="F2311" s="62" t="s">
        <v>1943</v>
      </c>
      <c r="G2311" s="62" t="s">
        <v>304</v>
      </c>
      <c r="H2311" s="62" t="s">
        <v>373</v>
      </c>
      <c r="I2311" s="62" t="s">
        <v>2443</v>
      </c>
      <c r="J2311" s="62" t="s">
        <v>671</v>
      </c>
      <c r="K2311" s="62" t="s">
        <v>426</v>
      </c>
      <c r="L2311" s="62" t="s">
        <v>2421</v>
      </c>
      <c r="M2311" s="66" t="s">
        <v>1972</v>
      </c>
    </row>
    <row r="2312" spans="1:13" x14ac:dyDescent="0.3">
      <c r="A2312" s="61" t="s">
        <v>2391</v>
      </c>
      <c r="B2312" s="62" t="s">
        <v>1833</v>
      </c>
      <c r="C2312" s="62" t="s">
        <v>1834</v>
      </c>
      <c r="D2312" s="63">
        <v>45748</v>
      </c>
      <c r="E2312" s="63">
        <v>46112</v>
      </c>
      <c r="F2312" s="62" t="s">
        <v>350</v>
      </c>
      <c r="G2312" s="62" t="s">
        <v>350</v>
      </c>
      <c r="H2312" s="62" t="s">
        <v>373</v>
      </c>
      <c r="I2312" s="62" t="s">
        <v>825</v>
      </c>
      <c r="J2312" s="62" t="s">
        <v>558</v>
      </c>
      <c r="K2312" s="62" t="s">
        <v>426</v>
      </c>
      <c r="L2312" s="62" t="s">
        <v>2421</v>
      </c>
      <c r="M2312" s="66" t="s">
        <v>1972</v>
      </c>
    </row>
    <row r="2313" spans="1:13" x14ac:dyDescent="0.3">
      <c r="A2313" s="61" t="s">
        <v>2392</v>
      </c>
      <c r="B2313" s="62" t="s">
        <v>1835</v>
      </c>
      <c r="C2313" s="62"/>
      <c r="D2313" s="63">
        <v>45292</v>
      </c>
      <c r="E2313" s="63">
        <v>46753</v>
      </c>
      <c r="F2313" s="62" t="s">
        <v>1930</v>
      </c>
      <c r="G2313" s="62" t="s">
        <v>304</v>
      </c>
      <c r="H2313" s="62" t="s">
        <v>373</v>
      </c>
      <c r="I2313" s="62" t="s">
        <v>1518</v>
      </c>
      <c r="J2313" s="62" t="s">
        <v>724</v>
      </c>
      <c r="K2313" s="62" t="s">
        <v>637</v>
      </c>
      <c r="L2313" s="62" t="s">
        <v>2421</v>
      </c>
      <c r="M2313" s="66" t="s">
        <v>1971</v>
      </c>
    </row>
    <row r="2314" spans="1:13" x14ac:dyDescent="0.3">
      <c r="A2314" s="61" t="s">
        <v>2393</v>
      </c>
      <c r="B2314" s="62" t="s">
        <v>1836</v>
      </c>
      <c r="C2314" s="62" t="s">
        <v>1287</v>
      </c>
      <c r="D2314" s="63">
        <v>45776</v>
      </c>
      <c r="E2314" s="63">
        <v>46173</v>
      </c>
      <c r="F2314" s="62" t="s">
        <v>1930</v>
      </c>
      <c r="G2314" s="62" t="s">
        <v>721</v>
      </c>
      <c r="H2314" s="62" t="s">
        <v>373</v>
      </c>
      <c r="I2314" s="62" t="s">
        <v>2443</v>
      </c>
      <c r="J2314" s="62" t="s">
        <v>640</v>
      </c>
      <c r="K2314" s="62" t="s">
        <v>417</v>
      </c>
      <c r="L2314" s="62" t="s">
        <v>2421</v>
      </c>
      <c r="M2314" s="66" t="s">
        <v>1984</v>
      </c>
    </row>
    <row r="2315" spans="1:13" x14ac:dyDescent="0.3">
      <c r="A2315" s="61" t="s">
        <v>2393</v>
      </c>
      <c r="B2315" s="62" t="s">
        <v>1836</v>
      </c>
      <c r="C2315" s="62" t="s">
        <v>1287</v>
      </c>
      <c r="D2315" s="63">
        <v>45776</v>
      </c>
      <c r="E2315" s="63">
        <v>46173</v>
      </c>
      <c r="F2315" s="62" t="s">
        <v>1930</v>
      </c>
      <c r="G2315" s="62" t="s">
        <v>415</v>
      </c>
      <c r="H2315" s="62" t="s">
        <v>373</v>
      </c>
      <c r="I2315" s="62" t="s">
        <v>2443</v>
      </c>
      <c r="J2315" s="62" t="s">
        <v>640</v>
      </c>
      <c r="K2315" s="62" t="s">
        <v>417</v>
      </c>
      <c r="L2315" s="62" t="s">
        <v>2421</v>
      </c>
      <c r="M2315" s="66" t="s">
        <v>1984</v>
      </c>
    </row>
    <row r="2316" spans="1:13" x14ac:dyDescent="0.3">
      <c r="A2316" s="61" t="s">
        <v>2393</v>
      </c>
      <c r="B2316" s="62" t="s">
        <v>1836</v>
      </c>
      <c r="C2316" s="62" t="s">
        <v>1287</v>
      </c>
      <c r="D2316" s="63">
        <v>45776</v>
      </c>
      <c r="E2316" s="63">
        <v>46173</v>
      </c>
      <c r="F2316" s="62" t="s">
        <v>1930</v>
      </c>
      <c r="G2316" s="62" t="s">
        <v>418</v>
      </c>
      <c r="H2316" s="62" t="s">
        <v>373</v>
      </c>
      <c r="I2316" s="62" t="s">
        <v>2443</v>
      </c>
      <c r="J2316" s="62" t="s">
        <v>640</v>
      </c>
      <c r="K2316" s="62" t="s">
        <v>417</v>
      </c>
      <c r="L2316" s="62" t="s">
        <v>2421</v>
      </c>
      <c r="M2316" s="66" t="s">
        <v>1984</v>
      </c>
    </row>
    <row r="2317" spans="1:13" x14ac:dyDescent="0.3">
      <c r="A2317" s="61" t="s">
        <v>2393</v>
      </c>
      <c r="B2317" s="62" t="s">
        <v>1836</v>
      </c>
      <c r="C2317" s="62" t="s">
        <v>1287</v>
      </c>
      <c r="D2317" s="63">
        <v>45776</v>
      </c>
      <c r="E2317" s="63">
        <v>46173</v>
      </c>
      <c r="F2317" s="62" t="s">
        <v>1930</v>
      </c>
      <c r="G2317" s="62" t="s">
        <v>419</v>
      </c>
      <c r="H2317" s="62" t="s">
        <v>373</v>
      </c>
      <c r="I2317" s="62" t="s">
        <v>2443</v>
      </c>
      <c r="J2317" s="62" t="s">
        <v>640</v>
      </c>
      <c r="K2317" s="62" t="s">
        <v>417</v>
      </c>
      <c r="L2317" s="62" t="s">
        <v>2421</v>
      </c>
      <c r="M2317" s="66" t="s">
        <v>1984</v>
      </c>
    </row>
    <row r="2318" spans="1:13" x14ac:dyDescent="0.3">
      <c r="A2318" s="61" t="s">
        <v>2393</v>
      </c>
      <c r="B2318" s="62" t="s">
        <v>1836</v>
      </c>
      <c r="C2318" s="62" t="s">
        <v>1287</v>
      </c>
      <c r="D2318" s="63">
        <v>45776</v>
      </c>
      <c r="E2318" s="63">
        <v>46173</v>
      </c>
      <c r="F2318" s="62" t="s">
        <v>1930</v>
      </c>
      <c r="G2318" s="62" t="s">
        <v>723</v>
      </c>
      <c r="H2318" s="62" t="s">
        <v>373</v>
      </c>
      <c r="I2318" s="62" t="s">
        <v>2443</v>
      </c>
      <c r="J2318" s="62" t="s">
        <v>640</v>
      </c>
      <c r="K2318" s="62" t="s">
        <v>417</v>
      </c>
      <c r="L2318" s="62" t="s">
        <v>2421</v>
      </c>
      <c r="M2318" s="66" t="s">
        <v>1984</v>
      </c>
    </row>
    <row r="2319" spans="1:13" x14ac:dyDescent="0.3">
      <c r="A2319" s="61" t="s">
        <v>2393</v>
      </c>
      <c r="B2319" s="62" t="s">
        <v>1836</v>
      </c>
      <c r="C2319" s="62" t="s">
        <v>1287</v>
      </c>
      <c r="D2319" s="63">
        <v>45776</v>
      </c>
      <c r="E2319" s="63">
        <v>46173</v>
      </c>
      <c r="F2319" s="62" t="s">
        <v>1930</v>
      </c>
      <c r="G2319" s="62" t="s">
        <v>546</v>
      </c>
      <c r="H2319" s="62" t="s">
        <v>373</v>
      </c>
      <c r="I2319" s="62" t="s">
        <v>2443</v>
      </c>
      <c r="J2319" s="62" t="s">
        <v>640</v>
      </c>
      <c r="K2319" s="62" t="s">
        <v>417</v>
      </c>
      <c r="L2319" s="62" t="s">
        <v>2421</v>
      </c>
      <c r="M2319" s="66" t="s">
        <v>1984</v>
      </c>
    </row>
    <row r="2320" spans="1:13" x14ac:dyDescent="0.3">
      <c r="A2320" s="61" t="s">
        <v>2393</v>
      </c>
      <c r="B2320" s="62" t="s">
        <v>1836</v>
      </c>
      <c r="C2320" s="62" t="s">
        <v>1287</v>
      </c>
      <c r="D2320" s="63">
        <v>45776</v>
      </c>
      <c r="E2320" s="63">
        <v>46173</v>
      </c>
      <c r="F2320" s="62" t="s">
        <v>1921</v>
      </c>
      <c r="G2320" s="62" t="s">
        <v>559</v>
      </c>
      <c r="H2320" s="62" t="s">
        <v>373</v>
      </c>
      <c r="I2320" s="62" t="s">
        <v>2443</v>
      </c>
      <c r="J2320" s="62" t="s">
        <v>640</v>
      </c>
      <c r="K2320" s="62" t="s">
        <v>417</v>
      </c>
      <c r="L2320" s="62" t="s">
        <v>2421</v>
      </c>
      <c r="M2320" s="66" t="s">
        <v>1984</v>
      </c>
    </row>
    <row r="2321" spans="1:13" x14ac:dyDescent="0.3">
      <c r="A2321" s="61" t="s">
        <v>2393</v>
      </c>
      <c r="B2321" s="62" t="s">
        <v>1836</v>
      </c>
      <c r="C2321" s="62" t="s">
        <v>1287</v>
      </c>
      <c r="D2321" s="63">
        <v>45776</v>
      </c>
      <c r="E2321" s="63">
        <v>46173</v>
      </c>
      <c r="F2321" s="62" t="s">
        <v>1921</v>
      </c>
      <c r="G2321" s="62" t="s">
        <v>714</v>
      </c>
      <c r="H2321" s="62" t="s">
        <v>373</v>
      </c>
      <c r="I2321" s="62" t="s">
        <v>2443</v>
      </c>
      <c r="J2321" s="62" t="s">
        <v>640</v>
      </c>
      <c r="K2321" s="62" t="s">
        <v>417</v>
      </c>
      <c r="L2321" s="62" t="s">
        <v>2421</v>
      </c>
      <c r="M2321" s="66" t="s">
        <v>1984</v>
      </c>
    </row>
    <row r="2322" spans="1:13" x14ac:dyDescent="0.3">
      <c r="A2322" s="61" t="s">
        <v>2393</v>
      </c>
      <c r="B2322" s="62" t="s">
        <v>1836</v>
      </c>
      <c r="C2322" s="62" t="s">
        <v>1287</v>
      </c>
      <c r="D2322" s="63">
        <v>45776</v>
      </c>
      <c r="E2322" s="63">
        <v>46173</v>
      </c>
      <c r="F2322" s="62" t="s">
        <v>1936</v>
      </c>
      <c r="G2322" s="62" t="s">
        <v>730</v>
      </c>
      <c r="H2322" s="62" t="s">
        <v>373</v>
      </c>
      <c r="I2322" s="62" t="s">
        <v>2443</v>
      </c>
      <c r="J2322" s="62" t="s">
        <v>640</v>
      </c>
      <c r="K2322" s="62" t="s">
        <v>417</v>
      </c>
      <c r="L2322" s="62" t="s">
        <v>2421</v>
      </c>
      <c r="M2322" s="66" t="s">
        <v>1984</v>
      </c>
    </row>
    <row r="2323" spans="1:13" x14ac:dyDescent="0.3">
      <c r="A2323" s="61" t="s">
        <v>2393</v>
      </c>
      <c r="B2323" s="62" t="s">
        <v>1836</v>
      </c>
      <c r="C2323" s="62" t="s">
        <v>1287</v>
      </c>
      <c r="D2323" s="63">
        <v>45776</v>
      </c>
      <c r="E2323" s="63">
        <v>46173</v>
      </c>
      <c r="F2323" s="62" t="s">
        <v>1936</v>
      </c>
      <c r="G2323" s="62" t="s">
        <v>412</v>
      </c>
      <c r="H2323" s="62" t="s">
        <v>373</v>
      </c>
      <c r="I2323" s="62" t="s">
        <v>2443</v>
      </c>
      <c r="J2323" s="62" t="s">
        <v>640</v>
      </c>
      <c r="K2323" s="62" t="s">
        <v>417</v>
      </c>
      <c r="L2323" s="62" t="s">
        <v>2421</v>
      </c>
      <c r="M2323" s="66" t="s">
        <v>1984</v>
      </c>
    </row>
    <row r="2324" spans="1:13" x14ac:dyDescent="0.3">
      <c r="A2324" s="61" t="s">
        <v>2393</v>
      </c>
      <c r="B2324" s="62" t="s">
        <v>1836</v>
      </c>
      <c r="C2324" s="62" t="s">
        <v>1287</v>
      </c>
      <c r="D2324" s="63">
        <v>45776</v>
      </c>
      <c r="E2324" s="63">
        <v>46173</v>
      </c>
      <c r="F2324" s="62" t="s">
        <v>287</v>
      </c>
      <c r="G2324" s="62" t="s">
        <v>390</v>
      </c>
      <c r="H2324" s="62" t="s">
        <v>373</v>
      </c>
      <c r="I2324" s="62" t="s">
        <v>2443</v>
      </c>
      <c r="J2324" s="62" t="s">
        <v>640</v>
      </c>
      <c r="K2324" s="62" t="s">
        <v>417</v>
      </c>
      <c r="L2324" s="62" t="s">
        <v>2421</v>
      </c>
      <c r="M2324" s="66" t="s">
        <v>1984</v>
      </c>
    </row>
    <row r="2325" spans="1:13" x14ac:dyDescent="0.3">
      <c r="A2325" s="61" t="s">
        <v>2393</v>
      </c>
      <c r="B2325" s="62" t="s">
        <v>1836</v>
      </c>
      <c r="C2325" s="62" t="s">
        <v>1287</v>
      </c>
      <c r="D2325" s="63">
        <v>45776</v>
      </c>
      <c r="E2325" s="63">
        <v>46173</v>
      </c>
      <c r="F2325" s="62" t="s">
        <v>287</v>
      </c>
      <c r="G2325" s="62" t="s">
        <v>395</v>
      </c>
      <c r="H2325" s="62" t="s">
        <v>373</v>
      </c>
      <c r="I2325" s="62" t="s">
        <v>2443</v>
      </c>
      <c r="J2325" s="62" t="s">
        <v>640</v>
      </c>
      <c r="K2325" s="62" t="s">
        <v>417</v>
      </c>
      <c r="L2325" s="62" t="s">
        <v>2421</v>
      </c>
      <c r="M2325" s="66" t="s">
        <v>1984</v>
      </c>
    </row>
    <row r="2326" spans="1:13" x14ac:dyDescent="0.3">
      <c r="A2326" s="61" t="s">
        <v>2394</v>
      </c>
      <c r="B2326" s="62" t="s">
        <v>1838</v>
      </c>
      <c r="C2326" s="62" t="s">
        <v>1839</v>
      </c>
      <c r="D2326" s="63">
        <v>45331</v>
      </c>
      <c r="E2326" s="63">
        <v>46477</v>
      </c>
      <c r="F2326" s="62" t="s">
        <v>1941</v>
      </c>
      <c r="G2326" s="62" t="s">
        <v>316</v>
      </c>
      <c r="H2326" s="62" t="s">
        <v>1213</v>
      </c>
      <c r="I2326" s="62" t="s">
        <v>1518</v>
      </c>
      <c r="J2326" s="62" t="s">
        <v>949</v>
      </c>
      <c r="K2326" s="62" t="s">
        <v>309</v>
      </c>
      <c r="L2326" s="62" t="s">
        <v>2421</v>
      </c>
      <c r="M2326" s="66" t="s">
        <v>1971</v>
      </c>
    </row>
    <row r="2327" spans="1:13" x14ac:dyDescent="0.3">
      <c r="A2327" s="61" t="s">
        <v>2394</v>
      </c>
      <c r="B2327" s="62" t="s">
        <v>1838</v>
      </c>
      <c r="C2327" s="62" t="s">
        <v>1839</v>
      </c>
      <c r="D2327" s="63">
        <v>45331</v>
      </c>
      <c r="E2327" s="63">
        <v>46477</v>
      </c>
      <c r="F2327" s="62" t="s">
        <v>1941</v>
      </c>
      <c r="G2327" s="62" t="s">
        <v>366</v>
      </c>
      <c r="H2327" s="62" t="s">
        <v>1213</v>
      </c>
      <c r="I2327" s="62" t="s">
        <v>1518</v>
      </c>
      <c r="J2327" s="62" t="s">
        <v>949</v>
      </c>
      <c r="K2327" s="62" t="s">
        <v>309</v>
      </c>
      <c r="L2327" s="62" t="s">
        <v>2421</v>
      </c>
      <c r="M2327" s="66" t="s">
        <v>1971</v>
      </c>
    </row>
    <row r="2328" spans="1:13" x14ac:dyDescent="0.3">
      <c r="A2328" s="61" t="s">
        <v>2394</v>
      </c>
      <c r="B2328" s="62" t="s">
        <v>1838</v>
      </c>
      <c r="C2328" s="62" t="s">
        <v>1839</v>
      </c>
      <c r="D2328" s="63">
        <v>45331</v>
      </c>
      <c r="E2328" s="63">
        <v>46477</v>
      </c>
      <c r="F2328" s="62" t="s">
        <v>1941</v>
      </c>
      <c r="G2328" s="62" t="s">
        <v>317</v>
      </c>
      <c r="H2328" s="62" t="s">
        <v>1213</v>
      </c>
      <c r="I2328" s="62" t="s">
        <v>1518</v>
      </c>
      <c r="J2328" s="62" t="s">
        <v>949</v>
      </c>
      <c r="K2328" s="62" t="s">
        <v>309</v>
      </c>
      <c r="L2328" s="62" t="s">
        <v>2421</v>
      </c>
      <c r="M2328" s="66" t="s">
        <v>1971</v>
      </c>
    </row>
    <row r="2329" spans="1:13" x14ac:dyDescent="0.3">
      <c r="A2329" s="61" t="s">
        <v>2394</v>
      </c>
      <c r="B2329" s="62" t="s">
        <v>1838</v>
      </c>
      <c r="C2329" s="62" t="s">
        <v>1839</v>
      </c>
      <c r="D2329" s="63">
        <v>45331</v>
      </c>
      <c r="E2329" s="63">
        <v>46477</v>
      </c>
      <c r="F2329" s="62" t="s">
        <v>1941</v>
      </c>
      <c r="G2329" s="62" t="s">
        <v>318</v>
      </c>
      <c r="H2329" s="62" t="s">
        <v>1213</v>
      </c>
      <c r="I2329" s="62" t="s">
        <v>1518</v>
      </c>
      <c r="J2329" s="62" t="s">
        <v>949</v>
      </c>
      <c r="K2329" s="62" t="s">
        <v>309</v>
      </c>
      <c r="L2329" s="62" t="s">
        <v>2421</v>
      </c>
      <c r="M2329" s="66" t="s">
        <v>1971</v>
      </c>
    </row>
    <row r="2330" spans="1:13" x14ac:dyDescent="0.3">
      <c r="A2330" s="61" t="s">
        <v>2394</v>
      </c>
      <c r="B2330" s="62" t="s">
        <v>1838</v>
      </c>
      <c r="C2330" s="62" t="s">
        <v>1839</v>
      </c>
      <c r="D2330" s="63">
        <v>45331</v>
      </c>
      <c r="E2330" s="63">
        <v>46477</v>
      </c>
      <c r="F2330" s="62" t="s">
        <v>1941</v>
      </c>
      <c r="G2330" s="62" t="s">
        <v>367</v>
      </c>
      <c r="H2330" s="62" t="s">
        <v>1213</v>
      </c>
      <c r="I2330" s="62" t="s">
        <v>1518</v>
      </c>
      <c r="J2330" s="62" t="s">
        <v>949</v>
      </c>
      <c r="K2330" s="62" t="s">
        <v>309</v>
      </c>
      <c r="L2330" s="62" t="s">
        <v>2421</v>
      </c>
      <c r="M2330" s="66" t="s">
        <v>1971</v>
      </c>
    </row>
    <row r="2331" spans="1:13" x14ac:dyDescent="0.3">
      <c r="A2331" s="61" t="s">
        <v>2394</v>
      </c>
      <c r="B2331" s="62" t="s">
        <v>1838</v>
      </c>
      <c r="C2331" s="62" t="s">
        <v>1839</v>
      </c>
      <c r="D2331" s="63">
        <v>45331</v>
      </c>
      <c r="E2331" s="63">
        <v>46477</v>
      </c>
      <c r="F2331" s="62" t="s">
        <v>1941</v>
      </c>
      <c r="G2331" s="62" t="s">
        <v>319</v>
      </c>
      <c r="H2331" s="62" t="s">
        <v>1213</v>
      </c>
      <c r="I2331" s="62" t="s">
        <v>1518</v>
      </c>
      <c r="J2331" s="62" t="s">
        <v>949</v>
      </c>
      <c r="K2331" s="62" t="s">
        <v>309</v>
      </c>
      <c r="L2331" s="62" t="s">
        <v>2421</v>
      </c>
      <c r="M2331" s="66" t="s">
        <v>1971</v>
      </c>
    </row>
    <row r="2332" spans="1:13" x14ac:dyDescent="0.3">
      <c r="A2332" s="61" t="s">
        <v>2394</v>
      </c>
      <c r="B2332" s="62" t="s">
        <v>1838</v>
      </c>
      <c r="C2332" s="62" t="s">
        <v>1839</v>
      </c>
      <c r="D2332" s="63">
        <v>45331</v>
      </c>
      <c r="E2332" s="63">
        <v>46477</v>
      </c>
      <c r="F2332" s="62" t="s">
        <v>1941</v>
      </c>
      <c r="G2332" s="62" t="s">
        <v>320</v>
      </c>
      <c r="H2332" s="62" t="s">
        <v>1213</v>
      </c>
      <c r="I2332" s="62" t="s">
        <v>1518</v>
      </c>
      <c r="J2332" s="62" t="s">
        <v>949</v>
      </c>
      <c r="K2332" s="62" t="s">
        <v>309</v>
      </c>
      <c r="L2332" s="62" t="s">
        <v>2421</v>
      </c>
      <c r="M2332" s="66" t="s">
        <v>1971</v>
      </c>
    </row>
    <row r="2333" spans="1:13" x14ac:dyDescent="0.3">
      <c r="A2333" s="61" t="s">
        <v>2394</v>
      </c>
      <c r="B2333" s="62" t="s">
        <v>1838</v>
      </c>
      <c r="C2333" s="62" t="s">
        <v>1839</v>
      </c>
      <c r="D2333" s="63">
        <v>45331</v>
      </c>
      <c r="E2333" s="63">
        <v>46477</v>
      </c>
      <c r="F2333" s="62" t="s">
        <v>1941</v>
      </c>
      <c r="G2333" s="62" t="s">
        <v>494</v>
      </c>
      <c r="H2333" s="62" t="s">
        <v>1213</v>
      </c>
      <c r="I2333" s="62" t="s">
        <v>1518</v>
      </c>
      <c r="J2333" s="62" t="s">
        <v>949</v>
      </c>
      <c r="K2333" s="62" t="s">
        <v>309</v>
      </c>
      <c r="L2333" s="62" t="s">
        <v>2421</v>
      </c>
      <c r="M2333" s="66" t="s">
        <v>1971</v>
      </c>
    </row>
    <row r="2334" spans="1:13" x14ac:dyDescent="0.3">
      <c r="A2334" s="61" t="s">
        <v>2394</v>
      </c>
      <c r="B2334" s="62" t="s">
        <v>1838</v>
      </c>
      <c r="C2334" s="62" t="s">
        <v>1839</v>
      </c>
      <c r="D2334" s="63">
        <v>45331</v>
      </c>
      <c r="E2334" s="63">
        <v>46477</v>
      </c>
      <c r="F2334" s="62" t="s">
        <v>1941</v>
      </c>
      <c r="G2334" s="62" t="s">
        <v>321</v>
      </c>
      <c r="H2334" s="62" t="s">
        <v>1213</v>
      </c>
      <c r="I2334" s="62" t="s">
        <v>1518</v>
      </c>
      <c r="J2334" s="62" t="s">
        <v>949</v>
      </c>
      <c r="K2334" s="62" t="s">
        <v>309</v>
      </c>
      <c r="L2334" s="62" t="s">
        <v>2421</v>
      </c>
      <c r="M2334" s="66" t="s">
        <v>1971</v>
      </c>
    </row>
    <row r="2335" spans="1:13" x14ac:dyDescent="0.3">
      <c r="A2335" s="61" t="s">
        <v>2394</v>
      </c>
      <c r="B2335" s="62" t="s">
        <v>1838</v>
      </c>
      <c r="C2335" s="62" t="s">
        <v>1839</v>
      </c>
      <c r="D2335" s="63">
        <v>45331</v>
      </c>
      <c r="E2335" s="63">
        <v>46477</v>
      </c>
      <c r="F2335" s="62" t="s">
        <v>1941</v>
      </c>
      <c r="G2335" s="62" t="s">
        <v>322</v>
      </c>
      <c r="H2335" s="62" t="s">
        <v>1213</v>
      </c>
      <c r="I2335" s="62" t="s">
        <v>1518</v>
      </c>
      <c r="J2335" s="62" t="s">
        <v>949</v>
      </c>
      <c r="K2335" s="62" t="s">
        <v>309</v>
      </c>
      <c r="L2335" s="62" t="s">
        <v>2421</v>
      </c>
      <c r="M2335" s="66" t="s">
        <v>1971</v>
      </c>
    </row>
    <row r="2336" spans="1:13" x14ac:dyDescent="0.3">
      <c r="A2336" s="61" t="s">
        <v>2394</v>
      </c>
      <c r="B2336" s="62" t="s">
        <v>1838</v>
      </c>
      <c r="C2336" s="62" t="s">
        <v>1839</v>
      </c>
      <c r="D2336" s="63">
        <v>45331</v>
      </c>
      <c r="E2336" s="63">
        <v>46477</v>
      </c>
      <c r="F2336" s="62" t="s">
        <v>1941</v>
      </c>
      <c r="G2336" s="62" t="s">
        <v>1329</v>
      </c>
      <c r="H2336" s="62" t="s">
        <v>1213</v>
      </c>
      <c r="I2336" s="62" t="s">
        <v>1518</v>
      </c>
      <c r="J2336" s="62" t="s">
        <v>949</v>
      </c>
      <c r="K2336" s="62" t="s">
        <v>309</v>
      </c>
      <c r="L2336" s="62" t="s">
        <v>2421</v>
      </c>
      <c r="M2336" s="66" t="s">
        <v>1971</v>
      </c>
    </row>
    <row r="2337" spans="1:13" x14ac:dyDescent="0.3">
      <c r="A2337" s="61" t="s">
        <v>2394</v>
      </c>
      <c r="B2337" s="62" t="s">
        <v>1838</v>
      </c>
      <c r="C2337" s="62" t="s">
        <v>1839</v>
      </c>
      <c r="D2337" s="63">
        <v>45331</v>
      </c>
      <c r="E2337" s="63">
        <v>46477</v>
      </c>
      <c r="F2337" s="62" t="s">
        <v>1941</v>
      </c>
      <c r="G2337" s="62" t="s">
        <v>325</v>
      </c>
      <c r="H2337" s="62" t="s">
        <v>1213</v>
      </c>
      <c r="I2337" s="62" t="s">
        <v>1518</v>
      </c>
      <c r="J2337" s="62" t="s">
        <v>949</v>
      </c>
      <c r="K2337" s="62" t="s">
        <v>309</v>
      </c>
      <c r="L2337" s="62" t="s">
        <v>2421</v>
      </c>
      <c r="M2337" s="66" t="s">
        <v>1971</v>
      </c>
    </row>
    <row r="2338" spans="1:13" x14ac:dyDescent="0.3">
      <c r="A2338" s="61" t="s">
        <v>2394</v>
      </c>
      <c r="B2338" s="62" t="s">
        <v>1838</v>
      </c>
      <c r="C2338" s="62" t="s">
        <v>1839</v>
      </c>
      <c r="D2338" s="63">
        <v>45331</v>
      </c>
      <c r="E2338" s="63">
        <v>46477</v>
      </c>
      <c r="F2338" s="62" t="s">
        <v>1941</v>
      </c>
      <c r="G2338" s="62" t="s">
        <v>399</v>
      </c>
      <c r="H2338" s="62" t="s">
        <v>1213</v>
      </c>
      <c r="I2338" s="62" t="s">
        <v>1518</v>
      </c>
      <c r="J2338" s="62" t="s">
        <v>949</v>
      </c>
      <c r="K2338" s="62" t="s">
        <v>309</v>
      </c>
      <c r="L2338" s="62" t="s">
        <v>2421</v>
      </c>
      <c r="M2338" s="66" t="s">
        <v>1971</v>
      </c>
    </row>
    <row r="2339" spans="1:13" x14ac:dyDescent="0.3">
      <c r="A2339" s="61" t="s">
        <v>2394</v>
      </c>
      <c r="B2339" s="62" t="s">
        <v>1838</v>
      </c>
      <c r="C2339" s="62" t="s">
        <v>1839</v>
      </c>
      <c r="D2339" s="63">
        <v>45331</v>
      </c>
      <c r="E2339" s="63">
        <v>46477</v>
      </c>
      <c r="F2339" s="62" t="s">
        <v>1934</v>
      </c>
      <c r="G2339" s="62" t="s">
        <v>727</v>
      </c>
      <c r="H2339" s="62" t="s">
        <v>1213</v>
      </c>
      <c r="I2339" s="62" t="s">
        <v>1518</v>
      </c>
      <c r="J2339" s="62" t="s">
        <v>949</v>
      </c>
      <c r="K2339" s="62" t="s">
        <v>309</v>
      </c>
      <c r="L2339" s="62" t="s">
        <v>2421</v>
      </c>
      <c r="M2339" s="66" t="s">
        <v>1971</v>
      </c>
    </row>
    <row r="2340" spans="1:13" x14ac:dyDescent="0.3">
      <c r="A2340" s="61" t="s">
        <v>2394</v>
      </c>
      <c r="B2340" s="62" t="s">
        <v>1838</v>
      </c>
      <c r="C2340" s="62" t="s">
        <v>1839</v>
      </c>
      <c r="D2340" s="63">
        <v>45331</v>
      </c>
      <c r="E2340" s="63">
        <v>46477</v>
      </c>
      <c r="F2340" s="62" t="s">
        <v>1934</v>
      </c>
      <c r="G2340" s="62" t="s">
        <v>497</v>
      </c>
      <c r="H2340" s="62" t="s">
        <v>1213</v>
      </c>
      <c r="I2340" s="62" t="s">
        <v>1518</v>
      </c>
      <c r="J2340" s="62" t="s">
        <v>949</v>
      </c>
      <c r="K2340" s="62" t="s">
        <v>309</v>
      </c>
      <c r="L2340" s="62" t="s">
        <v>2421</v>
      </c>
      <c r="M2340" s="66" t="s">
        <v>1971</v>
      </c>
    </row>
    <row r="2341" spans="1:13" x14ac:dyDescent="0.3">
      <c r="A2341" s="61" t="s">
        <v>2394</v>
      </c>
      <c r="B2341" s="62" t="s">
        <v>1838</v>
      </c>
      <c r="C2341" s="62" t="s">
        <v>1839</v>
      </c>
      <c r="D2341" s="63">
        <v>45331</v>
      </c>
      <c r="E2341" s="63">
        <v>46477</v>
      </c>
      <c r="F2341" s="62" t="s">
        <v>1934</v>
      </c>
      <c r="G2341" s="62" t="s">
        <v>524</v>
      </c>
      <c r="H2341" s="62" t="s">
        <v>1213</v>
      </c>
      <c r="I2341" s="62" t="s">
        <v>1518</v>
      </c>
      <c r="J2341" s="62" t="s">
        <v>949</v>
      </c>
      <c r="K2341" s="62" t="s">
        <v>309</v>
      </c>
      <c r="L2341" s="62" t="s">
        <v>2421</v>
      </c>
      <c r="M2341" s="66" t="s">
        <v>1971</v>
      </c>
    </row>
    <row r="2342" spans="1:13" x14ac:dyDescent="0.3">
      <c r="A2342" s="61" t="s">
        <v>2394</v>
      </c>
      <c r="B2342" s="62" t="s">
        <v>1838</v>
      </c>
      <c r="C2342" s="62" t="s">
        <v>1839</v>
      </c>
      <c r="D2342" s="63">
        <v>45331</v>
      </c>
      <c r="E2342" s="63">
        <v>46477</v>
      </c>
      <c r="F2342" s="62" t="s">
        <v>1934</v>
      </c>
      <c r="G2342" s="62" t="s">
        <v>525</v>
      </c>
      <c r="H2342" s="62" t="s">
        <v>1213</v>
      </c>
      <c r="I2342" s="62" t="s">
        <v>1518</v>
      </c>
      <c r="J2342" s="62" t="s">
        <v>949</v>
      </c>
      <c r="K2342" s="62" t="s">
        <v>309</v>
      </c>
      <c r="L2342" s="62" t="s">
        <v>2421</v>
      </c>
      <c r="M2342" s="66" t="s">
        <v>1971</v>
      </c>
    </row>
    <row r="2343" spans="1:13" x14ac:dyDescent="0.3">
      <c r="A2343" s="61" t="s">
        <v>2394</v>
      </c>
      <c r="B2343" s="62" t="s">
        <v>1838</v>
      </c>
      <c r="C2343" s="62" t="s">
        <v>1839</v>
      </c>
      <c r="D2343" s="63">
        <v>45331</v>
      </c>
      <c r="E2343" s="63">
        <v>46477</v>
      </c>
      <c r="F2343" s="62" t="s">
        <v>1934</v>
      </c>
      <c r="G2343" s="62" t="s">
        <v>477</v>
      </c>
      <c r="H2343" s="62" t="s">
        <v>1213</v>
      </c>
      <c r="I2343" s="62" t="s">
        <v>1518</v>
      </c>
      <c r="J2343" s="62" t="s">
        <v>949</v>
      </c>
      <c r="K2343" s="62" t="s">
        <v>309</v>
      </c>
      <c r="L2343" s="62" t="s">
        <v>2421</v>
      </c>
      <c r="M2343" s="66" t="s">
        <v>1971</v>
      </c>
    </row>
    <row r="2344" spans="1:13" x14ac:dyDescent="0.3">
      <c r="A2344" s="61" t="s">
        <v>2394</v>
      </c>
      <c r="B2344" s="62" t="s">
        <v>1838</v>
      </c>
      <c r="C2344" s="62" t="s">
        <v>1839</v>
      </c>
      <c r="D2344" s="63">
        <v>45331</v>
      </c>
      <c r="E2344" s="63">
        <v>46477</v>
      </c>
      <c r="F2344" s="62" t="s">
        <v>1934</v>
      </c>
      <c r="G2344" s="62" t="s">
        <v>526</v>
      </c>
      <c r="H2344" s="62" t="s">
        <v>1213</v>
      </c>
      <c r="I2344" s="62" t="s">
        <v>1518</v>
      </c>
      <c r="J2344" s="62" t="s">
        <v>949</v>
      </c>
      <c r="K2344" s="62" t="s">
        <v>309</v>
      </c>
      <c r="L2344" s="62" t="s">
        <v>2421</v>
      </c>
      <c r="M2344" s="66" t="s">
        <v>1971</v>
      </c>
    </row>
    <row r="2345" spans="1:13" x14ac:dyDescent="0.3">
      <c r="A2345" s="61" t="s">
        <v>2394</v>
      </c>
      <c r="B2345" s="62" t="s">
        <v>1838</v>
      </c>
      <c r="C2345" s="62" t="s">
        <v>1839</v>
      </c>
      <c r="D2345" s="63">
        <v>45331</v>
      </c>
      <c r="E2345" s="63">
        <v>46477</v>
      </c>
      <c r="F2345" s="62" t="s">
        <v>1934</v>
      </c>
      <c r="G2345" s="62" t="s">
        <v>631</v>
      </c>
      <c r="H2345" s="62" t="s">
        <v>1213</v>
      </c>
      <c r="I2345" s="62" t="s">
        <v>1518</v>
      </c>
      <c r="J2345" s="62" t="s">
        <v>949</v>
      </c>
      <c r="K2345" s="62" t="s">
        <v>309</v>
      </c>
      <c r="L2345" s="62" t="s">
        <v>2421</v>
      </c>
      <c r="M2345" s="66" t="s">
        <v>1971</v>
      </c>
    </row>
    <row r="2346" spans="1:13" x14ac:dyDescent="0.3">
      <c r="A2346" s="61" t="s">
        <v>2394</v>
      </c>
      <c r="B2346" s="62" t="s">
        <v>1838</v>
      </c>
      <c r="C2346" s="62" t="s">
        <v>1839</v>
      </c>
      <c r="D2346" s="63">
        <v>45331</v>
      </c>
      <c r="E2346" s="63">
        <v>46477</v>
      </c>
      <c r="F2346" s="62" t="s">
        <v>1934</v>
      </c>
      <c r="G2346" s="62" t="s">
        <v>499</v>
      </c>
      <c r="H2346" s="62" t="s">
        <v>1213</v>
      </c>
      <c r="I2346" s="62" t="s">
        <v>1518</v>
      </c>
      <c r="J2346" s="62" t="s">
        <v>949</v>
      </c>
      <c r="K2346" s="62" t="s">
        <v>309</v>
      </c>
      <c r="L2346" s="62" t="s">
        <v>2421</v>
      </c>
      <c r="M2346" s="66" t="s">
        <v>1971</v>
      </c>
    </row>
    <row r="2347" spans="1:13" x14ac:dyDescent="0.3">
      <c r="A2347" s="61" t="s">
        <v>2394</v>
      </c>
      <c r="B2347" s="62" t="s">
        <v>1838</v>
      </c>
      <c r="C2347" s="62" t="s">
        <v>1839</v>
      </c>
      <c r="D2347" s="63">
        <v>45331</v>
      </c>
      <c r="E2347" s="63">
        <v>46477</v>
      </c>
      <c r="F2347" s="62" t="s">
        <v>1958</v>
      </c>
      <c r="G2347" s="62" t="s">
        <v>329</v>
      </c>
      <c r="H2347" s="62" t="s">
        <v>1213</v>
      </c>
      <c r="I2347" s="62" t="s">
        <v>1518</v>
      </c>
      <c r="J2347" s="62" t="s">
        <v>949</v>
      </c>
      <c r="K2347" s="62" t="s">
        <v>309</v>
      </c>
      <c r="L2347" s="62" t="s">
        <v>2421</v>
      </c>
      <c r="M2347" s="66" t="s">
        <v>1971</v>
      </c>
    </row>
    <row r="2348" spans="1:13" x14ac:dyDescent="0.3">
      <c r="A2348" s="61" t="s">
        <v>2394</v>
      </c>
      <c r="B2348" s="62" t="s">
        <v>1838</v>
      </c>
      <c r="C2348" s="62" t="s">
        <v>1839</v>
      </c>
      <c r="D2348" s="63">
        <v>45331</v>
      </c>
      <c r="E2348" s="63">
        <v>46477</v>
      </c>
      <c r="F2348" s="62" t="s">
        <v>1958</v>
      </c>
      <c r="G2348" s="62" t="s">
        <v>330</v>
      </c>
      <c r="H2348" s="62" t="s">
        <v>1213</v>
      </c>
      <c r="I2348" s="62" t="s">
        <v>1518</v>
      </c>
      <c r="J2348" s="62" t="s">
        <v>949</v>
      </c>
      <c r="K2348" s="62" t="s">
        <v>309</v>
      </c>
      <c r="L2348" s="62" t="s">
        <v>2421</v>
      </c>
      <c r="M2348" s="66" t="s">
        <v>1971</v>
      </c>
    </row>
    <row r="2349" spans="1:13" x14ac:dyDescent="0.3">
      <c r="A2349" s="61" t="s">
        <v>2394</v>
      </c>
      <c r="B2349" s="62" t="s">
        <v>1838</v>
      </c>
      <c r="C2349" s="62" t="s">
        <v>1839</v>
      </c>
      <c r="D2349" s="63">
        <v>45331</v>
      </c>
      <c r="E2349" s="63">
        <v>46477</v>
      </c>
      <c r="F2349" s="62" t="s">
        <v>1958</v>
      </c>
      <c r="G2349" s="62" t="s">
        <v>332</v>
      </c>
      <c r="H2349" s="62" t="s">
        <v>1213</v>
      </c>
      <c r="I2349" s="62" t="s">
        <v>1518</v>
      </c>
      <c r="J2349" s="62" t="s">
        <v>949</v>
      </c>
      <c r="K2349" s="62" t="s">
        <v>309</v>
      </c>
      <c r="L2349" s="62" t="s">
        <v>2421</v>
      </c>
      <c r="M2349" s="66" t="s">
        <v>1971</v>
      </c>
    </row>
    <row r="2350" spans="1:13" x14ac:dyDescent="0.3">
      <c r="A2350" s="61" t="s">
        <v>2394</v>
      </c>
      <c r="B2350" s="62" t="s">
        <v>1838</v>
      </c>
      <c r="C2350" s="62" t="s">
        <v>1839</v>
      </c>
      <c r="D2350" s="63">
        <v>45331</v>
      </c>
      <c r="E2350" s="63">
        <v>46477</v>
      </c>
      <c r="F2350" s="62" t="s">
        <v>1958</v>
      </c>
      <c r="G2350" s="62" t="s">
        <v>628</v>
      </c>
      <c r="H2350" s="62" t="s">
        <v>1213</v>
      </c>
      <c r="I2350" s="62" t="s">
        <v>1518</v>
      </c>
      <c r="J2350" s="62" t="s">
        <v>949</v>
      </c>
      <c r="K2350" s="62" t="s">
        <v>309</v>
      </c>
      <c r="L2350" s="62" t="s">
        <v>2421</v>
      </c>
      <c r="M2350" s="66" t="s">
        <v>1971</v>
      </c>
    </row>
    <row r="2351" spans="1:13" x14ac:dyDescent="0.3">
      <c r="A2351" s="61" t="s">
        <v>2394</v>
      </c>
      <c r="B2351" s="62" t="s">
        <v>1838</v>
      </c>
      <c r="C2351" s="62" t="s">
        <v>1839</v>
      </c>
      <c r="D2351" s="63">
        <v>45331</v>
      </c>
      <c r="E2351" s="63">
        <v>46477</v>
      </c>
      <c r="F2351" s="62" t="s">
        <v>1958</v>
      </c>
      <c r="G2351" s="62" t="s">
        <v>334</v>
      </c>
      <c r="H2351" s="62" t="s">
        <v>1213</v>
      </c>
      <c r="I2351" s="62" t="s">
        <v>1518</v>
      </c>
      <c r="J2351" s="62" t="s">
        <v>949</v>
      </c>
      <c r="K2351" s="62" t="s">
        <v>309</v>
      </c>
      <c r="L2351" s="62" t="s">
        <v>2421</v>
      </c>
      <c r="M2351" s="66" t="s">
        <v>1971</v>
      </c>
    </row>
    <row r="2352" spans="1:13" x14ac:dyDescent="0.3">
      <c r="A2352" s="61" t="s">
        <v>2394</v>
      </c>
      <c r="B2352" s="62" t="s">
        <v>1838</v>
      </c>
      <c r="C2352" s="62" t="s">
        <v>1839</v>
      </c>
      <c r="D2352" s="63">
        <v>45331</v>
      </c>
      <c r="E2352" s="63">
        <v>46477</v>
      </c>
      <c r="F2352" s="62" t="s">
        <v>286</v>
      </c>
      <c r="G2352" s="62" t="s">
        <v>326</v>
      </c>
      <c r="H2352" s="62" t="s">
        <v>1213</v>
      </c>
      <c r="I2352" s="62" t="s">
        <v>1518</v>
      </c>
      <c r="J2352" s="62" t="s">
        <v>949</v>
      </c>
      <c r="K2352" s="62" t="s">
        <v>309</v>
      </c>
      <c r="L2352" s="62" t="s">
        <v>2421</v>
      </c>
      <c r="M2352" s="66" t="s">
        <v>1971</v>
      </c>
    </row>
    <row r="2353" spans="1:13" x14ac:dyDescent="0.3">
      <c r="A2353" s="61" t="s">
        <v>2394</v>
      </c>
      <c r="B2353" s="62" t="s">
        <v>1838</v>
      </c>
      <c r="C2353" s="62" t="s">
        <v>1839</v>
      </c>
      <c r="D2353" s="63">
        <v>45331</v>
      </c>
      <c r="E2353" s="63">
        <v>46477</v>
      </c>
      <c r="F2353" s="62" t="s">
        <v>286</v>
      </c>
      <c r="G2353" s="62" t="s">
        <v>476</v>
      </c>
      <c r="H2353" s="62" t="s">
        <v>1213</v>
      </c>
      <c r="I2353" s="62" t="s">
        <v>1518</v>
      </c>
      <c r="J2353" s="62" t="s">
        <v>949</v>
      </c>
      <c r="K2353" s="62" t="s">
        <v>309</v>
      </c>
      <c r="L2353" s="62" t="s">
        <v>2421</v>
      </c>
      <c r="M2353" s="66" t="s">
        <v>1971</v>
      </c>
    </row>
    <row r="2354" spans="1:13" x14ac:dyDescent="0.3">
      <c r="A2354" s="61" t="s">
        <v>2394</v>
      </c>
      <c r="B2354" s="62" t="s">
        <v>1838</v>
      </c>
      <c r="C2354" s="62" t="s">
        <v>1839</v>
      </c>
      <c r="D2354" s="63">
        <v>45331</v>
      </c>
      <c r="E2354" s="63">
        <v>46477</v>
      </c>
      <c r="F2354" s="62" t="s">
        <v>286</v>
      </c>
      <c r="G2354" s="62" t="s">
        <v>1840</v>
      </c>
      <c r="H2354" s="62" t="s">
        <v>1213</v>
      </c>
      <c r="I2354" s="62" t="s">
        <v>1518</v>
      </c>
      <c r="J2354" s="62" t="s">
        <v>949</v>
      </c>
      <c r="K2354" s="62" t="s">
        <v>309</v>
      </c>
      <c r="L2354" s="62" t="s">
        <v>2421</v>
      </c>
      <c r="M2354" s="66" t="s">
        <v>1971</v>
      </c>
    </row>
    <row r="2355" spans="1:13" x14ac:dyDescent="0.3">
      <c r="A2355" s="61" t="s">
        <v>2394</v>
      </c>
      <c r="B2355" s="62" t="s">
        <v>1838</v>
      </c>
      <c r="C2355" s="62" t="s">
        <v>1839</v>
      </c>
      <c r="D2355" s="63">
        <v>45331</v>
      </c>
      <c r="E2355" s="63">
        <v>46477</v>
      </c>
      <c r="F2355" s="62" t="s">
        <v>1916</v>
      </c>
      <c r="G2355" s="62" t="s">
        <v>884</v>
      </c>
      <c r="H2355" s="62" t="s">
        <v>1213</v>
      </c>
      <c r="I2355" s="62" t="s">
        <v>1518</v>
      </c>
      <c r="J2355" s="62" t="s">
        <v>949</v>
      </c>
      <c r="K2355" s="62" t="s">
        <v>309</v>
      </c>
      <c r="L2355" s="62" t="s">
        <v>2421</v>
      </c>
      <c r="M2355" s="66" t="s">
        <v>1971</v>
      </c>
    </row>
    <row r="2356" spans="1:13" x14ac:dyDescent="0.3">
      <c r="A2356" s="61" t="s">
        <v>2394</v>
      </c>
      <c r="B2356" s="62" t="s">
        <v>1838</v>
      </c>
      <c r="C2356" s="62" t="s">
        <v>1839</v>
      </c>
      <c r="D2356" s="63">
        <v>45331</v>
      </c>
      <c r="E2356" s="63">
        <v>46477</v>
      </c>
      <c r="F2356" s="62" t="s">
        <v>1916</v>
      </c>
      <c r="G2356" s="62" t="s">
        <v>327</v>
      </c>
      <c r="H2356" s="62" t="s">
        <v>1213</v>
      </c>
      <c r="I2356" s="62" t="s">
        <v>1518</v>
      </c>
      <c r="J2356" s="62" t="s">
        <v>949</v>
      </c>
      <c r="K2356" s="62" t="s">
        <v>309</v>
      </c>
      <c r="L2356" s="62" t="s">
        <v>2421</v>
      </c>
      <c r="M2356" s="66" t="s">
        <v>1971</v>
      </c>
    </row>
    <row r="2357" spans="1:13" x14ac:dyDescent="0.3">
      <c r="A2357" s="61" t="s">
        <v>2394</v>
      </c>
      <c r="B2357" s="62" t="s">
        <v>1838</v>
      </c>
      <c r="C2357" s="62" t="s">
        <v>1839</v>
      </c>
      <c r="D2357" s="63">
        <v>45331</v>
      </c>
      <c r="E2357" s="63">
        <v>46477</v>
      </c>
      <c r="F2357" s="62" t="s">
        <v>1916</v>
      </c>
      <c r="G2357" s="62" t="s">
        <v>885</v>
      </c>
      <c r="H2357" s="62" t="s">
        <v>1213</v>
      </c>
      <c r="I2357" s="62" t="s">
        <v>1518</v>
      </c>
      <c r="J2357" s="62" t="s">
        <v>949</v>
      </c>
      <c r="K2357" s="62" t="s">
        <v>309</v>
      </c>
      <c r="L2357" s="62" t="s">
        <v>2421</v>
      </c>
      <c r="M2357" s="66" t="s">
        <v>1971</v>
      </c>
    </row>
    <row r="2358" spans="1:13" x14ac:dyDescent="0.3">
      <c r="A2358" s="61" t="s">
        <v>2394</v>
      </c>
      <c r="B2358" s="62" t="s">
        <v>1838</v>
      </c>
      <c r="C2358" s="62" t="s">
        <v>1839</v>
      </c>
      <c r="D2358" s="63">
        <v>45331</v>
      </c>
      <c r="E2358" s="63">
        <v>46477</v>
      </c>
      <c r="F2358" s="62" t="s">
        <v>1936</v>
      </c>
      <c r="G2358" s="62" t="s">
        <v>730</v>
      </c>
      <c r="H2358" s="62" t="s">
        <v>1213</v>
      </c>
      <c r="I2358" s="62" t="s">
        <v>1518</v>
      </c>
      <c r="J2358" s="62" t="s">
        <v>949</v>
      </c>
      <c r="K2358" s="62" t="s">
        <v>309</v>
      </c>
      <c r="L2358" s="62" t="s">
        <v>2421</v>
      </c>
      <c r="M2358" s="66" t="s">
        <v>1971</v>
      </c>
    </row>
    <row r="2359" spans="1:13" x14ac:dyDescent="0.3">
      <c r="A2359" s="61" t="s">
        <v>2394</v>
      </c>
      <c r="B2359" s="62" t="s">
        <v>1838</v>
      </c>
      <c r="C2359" s="62" t="s">
        <v>1839</v>
      </c>
      <c r="D2359" s="63">
        <v>45331</v>
      </c>
      <c r="E2359" s="63">
        <v>46477</v>
      </c>
      <c r="F2359" s="62" t="s">
        <v>1936</v>
      </c>
      <c r="G2359" s="62" t="s">
        <v>748</v>
      </c>
      <c r="H2359" s="62" t="s">
        <v>1213</v>
      </c>
      <c r="I2359" s="62" t="s">
        <v>1518</v>
      </c>
      <c r="J2359" s="62" t="s">
        <v>949</v>
      </c>
      <c r="K2359" s="62" t="s">
        <v>309</v>
      </c>
      <c r="L2359" s="62" t="s">
        <v>2421</v>
      </c>
      <c r="M2359" s="66" t="s">
        <v>1971</v>
      </c>
    </row>
    <row r="2360" spans="1:13" x14ac:dyDescent="0.3">
      <c r="A2360" s="61" t="s">
        <v>2394</v>
      </c>
      <c r="B2360" s="62" t="s">
        <v>1838</v>
      </c>
      <c r="C2360" s="62" t="s">
        <v>1839</v>
      </c>
      <c r="D2360" s="63">
        <v>45331</v>
      </c>
      <c r="E2360" s="63">
        <v>46477</v>
      </c>
      <c r="F2360" s="62" t="s">
        <v>1936</v>
      </c>
      <c r="G2360" s="62" t="s">
        <v>414</v>
      </c>
      <c r="H2360" s="62" t="s">
        <v>1213</v>
      </c>
      <c r="I2360" s="62" t="s">
        <v>1518</v>
      </c>
      <c r="J2360" s="62" t="s">
        <v>949</v>
      </c>
      <c r="K2360" s="62" t="s">
        <v>309</v>
      </c>
      <c r="L2360" s="62" t="s">
        <v>2421</v>
      </c>
      <c r="M2360" s="66" t="s">
        <v>1971</v>
      </c>
    </row>
    <row r="2361" spans="1:13" x14ac:dyDescent="0.3">
      <c r="A2361" s="61" t="s">
        <v>2394</v>
      </c>
      <c r="B2361" s="62" t="s">
        <v>1838</v>
      </c>
      <c r="C2361" s="62" t="s">
        <v>1839</v>
      </c>
      <c r="D2361" s="63">
        <v>45331</v>
      </c>
      <c r="E2361" s="63">
        <v>46477</v>
      </c>
      <c r="F2361" s="62" t="s">
        <v>1960</v>
      </c>
      <c r="G2361" s="62" t="s">
        <v>1841</v>
      </c>
      <c r="H2361" s="62" t="s">
        <v>1213</v>
      </c>
      <c r="I2361" s="62" t="s">
        <v>1518</v>
      </c>
      <c r="J2361" s="62" t="s">
        <v>949</v>
      </c>
      <c r="K2361" s="62" t="s">
        <v>309</v>
      </c>
      <c r="L2361" s="62" t="s">
        <v>2421</v>
      </c>
      <c r="M2361" s="66" t="s">
        <v>1971</v>
      </c>
    </row>
    <row r="2362" spans="1:13" x14ac:dyDescent="0.3">
      <c r="A2362" s="61" t="s">
        <v>2394</v>
      </c>
      <c r="B2362" s="62" t="s">
        <v>1838</v>
      </c>
      <c r="C2362" s="62" t="s">
        <v>1839</v>
      </c>
      <c r="D2362" s="63">
        <v>45331</v>
      </c>
      <c r="E2362" s="63">
        <v>46477</v>
      </c>
      <c r="F2362" s="62" t="s">
        <v>1960</v>
      </c>
      <c r="G2362" s="62" t="s">
        <v>567</v>
      </c>
      <c r="H2362" s="62" t="s">
        <v>1213</v>
      </c>
      <c r="I2362" s="62" t="s">
        <v>1518</v>
      </c>
      <c r="J2362" s="62" t="s">
        <v>949</v>
      </c>
      <c r="K2362" s="62" t="s">
        <v>309</v>
      </c>
      <c r="L2362" s="62" t="s">
        <v>2421</v>
      </c>
      <c r="M2362" s="66" t="s">
        <v>1971</v>
      </c>
    </row>
    <row r="2363" spans="1:13" x14ac:dyDescent="0.3">
      <c r="A2363" s="61" t="s">
        <v>2394</v>
      </c>
      <c r="B2363" s="62" t="s">
        <v>1838</v>
      </c>
      <c r="C2363" s="62" t="s">
        <v>1839</v>
      </c>
      <c r="D2363" s="63">
        <v>45331</v>
      </c>
      <c r="E2363" s="63">
        <v>46477</v>
      </c>
      <c r="F2363" s="62" t="s">
        <v>1938</v>
      </c>
      <c r="G2363" s="62" t="s">
        <v>505</v>
      </c>
      <c r="H2363" s="62" t="s">
        <v>1213</v>
      </c>
      <c r="I2363" s="62" t="s">
        <v>1518</v>
      </c>
      <c r="J2363" s="62" t="s">
        <v>949</v>
      </c>
      <c r="K2363" s="62" t="s">
        <v>309</v>
      </c>
      <c r="L2363" s="62" t="s">
        <v>2421</v>
      </c>
      <c r="M2363" s="66" t="s">
        <v>1971</v>
      </c>
    </row>
    <row r="2364" spans="1:13" x14ac:dyDescent="0.3">
      <c r="A2364" s="61" t="s">
        <v>2394</v>
      </c>
      <c r="B2364" s="62" t="s">
        <v>1838</v>
      </c>
      <c r="C2364" s="62" t="s">
        <v>1839</v>
      </c>
      <c r="D2364" s="63">
        <v>45331</v>
      </c>
      <c r="E2364" s="63">
        <v>46477</v>
      </c>
      <c r="F2364" s="62" t="s">
        <v>1938</v>
      </c>
      <c r="G2364" s="62" t="s">
        <v>506</v>
      </c>
      <c r="H2364" s="62" t="s">
        <v>1213</v>
      </c>
      <c r="I2364" s="62" t="s">
        <v>1518</v>
      </c>
      <c r="J2364" s="62" t="s">
        <v>949</v>
      </c>
      <c r="K2364" s="62" t="s">
        <v>309</v>
      </c>
      <c r="L2364" s="62" t="s">
        <v>2421</v>
      </c>
      <c r="M2364" s="66" t="s">
        <v>1971</v>
      </c>
    </row>
    <row r="2365" spans="1:13" x14ac:dyDescent="0.3">
      <c r="A2365" s="61" t="s">
        <v>2394</v>
      </c>
      <c r="B2365" s="62" t="s">
        <v>1838</v>
      </c>
      <c r="C2365" s="62" t="s">
        <v>1839</v>
      </c>
      <c r="D2365" s="63">
        <v>45331</v>
      </c>
      <c r="E2365" s="63">
        <v>46477</v>
      </c>
      <c r="F2365" s="62" t="s">
        <v>1931</v>
      </c>
      <c r="G2365" s="62" t="s">
        <v>281</v>
      </c>
      <c r="H2365" s="62" t="s">
        <v>1213</v>
      </c>
      <c r="I2365" s="62" t="s">
        <v>1518</v>
      </c>
      <c r="J2365" s="62" t="s">
        <v>949</v>
      </c>
      <c r="K2365" s="62" t="s">
        <v>309</v>
      </c>
      <c r="L2365" s="62" t="s">
        <v>2421</v>
      </c>
      <c r="M2365" s="66" t="s">
        <v>1971</v>
      </c>
    </row>
    <row r="2366" spans="1:13" x14ac:dyDescent="0.3">
      <c r="A2366" s="61" t="s">
        <v>2394</v>
      </c>
      <c r="B2366" s="62" t="s">
        <v>1838</v>
      </c>
      <c r="C2366" s="62" t="s">
        <v>1839</v>
      </c>
      <c r="D2366" s="63">
        <v>45331</v>
      </c>
      <c r="E2366" s="63">
        <v>46477</v>
      </c>
      <c r="F2366" s="62" t="s">
        <v>1935</v>
      </c>
      <c r="G2366" s="62" t="s">
        <v>564</v>
      </c>
      <c r="H2366" s="62" t="s">
        <v>1213</v>
      </c>
      <c r="I2366" s="62" t="s">
        <v>1518</v>
      </c>
      <c r="J2366" s="62" t="s">
        <v>949</v>
      </c>
      <c r="K2366" s="62" t="s">
        <v>309</v>
      </c>
      <c r="L2366" s="62" t="s">
        <v>2421</v>
      </c>
      <c r="M2366" s="66" t="s">
        <v>1971</v>
      </c>
    </row>
    <row r="2367" spans="1:13" x14ac:dyDescent="0.3">
      <c r="A2367" s="61" t="s">
        <v>2394</v>
      </c>
      <c r="B2367" s="62" t="s">
        <v>1838</v>
      </c>
      <c r="C2367" s="62" t="s">
        <v>1839</v>
      </c>
      <c r="D2367" s="63">
        <v>45331</v>
      </c>
      <c r="E2367" s="63">
        <v>46477</v>
      </c>
      <c r="F2367" s="62" t="s">
        <v>1921</v>
      </c>
      <c r="G2367" s="62" t="s">
        <v>487</v>
      </c>
      <c r="H2367" s="62" t="s">
        <v>1213</v>
      </c>
      <c r="I2367" s="62" t="s">
        <v>1518</v>
      </c>
      <c r="J2367" s="62" t="s">
        <v>949</v>
      </c>
      <c r="K2367" s="62" t="s">
        <v>309</v>
      </c>
      <c r="L2367" s="62" t="s">
        <v>2421</v>
      </c>
      <c r="M2367" s="66" t="s">
        <v>1971</v>
      </c>
    </row>
    <row r="2368" spans="1:13" x14ac:dyDescent="0.3">
      <c r="A2368" s="61" t="s">
        <v>2394</v>
      </c>
      <c r="B2368" s="62" t="s">
        <v>1838</v>
      </c>
      <c r="C2368" s="62" t="s">
        <v>1839</v>
      </c>
      <c r="D2368" s="63">
        <v>45331</v>
      </c>
      <c r="E2368" s="63">
        <v>46477</v>
      </c>
      <c r="F2368" s="62" t="s">
        <v>348</v>
      </c>
      <c r="G2368" s="62" t="s">
        <v>348</v>
      </c>
      <c r="H2368" s="62" t="s">
        <v>1213</v>
      </c>
      <c r="I2368" s="62" t="s">
        <v>1518</v>
      </c>
      <c r="J2368" s="62" t="s">
        <v>949</v>
      </c>
      <c r="K2368" s="62" t="s">
        <v>309</v>
      </c>
      <c r="L2368" s="62" t="s">
        <v>2421</v>
      </c>
      <c r="M2368" s="66" t="s">
        <v>1971</v>
      </c>
    </row>
    <row r="2369" spans="1:13" x14ac:dyDescent="0.3">
      <c r="A2369" s="61" t="s">
        <v>2394</v>
      </c>
      <c r="B2369" s="62" t="s">
        <v>1838</v>
      </c>
      <c r="C2369" s="62" t="s">
        <v>1839</v>
      </c>
      <c r="D2369" s="63">
        <v>45331</v>
      </c>
      <c r="E2369" s="63">
        <v>46477</v>
      </c>
      <c r="F2369" s="62" t="s">
        <v>1933</v>
      </c>
      <c r="G2369" s="62" t="s">
        <v>756</v>
      </c>
      <c r="H2369" s="62" t="s">
        <v>1213</v>
      </c>
      <c r="I2369" s="62" t="s">
        <v>1518</v>
      </c>
      <c r="J2369" s="62" t="s">
        <v>949</v>
      </c>
      <c r="K2369" s="62" t="s">
        <v>309</v>
      </c>
      <c r="L2369" s="62" t="s">
        <v>2421</v>
      </c>
      <c r="M2369" s="66" t="s">
        <v>1971</v>
      </c>
    </row>
    <row r="2370" spans="1:13" x14ac:dyDescent="0.3">
      <c r="A2370" s="61" t="s">
        <v>2394</v>
      </c>
      <c r="B2370" s="62" t="s">
        <v>1838</v>
      </c>
      <c r="C2370" s="62" t="s">
        <v>1839</v>
      </c>
      <c r="D2370" s="63">
        <v>45331</v>
      </c>
      <c r="E2370" s="63">
        <v>46477</v>
      </c>
      <c r="F2370" s="62" t="s">
        <v>1943</v>
      </c>
      <c r="G2370" s="62" t="s">
        <v>452</v>
      </c>
      <c r="H2370" s="62" t="s">
        <v>1213</v>
      </c>
      <c r="I2370" s="62" t="s">
        <v>1518</v>
      </c>
      <c r="J2370" s="62" t="s">
        <v>949</v>
      </c>
      <c r="K2370" s="62" t="s">
        <v>309</v>
      </c>
      <c r="L2370" s="62" t="s">
        <v>2421</v>
      </c>
      <c r="M2370" s="66" t="s">
        <v>1971</v>
      </c>
    </row>
    <row r="2371" spans="1:13" x14ac:dyDescent="0.3">
      <c r="A2371" s="61" t="s">
        <v>2394</v>
      </c>
      <c r="B2371" s="62" t="s">
        <v>1838</v>
      </c>
      <c r="C2371" s="62" t="s">
        <v>1839</v>
      </c>
      <c r="D2371" s="63">
        <v>45331</v>
      </c>
      <c r="E2371" s="63">
        <v>46477</v>
      </c>
      <c r="F2371" s="62" t="s">
        <v>1930</v>
      </c>
      <c r="G2371" s="62" t="s">
        <v>453</v>
      </c>
      <c r="H2371" s="62" t="s">
        <v>1213</v>
      </c>
      <c r="I2371" s="62" t="s">
        <v>1518</v>
      </c>
      <c r="J2371" s="62" t="s">
        <v>949</v>
      </c>
      <c r="K2371" s="62" t="s">
        <v>309</v>
      </c>
      <c r="L2371" s="62" t="s">
        <v>2421</v>
      </c>
      <c r="M2371" s="66" t="s">
        <v>1971</v>
      </c>
    </row>
    <row r="2372" spans="1:13" x14ac:dyDescent="0.3">
      <c r="A2372" s="61" t="s">
        <v>2394</v>
      </c>
      <c r="B2372" s="62" t="s">
        <v>1838</v>
      </c>
      <c r="C2372" s="62" t="s">
        <v>1839</v>
      </c>
      <c r="D2372" s="63">
        <v>45331</v>
      </c>
      <c r="E2372" s="63">
        <v>46477</v>
      </c>
      <c r="F2372" s="62" t="s">
        <v>1961</v>
      </c>
      <c r="G2372" s="62" t="s">
        <v>634</v>
      </c>
      <c r="H2372" s="62" t="s">
        <v>1213</v>
      </c>
      <c r="I2372" s="62" t="s">
        <v>1518</v>
      </c>
      <c r="J2372" s="62" t="s">
        <v>949</v>
      </c>
      <c r="K2372" s="62" t="s">
        <v>309</v>
      </c>
      <c r="L2372" s="62" t="s">
        <v>2421</v>
      </c>
      <c r="M2372" s="66" t="s">
        <v>1971</v>
      </c>
    </row>
    <row r="2373" spans="1:13" x14ac:dyDescent="0.3">
      <c r="A2373" s="61" t="s">
        <v>2394</v>
      </c>
      <c r="B2373" s="62" t="s">
        <v>1838</v>
      </c>
      <c r="C2373" s="62" t="s">
        <v>1839</v>
      </c>
      <c r="D2373" s="63">
        <v>45331</v>
      </c>
      <c r="E2373" s="63">
        <v>46477</v>
      </c>
      <c r="F2373" s="62" t="s">
        <v>1963</v>
      </c>
      <c r="G2373" s="62" t="s">
        <v>1842</v>
      </c>
      <c r="H2373" s="62" t="s">
        <v>1213</v>
      </c>
      <c r="I2373" s="62" t="s">
        <v>1518</v>
      </c>
      <c r="J2373" s="62" t="s">
        <v>949</v>
      </c>
      <c r="K2373" s="62" t="s">
        <v>309</v>
      </c>
      <c r="L2373" s="62" t="s">
        <v>2421</v>
      </c>
      <c r="M2373" s="66" t="s">
        <v>1971</v>
      </c>
    </row>
    <row r="2374" spans="1:13" x14ac:dyDescent="0.3">
      <c r="A2374" s="61" t="s">
        <v>2394</v>
      </c>
      <c r="B2374" s="62" t="s">
        <v>1838</v>
      </c>
      <c r="C2374" s="62" t="s">
        <v>1839</v>
      </c>
      <c r="D2374" s="63">
        <v>45331</v>
      </c>
      <c r="E2374" s="63">
        <v>46477</v>
      </c>
      <c r="F2374" s="62" t="s">
        <v>1948</v>
      </c>
      <c r="G2374" s="62" t="s">
        <v>368</v>
      </c>
      <c r="H2374" s="62" t="s">
        <v>1213</v>
      </c>
      <c r="I2374" s="62" t="s">
        <v>1518</v>
      </c>
      <c r="J2374" s="62" t="s">
        <v>949</v>
      </c>
      <c r="K2374" s="62" t="s">
        <v>309</v>
      </c>
      <c r="L2374" s="62" t="s">
        <v>2421</v>
      </c>
      <c r="M2374" s="66" t="s">
        <v>1971</v>
      </c>
    </row>
    <row r="2375" spans="1:13" x14ac:dyDescent="0.3">
      <c r="A2375" s="61" t="s">
        <v>2394</v>
      </c>
      <c r="B2375" s="62" t="s">
        <v>1838</v>
      </c>
      <c r="C2375" s="62" t="s">
        <v>1839</v>
      </c>
      <c r="D2375" s="63">
        <v>45331</v>
      </c>
      <c r="E2375" s="63">
        <v>46477</v>
      </c>
      <c r="F2375" s="62" t="s">
        <v>287</v>
      </c>
      <c r="G2375" s="62" t="s">
        <v>554</v>
      </c>
      <c r="H2375" s="62" t="s">
        <v>1213</v>
      </c>
      <c r="I2375" s="62" t="s">
        <v>1518</v>
      </c>
      <c r="J2375" s="62" t="s">
        <v>949</v>
      </c>
      <c r="K2375" s="62" t="s">
        <v>309</v>
      </c>
      <c r="L2375" s="62" t="s">
        <v>2421</v>
      </c>
      <c r="M2375" s="66" t="s">
        <v>1971</v>
      </c>
    </row>
    <row r="2376" spans="1:13" x14ac:dyDescent="0.3">
      <c r="A2376" s="61" t="s">
        <v>2394</v>
      </c>
      <c r="B2376" s="62" t="s">
        <v>1838</v>
      </c>
      <c r="C2376" s="62" t="s">
        <v>1839</v>
      </c>
      <c r="D2376" s="63">
        <v>45331</v>
      </c>
      <c r="E2376" s="63">
        <v>46477</v>
      </c>
      <c r="F2376" s="62" t="s">
        <v>1945</v>
      </c>
      <c r="G2376" s="62" t="s">
        <v>555</v>
      </c>
      <c r="H2376" s="62" t="s">
        <v>1213</v>
      </c>
      <c r="I2376" s="62" t="s">
        <v>1518</v>
      </c>
      <c r="J2376" s="62" t="s">
        <v>949</v>
      </c>
      <c r="K2376" s="62" t="s">
        <v>309</v>
      </c>
      <c r="L2376" s="62" t="s">
        <v>2421</v>
      </c>
      <c r="M2376" s="66" t="s">
        <v>1971</v>
      </c>
    </row>
    <row r="2377" spans="1:13" x14ac:dyDescent="0.3">
      <c r="A2377" s="61" t="s">
        <v>2395</v>
      </c>
      <c r="B2377" s="62" t="s">
        <v>1843</v>
      </c>
      <c r="C2377" s="62" t="s">
        <v>1844</v>
      </c>
      <c r="D2377" s="63">
        <v>45678</v>
      </c>
      <c r="E2377" s="63">
        <v>46843</v>
      </c>
      <c r="F2377" s="62" t="s">
        <v>350</v>
      </c>
      <c r="G2377" s="62" t="s">
        <v>304</v>
      </c>
      <c r="H2377" s="62" t="s">
        <v>712</v>
      </c>
      <c r="I2377" s="62" t="s">
        <v>1518</v>
      </c>
      <c r="J2377" s="62" t="s">
        <v>469</v>
      </c>
      <c r="K2377" s="62" t="s">
        <v>315</v>
      </c>
      <c r="L2377" s="62" t="s">
        <v>2421</v>
      </c>
      <c r="M2377" s="66" t="s">
        <v>1969</v>
      </c>
    </row>
    <row r="2378" spans="1:13" x14ac:dyDescent="0.3">
      <c r="A2378" s="61" t="s">
        <v>2396</v>
      </c>
      <c r="B2378" s="62" t="s">
        <v>1845</v>
      </c>
      <c r="C2378" s="62" t="s">
        <v>1846</v>
      </c>
      <c r="D2378" s="63">
        <v>45769</v>
      </c>
      <c r="E2378" s="63">
        <v>46141</v>
      </c>
      <c r="F2378" s="62" t="s">
        <v>1938</v>
      </c>
      <c r="G2378" s="62" t="s">
        <v>506</v>
      </c>
      <c r="H2378" s="62" t="s">
        <v>1525</v>
      </c>
      <c r="I2378" s="62" t="s">
        <v>1518</v>
      </c>
      <c r="J2378" s="62" t="s">
        <v>486</v>
      </c>
      <c r="K2378" s="62" t="s">
        <v>465</v>
      </c>
      <c r="L2378" s="62" t="s">
        <v>2421</v>
      </c>
      <c r="M2378" s="66" t="s">
        <v>1964</v>
      </c>
    </row>
    <row r="2379" spans="1:13" x14ac:dyDescent="0.3">
      <c r="A2379" s="61" t="s">
        <v>2397</v>
      </c>
      <c r="B2379" s="62" t="s">
        <v>1848</v>
      </c>
      <c r="C2379" s="62" t="s">
        <v>1849</v>
      </c>
      <c r="D2379" s="63">
        <v>45627</v>
      </c>
      <c r="E2379" s="63">
        <v>46203</v>
      </c>
      <c r="F2379" s="62" t="s">
        <v>350</v>
      </c>
      <c r="G2379" s="62" t="s">
        <v>350</v>
      </c>
      <c r="H2379" s="62" t="s">
        <v>813</v>
      </c>
      <c r="I2379" s="62" t="s">
        <v>1518</v>
      </c>
      <c r="J2379" s="62" t="s">
        <v>469</v>
      </c>
      <c r="K2379" s="62" t="s">
        <v>315</v>
      </c>
      <c r="L2379" s="62" t="s">
        <v>2421</v>
      </c>
      <c r="M2379" s="66" t="s">
        <v>1969</v>
      </c>
    </row>
    <row r="2380" spans="1:13" x14ac:dyDescent="0.3">
      <c r="A2380" s="61" t="s">
        <v>2398</v>
      </c>
      <c r="B2380" s="62" t="s">
        <v>1850</v>
      </c>
      <c r="C2380" s="62" t="s">
        <v>1851</v>
      </c>
      <c r="D2380" s="63">
        <v>45818</v>
      </c>
      <c r="E2380" s="63">
        <v>46122</v>
      </c>
      <c r="F2380" s="62" t="s">
        <v>350</v>
      </c>
      <c r="G2380" s="62" t="s">
        <v>304</v>
      </c>
      <c r="H2380" s="62" t="s">
        <v>1852</v>
      </c>
      <c r="I2380" s="62" t="s">
        <v>825</v>
      </c>
      <c r="J2380" s="62" t="s">
        <v>1111</v>
      </c>
      <c r="K2380" s="62" t="s">
        <v>571</v>
      </c>
      <c r="L2380" s="62" t="s">
        <v>2421</v>
      </c>
      <c r="M2380" s="66" t="s">
        <v>1966</v>
      </c>
    </row>
    <row r="2381" spans="1:13" x14ac:dyDescent="0.3">
      <c r="A2381" s="61" t="s">
        <v>2399</v>
      </c>
      <c r="B2381" s="62" t="s">
        <v>1853</v>
      </c>
      <c r="C2381" s="62" t="s">
        <v>1854</v>
      </c>
      <c r="D2381" s="63">
        <v>45805</v>
      </c>
      <c r="E2381" s="63">
        <v>46417</v>
      </c>
      <c r="F2381" s="62" t="s">
        <v>1922</v>
      </c>
      <c r="G2381" s="62" t="s">
        <v>387</v>
      </c>
      <c r="H2381" s="62" t="s">
        <v>664</v>
      </c>
      <c r="I2381" s="62" t="s">
        <v>424</v>
      </c>
      <c r="J2381" s="62" t="s">
        <v>644</v>
      </c>
      <c r="K2381" s="62" t="s">
        <v>371</v>
      </c>
      <c r="L2381" s="62" t="s">
        <v>2421</v>
      </c>
      <c r="M2381" s="66" t="s">
        <v>1986</v>
      </c>
    </row>
    <row r="2382" spans="1:13" x14ac:dyDescent="0.3">
      <c r="A2382" s="61" t="s">
        <v>2400</v>
      </c>
      <c r="B2382" s="62" t="s">
        <v>1855</v>
      </c>
      <c r="C2382" s="62" t="s">
        <v>1856</v>
      </c>
      <c r="D2382" s="63">
        <v>45776</v>
      </c>
      <c r="E2382" s="63">
        <v>46232</v>
      </c>
      <c r="F2382" s="62" t="s">
        <v>1945</v>
      </c>
      <c r="G2382" s="62" t="s">
        <v>555</v>
      </c>
      <c r="H2382" s="62" t="s">
        <v>1857</v>
      </c>
      <c r="I2382" s="62" t="s">
        <v>2443</v>
      </c>
      <c r="J2382" s="62" t="s">
        <v>635</v>
      </c>
      <c r="K2382" s="62" t="s">
        <v>375</v>
      </c>
      <c r="L2382" s="62" t="s">
        <v>2421</v>
      </c>
      <c r="M2382" s="66" t="s">
        <v>2021</v>
      </c>
    </row>
    <row r="2383" spans="1:13" x14ac:dyDescent="0.3">
      <c r="A2383" s="61" t="s">
        <v>2401</v>
      </c>
      <c r="B2383" s="62" t="s">
        <v>1858</v>
      </c>
      <c r="C2383" s="62" t="s">
        <v>1859</v>
      </c>
      <c r="D2383" s="63">
        <v>45523</v>
      </c>
      <c r="E2383" s="63">
        <v>46252</v>
      </c>
      <c r="F2383" s="62" t="s">
        <v>350</v>
      </c>
      <c r="G2383" s="62" t="s">
        <v>304</v>
      </c>
      <c r="H2383" s="62" t="s">
        <v>1837</v>
      </c>
      <c r="I2383" s="62" t="s">
        <v>1518</v>
      </c>
      <c r="J2383" s="62" t="s">
        <v>910</v>
      </c>
      <c r="K2383" s="62" t="s">
        <v>646</v>
      </c>
      <c r="L2383" s="62" t="s">
        <v>2421</v>
      </c>
      <c r="M2383" s="66" t="s">
        <v>1974</v>
      </c>
    </row>
    <row r="2384" spans="1:13" x14ac:dyDescent="0.3">
      <c r="A2384" s="61" t="s">
        <v>2402</v>
      </c>
      <c r="B2384" s="62" t="s">
        <v>1860</v>
      </c>
      <c r="C2384" s="62" t="s">
        <v>1861</v>
      </c>
      <c r="D2384" s="63">
        <v>45778</v>
      </c>
      <c r="E2384" s="63">
        <v>46507</v>
      </c>
      <c r="F2384" s="62" t="s">
        <v>1921</v>
      </c>
      <c r="G2384" s="62" t="s">
        <v>304</v>
      </c>
      <c r="H2384" s="62" t="s">
        <v>1862</v>
      </c>
      <c r="I2384" s="62" t="s">
        <v>2443</v>
      </c>
      <c r="J2384" s="62" t="s">
        <v>640</v>
      </c>
      <c r="K2384" s="62" t="s">
        <v>417</v>
      </c>
      <c r="L2384" s="62" t="s">
        <v>2421</v>
      </c>
      <c r="M2384" s="66" t="s">
        <v>2021</v>
      </c>
    </row>
    <row r="2385" spans="1:13" x14ac:dyDescent="0.3">
      <c r="A2385" s="61" t="s">
        <v>2402</v>
      </c>
      <c r="B2385" s="62" t="s">
        <v>1860</v>
      </c>
      <c r="C2385" s="62" t="s">
        <v>1861</v>
      </c>
      <c r="D2385" s="63">
        <v>45778</v>
      </c>
      <c r="E2385" s="63">
        <v>46507</v>
      </c>
      <c r="F2385" s="62" t="s">
        <v>1934</v>
      </c>
      <c r="G2385" s="62" t="s">
        <v>304</v>
      </c>
      <c r="H2385" s="62" t="s">
        <v>1862</v>
      </c>
      <c r="I2385" s="62" t="s">
        <v>2443</v>
      </c>
      <c r="J2385" s="62" t="s">
        <v>640</v>
      </c>
      <c r="K2385" s="62" t="s">
        <v>417</v>
      </c>
      <c r="L2385" s="62" t="s">
        <v>2421</v>
      </c>
      <c r="M2385" s="66" t="s">
        <v>2021</v>
      </c>
    </row>
    <row r="2386" spans="1:13" x14ac:dyDescent="0.3">
      <c r="A2386" s="61" t="s">
        <v>2402</v>
      </c>
      <c r="B2386" s="62" t="s">
        <v>1860</v>
      </c>
      <c r="C2386" s="62" t="s">
        <v>1861</v>
      </c>
      <c r="D2386" s="63">
        <v>45778</v>
      </c>
      <c r="E2386" s="63">
        <v>46507</v>
      </c>
      <c r="F2386" s="62" t="s">
        <v>1958</v>
      </c>
      <c r="G2386" s="62" t="s">
        <v>304</v>
      </c>
      <c r="H2386" s="62" t="s">
        <v>1862</v>
      </c>
      <c r="I2386" s="62" t="s">
        <v>2443</v>
      </c>
      <c r="J2386" s="62" t="s">
        <v>640</v>
      </c>
      <c r="K2386" s="62" t="s">
        <v>417</v>
      </c>
      <c r="L2386" s="62" t="s">
        <v>2421</v>
      </c>
      <c r="M2386" s="66" t="s">
        <v>2021</v>
      </c>
    </row>
    <row r="2387" spans="1:13" x14ac:dyDescent="0.3">
      <c r="A2387" s="61" t="s">
        <v>2402</v>
      </c>
      <c r="B2387" s="62" t="s">
        <v>1860</v>
      </c>
      <c r="C2387" s="62" t="s">
        <v>1861</v>
      </c>
      <c r="D2387" s="63">
        <v>45778</v>
      </c>
      <c r="E2387" s="63">
        <v>46507</v>
      </c>
      <c r="F2387" s="62" t="s">
        <v>1938</v>
      </c>
      <c r="G2387" s="62" t="s">
        <v>304</v>
      </c>
      <c r="H2387" s="62" t="s">
        <v>1862</v>
      </c>
      <c r="I2387" s="62" t="s">
        <v>2443</v>
      </c>
      <c r="J2387" s="62" t="s">
        <v>640</v>
      </c>
      <c r="K2387" s="62" t="s">
        <v>417</v>
      </c>
      <c r="L2387" s="62" t="s">
        <v>2421</v>
      </c>
      <c r="M2387" s="66" t="s">
        <v>2021</v>
      </c>
    </row>
    <row r="2388" spans="1:13" x14ac:dyDescent="0.3">
      <c r="A2388" s="61" t="s">
        <v>2402</v>
      </c>
      <c r="B2388" s="62" t="s">
        <v>1860</v>
      </c>
      <c r="C2388" s="62" t="s">
        <v>1861</v>
      </c>
      <c r="D2388" s="63">
        <v>45778</v>
      </c>
      <c r="E2388" s="63">
        <v>46507</v>
      </c>
      <c r="F2388" s="62" t="s">
        <v>1941</v>
      </c>
      <c r="G2388" s="62" t="s">
        <v>304</v>
      </c>
      <c r="H2388" s="62" t="s">
        <v>1862</v>
      </c>
      <c r="I2388" s="62" t="s">
        <v>2443</v>
      </c>
      <c r="J2388" s="62" t="s">
        <v>640</v>
      </c>
      <c r="K2388" s="62" t="s">
        <v>417</v>
      </c>
      <c r="L2388" s="62" t="s">
        <v>2421</v>
      </c>
      <c r="M2388" s="66" t="s">
        <v>2021</v>
      </c>
    </row>
    <row r="2389" spans="1:13" x14ac:dyDescent="0.3">
      <c r="A2389" s="61" t="s">
        <v>2402</v>
      </c>
      <c r="B2389" s="62" t="s">
        <v>1860</v>
      </c>
      <c r="C2389" s="62" t="s">
        <v>1861</v>
      </c>
      <c r="D2389" s="63">
        <v>45778</v>
      </c>
      <c r="E2389" s="63">
        <v>46507</v>
      </c>
      <c r="F2389" s="62" t="s">
        <v>1948</v>
      </c>
      <c r="G2389" s="62" t="s">
        <v>304</v>
      </c>
      <c r="H2389" s="62" t="s">
        <v>1862</v>
      </c>
      <c r="I2389" s="62" t="s">
        <v>2443</v>
      </c>
      <c r="J2389" s="62" t="s">
        <v>640</v>
      </c>
      <c r="K2389" s="62" t="s">
        <v>417</v>
      </c>
      <c r="L2389" s="62" t="s">
        <v>2421</v>
      </c>
      <c r="M2389" s="66" t="s">
        <v>2021</v>
      </c>
    </row>
    <row r="2390" spans="1:13" x14ac:dyDescent="0.3">
      <c r="A2390" s="61" t="s">
        <v>2402</v>
      </c>
      <c r="B2390" s="62" t="s">
        <v>1860</v>
      </c>
      <c r="C2390" s="62" t="s">
        <v>1861</v>
      </c>
      <c r="D2390" s="63">
        <v>45778</v>
      </c>
      <c r="E2390" s="63">
        <v>46507</v>
      </c>
      <c r="F2390" s="62" t="s">
        <v>1959</v>
      </c>
      <c r="G2390" s="62" t="s">
        <v>304</v>
      </c>
      <c r="H2390" s="62" t="s">
        <v>1862</v>
      </c>
      <c r="I2390" s="62" t="s">
        <v>2443</v>
      </c>
      <c r="J2390" s="62" t="s">
        <v>640</v>
      </c>
      <c r="K2390" s="62" t="s">
        <v>417</v>
      </c>
      <c r="L2390" s="62" t="s">
        <v>2421</v>
      </c>
      <c r="M2390" s="66" t="s">
        <v>2021</v>
      </c>
    </row>
    <row r="2391" spans="1:13" x14ac:dyDescent="0.3">
      <c r="A2391" s="61" t="s">
        <v>2402</v>
      </c>
      <c r="B2391" s="62" t="s">
        <v>1860</v>
      </c>
      <c r="C2391" s="62" t="s">
        <v>1861</v>
      </c>
      <c r="D2391" s="63">
        <v>45778</v>
      </c>
      <c r="E2391" s="63">
        <v>46507</v>
      </c>
      <c r="F2391" s="62" t="s">
        <v>1945</v>
      </c>
      <c r="G2391" s="62" t="s">
        <v>304</v>
      </c>
      <c r="H2391" s="62" t="s">
        <v>1862</v>
      </c>
      <c r="I2391" s="62" t="s">
        <v>2443</v>
      </c>
      <c r="J2391" s="62" t="s">
        <v>640</v>
      </c>
      <c r="K2391" s="62" t="s">
        <v>417</v>
      </c>
      <c r="L2391" s="62" t="s">
        <v>2421</v>
      </c>
      <c r="M2391" s="66" t="s">
        <v>2021</v>
      </c>
    </row>
    <row r="2392" spans="1:13" x14ac:dyDescent="0.3">
      <c r="A2392" s="61" t="s">
        <v>2402</v>
      </c>
      <c r="B2392" s="62" t="s">
        <v>1860</v>
      </c>
      <c r="C2392" s="62" t="s">
        <v>1861</v>
      </c>
      <c r="D2392" s="63">
        <v>45778</v>
      </c>
      <c r="E2392" s="63">
        <v>46507</v>
      </c>
      <c r="F2392" s="62" t="s">
        <v>1921</v>
      </c>
      <c r="G2392" s="62" t="s">
        <v>304</v>
      </c>
      <c r="H2392" s="62" t="s">
        <v>373</v>
      </c>
      <c r="I2392" s="62" t="s">
        <v>2443</v>
      </c>
      <c r="J2392" s="62" t="s">
        <v>640</v>
      </c>
      <c r="K2392" s="62" t="s">
        <v>417</v>
      </c>
      <c r="L2392" s="62" t="s">
        <v>2421</v>
      </c>
      <c r="M2392" s="66" t="s">
        <v>2021</v>
      </c>
    </row>
    <row r="2393" spans="1:13" x14ac:dyDescent="0.3">
      <c r="A2393" s="61" t="s">
        <v>2402</v>
      </c>
      <c r="B2393" s="62" t="s">
        <v>1860</v>
      </c>
      <c r="C2393" s="62" t="s">
        <v>1861</v>
      </c>
      <c r="D2393" s="63">
        <v>45778</v>
      </c>
      <c r="E2393" s="63">
        <v>46507</v>
      </c>
      <c r="F2393" s="62" t="s">
        <v>1934</v>
      </c>
      <c r="G2393" s="62" t="s">
        <v>304</v>
      </c>
      <c r="H2393" s="62" t="s">
        <v>373</v>
      </c>
      <c r="I2393" s="62" t="s">
        <v>2443</v>
      </c>
      <c r="J2393" s="62" t="s">
        <v>640</v>
      </c>
      <c r="K2393" s="62" t="s">
        <v>417</v>
      </c>
      <c r="L2393" s="62" t="s">
        <v>2421</v>
      </c>
      <c r="M2393" s="66" t="s">
        <v>2021</v>
      </c>
    </row>
    <row r="2394" spans="1:13" x14ac:dyDescent="0.3">
      <c r="A2394" s="61" t="s">
        <v>2402</v>
      </c>
      <c r="B2394" s="62" t="s">
        <v>1860</v>
      </c>
      <c r="C2394" s="62" t="s">
        <v>1861</v>
      </c>
      <c r="D2394" s="63">
        <v>45778</v>
      </c>
      <c r="E2394" s="63">
        <v>46507</v>
      </c>
      <c r="F2394" s="62" t="s">
        <v>1958</v>
      </c>
      <c r="G2394" s="62" t="s">
        <v>304</v>
      </c>
      <c r="H2394" s="62" t="s">
        <v>373</v>
      </c>
      <c r="I2394" s="62" t="s">
        <v>2443</v>
      </c>
      <c r="J2394" s="62" t="s">
        <v>640</v>
      </c>
      <c r="K2394" s="62" t="s">
        <v>417</v>
      </c>
      <c r="L2394" s="62" t="s">
        <v>2421</v>
      </c>
      <c r="M2394" s="66" t="s">
        <v>2021</v>
      </c>
    </row>
    <row r="2395" spans="1:13" x14ac:dyDescent="0.3">
      <c r="A2395" s="61" t="s">
        <v>2402</v>
      </c>
      <c r="B2395" s="62" t="s">
        <v>1860</v>
      </c>
      <c r="C2395" s="62" t="s">
        <v>1861</v>
      </c>
      <c r="D2395" s="63">
        <v>45778</v>
      </c>
      <c r="E2395" s="63">
        <v>46507</v>
      </c>
      <c r="F2395" s="62" t="s">
        <v>1938</v>
      </c>
      <c r="G2395" s="62" t="s">
        <v>304</v>
      </c>
      <c r="H2395" s="62" t="s">
        <v>373</v>
      </c>
      <c r="I2395" s="62" t="s">
        <v>2443</v>
      </c>
      <c r="J2395" s="62" t="s">
        <v>640</v>
      </c>
      <c r="K2395" s="62" t="s">
        <v>417</v>
      </c>
      <c r="L2395" s="62" t="s">
        <v>2421</v>
      </c>
      <c r="M2395" s="66" t="s">
        <v>2021</v>
      </c>
    </row>
    <row r="2396" spans="1:13" x14ac:dyDescent="0.3">
      <c r="A2396" s="61" t="s">
        <v>2402</v>
      </c>
      <c r="B2396" s="62" t="s">
        <v>1860</v>
      </c>
      <c r="C2396" s="62" t="s">
        <v>1861</v>
      </c>
      <c r="D2396" s="63">
        <v>45778</v>
      </c>
      <c r="E2396" s="63">
        <v>46507</v>
      </c>
      <c r="F2396" s="62" t="s">
        <v>1941</v>
      </c>
      <c r="G2396" s="62" t="s">
        <v>304</v>
      </c>
      <c r="H2396" s="62" t="s">
        <v>373</v>
      </c>
      <c r="I2396" s="62" t="s">
        <v>2443</v>
      </c>
      <c r="J2396" s="62" t="s">
        <v>640</v>
      </c>
      <c r="K2396" s="62" t="s">
        <v>417</v>
      </c>
      <c r="L2396" s="62" t="s">
        <v>2421</v>
      </c>
      <c r="M2396" s="66" t="s">
        <v>2021</v>
      </c>
    </row>
    <row r="2397" spans="1:13" x14ac:dyDescent="0.3">
      <c r="A2397" s="61" t="s">
        <v>2402</v>
      </c>
      <c r="B2397" s="62" t="s">
        <v>1860</v>
      </c>
      <c r="C2397" s="62" t="s">
        <v>1861</v>
      </c>
      <c r="D2397" s="63">
        <v>45778</v>
      </c>
      <c r="E2397" s="63">
        <v>46507</v>
      </c>
      <c r="F2397" s="62" t="s">
        <v>1948</v>
      </c>
      <c r="G2397" s="62" t="s">
        <v>304</v>
      </c>
      <c r="H2397" s="62" t="s">
        <v>373</v>
      </c>
      <c r="I2397" s="62" t="s">
        <v>2443</v>
      </c>
      <c r="J2397" s="62" t="s">
        <v>640</v>
      </c>
      <c r="K2397" s="62" t="s">
        <v>417</v>
      </c>
      <c r="L2397" s="62" t="s">
        <v>2421</v>
      </c>
      <c r="M2397" s="66" t="s">
        <v>2021</v>
      </c>
    </row>
    <row r="2398" spans="1:13" x14ac:dyDescent="0.3">
      <c r="A2398" s="61" t="s">
        <v>2402</v>
      </c>
      <c r="B2398" s="62" t="s">
        <v>1860</v>
      </c>
      <c r="C2398" s="62" t="s">
        <v>1861</v>
      </c>
      <c r="D2398" s="63">
        <v>45778</v>
      </c>
      <c r="E2398" s="63">
        <v>46507</v>
      </c>
      <c r="F2398" s="62" t="s">
        <v>1959</v>
      </c>
      <c r="G2398" s="62" t="s">
        <v>304</v>
      </c>
      <c r="H2398" s="62" t="s">
        <v>373</v>
      </c>
      <c r="I2398" s="62" t="s">
        <v>2443</v>
      </c>
      <c r="J2398" s="62" t="s">
        <v>640</v>
      </c>
      <c r="K2398" s="62" t="s">
        <v>417</v>
      </c>
      <c r="L2398" s="62" t="s">
        <v>2421</v>
      </c>
      <c r="M2398" s="66" t="s">
        <v>2021</v>
      </c>
    </row>
    <row r="2399" spans="1:13" x14ac:dyDescent="0.3">
      <c r="A2399" s="61" t="s">
        <v>2402</v>
      </c>
      <c r="B2399" s="62" t="s">
        <v>1860</v>
      </c>
      <c r="C2399" s="62" t="s">
        <v>1861</v>
      </c>
      <c r="D2399" s="63">
        <v>45778</v>
      </c>
      <c r="E2399" s="63">
        <v>46507</v>
      </c>
      <c r="F2399" s="62" t="s">
        <v>1945</v>
      </c>
      <c r="G2399" s="62" t="s">
        <v>304</v>
      </c>
      <c r="H2399" s="62" t="s">
        <v>373</v>
      </c>
      <c r="I2399" s="62" t="s">
        <v>2443</v>
      </c>
      <c r="J2399" s="62" t="s">
        <v>640</v>
      </c>
      <c r="K2399" s="62" t="s">
        <v>417</v>
      </c>
      <c r="L2399" s="62" t="s">
        <v>2421</v>
      </c>
      <c r="M2399" s="66" t="s">
        <v>2021</v>
      </c>
    </row>
    <row r="2400" spans="1:13" x14ac:dyDescent="0.3">
      <c r="A2400" s="61" t="s">
        <v>2403</v>
      </c>
      <c r="B2400" s="62" t="s">
        <v>1863</v>
      </c>
      <c r="C2400" s="62" t="s">
        <v>1864</v>
      </c>
      <c r="D2400" s="63">
        <v>45497</v>
      </c>
      <c r="E2400" s="63">
        <v>46227</v>
      </c>
      <c r="F2400" s="62" t="s">
        <v>1922</v>
      </c>
      <c r="G2400" s="62" t="s">
        <v>376</v>
      </c>
      <c r="H2400" s="62" t="s">
        <v>1721</v>
      </c>
      <c r="I2400" s="62" t="s">
        <v>825</v>
      </c>
      <c r="J2400" s="62" t="s">
        <v>378</v>
      </c>
      <c r="K2400" s="62" t="s">
        <v>371</v>
      </c>
      <c r="L2400" s="62" t="s">
        <v>2421</v>
      </c>
      <c r="M2400" s="66" t="s">
        <v>1972</v>
      </c>
    </row>
    <row r="2401" spans="1:13" x14ac:dyDescent="0.3">
      <c r="A2401" s="61" t="s">
        <v>2403</v>
      </c>
      <c r="B2401" s="62" t="s">
        <v>1863</v>
      </c>
      <c r="C2401" s="62" t="s">
        <v>1864</v>
      </c>
      <c r="D2401" s="63">
        <v>45497</v>
      </c>
      <c r="E2401" s="63">
        <v>46227</v>
      </c>
      <c r="F2401" s="62" t="s">
        <v>1922</v>
      </c>
      <c r="G2401" s="62" t="s">
        <v>349</v>
      </c>
      <c r="H2401" s="62" t="s">
        <v>1721</v>
      </c>
      <c r="I2401" s="62" t="s">
        <v>825</v>
      </c>
      <c r="J2401" s="62" t="s">
        <v>378</v>
      </c>
      <c r="K2401" s="62" t="s">
        <v>371</v>
      </c>
      <c r="L2401" s="62" t="s">
        <v>2421</v>
      </c>
      <c r="M2401" s="66" t="s">
        <v>1972</v>
      </c>
    </row>
    <row r="2402" spans="1:13" x14ac:dyDescent="0.3">
      <c r="A2402" s="61" t="s">
        <v>2403</v>
      </c>
      <c r="B2402" s="62" t="s">
        <v>1863</v>
      </c>
      <c r="C2402" s="62" t="s">
        <v>1864</v>
      </c>
      <c r="D2402" s="63">
        <v>45497</v>
      </c>
      <c r="E2402" s="63">
        <v>46227</v>
      </c>
      <c r="F2402" s="62" t="s">
        <v>1922</v>
      </c>
      <c r="G2402" s="62" t="s">
        <v>379</v>
      </c>
      <c r="H2402" s="62" t="s">
        <v>1721</v>
      </c>
      <c r="I2402" s="62" t="s">
        <v>825</v>
      </c>
      <c r="J2402" s="62" t="s">
        <v>378</v>
      </c>
      <c r="K2402" s="62" t="s">
        <v>371</v>
      </c>
      <c r="L2402" s="62" t="s">
        <v>2421</v>
      </c>
      <c r="M2402" s="66" t="s">
        <v>1972</v>
      </c>
    </row>
    <row r="2403" spans="1:13" x14ac:dyDescent="0.3">
      <c r="A2403" s="61" t="s">
        <v>2403</v>
      </c>
      <c r="B2403" s="62" t="s">
        <v>1863</v>
      </c>
      <c r="C2403" s="62" t="s">
        <v>1864</v>
      </c>
      <c r="D2403" s="63">
        <v>45497</v>
      </c>
      <c r="E2403" s="63">
        <v>46227</v>
      </c>
      <c r="F2403" s="62" t="s">
        <v>1922</v>
      </c>
      <c r="G2403" s="62" t="s">
        <v>836</v>
      </c>
      <c r="H2403" s="62" t="s">
        <v>1721</v>
      </c>
      <c r="I2403" s="62" t="s">
        <v>825</v>
      </c>
      <c r="J2403" s="62" t="s">
        <v>378</v>
      </c>
      <c r="K2403" s="62" t="s">
        <v>371</v>
      </c>
      <c r="L2403" s="62" t="s">
        <v>2421</v>
      </c>
      <c r="M2403" s="66" t="s">
        <v>1972</v>
      </c>
    </row>
    <row r="2404" spans="1:13" x14ac:dyDescent="0.3">
      <c r="A2404" s="61" t="s">
        <v>2403</v>
      </c>
      <c r="B2404" s="62" t="s">
        <v>1863</v>
      </c>
      <c r="C2404" s="62" t="s">
        <v>1864</v>
      </c>
      <c r="D2404" s="63">
        <v>45497</v>
      </c>
      <c r="E2404" s="63">
        <v>46227</v>
      </c>
      <c r="F2404" s="62" t="s">
        <v>1922</v>
      </c>
      <c r="G2404" s="62" t="s">
        <v>380</v>
      </c>
      <c r="H2404" s="62" t="s">
        <v>1721</v>
      </c>
      <c r="I2404" s="62" t="s">
        <v>825</v>
      </c>
      <c r="J2404" s="62" t="s">
        <v>378</v>
      </c>
      <c r="K2404" s="62" t="s">
        <v>371</v>
      </c>
      <c r="L2404" s="62" t="s">
        <v>2421</v>
      </c>
      <c r="M2404" s="66" t="s">
        <v>1972</v>
      </c>
    </row>
    <row r="2405" spans="1:13" x14ac:dyDescent="0.3">
      <c r="A2405" s="61" t="s">
        <v>2403</v>
      </c>
      <c r="B2405" s="62" t="s">
        <v>1863</v>
      </c>
      <c r="C2405" s="62" t="s">
        <v>1864</v>
      </c>
      <c r="D2405" s="63">
        <v>45497</v>
      </c>
      <c r="E2405" s="63">
        <v>46227</v>
      </c>
      <c r="F2405" s="62" t="s">
        <v>1922</v>
      </c>
      <c r="G2405" s="62" t="s">
        <v>381</v>
      </c>
      <c r="H2405" s="62" t="s">
        <v>1721</v>
      </c>
      <c r="I2405" s="62" t="s">
        <v>825</v>
      </c>
      <c r="J2405" s="62" t="s">
        <v>378</v>
      </c>
      <c r="K2405" s="62" t="s">
        <v>371</v>
      </c>
      <c r="L2405" s="62" t="s">
        <v>2421</v>
      </c>
      <c r="M2405" s="66" t="s">
        <v>1972</v>
      </c>
    </row>
    <row r="2406" spans="1:13" x14ac:dyDescent="0.3">
      <c r="A2406" s="61" t="s">
        <v>2403</v>
      </c>
      <c r="B2406" s="62" t="s">
        <v>1863</v>
      </c>
      <c r="C2406" s="62" t="s">
        <v>1864</v>
      </c>
      <c r="D2406" s="63">
        <v>45497</v>
      </c>
      <c r="E2406" s="63">
        <v>46227</v>
      </c>
      <c r="F2406" s="62" t="s">
        <v>1922</v>
      </c>
      <c r="G2406" s="62" t="s">
        <v>384</v>
      </c>
      <c r="H2406" s="62" t="s">
        <v>1721</v>
      </c>
      <c r="I2406" s="62" t="s">
        <v>825</v>
      </c>
      <c r="J2406" s="62" t="s">
        <v>378</v>
      </c>
      <c r="K2406" s="62" t="s">
        <v>371</v>
      </c>
      <c r="L2406" s="62" t="s">
        <v>2421</v>
      </c>
      <c r="M2406" s="66" t="s">
        <v>1972</v>
      </c>
    </row>
    <row r="2407" spans="1:13" x14ac:dyDescent="0.3">
      <c r="A2407" s="61" t="s">
        <v>2403</v>
      </c>
      <c r="B2407" s="62" t="s">
        <v>1863</v>
      </c>
      <c r="C2407" s="62" t="s">
        <v>1864</v>
      </c>
      <c r="D2407" s="63">
        <v>45497</v>
      </c>
      <c r="E2407" s="63">
        <v>46227</v>
      </c>
      <c r="F2407" s="62" t="s">
        <v>1922</v>
      </c>
      <c r="G2407" s="62" t="s">
        <v>385</v>
      </c>
      <c r="H2407" s="62" t="s">
        <v>1721</v>
      </c>
      <c r="I2407" s="62" t="s">
        <v>825</v>
      </c>
      <c r="J2407" s="62" t="s">
        <v>378</v>
      </c>
      <c r="K2407" s="62" t="s">
        <v>371</v>
      </c>
      <c r="L2407" s="62" t="s">
        <v>2421</v>
      </c>
      <c r="M2407" s="66" t="s">
        <v>1972</v>
      </c>
    </row>
    <row r="2408" spans="1:13" x14ac:dyDescent="0.3">
      <c r="A2408" s="61" t="s">
        <v>2403</v>
      </c>
      <c r="B2408" s="62" t="s">
        <v>1863</v>
      </c>
      <c r="C2408" s="62" t="s">
        <v>1864</v>
      </c>
      <c r="D2408" s="63">
        <v>45497</v>
      </c>
      <c r="E2408" s="63">
        <v>46227</v>
      </c>
      <c r="F2408" s="62" t="s">
        <v>1922</v>
      </c>
      <c r="G2408" s="62" t="s">
        <v>386</v>
      </c>
      <c r="H2408" s="62" t="s">
        <v>1721</v>
      </c>
      <c r="I2408" s="62" t="s">
        <v>825</v>
      </c>
      <c r="J2408" s="62" t="s">
        <v>378</v>
      </c>
      <c r="K2408" s="62" t="s">
        <v>371</v>
      </c>
      <c r="L2408" s="62" t="s">
        <v>2421</v>
      </c>
      <c r="M2408" s="66" t="s">
        <v>1972</v>
      </c>
    </row>
    <row r="2409" spans="1:13" x14ac:dyDescent="0.3">
      <c r="A2409" s="61" t="s">
        <v>2403</v>
      </c>
      <c r="B2409" s="62" t="s">
        <v>1863</v>
      </c>
      <c r="C2409" s="62" t="s">
        <v>1864</v>
      </c>
      <c r="D2409" s="63">
        <v>45497</v>
      </c>
      <c r="E2409" s="63">
        <v>46227</v>
      </c>
      <c r="F2409" s="62" t="s">
        <v>1922</v>
      </c>
      <c r="G2409" s="62" t="s">
        <v>387</v>
      </c>
      <c r="H2409" s="62" t="s">
        <v>1721</v>
      </c>
      <c r="I2409" s="62" t="s">
        <v>825</v>
      </c>
      <c r="J2409" s="62" t="s">
        <v>378</v>
      </c>
      <c r="K2409" s="62" t="s">
        <v>371</v>
      </c>
      <c r="L2409" s="62" t="s">
        <v>2421</v>
      </c>
      <c r="M2409" s="66" t="s">
        <v>1972</v>
      </c>
    </row>
    <row r="2410" spans="1:13" x14ac:dyDescent="0.3">
      <c r="A2410" s="61" t="s">
        <v>2403</v>
      </c>
      <c r="B2410" s="62" t="s">
        <v>1863</v>
      </c>
      <c r="C2410" s="62" t="s">
        <v>1864</v>
      </c>
      <c r="D2410" s="63">
        <v>45497</v>
      </c>
      <c r="E2410" s="63">
        <v>46227</v>
      </c>
      <c r="F2410" s="62" t="s">
        <v>1958</v>
      </c>
      <c r="G2410" s="62" t="s">
        <v>1343</v>
      </c>
      <c r="H2410" s="62" t="s">
        <v>1721</v>
      </c>
      <c r="I2410" s="62" t="s">
        <v>825</v>
      </c>
      <c r="J2410" s="62" t="s">
        <v>378</v>
      </c>
      <c r="K2410" s="62" t="s">
        <v>371</v>
      </c>
      <c r="L2410" s="62" t="s">
        <v>2421</v>
      </c>
      <c r="M2410" s="66" t="s">
        <v>1972</v>
      </c>
    </row>
    <row r="2411" spans="1:13" x14ac:dyDescent="0.3">
      <c r="A2411" s="61" t="s">
        <v>2403</v>
      </c>
      <c r="B2411" s="62" t="s">
        <v>1863</v>
      </c>
      <c r="C2411" s="62" t="s">
        <v>1864</v>
      </c>
      <c r="D2411" s="63">
        <v>45497</v>
      </c>
      <c r="E2411" s="63">
        <v>46227</v>
      </c>
      <c r="F2411" s="62" t="s">
        <v>1958</v>
      </c>
      <c r="G2411" s="62" t="s">
        <v>328</v>
      </c>
      <c r="H2411" s="62" t="s">
        <v>1721</v>
      </c>
      <c r="I2411" s="62" t="s">
        <v>825</v>
      </c>
      <c r="J2411" s="62" t="s">
        <v>378</v>
      </c>
      <c r="K2411" s="62" t="s">
        <v>371</v>
      </c>
      <c r="L2411" s="62" t="s">
        <v>2421</v>
      </c>
      <c r="M2411" s="66" t="s">
        <v>1972</v>
      </c>
    </row>
    <row r="2412" spans="1:13" x14ac:dyDescent="0.3">
      <c r="A2412" s="61" t="s">
        <v>2403</v>
      </c>
      <c r="B2412" s="62" t="s">
        <v>1863</v>
      </c>
      <c r="C2412" s="62" t="s">
        <v>1864</v>
      </c>
      <c r="D2412" s="63">
        <v>45497</v>
      </c>
      <c r="E2412" s="63">
        <v>46227</v>
      </c>
      <c r="F2412" s="62" t="s">
        <v>1958</v>
      </c>
      <c r="G2412" s="62" t="s">
        <v>329</v>
      </c>
      <c r="H2412" s="62" t="s">
        <v>1721</v>
      </c>
      <c r="I2412" s="62" t="s">
        <v>825</v>
      </c>
      <c r="J2412" s="62" t="s">
        <v>378</v>
      </c>
      <c r="K2412" s="62" t="s">
        <v>371</v>
      </c>
      <c r="L2412" s="62" t="s">
        <v>2421</v>
      </c>
      <c r="M2412" s="66" t="s">
        <v>1972</v>
      </c>
    </row>
    <row r="2413" spans="1:13" x14ac:dyDescent="0.3">
      <c r="A2413" s="61" t="s">
        <v>2403</v>
      </c>
      <c r="B2413" s="62" t="s">
        <v>1863</v>
      </c>
      <c r="C2413" s="62" t="s">
        <v>1864</v>
      </c>
      <c r="D2413" s="63">
        <v>45497</v>
      </c>
      <c r="E2413" s="63">
        <v>46227</v>
      </c>
      <c r="F2413" s="62" t="s">
        <v>1958</v>
      </c>
      <c r="G2413" s="62" t="s">
        <v>330</v>
      </c>
      <c r="H2413" s="62" t="s">
        <v>1721</v>
      </c>
      <c r="I2413" s="62" t="s">
        <v>825</v>
      </c>
      <c r="J2413" s="62" t="s">
        <v>378</v>
      </c>
      <c r="K2413" s="62" t="s">
        <v>371</v>
      </c>
      <c r="L2413" s="62" t="s">
        <v>2421</v>
      </c>
      <c r="M2413" s="66" t="s">
        <v>1972</v>
      </c>
    </row>
    <row r="2414" spans="1:13" x14ac:dyDescent="0.3">
      <c r="A2414" s="61" t="s">
        <v>2403</v>
      </c>
      <c r="B2414" s="62" t="s">
        <v>1863</v>
      </c>
      <c r="C2414" s="62" t="s">
        <v>1864</v>
      </c>
      <c r="D2414" s="63">
        <v>45497</v>
      </c>
      <c r="E2414" s="63">
        <v>46227</v>
      </c>
      <c r="F2414" s="62" t="s">
        <v>1958</v>
      </c>
      <c r="G2414" s="62" t="s">
        <v>332</v>
      </c>
      <c r="H2414" s="62" t="s">
        <v>1721</v>
      </c>
      <c r="I2414" s="62" t="s">
        <v>825</v>
      </c>
      <c r="J2414" s="62" t="s">
        <v>378</v>
      </c>
      <c r="K2414" s="62" t="s">
        <v>371</v>
      </c>
      <c r="L2414" s="62" t="s">
        <v>2421</v>
      </c>
      <c r="M2414" s="66" t="s">
        <v>1972</v>
      </c>
    </row>
    <row r="2415" spans="1:13" x14ac:dyDescent="0.3">
      <c r="A2415" s="61" t="s">
        <v>2403</v>
      </c>
      <c r="B2415" s="62" t="s">
        <v>1863</v>
      </c>
      <c r="C2415" s="62" t="s">
        <v>1864</v>
      </c>
      <c r="D2415" s="63">
        <v>45497</v>
      </c>
      <c r="E2415" s="63">
        <v>46227</v>
      </c>
      <c r="F2415" s="62" t="s">
        <v>1958</v>
      </c>
      <c r="G2415" s="62" t="s">
        <v>517</v>
      </c>
      <c r="H2415" s="62" t="s">
        <v>1721</v>
      </c>
      <c r="I2415" s="62" t="s">
        <v>825</v>
      </c>
      <c r="J2415" s="62" t="s">
        <v>378</v>
      </c>
      <c r="K2415" s="62" t="s">
        <v>371</v>
      </c>
      <c r="L2415" s="62" t="s">
        <v>2421</v>
      </c>
      <c r="M2415" s="66" t="s">
        <v>1972</v>
      </c>
    </row>
    <row r="2416" spans="1:13" x14ac:dyDescent="0.3">
      <c r="A2416" s="61" t="s">
        <v>2403</v>
      </c>
      <c r="B2416" s="62" t="s">
        <v>1863</v>
      </c>
      <c r="C2416" s="62" t="s">
        <v>1864</v>
      </c>
      <c r="D2416" s="63">
        <v>45497</v>
      </c>
      <c r="E2416" s="63">
        <v>46227</v>
      </c>
      <c r="F2416" s="62" t="s">
        <v>1958</v>
      </c>
      <c r="G2416" s="62" t="s">
        <v>1346</v>
      </c>
      <c r="H2416" s="62" t="s">
        <v>1721</v>
      </c>
      <c r="I2416" s="62" t="s">
        <v>825</v>
      </c>
      <c r="J2416" s="62" t="s">
        <v>378</v>
      </c>
      <c r="K2416" s="62" t="s">
        <v>371</v>
      </c>
      <c r="L2416" s="62" t="s">
        <v>2421</v>
      </c>
      <c r="M2416" s="66" t="s">
        <v>1972</v>
      </c>
    </row>
    <row r="2417" spans="1:13" x14ac:dyDescent="0.3">
      <c r="A2417" s="61" t="s">
        <v>2403</v>
      </c>
      <c r="B2417" s="62" t="s">
        <v>1863</v>
      </c>
      <c r="C2417" s="62" t="s">
        <v>1864</v>
      </c>
      <c r="D2417" s="63">
        <v>45497</v>
      </c>
      <c r="E2417" s="63">
        <v>46227</v>
      </c>
      <c r="F2417" s="62" t="s">
        <v>1958</v>
      </c>
      <c r="G2417" s="62" t="s">
        <v>843</v>
      </c>
      <c r="H2417" s="62" t="s">
        <v>1721</v>
      </c>
      <c r="I2417" s="62" t="s">
        <v>825</v>
      </c>
      <c r="J2417" s="62" t="s">
        <v>378</v>
      </c>
      <c r="K2417" s="62" t="s">
        <v>371</v>
      </c>
      <c r="L2417" s="62" t="s">
        <v>2421</v>
      </c>
      <c r="M2417" s="66" t="s">
        <v>1972</v>
      </c>
    </row>
    <row r="2418" spans="1:13" x14ac:dyDescent="0.3">
      <c r="A2418" s="61" t="s">
        <v>2403</v>
      </c>
      <c r="B2418" s="62" t="s">
        <v>1863</v>
      </c>
      <c r="C2418" s="62" t="s">
        <v>1864</v>
      </c>
      <c r="D2418" s="63">
        <v>45497</v>
      </c>
      <c r="E2418" s="63">
        <v>46227</v>
      </c>
      <c r="F2418" s="62" t="s">
        <v>1958</v>
      </c>
      <c r="G2418" s="62" t="s">
        <v>334</v>
      </c>
      <c r="H2418" s="62" t="s">
        <v>1721</v>
      </c>
      <c r="I2418" s="62" t="s">
        <v>825</v>
      </c>
      <c r="J2418" s="62" t="s">
        <v>378</v>
      </c>
      <c r="K2418" s="62" t="s">
        <v>371</v>
      </c>
      <c r="L2418" s="62" t="s">
        <v>2421</v>
      </c>
      <c r="M2418" s="66" t="s">
        <v>1972</v>
      </c>
    </row>
    <row r="2419" spans="1:13" x14ac:dyDescent="0.3">
      <c r="A2419" s="61" t="s">
        <v>2403</v>
      </c>
      <c r="B2419" s="62" t="s">
        <v>1863</v>
      </c>
      <c r="C2419" s="62" t="s">
        <v>1864</v>
      </c>
      <c r="D2419" s="63">
        <v>45497</v>
      </c>
      <c r="E2419" s="63">
        <v>46227</v>
      </c>
      <c r="F2419" s="62" t="s">
        <v>1958</v>
      </c>
      <c r="G2419" s="62" t="s">
        <v>335</v>
      </c>
      <c r="H2419" s="62" t="s">
        <v>1721</v>
      </c>
      <c r="I2419" s="62" t="s">
        <v>825</v>
      </c>
      <c r="J2419" s="62" t="s">
        <v>378</v>
      </c>
      <c r="K2419" s="62" t="s">
        <v>371</v>
      </c>
      <c r="L2419" s="62" t="s">
        <v>2421</v>
      </c>
      <c r="M2419" s="66" t="s">
        <v>1972</v>
      </c>
    </row>
    <row r="2420" spans="1:13" x14ac:dyDescent="0.3">
      <c r="A2420" s="61" t="s">
        <v>2403</v>
      </c>
      <c r="B2420" s="62" t="s">
        <v>1863</v>
      </c>
      <c r="C2420" s="62" t="s">
        <v>1864</v>
      </c>
      <c r="D2420" s="63">
        <v>45497</v>
      </c>
      <c r="E2420" s="63">
        <v>46227</v>
      </c>
      <c r="F2420" s="62" t="s">
        <v>1943</v>
      </c>
      <c r="G2420" s="62" t="s">
        <v>777</v>
      </c>
      <c r="H2420" s="62" t="s">
        <v>1721</v>
      </c>
      <c r="I2420" s="62" t="s">
        <v>825</v>
      </c>
      <c r="J2420" s="62" t="s">
        <v>378</v>
      </c>
      <c r="K2420" s="62" t="s">
        <v>371</v>
      </c>
      <c r="L2420" s="62" t="s">
        <v>2421</v>
      </c>
      <c r="M2420" s="66" t="s">
        <v>1972</v>
      </c>
    </row>
    <row r="2421" spans="1:13" x14ac:dyDescent="0.3">
      <c r="A2421" s="61" t="s">
        <v>2403</v>
      </c>
      <c r="B2421" s="62" t="s">
        <v>1863</v>
      </c>
      <c r="C2421" s="62" t="s">
        <v>1864</v>
      </c>
      <c r="D2421" s="63">
        <v>45497</v>
      </c>
      <c r="E2421" s="63">
        <v>46227</v>
      </c>
      <c r="F2421" s="62" t="s">
        <v>1943</v>
      </c>
      <c r="G2421" s="62" t="s">
        <v>1865</v>
      </c>
      <c r="H2421" s="62" t="s">
        <v>1721</v>
      </c>
      <c r="I2421" s="62" t="s">
        <v>825</v>
      </c>
      <c r="J2421" s="62" t="s">
        <v>378</v>
      </c>
      <c r="K2421" s="62" t="s">
        <v>371</v>
      </c>
      <c r="L2421" s="62" t="s">
        <v>2421</v>
      </c>
      <c r="M2421" s="66" t="s">
        <v>1972</v>
      </c>
    </row>
    <row r="2422" spans="1:13" x14ac:dyDescent="0.3">
      <c r="A2422" s="61" t="s">
        <v>2403</v>
      </c>
      <c r="B2422" s="62" t="s">
        <v>1863</v>
      </c>
      <c r="C2422" s="62" t="s">
        <v>1864</v>
      </c>
      <c r="D2422" s="63">
        <v>45497</v>
      </c>
      <c r="E2422" s="63">
        <v>46227</v>
      </c>
      <c r="F2422" s="62" t="s">
        <v>1943</v>
      </c>
      <c r="G2422" s="62" t="s">
        <v>779</v>
      </c>
      <c r="H2422" s="62" t="s">
        <v>1721</v>
      </c>
      <c r="I2422" s="62" t="s">
        <v>825</v>
      </c>
      <c r="J2422" s="62" t="s">
        <v>378</v>
      </c>
      <c r="K2422" s="62" t="s">
        <v>371</v>
      </c>
      <c r="L2422" s="62" t="s">
        <v>2421</v>
      </c>
      <c r="M2422" s="66" t="s">
        <v>1972</v>
      </c>
    </row>
    <row r="2423" spans="1:13" x14ac:dyDescent="0.3">
      <c r="A2423" s="61" t="s">
        <v>2403</v>
      </c>
      <c r="B2423" s="62" t="s">
        <v>1863</v>
      </c>
      <c r="C2423" s="62" t="s">
        <v>1864</v>
      </c>
      <c r="D2423" s="63">
        <v>45497</v>
      </c>
      <c r="E2423" s="63">
        <v>46227</v>
      </c>
      <c r="F2423" s="62" t="s">
        <v>1943</v>
      </c>
      <c r="G2423" s="62" t="s">
        <v>780</v>
      </c>
      <c r="H2423" s="62" t="s">
        <v>1721</v>
      </c>
      <c r="I2423" s="62" t="s">
        <v>825</v>
      </c>
      <c r="J2423" s="62" t="s">
        <v>378</v>
      </c>
      <c r="K2423" s="62" t="s">
        <v>371</v>
      </c>
      <c r="L2423" s="62" t="s">
        <v>2421</v>
      </c>
      <c r="M2423" s="66" t="s">
        <v>1972</v>
      </c>
    </row>
    <row r="2424" spans="1:13" x14ac:dyDescent="0.3">
      <c r="A2424" s="61" t="s">
        <v>2404</v>
      </c>
      <c r="B2424" s="62" t="s">
        <v>1866</v>
      </c>
      <c r="C2424" s="62" t="s">
        <v>1867</v>
      </c>
      <c r="D2424" s="63">
        <v>45708</v>
      </c>
      <c r="E2424" s="63">
        <v>47573</v>
      </c>
      <c r="F2424" s="62" t="s">
        <v>1921</v>
      </c>
      <c r="G2424" s="62" t="s">
        <v>620</v>
      </c>
      <c r="H2424" s="62" t="s">
        <v>312</v>
      </c>
      <c r="I2424" s="62" t="s">
        <v>825</v>
      </c>
      <c r="J2424" s="62" t="s">
        <v>579</v>
      </c>
      <c r="K2424" s="62" t="s">
        <v>428</v>
      </c>
      <c r="L2424" s="62" t="s">
        <v>2421</v>
      </c>
      <c r="M2424" s="66" t="s">
        <v>2021</v>
      </c>
    </row>
    <row r="2425" spans="1:13" x14ac:dyDescent="0.3">
      <c r="A2425" s="61" t="s">
        <v>2404</v>
      </c>
      <c r="B2425" s="62" t="s">
        <v>1866</v>
      </c>
      <c r="C2425" s="62" t="s">
        <v>1867</v>
      </c>
      <c r="D2425" s="63">
        <v>45708</v>
      </c>
      <c r="E2425" s="63">
        <v>47573</v>
      </c>
      <c r="F2425" s="62" t="s">
        <v>1921</v>
      </c>
      <c r="G2425" s="62" t="s">
        <v>714</v>
      </c>
      <c r="H2425" s="62" t="s">
        <v>312</v>
      </c>
      <c r="I2425" s="62" t="s">
        <v>825</v>
      </c>
      <c r="J2425" s="62" t="s">
        <v>579</v>
      </c>
      <c r="K2425" s="62" t="s">
        <v>428</v>
      </c>
      <c r="L2425" s="62" t="s">
        <v>2421</v>
      </c>
      <c r="M2425" s="66" t="s">
        <v>2021</v>
      </c>
    </row>
    <row r="2426" spans="1:13" x14ac:dyDescent="0.3">
      <c r="A2426" s="61" t="s">
        <v>2404</v>
      </c>
      <c r="B2426" s="62" t="s">
        <v>1866</v>
      </c>
      <c r="C2426" s="62" t="s">
        <v>1867</v>
      </c>
      <c r="D2426" s="63">
        <v>45708</v>
      </c>
      <c r="E2426" s="63">
        <v>47573</v>
      </c>
      <c r="F2426" s="62" t="s">
        <v>1930</v>
      </c>
      <c r="G2426" s="62" t="s">
        <v>453</v>
      </c>
      <c r="H2426" s="62" t="s">
        <v>312</v>
      </c>
      <c r="I2426" s="62" t="s">
        <v>825</v>
      </c>
      <c r="J2426" s="62" t="s">
        <v>579</v>
      </c>
      <c r="K2426" s="62" t="s">
        <v>428</v>
      </c>
      <c r="L2426" s="62" t="s">
        <v>2421</v>
      </c>
      <c r="M2426" s="66" t="s">
        <v>2021</v>
      </c>
    </row>
    <row r="2427" spans="1:13" x14ac:dyDescent="0.3">
      <c r="A2427" s="61" t="s">
        <v>2404</v>
      </c>
      <c r="B2427" s="62" t="s">
        <v>1866</v>
      </c>
      <c r="C2427" s="62" t="s">
        <v>1867</v>
      </c>
      <c r="D2427" s="63">
        <v>45708</v>
      </c>
      <c r="E2427" s="63">
        <v>47573</v>
      </c>
      <c r="F2427" s="62" t="s">
        <v>1945</v>
      </c>
      <c r="G2427" s="62" t="s">
        <v>555</v>
      </c>
      <c r="H2427" s="62" t="s">
        <v>312</v>
      </c>
      <c r="I2427" s="62" t="s">
        <v>825</v>
      </c>
      <c r="J2427" s="62" t="s">
        <v>579</v>
      </c>
      <c r="K2427" s="62" t="s">
        <v>428</v>
      </c>
      <c r="L2427" s="62" t="s">
        <v>2421</v>
      </c>
      <c r="M2427" s="66" t="s">
        <v>2021</v>
      </c>
    </row>
    <row r="2428" spans="1:13" x14ac:dyDescent="0.3">
      <c r="A2428" s="61" t="s">
        <v>2404</v>
      </c>
      <c r="B2428" s="62" t="s">
        <v>1866</v>
      </c>
      <c r="C2428" s="62" t="s">
        <v>1867</v>
      </c>
      <c r="D2428" s="63">
        <v>45708</v>
      </c>
      <c r="E2428" s="63">
        <v>47573</v>
      </c>
      <c r="F2428" s="62" t="s">
        <v>1921</v>
      </c>
      <c r="G2428" s="62" t="s">
        <v>620</v>
      </c>
      <c r="H2428" s="62" t="s">
        <v>2483</v>
      </c>
      <c r="I2428" s="62" t="s">
        <v>825</v>
      </c>
      <c r="J2428" s="62" t="s">
        <v>579</v>
      </c>
      <c r="K2428" s="62" t="s">
        <v>428</v>
      </c>
      <c r="L2428" s="62" t="s">
        <v>2421</v>
      </c>
      <c r="M2428" s="66" t="s">
        <v>2021</v>
      </c>
    </row>
    <row r="2429" spans="1:13" x14ac:dyDescent="0.3">
      <c r="A2429" s="61" t="s">
        <v>2404</v>
      </c>
      <c r="B2429" s="62" t="s">
        <v>1866</v>
      </c>
      <c r="C2429" s="62" t="s">
        <v>1867</v>
      </c>
      <c r="D2429" s="63">
        <v>45708</v>
      </c>
      <c r="E2429" s="63">
        <v>47573</v>
      </c>
      <c r="F2429" s="62" t="s">
        <v>1921</v>
      </c>
      <c r="G2429" s="62" t="s">
        <v>714</v>
      </c>
      <c r="H2429" s="62" t="s">
        <v>2483</v>
      </c>
      <c r="I2429" s="62" t="s">
        <v>825</v>
      </c>
      <c r="J2429" s="62" t="s">
        <v>579</v>
      </c>
      <c r="K2429" s="62" t="s">
        <v>428</v>
      </c>
      <c r="L2429" s="62" t="s">
        <v>2421</v>
      </c>
      <c r="M2429" s="66" t="s">
        <v>2021</v>
      </c>
    </row>
    <row r="2430" spans="1:13" x14ac:dyDescent="0.3">
      <c r="A2430" s="61" t="s">
        <v>2404</v>
      </c>
      <c r="B2430" s="62" t="s">
        <v>1866</v>
      </c>
      <c r="C2430" s="62" t="s">
        <v>1867</v>
      </c>
      <c r="D2430" s="63">
        <v>45708</v>
      </c>
      <c r="E2430" s="63">
        <v>47573</v>
      </c>
      <c r="F2430" s="62" t="s">
        <v>1930</v>
      </c>
      <c r="G2430" s="62" t="s">
        <v>453</v>
      </c>
      <c r="H2430" s="62" t="s">
        <v>2483</v>
      </c>
      <c r="I2430" s="62" t="s">
        <v>825</v>
      </c>
      <c r="J2430" s="62" t="s">
        <v>579</v>
      </c>
      <c r="K2430" s="62" t="s">
        <v>428</v>
      </c>
      <c r="L2430" s="62" t="s">
        <v>2421</v>
      </c>
      <c r="M2430" s="66" t="s">
        <v>2021</v>
      </c>
    </row>
    <row r="2431" spans="1:13" x14ac:dyDescent="0.3">
      <c r="A2431" s="61" t="s">
        <v>2404</v>
      </c>
      <c r="B2431" s="62" t="s">
        <v>1866</v>
      </c>
      <c r="C2431" s="62" t="s">
        <v>1867</v>
      </c>
      <c r="D2431" s="63">
        <v>45708</v>
      </c>
      <c r="E2431" s="63">
        <v>47573</v>
      </c>
      <c r="F2431" s="62" t="s">
        <v>1945</v>
      </c>
      <c r="G2431" s="62" t="s">
        <v>555</v>
      </c>
      <c r="H2431" s="62" t="s">
        <v>2483</v>
      </c>
      <c r="I2431" s="62" t="s">
        <v>825</v>
      </c>
      <c r="J2431" s="62" t="s">
        <v>579</v>
      </c>
      <c r="K2431" s="62" t="s">
        <v>428</v>
      </c>
      <c r="L2431" s="62" t="s">
        <v>2421</v>
      </c>
      <c r="M2431" s="66" t="s">
        <v>2021</v>
      </c>
    </row>
    <row r="2432" spans="1:13" x14ac:dyDescent="0.3">
      <c r="A2432" s="61" t="s">
        <v>2405</v>
      </c>
      <c r="B2432" s="62" t="s">
        <v>1868</v>
      </c>
      <c r="C2432" s="62" t="s">
        <v>1869</v>
      </c>
      <c r="D2432" s="63">
        <v>45699</v>
      </c>
      <c r="E2432" s="63">
        <v>47525</v>
      </c>
      <c r="F2432" s="62" t="s">
        <v>350</v>
      </c>
      <c r="G2432" s="62" t="s">
        <v>350</v>
      </c>
      <c r="H2432" s="62" t="s">
        <v>2425</v>
      </c>
      <c r="I2432" s="62" t="s">
        <v>1518</v>
      </c>
      <c r="J2432" s="62" t="s">
        <v>949</v>
      </c>
      <c r="K2432" s="62" t="s">
        <v>309</v>
      </c>
      <c r="L2432" s="62" t="s">
        <v>2421</v>
      </c>
      <c r="M2432" s="66" t="s">
        <v>1982</v>
      </c>
    </row>
    <row r="2433" spans="1:13" x14ac:dyDescent="0.3">
      <c r="A2433" s="61" t="s">
        <v>2406</v>
      </c>
      <c r="B2433" s="62" t="s">
        <v>1870</v>
      </c>
      <c r="C2433" s="62" t="s">
        <v>1871</v>
      </c>
      <c r="D2433" s="63">
        <v>45804</v>
      </c>
      <c r="E2433" s="63">
        <v>46049</v>
      </c>
      <c r="F2433" s="62" t="s">
        <v>348</v>
      </c>
      <c r="G2433" s="62" t="s">
        <v>304</v>
      </c>
      <c r="H2433" s="62" t="s">
        <v>1872</v>
      </c>
      <c r="I2433" s="62" t="s">
        <v>1518</v>
      </c>
      <c r="J2433" s="62" t="s">
        <v>910</v>
      </c>
      <c r="K2433" s="62" t="s">
        <v>646</v>
      </c>
      <c r="L2433" s="62" t="s">
        <v>2421</v>
      </c>
      <c r="M2433" s="66" t="s">
        <v>1971</v>
      </c>
    </row>
    <row r="2434" spans="1:13" x14ac:dyDescent="0.3">
      <c r="A2434" s="61" t="s">
        <v>2406</v>
      </c>
      <c r="B2434" s="62" t="s">
        <v>1870</v>
      </c>
      <c r="C2434" s="62" t="s">
        <v>1871</v>
      </c>
      <c r="D2434" s="63">
        <v>45804</v>
      </c>
      <c r="E2434" s="63">
        <v>46049</v>
      </c>
      <c r="F2434" s="62" t="s">
        <v>1937</v>
      </c>
      <c r="G2434" s="62" t="s">
        <v>304</v>
      </c>
      <c r="H2434" s="62" t="s">
        <v>1872</v>
      </c>
      <c r="I2434" s="62" t="s">
        <v>1518</v>
      </c>
      <c r="J2434" s="62" t="s">
        <v>910</v>
      </c>
      <c r="K2434" s="62" t="s">
        <v>646</v>
      </c>
      <c r="L2434" s="62" t="s">
        <v>2421</v>
      </c>
      <c r="M2434" s="66" t="s">
        <v>1971</v>
      </c>
    </row>
    <row r="2435" spans="1:13" x14ac:dyDescent="0.3">
      <c r="A2435" s="61" t="s">
        <v>2407</v>
      </c>
      <c r="B2435" s="62" t="s">
        <v>1873</v>
      </c>
      <c r="C2435" s="62" t="s">
        <v>1874</v>
      </c>
      <c r="D2435" s="63">
        <v>44835</v>
      </c>
      <c r="E2435" s="63">
        <v>46477</v>
      </c>
      <c r="F2435" s="62" t="s">
        <v>1921</v>
      </c>
      <c r="G2435" s="62" t="s">
        <v>559</v>
      </c>
      <c r="H2435" s="62" t="s">
        <v>542</v>
      </c>
      <c r="I2435" s="62" t="s">
        <v>307</v>
      </c>
      <c r="J2435" s="62" t="s">
        <v>552</v>
      </c>
      <c r="K2435" s="62" t="s">
        <v>371</v>
      </c>
      <c r="L2435" s="62" t="s">
        <v>2421</v>
      </c>
      <c r="M2435" s="66" t="s">
        <v>1984</v>
      </c>
    </row>
    <row r="2436" spans="1:13" x14ac:dyDescent="0.3">
      <c r="A2436" s="61" t="s">
        <v>2407</v>
      </c>
      <c r="B2436" s="62" t="s">
        <v>1873</v>
      </c>
      <c r="C2436" s="62" t="s">
        <v>1874</v>
      </c>
      <c r="D2436" s="63">
        <v>44835</v>
      </c>
      <c r="E2436" s="63">
        <v>46477</v>
      </c>
      <c r="F2436" s="62" t="s">
        <v>1921</v>
      </c>
      <c r="G2436" s="62" t="s">
        <v>487</v>
      </c>
      <c r="H2436" s="62" t="s">
        <v>542</v>
      </c>
      <c r="I2436" s="62" t="s">
        <v>307</v>
      </c>
      <c r="J2436" s="62" t="s">
        <v>552</v>
      </c>
      <c r="K2436" s="62" t="s">
        <v>371</v>
      </c>
      <c r="L2436" s="62" t="s">
        <v>2421</v>
      </c>
      <c r="M2436" s="66" t="s">
        <v>1984</v>
      </c>
    </row>
    <row r="2437" spans="1:13" x14ac:dyDescent="0.3">
      <c r="A2437" s="61" t="s">
        <v>2407</v>
      </c>
      <c r="B2437" s="62" t="s">
        <v>1873</v>
      </c>
      <c r="C2437" s="62" t="s">
        <v>1874</v>
      </c>
      <c r="D2437" s="63">
        <v>44835</v>
      </c>
      <c r="E2437" s="63">
        <v>46477</v>
      </c>
      <c r="F2437" s="62" t="s">
        <v>1921</v>
      </c>
      <c r="G2437" s="62" t="s">
        <v>714</v>
      </c>
      <c r="H2437" s="62" t="s">
        <v>542</v>
      </c>
      <c r="I2437" s="62" t="s">
        <v>307</v>
      </c>
      <c r="J2437" s="62" t="s">
        <v>552</v>
      </c>
      <c r="K2437" s="62" t="s">
        <v>371</v>
      </c>
      <c r="L2437" s="62" t="s">
        <v>2421</v>
      </c>
      <c r="M2437" s="66" t="s">
        <v>1984</v>
      </c>
    </row>
    <row r="2438" spans="1:13" x14ac:dyDescent="0.3">
      <c r="A2438" s="61" t="s">
        <v>2407</v>
      </c>
      <c r="B2438" s="62" t="s">
        <v>1873</v>
      </c>
      <c r="C2438" s="62" t="s">
        <v>1874</v>
      </c>
      <c r="D2438" s="63">
        <v>44835</v>
      </c>
      <c r="E2438" s="63">
        <v>46477</v>
      </c>
      <c r="F2438" s="62" t="s">
        <v>1922</v>
      </c>
      <c r="G2438" s="62" t="s">
        <v>349</v>
      </c>
      <c r="H2438" s="62" t="s">
        <v>542</v>
      </c>
      <c r="I2438" s="62" t="s">
        <v>307</v>
      </c>
      <c r="J2438" s="62" t="s">
        <v>552</v>
      </c>
      <c r="K2438" s="62" t="s">
        <v>371</v>
      </c>
      <c r="L2438" s="62" t="s">
        <v>2421</v>
      </c>
      <c r="M2438" s="66" t="s">
        <v>1984</v>
      </c>
    </row>
    <row r="2439" spans="1:13" x14ac:dyDescent="0.3">
      <c r="A2439" s="61" t="s">
        <v>2407</v>
      </c>
      <c r="B2439" s="62" t="s">
        <v>1873</v>
      </c>
      <c r="C2439" s="62" t="s">
        <v>1874</v>
      </c>
      <c r="D2439" s="63">
        <v>44835</v>
      </c>
      <c r="E2439" s="63">
        <v>46477</v>
      </c>
      <c r="F2439" s="62" t="s">
        <v>1922</v>
      </c>
      <c r="G2439" s="62" t="s">
        <v>553</v>
      </c>
      <c r="H2439" s="62" t="s">
        <v>542</v>
      </c>
      <c r="I2439" s="62" t="s">
        <v>307</v>
      </c>
      <c r="J2439" s="62" t="s">
        <v>552</v>
      </c>
      <c r="K2439" s="62" t="s">
        <v>371</v>
      </c>
      <c r="L2439" s="62" t="s">
        <v>2421</v>
      </c>
      <c r="M2439" s="66" t="s">
        <v>1984</v>
      </c>
    </row>
    <row r="2440" spans="1:13" x14ac:dyDescent="0.3">
      <c r="A2440" s="61" t="s">
        <v>2407</v>
      </c>
      <c r="B2440" s="62" t="s">
        <v>1873</v>
      </c>
      <c r="C2440" s="62" t="s">
        <v>1874</v>
      </c>
      <c r="D2440" s="63">
        <v>44835</v>
      </c>
      <c r="E2440" s="63">
        <v>46477</v>
      </c>
      <c r="F2440" s="62" t="s">
        <v>1916</v>
      </c>
      <c r="G2440" s="62" t="s">
        <v>630</v>
      </c>
      <c r="H2440" s="62" t="s">
        <v>542</v>
      </c>
      <c r="I2440" s="62" t="s">
        <v>307</v>
      </c>
      <c r="J2440" s="62" t="s">
        <v>552</v>
      </c>
      <c r="K2440" s="62" t="s">
        <v>371</v>
      </c>
      <c r="L2440" s="62" t="s">
        <v>2421</v>
      </c>
      <c r="M2440" s="66" t="s">
        <v>1984</v>
      </c>
    </row>
    <row r="2441" spans="1:13" x14ac:dyDescent="0.3">
      <c r="A2441" s="61" t="s">
        <v>2407</v>
      </c>
      <c r="B2441" s="62" t="s">
        <v>1873</v>
      </c>
      <c r="C2441" s="62" t="s">
        <v>1874</v>
      </c>
      <c r="D2441" s="63">
        <v>44835</v>
      </c>
      <c r="E2441" s="63">
        <v>46477</v>
      </c>
      <c r="F2441" s="62" t="s">
        <v>1916</v>
      </c>
      <c r="G2441" s="62" t="s">
        <v>888</v>
      </c>
      <c r="H2441" s="62" t="s">
        <v>542</v>
      </c>
      <c r="I2441" s="62" t="s">
        <v>307</v>
      </c>
      <c r="J2441" s="62" t="s">
        <v>552</v>
      </c>
      <c r="K2441" s="62" t="s">
        <v>371</v>
      </c>
      <c r="L2441" s="62" t="s">
        <v>2421</v>
      </c>
      <c r="M2441" s="66" t="s">
        <v>1984</v>
      </c>
    </row>
    <row r="2442" spans="1:13" x14ac:dyDescent="0.3">
      <c r="A2442" s="61" t="s">
        <v>2407</v>
      </c>
      <c r="B2442" s="62" t="s">
        <v>1873</v>
      </c>
      <c r="C2442" s="62" t="s">
        <v>1874</v>
      </c>
      <c r="D2442" s="63">
        <v>44835</v>
      </c>
      <c r="E2442" s="63">
        <v>46477</v>
      </c>
      <c r="F2442" s="62" t="s">
        <v>282</v>
      </c>
      <c r="G2442" s="62" t="s">
        <v>283</v>
      </c>
      <c r="H2442" s="62" t="s">
        <v>542</v>
      </c>
      <c r="I2442" s="62" t="s">
        <v>307</v>
      </c>
      <c r="J2442" s="62" t="s">
        <v>552</v>
      </c>
      <c r="K2442" s="62" t="s">
        <v>371</v>
      </c>
      <c r="L2442" s="62" t="s">
        <v>2421</v>
      </c>
      <c r="M2442" s="66" t="s">
        <v>1984</v>
      </c>
    </row>
    <row r="2443" spans="1:13" x14ac:dyDescent="0.3">
      <c r="A2443" s="61" t="s">
        <v>2407</v>
      </c>
      <c r="B2443" s="62" t="s">
        <v>1873</v>
      </c>
      <c r="C2443" s="62" t="s">
        <v>1874</v>
      </c>
      <c r="D2443" s="63">
        <v>44835</v>
      </c>
      <c r="E2443" s="63">
        <v>46477</v>
      </c>
      <c r="F2443" s="62" t="s">
        <v>1930</v>
      </c>
      <c r="G2443" s="62" t="s">
        <v>453</v>
      </c>
      <c r="H2443" s="62" t="s">
        <v>542</v>
      </c>
      <c r="I2443" s="62" t="s">
        <v>307</v>
      </c>
      <c r="J2443" s="62" t="s">
        <v>552</v>
      </c>
      <c r="K2443" s="62" t="s">
        <v>371</v>
      </c>
      <c r="L2443" s="62" t="s">
        <v>2421</v>
      </c>
      <c r="M2443" s="66" t="s">
        <v>1984</v>
      </c>
    </row>
    <row r="2444" spans="1:13" x14ac:dyDescent="0.3">
      <c r="A2444" s="61" t="s">
        <v>2407</v>
      </c>
      <c r="B2444" s="62" t="s">
        <v>1873</v>
      </c>
      <c r="C2444" s="62" t="s">
        <v>1874</v>
      </c>
      <c r="D2444" s="63">
        <v>44835</v>
      </c>
      <c r="E2444" s="63">
        <v>46477</v>
      </c>
      <c r="F2444" s="62" t="s">
        <v>1936</v>
      </c>
      <c r="G2444" s="62" t="s">
        <v>411</v>
      </c>
      <c r="H2444" s="62" t="s">
        <v>542</v>
      </c>
      <c r="I2444" s="62" t="s">
        <v>307</v>
      </c>
      <c r="J2444" s="62" t="s">
        <v>552</v>
      </c>
      <c r="K2444" s="62" t="s">
        <v>371</v>
      </c>
      <c r="L2444" s="62" t="s">
        <v>2421</v>
      </c>
      <c r="M2444" s="66" t="s">
        <v>1984</v>
      </c>
    </row>
    <row r="2445" spans="1:13" x14ac:dyDescent="0.3">
      <c r="A2445" s="61" t="s">
        <v>2407</v>
      </c>
      <c r="B2445" s="62" t="s">
        <v>1873</v>
      </c>
      <c r="C2445" s="62" t="s">
        <v>1874</v>
      </c>
      <c r="D2445" s="63">
        <v>44835</v>
      </c>
      <c r="E2445" s="63">
        <v>46477</v>
      </c>
      <c r="F2445" s="62" t="s">
        <v>1921</v>
      </c>
      <c r="G2445" s="62" t="s">
        <v>559</v>
      </c>
      <c r="H2445" s="62" t="s">
        <v>2508</v>
      </c>
      <c r="I2445" s="62" t="s">
        <v>307</v>
      </c>
      <c r="J2445" s="62" t="s">
        <v>552</v>
      </c>
      <c r="K2445" s="62" t="s">
        <v>371</v>
      </c>
      <c r="L2445" s="62" t="s">
        <v>2421</v>
      </c>
      <c r="M2445" s="66" t="s">
        <v>1984</v>
      </c>
    </row>
    <row r="2446" spans="1:13" x14ac:dyDescent="0.3">
      <c r="A2446" s="61" t="s">
        <v>2407</v>
      </c>
      <c r="B2446" s="62" t="s">
        <v>1873</v>
      </c>
      <c r="C2446" s="62" t="s">
        <v>1874</v>
      </c>
      <c r="D2446" s="63">
        <v>44835</v>
      </c>
      <c r="E2446" s="63">
        <v>46477</v>
      </c>
      <c r="F2446" s="62" t="s">
        <v>1921</v>
      </c>
      <c r="G2446" s="62" t="s">
        <v>487</v>
      </c>
      <c r="H2446" s="62" t="s">
        <v>2508</v>
      </c>
      <c r="I2446" s="62" t="s">
        <v>307</v>
      </c>
      <c r="J2446" s="62" t="s">
        <v>552</v>
      </c>
      <c r="K2446" s="62" t="s">
        <v>371</v>
      </c>
      <c r="L2446" s="62" t="s">
        <v>2421</v>
      </c>
      <c r="M2446" s="66" t="s">
        <v>1984</v>
      </c>
    </row>
    <row r="2447" spans="1:13" x14ac:dyDescent="0.3">
      <c r="A2447" s="61" t="s">
        <v>2407</v>
      </c>
      <c r="B2447" s="62" t="s">
        <v>1873</v>
      </c>
      <c r="C2447" s="62" t="s">
        <v>1874</v>
      </c>
      <c r="D2447" s="63">
        <v>44835</v>
      </c>
      <c r="E2447" s="63">
        <v>46477</v>
      </c>
      <c r="F2447" s="62" t="s">
        <v>1921</v>
      </c>
      <c r="G2447" s="62" t="s">
        <v>714</v>
      </c>
      <c r="H2447" s="62" t="s">
        <v>2508</v>
      </c>
      <c r="I2447" s="62" t="s">
        <v>307</v>
      </c>
      <c r="J2447" s="62" t="s">
        <v>552</v>
      </c>
      <c r="K2447" s="62" t="s">
        <v>371</v>
      </c>
      <c r="L2447" s="62" t="s">
        <v>2421</v>
      </c>
      <c r="M2447" s="66" t="s">
        <v>1984</v>
      </c>
    </row>
    <row r="2448" spans="1:13" x14ac:dyDescent="0.3">
      <c r="A2448" s="61" t="s">
        <v>2407</v>
      </c>
      <c r="B2448" s="62" t="s">
        <v>1873</v>
      </c>
      <c r="C2448" s="62" t="s">
        <v>1874</v>
      </c>
      <c r="D2448" s="63">
        <v>44835</v>
      </c>
      <c r="E2448" s="63">
        <v>46477</v>
      </c>
      <c r="F2448" s="62" t="s">
        <v>1922</v>
      </c>
      <c r="G2448" s="62" t="s">
        <v>349</v>
      </c>
      <c r="H2448" s="62" t="s">
        <v>2508</v>
      </c>
      <c r="I2448" s="62" t="s">
        <v>307</v>
      </c>
      <c r="J2448" s="62" t="s">
        <v>552</v>
      </c>
      <c r="K2448" s="62" t="s">
        <v>371</v>
      </c>
      <c r="L2448" s="62" t="s">
        <v>2421</v>
      </c>
      <c r="M2448" s="66" t="s">
        <v>1984</v>
      </c>
    </row>
    <row r="2449" spans="1:13" x14ac:dyDescent="0.3">
      <c r="A2449" s="61" t="s">
        <v>2407</v>
      </c>
      <c r="B2449" s="62" t="s">
        <v>1873</v>
      </c>
      <c r="C2449" s="62" t="s">
        <v>1874</v>
      </c>
      <c r="D2449" s="63">
        <v>44835</v>
      </c>
      <c r="E2449" s="63">
        <v>46477</v>
      </c>
      <c r="F2449" s="62" t="s">
        <v>1922</v>
      </c>
      <c r="G2449" s="62" t="s">
        <v>553</v>
      </c>
      <c r="H2449" s="62" t="s">
        <v>2508</v>
      </c>
      <c r="I2449" s="62" t="s">
        <v>307</v>
      </c>
      <c r="J2449" s="62" t="s">
        <v>552</v>
      </c>
      <c r="K2449" s="62" t="s">
        <v>371</v>
      </c>
      <c r="L2449" s="62" t="s">
        <v>2421</v>
      </c>
      <c r="M2449" s="66" t="s">
        <v>1984</v>
      </c>
    </row>
    <row r="2450" spans="1:13" x14ac:dyDescent="0.3">
      <c r="A2450" s="61" t="s">
        <v>2407</v>
      </c>
      <c r="B2450" s="62" t="s">
        <v>1873</v>
      </c>
      <c r="C2450" s="62" t="s">
        <v>1874</v>
      </c>
      <c r="D2450" s="63">
        <v>44835</v>
      </c>
      <c r="E2450" s="63">
        <v>46477</v>
      </c>
      <c r="F2450" s="62" t="s">
        <v>1916</v>
      </c>
      <c r="G2450" s="62" t="s">
        <v>630</v>
      </c>
      <c r="H2450" s="62" t="s">
        <v>2508</v>
      </c>
      <c r="I2450" s="62" t="s">
        <v>307</v>
      </c>
      <c r="J2450" s="62" t="s">
        <v>552</v>
      </c>
      <c r="K2450" s="62" t="s">
        <v>371</v>
      </c>
      <c r="L2450" s="62" t="s">
        <v>2421</v>
      </c>
      <c r="M2450" s="66" t="s">
        <v>1984</v>
      </c>
    </row>
    <row r="2451" spans="1:13" x14ac:dyDescent="0.3">
      <c r="A2451" s="61" t="s">
        <v>2407</v>
      </c>
      <c r="B2451" s="62" t="s">
        <v>1873</v>
      </c>
      <c r="C2451" s="62" t="s">
        <v>1874</v>
      </c>
      <c r="D2451" s="63">
        <v>44835</v>
      </c>
      <c r="E2451" s="63">
        <v>46477</v>
      </c>
      <c r="F2451" s="62" t="s">
        <v>1916</v>
      </c>
      <c r="G2451" s="62" t="s">
        <v>888</v>
      </c>
      <c r="H2451" s="62" t="s">
        <v>2508</v>
      </c>
      <c r="I2451" s="62" t="s">
        <v>307</v>
      </c>
      <c r="J2451" s="62" t="s">
        <v>552</v>
      </c>
      <c r="K2451" s="62" t="s">
        <v>371</v>
      </c>
      <c r="L2451" s="62" t="s">
        <v>2421</v>
      </c>
      <c r="M2451" s="66" t="s">
        <v>1984</v>
      </c>
    </row>
    <row r="2452" spans="1:13" x14ac:dyDescent="0.3">
      <c r="A2452" s="61" t="s">
        <v>2407</v>
      </c>
      <c r="B2452" s="62" t="s">
        <v>1873</v>
      </c>
      <c r="C2452" s="62" t="s">
        <v>1874</v>
      </c>
      <c r="D2452" s="63">
        <v>44835</v>
      </c>
      <c r="E2452" s="63">
        <v>46477</v>
      </c>
      <c r="F2452" s="62" t="s">
        <v>282</v>
      </c>
      <c r="G2452" s="62" t="s">
        <v>283</v>
      </c>
      <c r="H2452" s="62" t="s">
        <v>2508</v>
      </c>
      <c r="I2452" s="62" t="s">
        <v>307</v>
      </c>
      <c r="J2452" s="62" t="s">
        <v>552</v>
      </c>
      <c r="K2452" s="62" t="s">
        <v>371</v>
      </c>
      <c r="L2452" s="62" t="s">
        <v>2421</v>
      </c>
      <c r="M2452" s="66" t="s">
        <v>1984</v>
      </c>
    </row>
    <row r="2453" spans="1:13" x14ac:dyDescent="0.3">
      <c r="A2453" s="61" t="s">
        <v>2407</v>
      </c>
      <c r="B2453" s="62" t="s">
        <v>1873</v>
      </c>
      <c r="C2453" s="62" t="s">
        <v>1874</v>
      </c>
      <c r="D2453" s="63">
        <v>44835</v>
      </c>
      <c r="E2453" s="63">
        <v>46477</v>
      </c>
      <c r="F2453" s="62" t="s">
        <v>1930</v>
      </c>
      <c r="G2453" s="62" t="s">
        <v>453</v>
      </c>
      <c r="H2453" s="62" t="s">
        <v>2508</v>
      </c>
      <c r="I2453" s="62" t="s">
        <v>307</v>
      </c>
      <c r="J2453" s="62" t="s">
        <v>552</v>
      </c>
      <c r="K2453" s="62" t="s">
        <v>371</v>
      </c>
      <c r="L2453" s="62" t="s">
        <v>2421</v>
      </c>
      <c r="M2453" s="66" t="s">
        <v>1984</v>
      </c>
    </row>
    <row r="2454" spans="1:13" x14ac:dyDescent="0.3">
      <c r="A2454" s="61" t="s">
        <v>2407</v>
      </c>
      <c r="B2454" s="62" t="s">
        <v>1873</v>
      </c>
      <c r="C2454" s="62" t="s">
        <v>1874</v>
      </c>
      <c r="D2454" s="63">
        <v>44835</v>
      </c>
      <c r="E2454" s="63">
        <v>46477</v>
      </c>
      <c r="F2454" s="62" t="s">
        <v>1936</v>
      </c>
      <c r="G2454" s="62" t="s">
        <v>411</v>
      </c>
      <c r="H2454" s="62" t="s">
        <v>2508</v>
      </c>
      <c r="I2454" s="62" t="s">
        <v>307</v>
      </c>
      <c r="J2454" s="62" t="s">
        <v>552</v>
      </c>
      <c r="K2454" s="62" t="s">
        <v>371</v>
      </c>
      <c r="L2454" s="62" t="s">
        <v>2421</v>
      </c>
      <c r="M2454" s="66" t="s">
        <v>1984</v>
      </c>
    </row>
    <row r="2455" spans="1:13" x14ac:dyDescent="0.3">
      <c r="A2455" s="61" t="s">
        <v>2408</v>
      </c>
      <c r="B2455" s="62" t="s">
        <v>1875</v>
      </c>
      <c r="C2455" s="62" t="s">
        <v>1876</v>
      </c>
      <c r="D2455" s="63">
        <v>45689</v>
      </c>
      <c r="E2455" s="63">
        <v>46053</v>
      </c>
      <c r="F2455" s="62" t="s">
        <v>1921</v>
      </c>
      <c r="G2455" s="62" t="s">
        <v>620</v>
      </c>
      <c r="H2455" s="62" t="s">
        <v>1525</v>
      </c>
      <c r="I2455" s="62" t="s">
        <v>825</v>
      </c>
      <c r="J2455" s="62" t="s">
        <v>416</v>
      </c>
      <c r="K2455" s="62" t="s">
        <v>417</v>
      </c>
      <c r="L2455" s="62" t="s">
        <v>2421</v>
      </c>
      <c r="M2455" s="66" t="s">
        <v>1970</v>
      </c>
    </row>
    <row r="2456" spans="1:13" x14ac:dyDescent="0.3">
      <c r="A2456" s="61" t="s">
        <v>2408</v>
      </c>
      <c r="B2456" s="62" t="s">
        <v>1875</v>
      </c>
      <c r="C2456" s="62" t="s">
        <v>1876</v>
      </c>
      <c r="D2456" s="63">
        <v>45689</v>
      </c>
      <c r="E2456" s="63">
        <v>46053</v>
      </c>
      <c r="F2456" s="62" t="s">
        <v>1921</v>
      </c>
      <c r="G2456" s="62" t="s">
        <v>559</v>
      </c>
      <c r="H2456" s="62" t="s">
        <v>1525</v>
      </c>
      <c r="I2456" s="62" t="s">
        <v>825</v>
      </c>
      <c r="J2456" s="62" t="s">
        <v>416</v>
      </c>
      <c r="K2456" s="62" t="s">
        <v>417</v>
      </c>
      <c r="L2456" s="62" t="s">
        <v>2421</v>
      </c>
      <c r="M2456" s="66" t="s">
        <v>1970</v>
      </c>
    </row>
    <row r="2457" spans="1:13" x14ac:dyDescent="0.3">
      <c r="A2457" s="61" t="s">
        <v>2408</v>
      </c>
      <c r="B2457" s="62" t="s">
        <v>1875</v>
      </c>
      <c r="C2457" s="62" t="s">
        <v>1876</v>
      </c>
      <c r="D2457" s="63">
        <v>45689</v>
      </c>
      <c r="E2457" s="63">
        <v>46053</v>
      </c>
      <c r="F2457" s="62" t="s">
        <v>1921</v>
      </c>
      <c r="G2457" s="62" t="s">
        <v>713</v>
      </c>
      <c r="H2457" s="62" t="s">
        <v>1525</v>
      </c>
      <c r="I2457" s="62" t="s">
        <v>825</v>
      </c>
      <c r="J2457" s="62" t="s">
        <v>416</v>
      </c>
      <c r="K2457" s="62" t="s">
        <v>417</v>
      </c>
      <c r="L2457" s="62" t="s">
        <v>2421</v>
      </c>
      <c r="M2457" s="66" t="s">
        <v>1970</v>
      </c>
    </row>
    <row r="2458" spans="1:13" x14ac:dyDescent="0.3">
      <c r="A2458" s="61" t="s">
        <v>2408</v>
      </c>
      <c r="B2458" s="62" t="s">
        <v>1875</v>
      </c>
      <c r="C2458" s="62" t="s">
        <v>1876</v>
      </c>
      <c r="D2458" s="63">
        <v>45689</v>
      </c>
      <c r="E2458" s="63">
        <v>46053</v>
      </c>
      <c r="F2458" s="62" t="s">
        <v>1921</v>
      </c>
      <c r="G2458" s="62" t="s">
        <v>487</v>
      </c>
      <c r="H2458" s="62" t="s">
        <v>1525</v>
      </c>
      <c r="I2458" s="62" t="s">
        <v>825</v>
      </c>
      <c r="J2458" s="62" t="s">
        <v>416</v>
      </c>
      <c r="K2458" s="62" t="s">
        <v>417</v>
      </c>
      <c r="L2458" s="62" t="s">
        <v>2421</v>
      </c>
      <c r="M2458" s="66" t="s">
        <v>1970</v>
      </c>
    </row>
    <row r="2459" spans="1:13" x14ac:dyDescent="0.3">
      <c r="A2459" s="61" t="s">
        <v>2408</v>
      </c>
      <c r="B2459" s="62" t="s">
        <v>1875</v>
      </c>
      <c r="C2459" s="62" t="s">
        <v>1876</v>
      </c>
      <c r="D2459" s="63">
        <v>45689</v>
      </c>
      <c r="E2459" s="63">
        <v>46053</v>
      </c>
      <c r="F2459" s="62" t="s">
        <v>1921</v>
      </c>
      <c r="G2459" s="62" t="s">
        <v>714</v>
      </c>
      <c r="H2459" s="62" t="s">
        <v>1525</v>
      </c>
      <c r="I2459" s="62" t="s">
        <v>825</v>
      </c>
      <c r="J2459" s="62" t="s">
        <v>416</v>
      </c>
      <c r="K2459" s="62" t="s">
        <v>417</v>
      </c>
      <c r="L2459" s="62" t="s">
        <v>2421</v>
      </c>
      <c r="M2459" s="66" t="s">
        <v>1970</v>
      </c>
    </row>
    <row r="2460" spans="1:13" x14ac:dyDescent="0.3">
      <c r="A2460" s="61" t="s">
        <v>2409</v>
      </c>
      <c r="B2460" s="62" t="s">
        <v>1877</v>
      </c>
      <c r="C2460" s="62" t="s">
        <v>1878</v>
      </c>
      <c r="D2460" s="63">
        <v>45823</v>
      </c>
      <c r="E2460" s="63">
        <v>46217</v>
      </c>
      <c r="F2460" s="62" t="s">
        <v>348</v>
      </c>
      <c r="G2460" s="62" t="s">
        <v>348</v>
      </c>
      <c r="H2460" s="62" t="s">
        <v>813</v>
      </c>
      <c r="I2460" s="62" t="s">
        <v>1518</v>
      </c>
      <c r="J2460" s="62" t="s">
        <v>1879</v>
      </c>
      <c r="K2460" s="62" t="s">
        <v>309</v>
      </c>
      <c r="L2460" s="62" t="s">
        <v>2421</v>
      </c>
      <c r="M2460" s="66" t="s">
        <v>1971</v>
      </c>
    </row>
    <row r="2461" spans="1:13" x14ac:dyDescent="0.3">
      <c r="A2461" s="61" t="s">
        <v>2409</v>
      </c>
      <c r="B2461" s="62" t="s">
        <v>1877</v>
      </c>
      <c r="C2461" s="62" t="s">
        <v>1878</v>
      </c>
      <c r="D2461" s="63">
        <v>45823</v>
      </c>
      <c r="E2461" s="63">
        <v>46217</v>
      </c>
      <c r="F2461" s="62" t="s">
        <v>1930</v>
      </c>
      <c r="G2461" s="62" t="s">
        <v>453</v>
      </c>
      <c r="H2461" s="62" t="s">
        <v>813</v>
      </c>
      <c r="I2461" s="62" t="s">
        <v>1518</v>
      </c>
      <c r="J2461" s="62" t="s">
        <v>1879</v>
      </c>
      <c r="K2461" s="62" t="s">
        <v>309</v>
      </c>
      <c r="L2461" s="62" t="s">
        <v>2421</v>
      </c>
      <c r="M2461" s="66" t="s">
        <v>1971</v>
      </c>
    </row>
    <row r="2462" spans="1:13" x14ac:dyDescent="0.3">
      <c r="A2462" s="61" t="s">
        <v>2409</v>
      </c>
      <c r="B2462" s="62" t="s">
        <v>1877</v>
      </c>
      <c r="C2462" s="62" t="s">
        <v>1878</v>
      </c>
      <c r="D2462" s="63">
        <v>45823</v>
      </c>
      <c r="E2462" s="63">
        <v>46217</v>
      </c>
      <c r="F2462" s="62" t="s">
        <v>1945</v>
      </c>
      <c r="G2462" s="62" t="s">
        <v>555</v>
      </c>
      <c r="H2462" s="62" t="s">
        <v>813</v>
      </c>
      <c r="I2462" s="62" t="s">
        <v>1518</v>
      </c>
      <c r="J2462" s="62" t="s">
        <v>1879</v>
      </c>
      <c r="K2462" s="62" t="s">
        <v>309</v>
      </c>
      <c r="L2462" s="62" t="s">
        <v>2421</v>
      </c>
      <c r="M2462" s="66" t="s">
        <v>1971</v>
      </c>
    </row>
    <row r="2463" spans="1:13" x14ac:dyDescent="0.3">
      <c r="A2463" s="61" t="s">
        <v>2509</v>
      </c>
      <c r="B2463" s="62" t="s">
        <v>2510</v>
      </c>
      <c r="C2463" s="62" t="s">
        <v>2511</v>
      </c>
      <c r="D2463" s="63">
        <v>45662</v>
      </c>
      <c r="E2463" s="63">
        <v>46752</v>
      </c>
      <c r="F2463" s="62" t="s">
        <v>1939</v>
      </c>
      <c r="G2463" s="62" t="s">
        <v>2512</v>
      </c>
      <c r="H2463" s="62" t="s">
        <v>1847</v>
      </c>
      <c r="I2463" s="62" t="s">
        <v>825</v>
      </c>
      <c r="J2463" s="62" t="s">
        <v>2424</v>
      </c>
      <c r="K2463" s="62" t="s">
        <v>426</v>
      </c>
      <c r="L2463" s="62" t="s">
        <v>2421</v>
      </c>
      <c r="M2463" s="66" t="s">
        <v>1969</v>
      </c>
    </row>
    <row r="2464" spans="1:13" x14ac:dyDescent="0.3">
      <c r="A2464" s="61" t="s">
        <v>2509</v>
      </c>
      <c r="B2464" s="62" t="s">
        <v>2510</v>
      </c>
      <c r="C2464" s="62" t="s">
        <v>2511</v>
      </c>
      <c r="D2464" s="63">
        <v>45662</v>
      </c>
      <c r="E2464" s="63">
        <v>46752</v>
      </c>
      <c r="F2464" s="62" t="s">
        <v>1939</v>
      </c>
      <c r="G2464" s="62" t="s">
        <v>2513</v>
      </c>
      <c r="H2464" s="62" t="s">
        <v>1847</v>
      </c>
      <c r="I2464" s="62" t="s">
        <v>825</v>
      </c>
      <c r="J2464" s="62" t="s">
        <v>2424</v>
      </c>
      <c r="K2464" s="62" t="s">
        <v>426</v>
      </c>
      <c r="L2464" s="62" t="s">
        <v>2421</v>
      </c>
      <c r="M2464" s="66" t="s">
        <v>1969</v>
      </c>
    </row>
    <row r="2465" spans="1:13" x14ac:dyDescent="0.3">
      <c r="A2465" s="61" t="s">
        <v>2509</v>
      </c>
      <c r="B2465" s="62" t="s">
        <v>2510</v>
      </c>
      <c r="C2465" s="62" t="s">
        <v>2511</v>
      </c>
      <c r="D2465" s="63">
        <v>45662</v>
      </c>
      <c r="E2465" s="63">
        <v>46752</v>
      </c>
      <c r="F2465" s="62" t="s">
        <v>1939</v>
      </c>
      <c r="G2465" s="62" t="s">
        <v>535</v>
      </c>
      <c r="H2465" s="62" t="s">
        <v>1847</v>
      </c>
      <c r="I2465" s="62" t="s">
        <v>825</v>
      </c>
      <c r="J2465" s="62" t="s">
        <v>2424</v>
      </c>
      <c r="K2465" s="62" t="s">
        <v>426</v>
      </c>
      <c r="L2465" s="62" t="s">
        <v>2421</v>
      </c>
      <c r="M2465" s="66" t="s">
        <v>1969</v>
      </c>
    </row>
    <row r="2466" spans="1:13" x14ac:dyDescent="0.3">
      <c r="A2466" s="61" t="s">
        <v>2509</v>
      </c>
      <c r="B2466" s="62" t="s">
        <v>2510</v>
      </c>
      <c r="C2466" s="62" t="s">
        <v>2511</v>
      </c>
      <c r="D2466" s="63">
        <v>45662</v>
      </c>
      <c r="E2466" s="63">
        <v>46752</v>
      </c>
      <c r="F2466" s="62" t="s">
        <v>1939</v>
      </c>
      <c r="G2466" s="62" t="s">
        <v>536</v>
      </c>
      <c r="H2466" s="62" t="s">
        <v>1847</v>
      </c>
      <c r="I2466" s="62" t="s">
        <v>825</v>
      </c>
      <c r="J2466" s="62" t="s">
        <v>2424</v>
      </c>
      <c r="K2466" s="62" t="s">
        <v>426</v>
      </c>
      <c r="L2466" s="62" t="s">
        <v>2421</v>
      </c>
      <c r="M2466" s="66" t="s">
        <v>1969</v>
      </c>
    </row>
    <row r="2467" spans="1:13" x14ac:dyDescent="0.3">
      <c r="A2467" s="61" t="s">
        <v>2509</v>
      </c>
      <c r="B2467" s="62" t="s">
        <v>2510</v>
      </c>
      <c r="C2467" s="62" t="s">
        <v>2511</v>
      </c>
      <c r="D2467" s="63">
        <v>45662</v>
      </c>
      <c r="E2467" s="63">
        <v>46752</v>
      </c>
      <c r="F2467" s="62" t="s">
        <v>1939</v>
      </c>
      <c r="G2467" s="62" t="s">
        <v>537</v>
      </c>
      <c r="H2467" s="62" t="s">
        <v>1847</v>
      </c>
      <c r="I2467" s="62" t="s">
        <v>825</v>
      </c>
      <c r="J2467" s="62" t="s">
        <v>2424</v>
      </c>
      <c r="K2467" s="62" t="s">
        <v>426</v>
      </c>
      <c r="L2467" s="62" t="s">
        <v>2421</v>
      </c>
      <c r="M2467" s="66" t="s">
        <v>1969</v>
      </c>
    </row>
    <row r="2468" spans="1:13" x14ac:dyDescent="0.3">
      <c r="A2468" s="61" t="s">
        <v>2509</v>
      </c>
      <c r="B2468" s="62" t="s">
        <v>2510</v>
      </c>
      <c r="C2468" s="62" t="s">
        <v>2511</v>
      </c>
      <c r="D2468" s="63">
        <v>45662</v>
      </c>
      <c r="E2468" s="63">
        <v>46752</v>
      </c>
      <c r="F2468" s="62" t="s">
        <v>1939</v>
      </c>
      <c r="G2468" s="62" t="s">
        <v>538</v>
      </c>
      <c r="H2468" s="62" t="s">
        <v>1847</v>
      </c>
      <c r="I2468" s="62" t="s">
        <v>825</v>
      </c>
      <c r="J2468" s="62" t="s">
        <v>2424</v>
      </c>
      <c r="K2468" s="62" t="s">
        <v>426</v>
      </c>
      <c r="L2468" s="62" t="s">
        <v>2421</v>
      </c>
      <c r="M2468" s="66" t="s">
        <v>1969</v>
      </c>
    </row>
    <row r="2469" spans="1:13" x14ac:dyDescent="0.3">
      <c r="A2469" s="61" t="s">
        <v>2509</v>
      </c>
      <c r="B2469" s="62" t="s">
        <v>2510</v>
      </c>
      <c r="C2469" s="62" t="s">
        <v>2511</v>
      </c>
      <c r="D2469" s="63">
        <v>45662</v>
      </c>
      <c r="E2469" s="63">
        <v>46752</v>
      </c>
      <c r="F2469" s="62" t="s">
        <v>1939</v>
      </c>
      <c r="G2469" s="62" t="s">
        <v>765</v>
      </c>
      <c r="H2469" s="62" t="s">
        <v>1847</v>
      </c>
      <c r="I2469" s="62" t="s">
        <v>825</v>
      </c>
      <c r="J2469" s="62" t="s">
        <v>2424</v>
      </c>
      <c r="K2469" s="62" t="s">
        <v>426</v>
      </c>
      <c r="L2469" s="62" t="s">
        <v>2421</v>
      </c>
      <c r="M2469" s="66" t="s">
        <v>1969</v>
      </c>
    </row>
    <row r="2470" spans="1:13" x14ac:dyDescent="0.3">
      <c r="A2470" s="61" t="s">
        <v>2514</v>
      </c>
      <c r="B2470" s="62" t="s">
        <v>2515</v>
      </c>
      <c r="C2470" s="62" t="s">
        <v>2516</v>
      </c>
      <c r="D2470" s="63">
        <v>45778</v>
      </c>
      <c r="E2470" s="63">
        <v>46326</v>
      </c>
      <c r="F2470" s="62" t="s">
        <v>282</v>
      </c>
      <c r="G2470" s="62" t="s">
        <v>1124</v>
      </c>
      <c r="H2470" s="62" t="s">
        <v>1105</v>
      </c>
      <c r="I2470" s="62" t="s">
        <v>1518</v>
      </c>
      <c r="J2470" s="62" t="s">
        <v>864</v>
      </c>
      <c r="K2470" s="62" t="s">
        <v>309</v>
      </c>
      <c r="L2470" s="62" t="s">
        <v>2421</v>
      </c>
      <c r="M2470" s="66" t="s">
        <v>1971</v>
      </c>
    </row>
    <row r="2471" spans="1:13" x14ac:dyDescent="0.3">
      <c r="A2471" s="61" t="s">
        <v>2517</v>
      </c>
      <c r="B2471" s="62" t="s">
        <v>2518</v>
      </c>
      <c r="C2471" s="62" t="s">
        <v>2519</v>
      </c>
      <c r="D2471" s="63">
        <v>45847</v>
      </c>
      <c r="E2471" s="63">
        <v>46730</v>
      </c>
      <c r="F2471" s="62" t="s">
        <v>350</v>
      </c>
      <c r="G2471" s="62" t="s">
        <v>304</v>
      </c>
      <c r="H2471" s="62" t="s">
        <v>1690</v>
      </c>
      <c r="I2471" s="62" t="s">
        <v>1518</v>
      </c>
      <c r="J2471" s="62" t="s">
        <v>720</v>
      </c>
      <c r="K2471" s="62" t="s">
        <v>465</v>
      </c>
      <c r="L2471" s="62" t="s">
        <v>2421</v>
      </c>
      <c r="M2471" s="66" t="s">
        <v>1964</v>
      </c>
    </row>
    <row r="2472" spans="1:13" x14ac:dyDescent="0.3">
      <c r="A2472" s="61" t="s">
        <v>2520</v>
      </c>
      <c r="B2472" s="62" t="s">
        <v>2521</v>
      </c>
      <c r="C2472" s="62" t="s">
        <v>2522</v>
      </c>
      <c r="D2472" s="63">
        <v>45792</v>
      </c>
      <c r="E2472" s="63">
        <v>47008</v>
      </c>
      <c r="F2472" s="62" t="s">
        <v>1916</v>
      </c>
      <c r="G2472" s="62" t="s">
        <v>630</v>
      </c>
      <c r="H2472" s="62" t="s">
        <v>522</v>
      </c>
      <c r="I2472" s="62" t="s">
        <v>1518</v>
      </c>
      <c r="J2472" s="62" t="s">
        <v>355</v>
      </c>
      <c r="K2472" s="62" t="s">
        <v>309</v>
      </c>
      <c r="L2472" s="62" t="s">
        <v>2421</v>
      </c>
      <c r="M2472" s="66" t="s">
        <v>1970</v>
      </c>
    </row>
    <row r="2473" spans="1:13" x14ac:dyDescent="0.3">
      <c r="A2473" s="61" t="s">
        <v>2520</v>
      </c>
      <c r="B2473" s="62" t="s">
        <v>2521</v>
      </c>
      <c r="C2473" s="62" t="s">
        <v>2522</v>
      </c>
      <c r="D2473" s="63">
        <v>45792</v>
      </c>
      <c r="E2473" s="63">
        <v>47008</v>
      </c>
      <c r="F2473" s="62" t="s">
        <v>1916</v>
      </c>
      <c r="G2473" s="62" t="s">
        <v>888</v>
      </c>
      <c r="H2473" s="62" t="s">
        <v>522</v>
      </c>
      <c r="I2473" s="62" t="s">
        <v>1518</v>
      </c>
      <c r="J2473" s="62" t="s">
        <v>355</v>
      </c>
      <c r="K2473" s="62" t="s">
        <v>309</v>
      </c>
      <c r="L2473" s="62" t="s">
        <v>2421</v>
      </c>
      <c r="M2473" s="66" t="s">
        <v>1970</v>
      </c>
    </row>
    <row r="2474" spans="1:13" x14ac:dyDescent="0.3">
      <c r="A2474" s="61" t="s">
        <v>2523</v>
      </c>
      <c r="B2474" s="62" t="s">
        <v>2524</v>
      </c>
      <c r="C2474" s="62" t="s">
        <v>2525</v>
      </c>
      <c r="D2474" s="63">
        <v>45809</v>
      </c>
      <c r="E2474" s="63">
        <v>46266</v>
      </c>
      <c r="F2474" s="62" t="s">
        <v>287</v>
      </c>
      <c r="G2474" s="62" t="s">
        <v>589</v>
      </c>
      <c r="H2474" s="62" t="s">
        <v>550</v>
      </c>
      <c r="I2474" s="62" t="s">
        <v>825</v>
      </c>
      <c r="J2474" s="62" t="s">
        <v>644</v>
      </c>
      <c r="K2474" s="62" t="s">
        <v>371</v>
      </c>
      <c r="L2474" s="62" t="s">
        <v>2421</v>
      </c>
      <c r="M2474" s="66" t="s">
        <v>1972</v>
      </c>
    </row>
    <row r="2475" spans="1:13" x14ac:dyDescent="0.3">
      <c r="A2475" s="61" t="s">
        <v>2523</v>
      </c>
      <c r="B2475" s="62" t="s">
        <v>2524</v>
      </c>
      <c r="C2475" s="62" t="s">
        <v>2525</v>
      </c>
      <c r="D2475" s="63">
        <v>45809</v>
      </c>
      <c r="E2475" s="63">
        <v>46266</v>
      </c>
      <c r="F2475" s="62" t="s">
        <v>287</v>
      </c>
      <c r="G2475" s="62" t="s">
        <v>768</v>
      </c>
      <c r="H2475" s="62" t="s">
        <v>550</v>
      </c>
      <c r="I2475" s="62" t="s">
        <v>825</v>
      </c>
      <c r="J2475" s="62" t="s">
        <v>644</v>
      </c>
      <c r="K2475" s="62" t="s">
        <v>371</v>
      </c>
      <c r="L2475" s="62" t="s">
        <v>2421</v>
      </c>
      <c r="M2475" s="66" t="s">
        <v>1972</v>
      </c>
    </row>
    <row r="2476" spans="1:13" x14ac:dyDescent="0.3">
      <c r="A2476" s="61" t="s">
        <v>2523</v>
      </c>
      <c r="B2476" s="62" t="s">
        <v>2524</v>
      </c>
      <c r="C2476" s="62" t="s">
        <v>2525</v>
      </c>
      <c r="D2476" s="63">
        <v>45809</v>
      </c>
      <c r="E2476" s="63">
        <v>46266</v>
      </c>
      <c r="F2476" s="62" t="s">
        <v>287</v>
      </c>
      <c r="G2476" s="62" t="s">
        <v>769</v>
      </c>
      <c r="H2476" s="62" t="s">
        <v>550</v>
      </c>
      <c r="I2476" s="62" t="s">
        <v>825</v>
      </c>
      <c r="J2476" s="62" t="s">
        <v>644</v>
      </c>
      <c r="K2476" s="62" t="s">
        <v>371</v>
      </c>
      <c r="L2476" s="62" t="s">
        <v>2421</v>
      </c>
      <c r="M2476" s="66" t="s">
        <v>1972</v>
      </c>
    </row>
    <row r="2477" spans="1:13" x14ac:dyDescent="0.3">
      <c r="A2477" s="61" t="s">
        <v>2523</v>
      </c>
      <c r="B2477" s="62" t="s">
        <v>2524</v>
      </c>
      <c r="C2477" s="62" t="s">
        <v>2525</v>
      </c>
      <c r="D2477" s="63">
        <v>45809</v>
      </c>
      <c r="E2477" s="63">
        <v>46266</v>
      </c>
      <c r="F2477" s="62" t="s">
        <v>287</v>
      </c>
      <c r="G2477" s="62" t="s">
        <v>770</v>
      </c>
      <c r="H2477" s="62" t="s">
        <v>550</v>
      </c>
      <c r="I2477" s="62" t="s">
        <v>825</v>
      </c>
      <c r="J2477" s="62" t="s">
        <v>644</v>
      </c>
      <c r="K2477" s="62" t="s">
        <v>371</v>
      </c>
      <c r="L2477" s="62" t="s">
        <v>2421</v>
      </c>
      <c r="M2477" s="66" t="s">
        <v>1972</v>
      </c>
    </row>
    <row r="2478" spans="1:13" x14ac:dyDescent="0.3">
      <c r="A2478" s="61" t="s">
        <v>2523</v>
      </c>
      <c r="B2478" s="62" t="s">
        <v>2524</v>
      </c>
      <c r="C2478" s="62" t="s">
        <v>2525</v>
      </c>
      <c r="D2478" s="63">
        <v>45809</v>
      </c>
      <c r="E2478" s="63">
        <v>46266</v>
      </c>
      <c r="F2478" s="62" t="s">
        <v>287</v>
      </c>
      <c r="G2478" s="62" t="s">
        <v>392</v>
      </c>
      <c r="H2478" s="62" t="s">
        <v>550</v>
      </c>
      <c r="I2478" s="62" t="s">
        <v>825</v>
      </c>
      <c r="J2478" s="62" t="s">
        <v>644</v>
      </c>
      <c r="K2478" s="62" t="s">
        <v>371</v>
      </c>
      <c r="L2478" s="62" t="s">
        <v>2421</v>
      </c>
      <c r="M2478" s="66" t="s">
        <v>1972</v>
      </c>
    </row>
    <row r="2479" spans="1:13" x14ac:dyDescent="0.3">
      <c r="A2479" s="61" t="s">
        <v>2523</v>
      </c>
      <c r="B2479" s="62" t="s">
        <v>2524</v>
      </c>
      <c r="C2479" s="62" t="s">
        <v>2525</v>
      </c>
      <c r="D2479" s="63">
        <v>45809</v>
      </c>
      <c r="E2479" s="63">
        <v>46266</v>
      </c>
      <c r="F2479" s="62" t="s">
        <v>287</v>
      </c>
      <c r="G2479" s="62" t="s">
        <v>1262</v>
      </c>
      <c r="H2479" s="62" t="s">
        <v>550</v>
      </c>
      <c r="I2479" s="62" t="s">
        <v>825</v>
      </c>
      <c r="J2479" s="62" t="s">
        <v>644</v>
      </c>
      <c r="K2479" s="62" t="s">
        <v>371</v>
      </c>
      <c r="L2479" s="62" t="s">
        <v>2421</v>
      </c>
      <c r="M2479" s="66" t="s">
        <v>1972</v>
      </c>
    </row>
    <row r="2480" spans="1:13" x14ac:dyDescent="0.3">
      <c r="A2480" s="61" t="s">
        <v>2523</v>
      </c>
      <c r="B2480" s="62" t="s">
        <v>2524</v>
      </c>
      <c r="C2480" s="62" t="s">
        <v>2525</v>
      </c>
      <c r="D2480" s="63">
        <v>45809</v>
      </c>
      <c r="E2480" s="63">
        <v>46266</v>
      </c>
      <c r="F2480" s="62" t="s">
        <v>287</v>
      </c>
      <c r="G2480" s="62" t="s">
        <v>1108</v>
      </c>
      <c r="H2480" s="62" t="s">
        <v>550</v>
      </c>
      <c r="I2480" s="62" t="s">
        <v>825</v>
      </c>
      <c r="J2480" s="62" t="s">
        <v>644</v>
      </c>
      <c r="K2480" s="62" t="s">
        <v>371</v>
      </c>
      <c r="L2480" s="62" t="s">
        <v>2421</v>
      </c>
      <c r="M2480" s="66" t="s">
        <v>1972</v>
      </c>
    </row>
    <row r="2481" spans="1:13" x14ac:dyDescent="0.3">
      <c r="A2481" s="61" t="s">
        <v>2523</v>
      </c>
      <c r="B2481" s="62" t="s">
        <v>2524</v>
      </c>
      <c r="C2481" s="62" t="s">
        <v>2525</v>
      </c>
      <c r="D2481" s="63">
        <v>45809</v>
      </c>
      <c r="E2481" s="63">
        <v>46266</v>
      </c>
      <c r="F2481" s="62" t="s">
        <v>287</v>
      </c>
      <c r="G2481" s="62" t="s">
        <v>394</v>
      </c>
      <c r="H2481" s="62" t="s">
        <v>550</v>
      </c>
      <c r="I2481" s="62" t="s">
        <v>825</v>
      </c>
      <c r="J2481" s="62" t="s">
        <v>644</v>
      </c>
      <c r="K2481" s="62" t="s">
        <v>371</v>
      </c>
      <c r="L2481" s="62" t="s">
        <v>2421</v>
      </c>
      <c r="M2481" s="66" t="s">
        <v>1972</v>
      </c>
    </row>
    <row r="2482" spans="1:13" x14ac:dyDescent="0.3">
      <c r="A2482" s="61" t="s">
        <v>2523</v>
      </c>
      <c r="B2482" s="62" t="s">
        <v>2524</v>
      </c>
      <c r="C2482" s="62" t="s">
        <v>2525</v>
      </c>
      <c r="D2482" s="63">
        <v>45809</v>
      </c>
      <c r="E2482" s="63">
        <v>46266</v>
      </c>
      <c r="F2482" s="62" t="s">
        <v>287</v>
      </c>
      <c r="G2482" s="62" t="s">
        <v>395</v>
      </c>
      <c r="H2482" s="62" t="s">
        <v>550</v>
      </c>
      <c r="I2482" s="62" t="s">
        <v>825</v>
      </c>
      <c r="J2482" s="62" t="s">
        <v>644</v>
      </c>
      <c r="K2482" s="62" t="s">
        <v>371</v>
      </c>
      <c r="L2482" s="62" t="s">
        <v>2421</v>
      </c>
      <c r="M2482" s="66" t="s">
        <v>1972</v>
      </c>
    </row>
    <row r="2483" spans="1:13" x14ac:dyDescent="0.3">
      <c r="A2483" s="61" t="s">
        <v>2523</v>
      </c>
      <c r="B2483" s="62" t="s">
        <v>2524</v>
      </c>
      <c r="C2483" s="62" t="s">
        <v>2525</v>
      </c>
      <c r="D2483" s="63">
        <v>45809</v>
      </c>
      <c r="E2483" s="63">
        <v>46266</v>
      </c>
      <c r="F2483" s="62" t="s">
        <v>287</v>
      </c>
      <c r="G2483" s="62" t="s">
        <v>423</v>
      </c>
      <c r="H2483" s="62" t="s">
        <v>550</v>
      </c>
      <c r="I2483" s="62" t="s">
        <v>825</v>
      </c>
      <c r="J2483" s="62" t="s">
        <v>644</v>
      </c>
      <c r="K2483" s="62" t="s">
        <v>371</v>
      </c>
      <c r="L2483" s="62" t="s">
        <v>2421</v>
      </c>
      <c r="M2483" s="66" t="s">
        <v>1972</v>
      </c>
    </row>
    <row r="2484" spans="1:13" x14ac:dyDescent="0.3">
      <c r="A2484" s="61" t="s">
        <v>2526</v>
      </c>
      <c r="B2484" s="62" t="s">
        <v>2527</v>
      </c>
      <c r="C2484" s="62" t="s">
        <v>2528</v>
      </c>
      <c r="D2484" s="63">
        <v>45797</v>
      </c>
      <c r="E2484" s="63">
        <v>46346</v>
      </c>
      <c r="F2484" s="62" t="s">
        <v>1936</v>
      </c>
      <c r="G2484" s="62" t="s">
        <v>747</v>
      </c>
      <c r="H2484" s="62" t="s">
        <v>1322</v>
      </c>
      <c r="I2484" s="62" t="s">
        <v>825</v>
      </c>
      <c r="J2484" s="62" t="s">
        <v>558</v>
      </c>
      <c r="K2484" s="62" t="s">
        <v>426</v>
      </c>
      <c r="L2484" s="62" t="s">
        <v>2421</v>
      </c>
      <c r="M2484" s="66" t="s">
        <v>1970</v>
      </c>
    </row>
    <row r="2485" spans="1:13" x14ac:dyDescent="0.3">
      <c r="A2485" s="61" t="s">
        <v>2529</v>
      </c>
      <c r="B2485" s="62" t="s">
        <v>2530</v>
      </c>
      <c r="C2485" s="62" t="s">
        <v>2531</v>
      </c>
      <c r="D2485" s="63">
        <v>45701</v>
      </c>
      <c r="E2485" s="63">
        <v>46065</v>
      </c>
      <c r="F2485" s="62" t="s">
        <v>1934</v>
      </c>
      <c r="G2485" s="62" t="s">
        <v>304</v>
      </c>
      <c r="H2485" s="62" t="s">
        <v>1525</v>
      </c>
      <c r="I2485" s="62" t="s">
        <v>825</v>
      </c>
      <c r="J2485" s="62" t="s">
        <v>558</v>
      </c>
      <c r="K2485" s="62" t="s">
        <v>426</v>
      </c>
      <c r="L2485" s="62" t="s">
        <v>2421</v>
      </c>
      <c r="M2485" s="66" t="s">
        <v>1972</v>
      </c>
    </row>
    <row r="2486" spans="1:13" x14ac:dyDescent="0.3">
      <c r="A2486" s="61" t="s">
        <v>2529</v>
      </c>
      <c r="B2486" s="62" t="s">
        <v>2530</v>
      </c>
      <c r="C2486" s="62" t="s">
        <v>2531</v>
      </c>
      <c r="D2486" s="63">
        <v>45701</v>
      </c>
      <c r="E2486" s="63">
        <v>46065</v>
      </c>
      <c r="F2486" s="62" t="s">
        <v>1958</v>
      </c>
      <c r="G2486" s="62" t="s">
        <v>304</v>
      </c>
      <c r="H2486" s="62" t="s">
        <v>1525</v>
      </c>
      <c r="I2486" s="62" t="s">
        <v>825</v>
      </c>
      <c r="J2486" s="62" t="s">
        <v>558</v>
      </c>
      <c r="K2486" s="62" t="s">
        <v>426</v>
      </c>
      <c r="L2486" s="62" t="s">
        <v>2421</v>
      </c>
      <c r="M2486" s="66" t="s">
        <v>1972</v>
      </c>
    </row>
    <row r="2487" spans="1:13" x14ac:dyDescent="0.3">
      <c r="A2487" s="61" t="s">
        <v>2532</v>
      </c>
      <c r="B2487" s="62" t="s">
        <v>2533</v>
      </c>
      <c r="C2487" s="62" t="s">
        <v>2534</v>
      </c>
      <c r="D2487" s="63">
        <v>45809</v>
      </c>
      <c r="E2487" s="63">
        <v>46357</v>
      </c>
      <c r="F2487" s="62" t="s">
        <v>348</v>
      </c>
      <c r="G2487" s="62" t="s">
        <v>348</v>
      </c>
      <c r="H2487" s="62" t="s">
        <v>468</v>
      </c>
      <c r="I2487" s="62" t="s">
        <v>825</v>
      </c>
      <c r="J2487" s="62" t="s">
        <v>663</v>
      </c>
      <c r="K2487" s="62" t="s">
        <v>371</v>
      </c>
      <c r="L2487" s="62" t="s">
        <v>2421</v>
      </c>
      <c r="M2487" s="66" t="s">
        <v>1970</v>
      </c>
    </row>
    <row r="2488" spans="1:13" x14ac:dyDescent="0.3">
      <c r="A2488" s="61" t="s">
        <v>2535</v>
      </c>
      <c r="B2488" s="62" t="s">
        <v>2536</v>
      </c>
      <c r="C2488" s="62" t="s">
        <v>2537</v>
      </c>
      <c r="D2488" s="63">
        <v>45803</v>
      </c>
      <c r="E2488" s="63">
        <v>46167</v>
      </c>
      <c r="F2488" s="62" t="s">
        <v>1945</v>
      </c>
      <c r="G2488" s="62" t="s">
        <v>400</v>
      </c>
      <c r="H2488" s="62" t="s">
        <v>1525</v>
      </c>
      <c r="I2488" s="62" t="s">
        <v>825</v>
      </c>
      <c r="J2488" s="62" t="s">
        <v>892</v>
      </c>
      <c r="K2488" s="62" t="s">
        <v>375</v>
      </c>
      <c r="L2488" s="62" t="s">
        <v>2421</v>
      </c>
      <c r="M2488" s="66" t="s">
        <v>2021</v>
      </c>
    </row>
    <row r="2489" spans="1:13" x14ac:dyDescent="0.3">
      <c r="A2489" s="61" t="s">
        <v>2538</v>
      </c>
      <c r="B2489" s="62" t="s">
        <v>2539</v>
      </c>
      <c r="C2489" s="62" t="s">
        <v>2540</v>
      </c>
      <c r="D2489" s="63">
        <v>45804</v>
      </c>
      <c r="E2489" s="63">
        <v>46534</v>
      </c>
      <c r="F2489" s="62" t="s">
        <v>1958</v>
      </c>
      <c r="G2489" s="62" t="s">
        <v>330</v>
      </c>
      <c r="H2489" s="62" t="s">
        <v>2425</v>
      </c>
      <c r="I2489" s="62" t="s">
        <v>2465</v>
      </c>
      <c r="J2489" s="62" t="s">
        <v>314</v>
      </c>
      <c r="K2489" s="62" t="s">
        <v>315</v>
      </c>
      <c r="L2489" s="62" t="s">
        <v>2421</v>
      </c>
      <c r="M2489" s="66" t="s">
        <v>1969</v>
      </c>
    </row>
    <row r="2490" spans="1:13" x14ac:dyDescent="0.3">
      <c r="A2490" s="61" t="s">
        <v>2538</v>
      </c>
      <c r="B2490" s="62" t="s">
        <v>2539</v>
      </c>
      <c r="C2490" s="62" t="s">
        <v>2540</v>
      </c>
      <c r="D2490" s="63">
        <v>45804</v>
      </c>
      <c r="E2490" s="63">
        <v>46534</v>
      </c>
      <c r="F2490" s="62" t="s">
        <v>1958</v>
      </c>
      <c r="G2490" s="62" t="s">
        <v>628</v>
      </c>
      <c r="H2490" s="62" t="s">
        <v>2425</v>
      </c>
      <c r="I2490" s="62" t="s">
        <v>2465</v>
      </c>
      <c r="J2490" s="62" t="s">
        <v>314</v>
      </c>
      <c r="K2490" s="62" t="s">
        <v>315</v>
      </c>
      <c r="L2490" s="62" t="s">
        <v>2421</v>
      </c>
      <c r="M2490" s="66" t="s">
        <v>1969</v>
      </c>
    </row>
    <row r="2491" spans="1:13" x14ac:dyDescent="0.3">
      <c r="A2491" s="61" t="s">
        <v>2538</v>
      </c>
      <c r="B2491" s="62" t="s">
        <v>2539</v>
      </c>
      <c r="C2491" s="62" t="s">
        <v>2540</v>
      </c>
      <c r="D2491" s="63">
        <v>45804</v>
      </c>
      <c r="E2491" s="63">
        <v>46534</v>
      </c>
      <c r="F2491" s="62" t="s">
        <v>1958</v>
      </c>
      <c r="G2491" s="62" t="s">
        <v>334</v>
      </c>
      <c r="H2491" s="62" t="s">
        <v>2425</v>
      </c>
      <c r="I2491" s="62" t="s">
        <v>2465</v>
      </c>
      <c r="J2491" s="62" t="s">
        <v>314</v>
      </c>
      <c r="K2491" s="62" t="s">
        <v>315</v>
      </c>
      <c r="L2491" s="62" t="s">
        <v>2421</v>
      </c>
      <c r="M2491" s="66" t="s">
        <v>1969</v>
      </c>
    </row>
    <row r="2492" spans="1:13" x14ac:dyDescent="0.3">
      <c r="A2492" s="61" t="s">
        <v>2538</v>
      </c>
      <c r="B2492" s="62" t="s">
        <v>2539</v>
      </c>
      <c r="C2492" s="62" t="s">
        <v>2540</v>
      </c>
      <c r="D2492" s="63">
        <v>45804</v>
      </c>
      <c r="E2492" s="63">
        <v>46534</v>
      </c>
      <c r="F2492" s="62" t="s">
        <v>1958</v>
      </c>
      <c r="G2492" s="62" t="s">
        <v>330</v>
      </c>
      <c r="H2492" s="62" t="s">
        <v>2541</v>
      </c>
      <c r="I2492" s="62" t="s">
        <v>2465</v>
      </c>
      <c r="J2492" s="62" t="s">
        <v>314</v>
      </c>
      <c r="K2492" s="62" t="s">
        <v>315</v>
      </c>
      <c r="L2492" s="62" t="s">
        <v>2421</v>
      </c>
      <c r="M2492" s="66" t="s">
        <v>1969</v>
      </c>
    </row>
    <row r="2493" spans="1:13" x14ac:dyDescent="0.3">
      <c r="A2493" s="61" t="s">
        <v>2538</v>
      </c>
      <c r="B2493" s="62" t="s">
        <v>2539</v>
      </c>
      <c r="C2493" s="62" t="s">
        <v>2540</v>
      </c>
      <c r="D2493" s="63">
        <v>45804</v>
      </c>
      <c r="E2493" s="63">
        <v>46534</v>
      </c>
      <c r="F2493" s="62" t="s">
        <v>1958</v>
      </c>
      <c r="G2493" s="62" t="s">
        <v>628</v>
      </c>
      <c r="H2493" s="62" t="s">
        <v>2541</v>
      </c>
      <c r="I2493" s="62" t="s">
        <v>2465</v>
      </c>
      <c r="J2493" s="62" t="s">
        <v>314</v>
      </c>
      <c r="K2493" s="62" t="s">
        <v>315</v>
      </c>
      <c r="L2493" s="62" t="s">
        <v>2421</v>
      </c>
      <c r="M2493" s="66" t="s">
        <v>1969</v>
      </c>
    </row>
    <row r="2494" spans="1:13" x14ac:dyDescent="0.3">
      <c r="A2494" s="61" t="s">
        <v>2538</v>
      </c>
      <c r="B2494" s="62" t="s">
        <v>2539</v>
      </c>
      <c r="C2494" s="62" t="s">
        <v>2540</v>
      </c>
      <c r="D2494" s="63">
        <v>45804</v>
      </c>
      <c r="E2494" s="63">
        <v>46534</v>
      </c>
      <c r="F2494" s="62" t="s">
        <v>1958</v>
      </c>
      <c r="G2494" s="62" t="s">
        <v>334</v>
      </c>
      <c r="H2494" s="62" t="s">
        <v>2541</v>
      </c>
      <c r="I2494" s="62" t="s">
        <v>2465</v>
      </c>
      <c r="J2494" s="62" t="s">
        <v>314</v>
      </c>
      <c r="K2494" s="62" t="s">
        <v>315</v>
      </c>
      <c r="L2494" s="62" t="s">
        <v>2421</v>
      </c>
      <c r="M2494" s="66" t="s">
        <v>1969</v>
      </c>
    </row>
    <row r="2495" spans="1:13" x14ac:dyDescent="0.3">
      <c r="A2495" s="61" t="s">
        <v>2542</v>
      </c>
      <c r="B2495" s="62" t="s">
        <v>2543</v>
      </c>
      <c r="C2495" s="62" t="s">
        <v>2544</v>
      </c>
      <c r="D2495" s="63">
        <v>45582</v>
      </c>
      <c r="E2495" s="63">
        <v>46312</v>
      </c>
      <c r="F2495" s="62" t="s">
        <v>287</v>
      </c>
      <c r="G2495" s="62" t="s">
        <v>396</v>
      </c>
      <c r="H2495" s="62" t="s">
        <v>803</v>
      </c>
      <c r="I2495" s="62" t="s">
        <v>825</v>
      </c>
      <c r="J2495" s="62" t="s">
        <v>579</v>
      </c>
      <c r="K2495" s="62" t="s">
        <v>428</v>
      </c>
      <c r="L2495" s="62" t="s">
        <v>2421</v>
      </c>
      <c r="M2495" s="66" t="s">
        <v>2021</v>
      </c>
    </row>
    <row r="2496" spans="1:13" x14ac:dyDescent="0.3">
      <c r="A2496" s="61" t="s">
        <v>2542</v>
      </c>
      <c r="B2496" s="62" t="s">
        <v>2543</v>
      </c>
      <c r="C2496" s="62" t="s">
        <v>2544</v>
      </c>
      <c r="D2496" s="63">
        <v>45582</v>
      </c>
      <c r="E2496" s="63">
        <v>46312</v>
      </c>
      <c r="F2496" s="62" t="s">
        <v>1945</v>
      </c>
      <c r="G2496" s="62" t="s">
        <v>400</v>
      </c>
      <c r="H2496" s="62" t="s">
        <v>803</v>
      </c>
      <c r="I2496" s="62" t="s">
        <v>825</v>
      </c>
      <c r="J2496" s="62" t="s">
        <v>579</v>
      </c>
      <c r="K2496" s="62" t="s">
        <v>428</v>
      </c>
      <c r="L2496" s="62" t="s">
        <v>2421</v>
      </c>
      <c r="M2496" s="66" t="s">
        <v>2021</v>
      </c>
    </row>
    <row r="2497" spans="1:13" x14ac:dyDescent="0.3">
      <c r="A2497" s="61" t="s">
        <v>2545</v>
      </c>
      <c r="B2497" s="62" t="s">
        <v>2546</v>
      </c>
      <c r="C2497" s="62" t="s">
        <v>2547</v>
      </c>
      <c r="D2497" s="63">
        <v>45884</v>
      </c>
      <c r="E2497" s="63">
        <v>46934</v>
      </c>
      <c r="F2497" s="62" t="s">
        <v>1922</v>
      </c>
      <c r="G2497" s="62" t="s">
        <v>1196</v>
      </c>
      <c r="H2497" s="62" t="s">
        <v>363</v>
      </c>
      <c r="I2497" s="62" t="s">
        <v>825</v>
      </c>
      <c r="J2497" s="62" t="s">
        <v>551</v>
      </c>
      <c r="K2497" s="62" t="s">
        <v>428</v>
      </c>
      <c r="L2497" s="62" t="s">
        <v>2421</v>
      </c>
      <c r="M2497" s="66" t="s">
        <v>2021</v>
      </c>
    </row>
    <row r="2498" spans="1:13" x14ac:dyDescent="0.3">
      <c r="A2498" s="61" t="s">
        <v>2545</v>
      </c>
      <c r="B2498" s="62" t="s">
        <v>2546</v>
      </c>
      <c r="C2498" s="62" t="s">
        <v>2547</v>
      </c>
      <c r="D2498" s="63">
        <v>45884</v>
      </c>
      <c r="E2498" s="63">
        <v>46934</v>
      </c>
      <c r="F2498" s="62" t="s">
        <v>1922</v>
      </c>
      <c r="G2498" s="62" t="s">
        <v>376</v>
      </c>
      <c r="H2498" s="62" t="s">
        <v>363</v>
      </c>
      <c r="I2498" s="62" t="s">
        <v>825</v>
      </c>
      <c r="J2498" s="62" t="s">
        <v>551</v>
      </c>
      <c r="K2498" s="62" t="s">
        <v>428</v>
      </c>
      <c r="L2498" s="62" t="s">
        <v>2421</v>
      </c>
      <c r="M2498" s="66" t="s">
        <v>2021</v>
      </c>
    </row>
    <row r="2499" spans="1:13" x14ac:dyDescent="0.3">
      <c r="A2499" s="61" t="s">
        <v>2545</v>
      </c>
      <c r="B2499" s="62" t="s">
        <v>2546</v>
      </c>
      <c r="C2499" s="62" t="s">
        <v>2547</v>
      </c>
      <c r="D2499" s="63">
        <v>45884</v>
      </c>
      <c r="E2499" s="63">
        <v>46934</v>
      </c>
      <c r="F2499" s="62" t="s">
        <v>1922</v>
      </c>
      <c r="G2499" s="62" t="s">
        <v>381</v>
      </c>
      <c r="H2499" s="62" t="s">
        <v>363</v>
      </c>
      <c r="I2499" s="62" t="s">
        <v>825</v>
      </c>
      <c r="J2499" s="62" t="s">
        <v>551</v>
      </c>
      <c r="K2499" s="62" t="s">
        <v>428</v>
      </c>
      <c r="L2499" s="62" t="s">
        <v>2421</v>
      </c>
      <c r="M2499" s="66" t="s">
        <v>2021</v>
      </c>
    </row>
    <row r="2500" spans="1:13" x14ac:dyDescent="0.3">
      <c r="A2500" s="61" t="s">
        <v>2545</v>
      </c>
      <c r="B2500" s="62" t="s">
        <v>2546</v>
      </c>
      <c r="C2500" s="62" t="s">
        <v>2547</v>
      </c>
      <c r="D2500" s="63">
        <v>45884</v>
      </c>
      <c r="E2500" s="63">
        <v>46934</v>
      </c>
      <c r="F2500" s="62" t="s">
        <v>1922</v>
      </c>
      <c r="G2500" s="62" t="s">
        <v>382</v>
      </c>
      <c r="H2500" s="62" t="s">
        <v>363</v>
      </c>
      <c r="I2500" s="62" t="s">
        <v>825</v>
      </c>
      <c r="J2500" s="62" t="s">
        <v>551</v>
      </c>
      <c r="K2500" s="62" t="s">
        <v>428</v>
      </c>
      <c r="L2500" s="62" t="s">
        <v>2421</v>
      </c>
      <c r="M2500" s="66" t="s">
        <v>2021</v>
      </c>
    </row>
    <row r="2501" spans="1:13" x14ac:dyDescent="0.3">
      <c r="A2501" s="61" t="s">
        <v>2545</v>
      </c>
      <c r="B2501" s="62" t="s">
        <v>2546</v>
      </c>
      <c r="C2501" s="62" t="s">
        <v>2547</v>
      </c>
      <c r="D2501" s="63">
        <v>45884</v>
      </c>
      <c r="E2501" s="63">
        <v>46934</v>
      </c>
      <c r="F2501" s="62" t="s">
        <v>1922</v>
      </c>
      <c r="G2501" s="62" t="s">
        <v>383</v>
      </c>
      <c r="H2501" s="62" t="s">
        <v>363</v>
      </c>
      <c r="I2501" s="62" t="s">
        <v>825</v>
      </c>
      <c r="J2501" s="62" t="s">
        <v>551</v>
      </c>
      <c r="K2501" s="62" t="s">
        <v>428</v>
      </c>
      <c r="L2501" s="62" t="s">
        <v>2421</v>
      </c>
      <c r="M2501" s="66" t="s">
        <v>2021</v>
      </c>
    </row>
    <row r="2502" spans="1:13" x14ac:dyDescent="0.3">
      <c r="A2502" s="61" t="s">
        <v>2545</v>
      </c>
      <c r="B2502" s="62" t="s">
        <v>2546</v>
      </c>
      <c r="C2502" s="62" t="s">
        <v>2547</v>
      </c>
      <c r="D2502" s="63">
        <v>45884</v>
      </c>
      <c r="E2502" s="63">
        <v>46934</v>
      </c>
      <c r="F2502" s="62" t="s">
        <v>1922</v>
      </c>
      <c r="G2502" s="62" t="s">
        <v>386</v>
      </c>
      <c r="H2502" s="62" t="s">
        <v>363</v>
      </c>
      <c r="I2502" s="62" t="s">
        <v>825</v>
      </c>
      <c r="J2502" s="62" t="s">
        <v>551</v>
      </c>
      <c r="K2502" s="62" t="s">
        <v>428</v>
      </c>
      <c r="L2502" s="62" t="s">
        <v>2421</v>
      </c>
      <c r="M2502" s="66" t="s">
        <v>2021</v>
      </c>
    </row>
    <row r="2503" spans="1:13" x14ac:dyDescent="0.3">
      <c r="A2503" s="61" t="s">
        <v>2545</v>
      </c>
      <c r="B2503" s="62" t="s">
        <v>2546</v>
      </c>
      <c r="C2503" s="62" t="s">
        <v>2547</v>
      </c>
      <c r="D2503" s="63">
        <v>45884</v>
      </c>
      <c r="E2503" s="63">
        <v>46934</v>
      </c>
      <c r="F2503" s="62" t="s">
        <v>1959</v>
      </c>
      <c r="G2503" s="62" t="s">
        <v>466</v>
      </c>
      <c r="H2503" s="62" t="s">
        <v>363</v>
      </c>
      <c r="I2503" s="62" t="s">
        <v>825</v>
      </c>
      <c r="J2503" s="62" t="s">
        <v>551</v>
      </c>
      <c r="K2503" s="62" t="s">
        <v>428</v>
      </c>
      <c r="L2503" s="62" t="s">
        <v>2421</v>
      </c>
      <c r="M2503" s="66" t="s">
        <v>2021</v>
      </c>
    </row>
    <row r="2504" spans="1:13" x14ac:dyDescent="0.3">
      <c r="A2504" s="61" t="s">
        <v>2545</v>
      </c>
      <c r="B2504" s="62" t="s">
        <v>2546</v>
      </c>
      <c r="C2504" s="62" t="s">
        <v>2547</v>
      </c>
      <c r="D2504" s="63">
        <v>45884</v>
      </c>
      <c r="E2504" s="63">
        <v>46934</v>
      </c>
      <c r="F2504" s="62" t="s">
        <v>1959</v>
      </c>
      <c r="G2504" s="62" t="s">
        <v>668</v>
      </c>
      <c r="H2504" s="62" t="s">
        <v>363</v>
      </c>
      <c r="I2504" s="62" t="s">
        <v>825</v>
      </c>
      <c r="J2504" s="62" t="s">
        <v>551</v>
      </c>
      <c r="K2504" s="62" t="s">
        <v>428</v>
      </c>
      <c r="L2504" s="62" t="s">
        <v>2421</v>
      </c>
      <c r="M2504" s="66" t="s">
        <v>2021</v>
      </c>
    </row>
    <row r="2505" spans="1:13" x14ac:dyDescent="0.3">
      <c r="A2505" s="61" t="s">
        <v>2545</v>
      </c>
      <c r="B2505" s="62" t="s">
        <v>2546</v>
      </c>
      <c r="C2505" s="62" t="s">
        <v>2547</v>
      </c>
      <c r="D2505" s="63">
        <v>45884</v>
      </c>
      <c r="E2505" s="63">
        <v>46934</v>
      </c>
      <c r="F2505" s="62" t="s">
        <v>1959</v>
      </c>
      <c r="G2505" s="62" t="s">
        <v>475</v>
      </c>
      <c r="H2505" s="62" t="s">
        <v>363</v>
      </c>
      <c r="I2505" s="62" t="s">
        <v>825</v>
      </c>
      <c r="J2505" s="62" t="s">
        <v>551</v>
      </c>
      <c r="K2505" s="62" t="s">
        <v>428</v>
      </c>
      <c r="L2505" s="62" t="s">
        <v>2421</v>
      </c>
      <c r="M2505" s="66" t="s">
        <v>2021</v>
      </c>
    </row>
    <row r="2506" spans="1:13" x14ac:dyDescent="0.3">
      <c r="A2506" s="61" t="s">
        <v>2545</v>
      </c>
      <c r="B2506" s="62" t="s">
        <v>2546</v>
      </c>
      <c r="C2506" s="62" t="s">
        <v>2547</v>
      </c>
      <c r="D2506" s="63">
        <v>45884</v>
      </c>
      <c r="E2506" s="63">
        <v>46934</v>
      </c>
      <c r="F2506" s="62" t="s">
        <v>1959</v>
      </c>
      <c r="G2506" s="62" t="s">
        <v>808</v>
      </c>
      <c r="H2506" s="62" t="s">
        <v>363</v>
      </c>
      <c r="I2506" s="62" t="s">
        <v>825</v>
      </c>
      <c r="J2506" s="62" t="s">
        <v>551</v>
      </c>
      <c r="K2506" s="62" t="s">
        <v>428</v>
      </c>
      <c r="L2506" s="62" t="s">
        <v>2421</v>
      </c>
      <c r="M2506" s="66" t="s">
        <v>2021</v>
      </c>
    </row>
    <row r="2507" spans="1:13" x14ac:dyDescent="0.3">
      <c r="A2507" s="61" t="s">
        <v>2548</v>
      </c>
      <c r="B2507" s="62" t="s">
        <v>2549</v>
      </c>
      <c r="C2507" s="62" t="s">
        <v>2550</v>
      </c>
      <c r="D2507" s="63">
        <v>45860</v>
      </c>
      <c r="E2507" s="63">
        <v>47321</v>
      </c>
      <c r="F2507" s="62" t="s">
        <v>350</v>
      </c>
      <c r="G2507" s="62" t="s">
        <v>304</v>
      </c>
      <c r="H2507" s="62" t="s">
        <v>441</v>
      </c>
      <c r="I2507" s="62" t="s">
        <v>2465</v>
      </c>
      <c r="J2507" s="62" t="s">
        <v>673</v>
      </c>
      <c r="K2507" s="62" t="s">
        <v>371</v>
      </c>
      <c r="L2507" s="62" t="s">
        <v>2421</v>
      </c>
      <c r="M2507" s="66" t="s">
        <v>1972</v>
      </c>
    </row>
    <row r="2508" spans="1:13" x14ac:dyDescent="0.3">
      <c r="A2508" s="61" t="s">
        <v>2551</v>
      </c>
      <c r="B2508" s="62" t="s">
        <v>2552</v>
      </c>
      <c r="C2508" s="62" t="s">
        <v>2553</v>
      </c>
      <c r="D2508" s="63">
        <v>45868</v>
      </c>
      <c r="E2508" s="63">
        <v>46416</v>
      </c>
      <c r="F2508" s="62" t="s">
        <v>1922</v>
      </c>
      <c r="G2508" s="62" t="s">
        <v>385</v>
      </c>
      <c r="H2508" s="62" t="s">
        <v>939</v>
      </c>
      <c r="I2508" s="62" t="s">
        <v>825</v>
      </c>
      <c r="J2508" s="62" t="s">
        <v>644</v>
      </c>
      <c r="K2508" s="62" t="s">
        <v>371</v>
      </c>
      <c r="L2508" s="62" t="s">
        <v>2421</v>
      </c>
      <c r="M2508" s="66" t="s">
        <v>1972</v>
      </c>
    </row>
    <row r="2509" spans="1:13" x14ac:dyDescent="0.3">
      <c r="A2509" s="61" t="s">
        <v>2554</v>
      </c>
      <c r="B2509" s="62" t="s">
        <v>2555</v>
      </c>
      <c r="C2509" s="62" t="s">
        <v>2556</v>
      </c>
      <c r="D2509" s="63">
        <v>45870</v>
      </c>
      <c r="E2509" s="63">
        <v>46232</v>
      </c>
      <c r="F2509" s="62" t="s">
        <v>287</v>
      </c>
      <c r="G2509" s="62" t="s">
        <v>396</v>
      </c>
      <c r="H2509" s="62" t="s">
        <v>939</v>
      </c>
      <c r="I2509" s="62" t="s">
        <v>825</v>
      </c>
      <c r="J2509" s="62" t="s">
        <v>378</v>
      </c>
      <c r="K2509" s="62" t="s">
        <v>371</v>
      </c>
      <c r="L2509" s="62" t="s">
        <v>2421</v>
      </c>
      <c r="M2509" s="66" t="s">
        <v>1972</v>
      </c>
    </row>
    <row r="2510" spans="1:13" x14ac:dyDescent="0.3">
      <c r="A2510" s="61" t="s">
        <v>2557</v>
      </c>
      <c r="B2510" s="62" t="s">
        <v>2558</v>
      </c>
      <c r="C2510" s="62" t="s">
        <v>2559</v>
      </c>
      <c r="D2510" s="63">
        <v>44880</v>
      </c>
      <c r="E2510" s="63">
        <v>46522</v>
      </c>
      <c r="F2510" s="62" t="s">
        <v>1921</v>
      </c>
      <c r="G2510" s="62" t="s">
        <v>304</v>
      </c>
      <c r="H2510" s="62" t="s">
        <v>468</v>
      </c>
      <c r="I2510" s="62" t="s">
        <v>354</v>
      </c>
      <c r="J2510" s="62" t="s">
        <v>910</v>
      </c>
      <c r="K2510" s="62" t="s">
        <v>646</v>
      </c>
      <c r="L2510" s="62" t="s">
        <v>2421</v>
      </c>
      <c r="M2510" s="66" t="s">
        <v>1967</v>
      </c>
    </row>
    <row r="2511" spans="1:13" x14ac:dyDescent="0.3">
      <c r="A2511" s="61" t="s">
        <v>2557</v>
      </c>
      <c r="B2511" s="62" t="s">
        <v>2558</v>
      </c>
      <c r="C2511" s="62" t="s">
        <v>2559</v>
      </c>
      <c r="D2511" s="63">
        <v>44880</v>
      </c>
      <c r="E2511" s="63">
        <v>46522</v>
      </c>
      <c r="F2511" s="62" t="s">
        <v>1945</v>
      </c>
      <c r="G2511" s="62" t="s">
        <v>304</v>
      </c>
      <c r="H2511" s="62" t="s">
        <v>468</v>
      </c>
      <c r="I2511" s="62" t="s">
        <v>354</v>
      </c>
      <c r="J2511" s="62" t="s">
        <v>910</v>
      </c>
      <c r="K2511" s="62" t="s">
        <v>646</v>
      </c>
      <c r="L2511" s="62" t="s">
        <v>2421</v>
      </c>
      <c r="M2511" s="66" t="s">
        <v>1967</v>
      </c>
    </row>
    <row r="2512" spans="1:13" x14ac:dyDescent="0.3">
      <c r="A2512" s="61" t="s">
        <v>2557</v>
      </c>
      <c r="B2512" s="62" t="s">
        <v>2558</v>
      </c>
      <c r="C2512" s="62" t="s">
        <v>2559</v>
      </c>
      <c r="D2512" s="63">
        <v>44880</v>
      </c>
      <c r="E2512" s="63">
        <v>46522</v>
      </c>
      <c r="F2512" s="62" t="s">
        <v>1921</v>
      </c>
      <c r="G2512" s="62" t="s">
        <v>304</v>
      </c>
      <c r="H2512" s="62" t="s">
        <v>2560</v>
      </c>
      <c r="I2512" s="62" t="s">
        <v>354</v>
      </c>
      <c r="J2512" s="62" t="s">
        <v>910</v>
      </c>
      <c r="K2512" s="62" t="s">
        <v>646</v>
      </c>
      <c r="L2512" s="62" t="s">
        <v>2421</v>
      </c>
      <c r="M2512" s="66" t="s">
        <v>1967</v>
      </c>
    </row>
    <row r="2513" spans="1:13" x14ac:dyDescent="0.3">
      <c r="A2513" s="61" t="s">
        <v>2557</v>
      </c>
      <c r="B2513" s="62" t="s">
        <v>2558</v>
      </c>
      <c r="C2513" s="62" t="s">
        <v>2559</v>
      </c>
      <c r="D2513" s="63">
        <v>44880</v>
      </c>
      <c r="E2513" s="63">
        <v>46522</v>
      </c>
      <c r="F2513" s="62" t="s">
        <v>1945</v>
      </c>
      <c r="G2513" s="62" t="s">
        <v>304</v>
      </c>
      <c r="H2513" s="62" t="s">
        <v>2560</v>
      </c>
      <c r="I2513" s="62" t="s">
        <v>354</v>
      </c>
      <c r="J2513" s="62" t="s">
        <v>910</v>
      </c>
      <c r="K2513" s="62" t="s">
        <v>646</v>
      </c>
      <c r="L2513" s="62" t="s">
        <v>2421</v>
      </c>
      <c r="M2513" s="66" t="s">
        <v>1967</v>
      </c>
    </row>
    <row r="2514" spans="1:13" x14ac:dyDescent="0.3">
      <c r="A2514" s="61" t="s">
        <v>2557</v>
      </c>
      <c r="B2514" s="62" t="s">
        <v>2558</v>
      </c>
      <c r="C2514" s="62" t="s">
        <v>2559</v>
      </c>
      <c r="D2514" s="63">
        <v>44880</v>
      </c>
      <c r="E2514" s="63">
        <v>46522</v>
      </c>
      <c r="F2514" s="62" t="s">
        <v>1921</v>
      </c>
      <c r="G2514" s="62" t="s">
        <v>304</v>
      </c>
      <c r="H2514" s="62" t="s">
        <v>2561</v>
      </c>
      <c r="I2514" s="62" t="s">
        <v>354</v>
      </c>
      <c r="J2514" s="62" t="s">
        <v>910</v>
      </c>
      <c r="K2514" s="62" t="s">
        <v>646</v>
      </c>
      <c r="L2514" s="62" t="s">
        <v>2421</v>
      </c>
      <c r="M2514" s="66" t="s">
        <v>1967</v>
      </c>
    </row>
    <row r="2515" spans="1:13" x14ac:dyDescent="0.3">
      <c r="A2515" s="61" t="s">
        <v>2557</v>
      </c>
      <c r="B2515" s="62" t="s">
        <v>2558</v>
      </c>
      <c r="C2515" s="62" t="s">
        <v>2559</v>
      </c>
      <c r="D2515" s="63">
        <v>44880</v>
      </c>
      <c r="E2515" s="63">
        <v>46522</v>
      </c>
      <c r="F2515" s="62" t="s">
        <v>1945</v>
      </c>
      <c r="G2515" s="62" t="s">
        <v>304</v>
      </c>
      <c r="H2515" s="62" t="s">
        <v>2561</v>
      </c>
      <c r="I2515" s="62" t="s">
        <v>354</v>
      </c>
      <c r="J2515" s="62" t="s">
        <v>910</v>
      </c>
      <c r="K2515" s="62" t="s">
        <v>646</v>
      </c>
      <c r="L2515" s="62" t="s">
        <v>2421</v>
      </c>
      <c r="M2515" s="66" t="s">
        <v>1967</v>
      </c>
    </row>
    <row r="2516" spans="1:13" x14ac:dyDescent="0.3">
      <c r="A2516" s="61" t="s">
        <v>2562</v>
      </c>
      <c r="B2516" s="62" t="s">
        <v>2563</v>
      </c>
      <c r="C2516" s="62" t="s">
        <v>2564</v>
      </c>
      <c r="D2516" s="63">
        <v>45867</v>
      </c>
      <c r="E2516" s="63">
        <v>46597</v>
      </c>
      <c r="F2516" s="62" t="s">
        <v>1930</v>
      </c>
      <c r="G2516" s="62" t="s">
        <v>572</v>
      </c>
      <c r="H2516" s="62" t="s">
        <v>939</v>
      </c>
      <c r="I2516" s="62" t="s">
        <v>825</v>
      </c>
      <c r="J2516" s="62" t="s">
        <v>471</v>
      </c>
      <c r="K2516" s="62" t="s">
        <v>371</v>
      </c>
      <c r="L2516" s="62" t="s">
        <v>2421</v>
      </c>
      <c r="M2516" s="66" t="s">
        <v>1972</v>
      </c>
    </row>
    <row r="2517" spans="1:13" x14ac:dyDescent="0.3">
      <c r="A2517" s="61" t="s">
        <v>2562</v>
      </c>
      <c r="B2517" s="62" t="s">
        <v>2563</v>
      </c>
      <c r="C2517" s="62" t="s">
        <v>2564</v>
      </c>
      <c r="D2517" s="63">
        <v>45867</v>
      </c>
      <c r="E2517" s="63">
        <v>46597</v>
      </c>
      <c r="F2517" s="62" t="s">
        <v>1930</v>
      </c>
      <c r="G2517" s="62" t="s">
        <v>545</v>
      </c>
      <c r="H2517" s="62" t="s">
        <v>939</v>
      </c>
      <c r="I2517" s="62" t="s">
        <v>825</v>
      </c>
      <c r="J2517" s="62" t="s">
        <v>471</v>
      </c>
      <c r="K2517" s="62" t="s">
        <v>371</v>
      </c>
      <c r="L2517" s="62" t="s">
        <v>2421</v>
      </c>
      <c r="M2517" s="66" t="s">
        <v>1972</v>
      </c>
    </row>
    <row r="2518" spans="1:13" x14ac:dyDescent="0.3">
      <c r="A2518" s="61" t="s">
        <v>2562</v>
      </c>
      <c r="B2518" s="62" t="s">
        <v>2563</v>
      </c>
      <c r="C2518" s="62" t="s">
        <v>2564</v>
      </c>
      <c r="D2518" s="63">
        <v>45867</v>
      </c>
      <c r="E2518" s="63">
        <v>46597</v>
      </c>
      <c r="F2518" s="62" t="s">
        <v>1935</v>
      </c>
      <c r="G2518" s="62" t="s">
        <v>1208</v>
      </c>
      <c r="H2518" s="62" t="s">
        <v>939</v>
      </c>
      <c r="I2518" s="62" t="s">
        <v>825</v>
      </c>
      <c r="J2518" s="62" t="s">
        <v>471</v>
      </c>
      <c r="K2518" s="62" t="s">
        <v>371</v>
      </c>
      <c r="L2518" s="62" t="s">
        <v>2421</v>
      </c>
      <c r="M2518" s="66" t="s">
        <v>1972</v>
      </c>
    </row>
    <row r="2519" spans="1:13" x14ac:dyDescent="0.3">
      <c r="A2519" s="61" t="s">
        <v>2562</v>
      </c>
      <c r="B2519" s="62" t="s">
        <v>2563</v>
      </c>
      <c r="C2519" s="62" t="s">
        <v>2564</v>
      </c>
      <c r="D2519" s="63">
        <v>45867</v>
      </c>
      <c r="E2519" s="63">
        <v>46597</v>
      </c>
      <c r="F2519" s="62" t="s">
        <v>348</v>
      </c>
      <c r="G2519" s="62" t="s">
        <v>348</v>
      </c>
      <c r="H2519" s="62" t="s">
        <v>939</v>
      </c>
      <c r="I2519" s="62" t="s">
        <v>825</v>
      </c>
      <c r="J2519" s="62" t="s">
        <v>471</v>
      </c>
      <c r="K2519" s="62" t="s">
        <v>371</v>
      </c>
      <c r="L2519" s="62" t="s">
        <v>2421</v>
      </c>
      <c r="M2519" s="66" t="s">
        <v>1972</v>
      </c>
    </row>
    <row r="2520" spans="1:13" x14ac:dyDescent="0.3">
      <c r="A2520" s="61" t="s">
        <v>2562</v>
      </c>
      <c r="B2520" s="62" t="s">
        <v>2563</v>
      </c>
      <c r="C2520" s="62" t="s">
        <v>2564</v>
      </c>
      <c r="D2520" s="63">
        <v>45867</v>
      </c>
      <c r="E2520" s="63">
        <v>46597</v>
      </c>
      <c r="F2520" s="62" t="s">
        <v>1937</v>
      </c>
      <c r="G2520" s="62" t="s">
        <v>699</v>
      </c>
      <c r="H2520" s="62" t="s">
        <v>939</v>
      </c>
      <c r="I2520" s="62" t="s">
        <v>825</v>
      </c>
      <c r="J2520" s="62" t="s">
        <v>471</v>
      </c>
      <c r="K2520" s="62" t="s">
        <v>371</v>
      </c>
      <c r="L2520" s="62" t="s">
        <v>2421</v>
      </c>
      <c r="M2520" s="66" t="s">
        <v>1972</v>
      </c>
    </row>
    <row r="2521" spans="1:13" x14ac:dyDescent="0.3">
      <c r="A2521" s="61" t="s">
        <v>2562</v>
      </c>
      <c r="B2521" s="62" t="s">
        <v>2563</v>
      </c>
      <c r="C2521" s="62" t="s">
        <v>2564</v>
      </c>
      <c r="D2521" s="63">
        <v>45867</v>
      </c>
      <c r="E2521" s="63">
        <v>46597</v>
      </c>
      <c r="F2521" s="62" t="s">
        <v>1934</v>
      </c>
      <c r="G2521" s="62" t="s">
        <v>526</v>
      </c>
      <c r="H2521" s="62" t="s">
        <v>939</v>
      </c>
      <c r="I2521" s="62" t="s">
        <v>825</v>
      </c>
      <c r="J2521" s="62" t="s">
        <v>471</v>
      </c>
      <c r="K2521" s="62" t="s">
        <v>371</v>
      </c>
      <c r="L2521" s="62" t="s">
        <v>2421</v>
      </c>
      <c r="M2521" s="66" t="s">
        <v>1972</v>
      </c>
    </row>
    <row r="2522" spans="1:13" x14ac:dyDescent="0.3">
      <c r="A2522" s="61" t="s">
        <v>2562</v>
      </c>
      <c r="B2522" s="62" t="s">
        <v>2563</v>
      </c>
      <c r="C2522" s="62" t="s">
        <v>2564</v>
      </c>
      <c r="D2522" s="63">
        <v>45867</v>
      </c>
      <c r="E2522" s="63">
        <v>46597</v>
      </c>
      <c r="F2522" s="62" t="s">
        <v>1958</v>
      </c>
      <c r="G2522" s="62" t="s">
        <v>332</v>
      </c>
      <c r="H2522" s="62" t="s">
        <v>939</v>
      </c>
      <c r="I2522" s="62" t="s">
        <v>825</v>
      </c>
      <c r="J2522" s="62" t="s">
        <v>471</v>
      </c>
      <c r="K2522" s="62" t="s">
        <v>371</v>
      </c>
      <c r="L2522" s="62" t="s">
        <v>2421</v>
      </c>
      <c r="M2522" s="66" t="s">
        <v>1972</v>
      </c>
    </row>
    <row r="2523" spans="1:13" x14ac:dyDescent="0.3">
      <c r="A2523" s="61" t="s">
        <v>2562</v>
      </c>
      <c r="B2523" s="62" t="s">
        <v>2563</v>
      </c>
      <c r="C2523" s="62" t="s">
        <v>2564</v>
      </c>
      <c r="D2523" s="63">
        <v>45867</v>
      </c>
      <c r="E2523" s="63">
        <v>46597</v>
      </c>
      <c r="F2523" s="62" t="s">
        <v>1944</v>
      </c>
      <c r="G2523" s="62" t="s">
        <v>1127</v>
      </c>
      <c r="H2523" s="62" t="s">
        <v>939</v>
      </c>
      <c r="I2523" s="62" t="s">
        <v>825</v>
      </c>
      <c r="J2523" s="62" t="s">
        <v>471</v>
      </c>
      <c r="K2523" s="62" t="s">
        <v>371</v>
      </c>
      <c r="L2523" s="62" t="s">
        <v>2421</v>
      </c>
      <c r="M2523" s="66" t="s">
        <v>1972</v>
      </c>
    </row>
    <row r="2524" spans="1:13" x14ac:dyDescent="0.3">
      <c r="A2524" s="61" t="s">
        <v>2562</v>
      </c>
      <c r="B2524" s="62" t="s">
        <v>2563</v>
      </c>
      <c r="C2524" s="62" t="s">
        <v>2564</v>
      </c>
      <c r="D2524" s="63">
        <v>45867</v>
      </c>
      <c r="E2524" s="63">
        <v>46597</v>
      </c>
      <c r="F2524" s="62" t="s">
        <v>1959</v>
      </c>
      <c r="G2524" s="62" t="s">
        <v>582</v>
      </c>
      <c r="H2524" s="62" t="s">
        <v>939</v>
      </c>
      <c r="I2524" s="62" t="s">
        <v>825</v>
      </c>
      <c r="J2524" s="62" t="s">
        <v>471</v>
      </c>
      <c r="K2524" s="62" t="s">
        <v>371</v>
      </c>
      <c r="L2524" s="62" t="s">
        <v>2421</v>
      </c>
      <c r="M2524" s="66" t="s">
        <v>1972</v>
      </c>
    </row>
    <row r="2525" spans="1:13" x14ac:dyDescent="0.3">
      <c r="A2525" s="61" t="s">
        <v>2562</v>
      </c>
      <c r="B2525" s="62" t="s">
        <v>2563</v>
      </c>
      <c r="C2525" s="62" t="s">
        <v>2564</v>
      </c>
      <c r="D2525" s="63">
        <v>45867</v>
      </c>
      <c r="E2525" s="63">
        <v>46597</v>
      </c>
      <c r="F2525" s="62" t="s">
        <v>287</v>
      </c>
      <c r="G2525" s="62" t="s">
        <v>554</v>
      </c>
      <c r="H2525" s="62" t="s">
        <v>939</v>
      </c>
      <c r="I2525" s="62" t="s">
        <v>825</v>
      </c>
      <c r="J2525" s="62" t="s">
        <v>471</v>
      </c>
      <c r="K2525" s="62" t="s">
        <v>371</v>
      </c>
      <c r="L2525" s="62" t="s">
        <v>2421</v>
      </c>
      <c r="M2525" s="66" t="s">
        <v>1972</v>
      </c>
    </row>
    <row r="2526" spans="1:13" x14ac:dyDescent="0.3">
      <c r="A2526" s="61" t="s">
        <v>2565</v>
      </c>
      <c r="B2526" s="62" t="s">
        <v>2566</v>
      </c>
      <c r="C2526" s="62" t="s">
        <v>2567</v>
      </c>
      <c r="D2526" s="63">
        <v>45868</v>
      </c>
      <c r="E2526" s="63">
        <v>46232</v>
      </c>
      <c r="F2526" s="62" t="s">
        <v>287</v>
      </c>
      <c r="G2526" s="62" t="s">
        <v>589</v>
      </c>
      <c r="H2526" s="62" t="s">
        <v>939</v>
      </c>
      <c r="I2526" s="62" t="s">
        <v>825</v>
      </c>
      <c r="J2526" s="62" t="s">
        <v>378</v>
      </c>
      <c r="K2526" s="62" t="s">
        <v>371</v>
      </c>
      <c r="L2526" s="62" t="s">
        <v>2421</v>
      </c>
      <c r="M2526" s="66" t="s">
        <v>1972</v>
      </c>
    </row>
    <row r="2527" spans="1:13" x14ac:dyDescent="0.3">
      <c r="A2527" s="61" t="s">
        <v>2565</v>
      </c>
      <c r="B2527" s="62" t="s">
        <v>2566</v>
      </c>
      <c r="C2527" s="62" t="s">
        <v>2567</v>
      </c>
      <c r="D2527" s="63">
        <v>45868</v>
      </c>
      <c r="E2527" s="63">
        <v>46232</v>
      </c>
      <c r="F2527" s="62" t="s">
        <v>287</v>
      </c>
      <c r="G2527" s="62" t="s">
        <v>396</v>
      </c>
      <c r="H2527" s="62" t="s">
        <v>939</v>
      </c>
      <c r="I2527" s="62" t="s">
        <v>825</v>
      </c>
      <c r="J2527" s="62" t="s">
        <v>378</v>
      </c>
      <c r="K2527" s="62" t="s">
        <v>371</v>
      </c>
      <c r="L2527" s="62" t="s">
        <v>2421</v>
      </c>
      <c r="M2527" s="66" t="s">
        <v>1972</v>
      </c>
    </row>
    <row r="2528" spans="1:13" x14ac:dyDescent="0.3">
      <c r="A2528" s="61" t="s">
        <v>2568</v>
      </c>
      <c r="B2528" s="62" t="s">
        <v>2569</v>
      </c>
      <c r="C2528" s="62" t="s">
        <v>2570</v>
      </c>
      <c r="D2528" s="63">
        <v>45597</v>
      </c>
      <c r="E2528" s="63">
        <v>46692</v>
      </c>
      <c r="F2528" s="62" t="s">
        <v>350</v>
      </c>
      <c r="G2528" s="62" t="s">
        <v>304</v>
      </c>
      <c r="H2528" s="62" t="s">
        <v>363</v>
      </c>
      <c r="I2528" s="62" t="s">
        <v>2443</v>
      </c>
      <c r="J2528" s="62" t="s">
        <v>469</v>
      </c>
      <c r="K2528" s="62" t="s">
        <v>315</v>
      </c>
      <c r="L2528" s="62" t="s">
        <v>2421</v>
      </c>
      <c r="M2528" s="66" t="s">
        <v>1968</v>
      </c>
    </row>
    <row r="2529" spans="1:13" x14ac:dyDescent="0.3">
      <c r="A2529" s="61" t="s">
        <v>2571</v>
      </c>
      <c r="B2529" s="62" t="s">
        <v>2572</v>
      </c>
      <c r="C2529" s="62" t="s">
        <v>2573</v>
      </c>
      <c r="D2529" s="63">
        <v>45839</v>
      </c>
      <c r="E2529" s="63">
        <v>46388</v>
      </c>
      <c r="F2529" s="62" t="s">
        <v>1936</v>
      </c>
      <c r="G2529" s="62" t="s">
        <v>1312</v>
      </c>
      <c r="H2529" s="62" t="s">
        <v>468</v>
      </c>
      <c r="I2529" s="62" t="s">
        <v>1518</v>
      </c>
      <c r="J2529" s="62" t="s">
        <v>558</v>
      </c>
      <c r="K2529" s="62" t="s">
        <v>426</v>
      </c>
      <c r="L2529" s="62" t="s">
        <v>2421</v>
      </c>
      <c r="M2529" s="66" t="s">
        <v>1972</v>
      </c>
    </row>
    <row r="2530" spans="1:13" x14ac:dyDescent="0.3">
      <c r="A2530" s="61" t="s">
        <v>2571</v>
      </c>
      <c r="B2530" s="62" t="s">
        <v>2572</v>
      </c>
      <c r="C2530" s="62" t="s">
        <v>2573</v>
      </c>
      <c r="D2530" s="63">
        <v>45839</v>
      </c>
      <c r="E2530" s="63">
        <v>46388</v>
      </c>
      <c r="F2530" s="62" t="s">
        <v>1936</v>
      </c>
      <c r="G2530" s="62" t="s">
        <v>730</v>
      </c>
      <c r="H2530" s="62" t="s">
        <v>468</v>
      </c>
      <c r="I2530" s="62" t="s">
        <v>1518</v>
      </c>
      <c r="J2530" s="62" t="s">
        <v>558</v>
      </c>
      <c r="K2530" s="62" t="s">
        <v>426</v>
      </c>
      <c r="L2530" s="62" t="s">
        <v>2421</v>
      </c>
      <c r="M2530" s="66" t="s">
        <v>1972</v>
      </c>
    </row>
    <row r="2531" spans="1:13" x14ac:dyDescent="0.3">
      <c r="A2531" s="61" t="s">
        <v>2571</v>
      </c>
      <c r="B2531" s="62" t="s">
        <v>2572</v>
      </c>
      <c r="C2531" s="62" t="s">
        <v>2573</v>
      </c>
      <c r="D2531" s="63">
        <v>45839</v>
      </c>
      <c r="E2531" s="63">
        <v>46388</v>
      </c>
      <c r="F2531" s="62" t="s">
        <v>1936</v>
      </c>
      <c r="G2531" s="62" t="s">
        <v>749</v>
      </c>
      <c r="H2531" s="62" t="s">
        <v>468</v>
      </c>
      <c r="I2531" s="62" t="s">
        <v>1518</v>
      </c>
      <c r="J2531" s="62" t="s">
        <v>558</v>
      </c>
      <c r="K2531" s="62" t="s">
        <v>426</v>
      </c>
      <c r="L2531" s="62" t="s">
        <v>2421</v>
      </c>
      <c r="M2531" s="66" t="s">
        <v>1972</v>
      </c>
    </row>
    <row r="2532" spans="1:13" x14ac:dyDescent="0.3">
      <c r="A2532" s="61" t="s">
        <v>2571</v>
      </c>
      <c r="B2532" s="62" t="s">
        <v>2572</v>
      </c>
      <c r="C2532" s="62" t="s">
        <v>2573</v>
      </c>
      <c r="D2532" s="63">
        <v>45839</v>
      </c>
      <c r="E2532" s="63">
        <v>46388</v>
      </c>
      <c r="F2532" s="62" t="s">
        <v>1936</v>
      </c>
      <c r="G2532" s="62" t="s">
        <v>865</v>
      </c>
      <c r="H2532" s="62" t="s">
        <v>468</v>
      </c>
      <c r="I2532" s="62" t="s">
        <v>1518</v>
      </c>
      <c r="J2532" s="62" t="s">
        <v>558</v>
      </c>
      <c r="K2532" s="62" t="s">
        <v>426</v>
      </c>
      <c r="L2532" s="62" t="s">
        <v>2421</v>
      </c>
      <c r="M2532" s="66" t="s">
        <v>1972</v>
      </c>
    </row>
    <row r="2533" spans="1:13" x14ac:dyDescent="0.3">
      <c r="A2533" s="61" t="s">
        <v>2571</v>
      </c>
      <c r="B2533" s="62" t="s">
        <v>2572</v>
      </c>
      <c r="C2533" s="62" t="s">
        <v>2573</v>
      </c>
      <c r="D2533" s="63">
        <v>45839</v>
      </c>
      <c r="E2533" s="63">
        <v>46388</v>
      </c>
      <c r="F2533" s="62" t="s">
        <v>1936</v>
      </c>
      <c r="G2533" s="62" t="s">
        <v>1313</v>
      </c>
      <c r="H2533" s="62" t="s">
        <v>468</v>
      </c>
      <c r="I2533" s="62" t="s">
        <v>1518</v>
      </c>
      <c r="J2533" s="62" t="s">
        <v>558</v>
      </c>
      <c r="K2533" s="62" t="s">
        <v>426</v>
      </c>
      <c r="L2533" s="62" t="s">
        <v>2421</v>
      </c>
      <c r="M2533" s="66" t="s">
        <v>1972</v>
      </c>
    </row>
    <row r="2534" spans="1:13" x14ac:dyDescent="0.3">
      <c r="A2534" s="61" t="s">
        <v>2571</v>
      </c>
      <c r="B2534" s="62" t="s">
        <v>2572</v>
      </c>
      <c r="C2534" s="62" t="s">
        <v>2573</v>
      </c>
      <c r="D2534" s="63">
        <v>45839</v>
      </c>
      <c r="E2534" s="63">
        <v>46388</v>
      </c>
      <c r="F2534" s="62" t="s">
        <v>1936</v>
      </c>
      <c r="G2534" s="62" t="s">
        <v>709</v>
      </c>
      <c r="H2534" s="62" t="s">
        <v>468</v>
      </c>
      <c r="I2534" s="62" t="s">
        <v>1518</v>
      </c>
      <c r="J2534" s="62" t="s">
        <v>558</v>
      </c>
      <c r="K2534" s="62" t="s">
        <v>426</v>
      </c>
      <c r="L2534" s="62" t="s">
        <v>2421</v>
      </c>
      <c r="M2534" s="66" t="s">
        <v>1972</v>
      </c>
    </row>
    <row r="2535" spans="1:13" x14ac:dyDescent="0.3">
      <c r="A2535" s="61" t="s">
        <v>2571</v>
      </c>
      <c r="B2535" s="62" t="s">
        <v>2572</v>
      </c>
      <c r="C2535" s="62" t="s">
        <v>2573</v>
      </c>
      <c r="D2535" s="63">
        <v>45839</v>
      </c>
      <c r="E2535" s="63">
        <v>46388</v>
      </c>
      <c r="F2535" s="62" t="s">
        <v>1936</v>
      </c>
      <c r="G2535" s="62" t="s">
        <v>745</v>
      </c>
      <c r="H2535" s="62" t="s">
        <v>468</v>
      </c>
      <c r="I2535" s="62" t="s">
        <v>1518</v>
      </c>
      <c r="J2535" s="62" t="s">
        <v>558</v>
      </c>
      <c r="K2535" s="62" t="s">
        <v>426</v>
      </c>
      <c r="L2535" s="62" t="s">
        <v>2421</v>
      </c>
      <c r="M2535" s="66" t="s">
        <v>1972</v>
      </c>
    </row>
    <row r="2536" spans="1:13" x14ac:dyDescent="0.3">
      <c r="A2536" s="61" t="s">
        <v>2571</v>
      </c>
      <c r="B2536" s="62" t="s">
        <v>2572</v>
      </c>
      <c r="C2536" s="62" t="s">
        <v>2573</v>
      </c>
      <c r="D2536" s="63">
        <v>45839</v>
      </c>
      <c r="E2536" s="63">
        <v>46388</v>
      </c>
      <c r="F2536" s="62" t="s">
        <v>1936</v>
      </c>
      <c r="G2536" s="62" t="s">
        <v>602</v>
      </c>
      <c r="H2536" s="62" t="s">
        <v>468</v>
      </c>
      <c r="I2536" s="62" t="s">
        <v>1518</v>
      </c>
      <c r="J2536" s="62" t="s">
        <v>558</v>
      </c>
      <c r="K2536" s="62" t="s">
        <v>426</v>
      </c>
      <c r="L2536" s="62" t="s">
        <v>2421</v>
      </c>
      <c r="M2536" s="66" t="s">
        <v>1972</v>
      </c>
    </row>
    <row r="2537" spans="1:13" x14ac:dyDescent="0.3">
      <c r="A2537" s="61" t="s">
        <v>2571</v>
      </c>
      <c r="B2537" s="62" t="s">
        <v>2572</v>
      </c>
      <c r="C2537" s="62" t="s">
        <v>2573</v>
      </c>
      <c r="D2537" s="63">
        <v>45839</v>
      </c>
      <c r="E2537" s="63">
        <v>46388</v>
      </c>
      <c r="F2537" s="62" t="s">
        <v>1936</v>
      </c>
      <c r="G2537" s="62" t="s">
        <v>797</v>
      </c>
      <c r="H2537" s="62" t="s">
        <v>468</v>
      </c>
      <c r="I2537" s="62" t="s">
        <v>1518</v>
      </c>
      <c r="J2537" s="62" t="s">
        <v>558</v>
      </c>
      <c r="K2537" s="62" t="s">
        <v>426</v>
      </c>
      <c r="L2537" s="62" t="s">
        <v>2421</v>
      </c>
      <c r="M2537" s="66" t="s">
        <v>1972</v>
      </c>
    </row>
    <row r="2538" spans="1:13" x14ac:dyDescent="0.3">
      <c r="A2538" s="61" t="s">
        <v>2571</v>
      </c>
      <c r="B2538" s="62" t="s">
        <v>2572</v>
      </c>
      <c r="C2538" s="62" t="s">
        <v>2573</v>
      </c>
      <c r="D2538" s="63">
        <v>45839</v>
      </c>
      <c r="E2538" s="63">
        <v>46388</v>
      </c>
      <c r="F2538" s="62" t="s">
        <v>1936</v>
      </c>
      <c r="G2538" s="62" t="s">
        <v>866</v>
      </c>
      <c r="H2538" s="62" t="s">
        <v>468</v>
      </c>
      <c r="I2538" s="62" t="s">
        <v>1518</v>
      </c>
      <c r="J2538" s="62" t="s">
        <v>558</v>
      </c>
      <c r="K2538" s="62" t="s">
        <v>426</v>
      </c>
      <c r="L2538" s="62" t="s">
        <v>2421</v>
      </c>
      <c r="M2538" s="66" t="s">
        <v>1972</v>
      </c>
    </row>
    <row r="2539" spans="1:13" x14ac:dyDescent="0.3">
      <c r="A2539" s="61" t="s">
        <v>2571</v>
      </c>
      <c r="B2539" s="62" t="s">
        <v>2572</v>
      </c>
      <c r="C2539" s="62" t="s">
        <v>2573</v>
      </c>
      <c r="D2539" s="63">
        <v>45839</v>
      </c>
      <c r="E2539" s="63">
        <v>46388</v>
      </c>
      <c r="F2539" s="62" t="s">
        <v>1936</v>
      </c>
      <c r="G2539" s="62" t="s">
        <v>761</v>
      </c>
      <c r="H2539" s="62" t="s">
        <v>468</v>
      </c>
      <c r="I2539" s="62" t="s">
        <v>1518</v>
      </c>
      <c r="J2539" s="62" t="s">
        <v>558</v>
      </c>
      <c r="K2539" s="62" t="s">
        <v>426</v>
      </c>
      <c r="L2539" s="62" t="s">
        <v>2421</v>
      </c>
      <c r="M2539" s="66" t="s">
        <v>1972</v>
      </c>
    </row>
    <row r="2540" spans="1:13" x14ac:dyDescent="0.3">
      <c r="A2540" s="61" t="s">
        <v>2571</v>
      </c>
      <c r="B2540" s="62" t="s">
        <v>2572</v>
      </c>
      <c r="C2540" s="62" t="s">
        <v>2573</v>
      </c>
      <c r="D2540" s="63">
        <v>45839</v>
      </c>
      <c r="E2540" s="63">
        <v>46388</v>
      </c>
      <c r="F2540" s="62" t="s">
        <v>1936</v>
      </c>
      <c r="G2540" s="62" t="s">
        <v>867</v>
      </c>
      <c r="H2540" s="62" t="s">
        <v>468</v>
      </c>
      <c r="I2540" s="62" t="s">
        <v>1518</v>
      </c>
      <c r="J2540" s="62" t="s">
        <v>558</v>
      </c>
      <c r="K2540" s="62" t="s">
        <v>426</v>
      </c>
      <c r="L2540" s="62" t="s">
        <v>2421</v>
      </c>
      <c r="M2540" s="66" t="s">
        <v>1972</v>
      </c>
    </row>
    <row r="2541" spans="1:13" x14ac:dyDescent="0.3">
      <c r="A2541" s="61" t="s">
        <v>2571</v>
      </c>
      <c r="B2541" s="62" t="s">
        <v>2572</v>
      </c>
      <c r="C2541" s="62" t="s">
        <v>2573</v>
      </c>
      <c r="D2541" s="63">
        <v>45839</v>
      </c>
      <c r="E2541" s="63">
        <v>46388</v>
      </c>
      <c r="F2541" s="62" t="s">
        <v>1936</v>
      </c>
      <c r="G2541" s="62" t="s">
        <v>710</v>
      </c>
      <c r="H2541" s="62" t="s">
        <v>468</v>
      </c>
      <c r="I2541" s="62" t="s">
        <v>1518</v>
      </c>
      <c r="J2541" s="62" t="s">
        <v>558</v>
      </c>
      <c r="K2541" s="62" t="s">
        <v>426</v>
      </c>
      <c r="L2541" s="62" t="s">
        <v>2421</v>
      </c>
      <c r="M2541" s="66" t="s">
        <v>1972</v>
      </c>
    </row>
    <row r="2542" spans="1:13" x14ac:dyDescent="0.3">
      <c r="A2542" s="61" t="s">
        <v>2571</v>
      </c>
      <c r="B2542" s="62" t="s">
        <v>2572</v>
      </c>
      <c r="C2542" s="62" t="s">
        <v>2573</v>
      </c>
      <c r="D2542" s="63">
        <v>45839</v>
      </c>
      <c r="E2542" s="63">
        <v>46388</v>
      </c>
      <c r="F2542" s="62" t="s">
        <v>1936</v>
      </c>
      <c r="G2542" s="62" t="s">
        <v>746</v>
      </c>
      <c r="H2542" s="62" t="s">
        <v>468</v>
      </c>
      <c r="I2542" s="62" t="s">
        <v>1518</v>
      </c>
      <c r="J2542" s="62" t="s">
        <v>558</v>
      </c>
      <c r="K2542" s="62" t="s">
        <v>426</v>
      </c>
      <c r="L2542" s="62" t="s">
        <v>2421</v>
      </c>
      <c r="M2542" s="66" t="s">
        <v>1972</v>
      </c>
    </row>
    <row r="2543" spans="1:13" x14ac:dyDescent="0.3">
      <c r="A2543" s="61" t="s">
        <v>2571</v>
      </c>
      <c r="B2543" s="62" t="s">
        <v>2572</v>
      </c>
      <c r="C2543" s="62" t="s">
        <v>2573</v>
      </c>
      <c r="D2543" s="63">
        <v>45839</v>
      </c>
      <c r="E2543" s="63">
        <v>46388</v>
      </c>
      <c r="F2543" s="62" t="s">
        <v>1936</v>
      </c>
      <c r="G2543" s="62" t="s">
        <v>604</v>
      </c>
      <c r="H2543" s="62" t="s">
        <v>468</v>
      </c>
      <c r="I2543" s="62" t="s">
        <v>1518</v>
      </c>
      <c r="J2543" s="62" t="s">
        <v>558</v>
      </c>
      <c r="K2543" s="62" t="s">
        <v>426</v>
      </c>
      <c r="L2543" s="62" t="s">
        <v>2421</v>
      </c>
      <c r="M2543" s="66" t="s">
        <v>1972</v>
      </c>
    </row>
    <row r="2544" spans="1:13" x14ac:dyDescent="0.3">
      <c r="A2544" s="61" t="s">
        <v>2571</v>
      </c>
      <c r="B2544" s="62" t="s">
        <v>2572</v>
      </c>
      <c r="C2544" s="62" t="s">
        <v>2573</v>
      </c>
      <c r="D2544" s="63">
        <v>45839</v>
      </c>
      <c r="E2544" s="63">
        <v>46388</v>
      </c>
      <c r="F2544" s="62" t="s">
        <v>1936</v>
      </c>
      <c r="G2544" s="62" t="s">
        <v>747</v>
      </c>
      <c r="H2544" s="62" t="s">
        <v>468</v>
      </c>
      <c r="I2544" s="62" t="s">
        <v>1518</v>
      </c>
      <c r="J2544" s="62" t="s">
        <v>558</v>
      </c>
      <c r="K2544" s="62" t="s">
        <v>426</v>
      </c>
      <c r="L2544" s="62" t="s">
        <v>2421</v>
      </c>
      <c r="M2544" s="66" t="s">
        <v>1972</v>
      </c>
    </row>
    <row r="2545" spans="1:13" x14ac:dyDescent="0.3">
      <c r="A2545" s="61" t="s">
        <v>2571</v>
      </c>
      <c r="B2545" s="62" t="s">
        <v>2572</v>
      </c>
      <c r="C2545" s="62" t="s">
        <v>2573</v>
      </c>
      <c r="D2545" s="63">
        <v>45839</v>
      </c>
      <c r="E2545" s="63">
        <v>46388</v>
      </c>
      <c r="F2545" s="62" t="s">
        <v>1936</v>
      </c>
      <c r="G2545" s="62" t="s">
        <v>868</v>
      </c>
      <c r="H2545" s="62" t="s">
        <v>468</v>
      </c>
      <c r="I2545" s="62" t="s">
        <v>1518</v>
      </c>
      <c r="J2545" s="62" t="s">
        <v>558</v>
      </c>
      <c r="K2545" s="62" t="s">
        <v>426</v>
      </c>
      <c r="L2545" s="62" t="s">
        <v>2421</v>
      </c>
      <c r="M2545" s="66" t="s">
        <v>1972</v>
      </c>
    </row>
    <row r="2546" spans="1:13" x14ac:dyDescent="0.3">
      <c r="A2546" s="61" t="s">
        <v>2571</v>
      </c>
      <c r="B2546" s="62" t="s">
        <v>2572</v>
      </c>
      <c r="C2546" s="62" t="s">
        <v>2573</v>
      </c>
      <c r="D2546" s="63">
        <v>45839</v>
      </c>
      <c r="E2546" s="63">
        <v>46388</v>
      </c>
      <c r="F2546" s="62" t="s">
        <v>1936</v>
      </c>
      <c r="G2546" s="62" t="s">
        <v>1223</v>
      </c>
      <c r="H2546" s="62" t="s">
        <v>468</v>
      </c>
      <c r="I2546" s="62" t="s">
        <v>1518</v>
      </c>
      <c r="J2546" s="62" t="s">
        <v>558</v>
      </c>
      <c r="K2546" s="62" t="s">
        <v>426</v>
      </c>
      <c r="L2546" s="62" t="s">
        <v>2421</v>
      </c>
      <c r="M2546" s="66" t="s">
        <v>1972</v>
      </c>
    </row>
    <row r="2547" spans="1:13" x14ac:dyDescent="0.3">
      <c r="A2547" s="61" t="s">
        <v>2571</v>
      </c>
      <c r="B2547" s="62" t="s">
        <v>2572</v>
      </c>
      <c r="C2547" s="62" t="s">
        <v>2573</v>
      </c>
      <c r="D2547" s="63">
        <v>45839</v>
      </c>
      <c r="E2547" s="63">
        <v>46388</v>
      </c>
      <c r="F2547" s="62" t="s">
        <v>1936</v>
      </c>
      <c r="G2547" s="62" t="s">
        <v>750</v>
      </c>
      <c r="H2547" s="62" t="s">
        <v>468</v>
      </c>
      <c r="I2547" s="62" t="s">
        <v>1518</v>
      </c>
      <c r="J2547" s="62" t="s">
        <v>558</v>
      </c>
      <c r="K2547" s="62" t="s">
        <v>426</v>
      </c>
      <c r="L2547" s="62" t="s">
        <v>2421</v>
      </c>
      <c r="M2547" s="66" t="s">
        <v>1972</v>
      </c>
    </row>
    <row r="2548" spans="1:13" x14ac:dyDescent="0.3">
      <c r="A2548" s="61" t="s">
        <v>2571</v>
      </c>
      <c r="B2548" s="62" t="s">
        <v>2572</v>
      </c>
      <c r="C2548" s="62" t="s">
        <v>2573</v>
      </c>
      <c r="D2548" s="63">
        <v>45839</v>
      </c>
      <c r="E2548" s="63">
        <v>46388</v>
      </c>
      <c r="F2548" s="62" t="s">
        <v>1936</v>
      </c>
      <c r="G2548" s="62" t="s">
        <v>711</v>
      </c>
      <c r="H2548" s="62" t="s">
        <v>468</v>
      </c>
      <c r="I2548" s="62" t="s">
        <v>1518</v>
      </c>
      <c r="J2548" s="62" t="s">
        <v>558</v>
      </c>
      <c r="K2548" s="62" t="s">
        <v>426</v>
      </c>
      <c r="L2548" s="62" t="s">
        <v>2421</v>
      </c>
      <c r="M2548" s="66" t="s">
        <v>1972</v>
      </c>
    </row>
    <row r="2549" spans="1:13" x14ac:dyDescent="0.3">
      <c r="A2549" s="61" t="s">
        <v>2571</v>
      </c>
      <c r="B2549" s="62" t="s">
        <v>2572</v>
      </c>
      <c r="C2549" s="62" t="s">
        <v>2573</v>
      </c>
      <c r="D2549" s="63">
        <v>45839</v>
      </c>
      <c r="E2549" s="63">
        <v>46388</v>
      </c>
      <c r="F2549" s="62" t="s">
        <v>1936</v>
      </c>
      <c r="G2549" s="62" t="s">
        <v>798</v>
      </c>
      <c r="H2549" s="62" t="s">
        <v>468</v>
      </c>
      <c r="I2549" s="62" t="s">
        <v>1518</v>
      </c>
      <c r="J2549" s="62" t="s">
        <v>558</v>
      </c>
      <c r="K2549" s="62" t="s">
        <v>426</v>
      </c>
      <c r="L2549" s="62" t="s">
        <v>2421</v>
      </c>
      <c r="M2549" s="66" t="s">
        <v>1972</v>
      </c>
    </row>
    <row r="2550" spans="1:13" x14ac:dyDescent="0.3">
      <c r="A2550" s="61" t="s">
        <v>2571</v>
      </c>
      <c r="B2550" s="62" t="s">
        <v>2572</v>
      </c>
      <c r="C2550" s="62" t="s">
        <v>2573</v>
      </c>
      <c r="D2550" s="63">
        <v>45839</v>
      </c>
      <c r="E2550" s="63">
        <v>46388</v>
      </c>
      <c r="F2550" s="62" t="s">
        <v>1936</v>
      </c>
      <c r="G2550" s="62" t="s">
        <v>748</v>
      </c>
      <c r="H2550" s="62" t="s">
        <v>468</v>
      </c>
      <c r="I2550" s="62" t="s">
        <v>1518</v>
      </c>
      <c r="J2550" s="62" t="s">
        <v>558</v>
      </c>
      <c r="K2550" s="62" t="s">
        <v>426</v>
      </c>
      <c r="L2550" s="62" t="s">
        <v>2421</v>
      </c>
      <c r="M2550" s="66" t="s">
        <v>1972</v>
      </c>
    </row>
    <row r="2551" spans="1:13" x14ac:dyDescent="0.3">
      <c r="A2551" s="61" t="s">
        <v>2571</v>
      </c>
      <c r="B2551" s="62" t="s">
        <v>2572</v>
      </c>
      <c r="C2551" s="62" t="s">
        <v>2573</v>
      </c>
      <c r="D2551" s="63">
        <v>45839</v>
      </c>
      <c r="E2551" s="63">
        <v>46388</v>
      </c>
      <c r="F2551" s="62" t="s">
        <v>1936</v>
      </c>
      <c r="G2551" s="62" t="s">
        <v>411</v>
      </c>
      <c r="H2551" s="62" t="s">
        <v>468</v>
      </c>
      <c r="I2551" s="62" t="s">
        <v>1518</v>
      </c>
      <c r="J2551" s="62" t="s">
        <v>558</v>
      </c>
      <c r="K2551" s="62" t="s">
        <v>426</v>
      </c>
      <c r="L2551" s="62" t="s">
        <v>2421</v>
      </c>
      <c r="M2551" s="66" t="s">
        <v>1972</v>
      </c>
    </row>
    <row r="2552" spans="1:13" x14ac:dyDescent="0.3">
      <c r="A2552" s="61" t="s">
        <v>2571</v>
      </c>
      <c r="B2552" s="62" t="s">
        <v>2572</v>
      </c>
      <c r="C2552" s="62" t="s">
        <v>2573</v>
      </c>
      <c r="D2552" s="63">
        <v>45839</v>
      </c>
      <c r="E2552" s="63">
        <v>46388</v>
      </c>
      <c r="F2552" s="62" t="s">
        <v>1936</v>
      </c>
      <c r="G2552" s="62" t="s">
        <v>1314</v>
      </c>
      <c r="H2552" s="62" t="s">
        <v>468</v>
      </c>
      <c r="I2552" s="62" t="s">
        <v>1518</v>
      </c>
      <c r="J2552" s="62" t="s">
        <v>558</v>
      </c>
      <c r="K2552" s="62" t="s">
        <v>426</v>
      </c>
      <c r="L2552" s="62" t="s">
        <v>2421</v>
      </c>
      <c r="M2552" s="66" t="s">
        <v>1972</v>
      </c>
    </row>
    <row r="2553" spans="1:13" x14ac:dyDescent="0.3">
      <c r="A2553" s="61" t="s">
        <v>2571</v>
      </c>
      <c r="B2553" s="62" t="s">
        <v>2572</v>
      </c>
      <c r="C2553" s="62" t="s">
        <v>2573</v>
      </c>
      <c r="D2553" s="63">
        <v>45839</v>
      </c>
      <c r="E2553" s="63">
        <v>46388</v>
      </c>
      <c r="F2553" s="62" t="s">
        <v>1936</v>
      </c>
      <c r="G2553" s="62" t="s">
        <v>605</v>
      </c>
      <c r="H2553" s="62" t="s">
        <v>468</v>
      </c>
      <c r="I2553" s="62" t="s">
        <v>1518</v>
      </c>
      <c r="J2553" s="62" t="s">
        <v>558</v>
      </c>
      <c r="K2553" s="62" t="s">
        <v>426</v>
      </c>
      <c r="L2553" s="62" t="s">
        <v>2421</v>
      </c>
      <c r="M2553" s="66" t="s">
        <v>1972</v>
      </c>
    </row>
    <row r="2554" spans="1:13" x14ac:dyDescent="0.3">
      <c r="A2554" s="61" t="s">
        <v>2571</v>
      </c>
      <c r="B2554" s="62" t="s">
        <v>2572</v>
      </c>
      <c r="C2554" s="62" t="s">
        <v>2573</v>
      </c>
      <c r="D2554" s="63">
        <v>45839</v>
      </c>
      <c r="E2554" s="63">
        <v>46388</v>
      </c>
      <c r="F2554" s="62" t="s">
        <v>1936</v>
      </c>
      <c r="G2554" s="62" t="s">
        <v>412</v>
      </c>
      <c r="H2554" s="62" t="s">
        <v>468</v>
      </c>
      <c r="I2554" s="62" t="s">
        <v>1518</v>
      </c>
      <c r="J2554" s="62" t="s">
        <v>558</v>
      </c>
      <c r="K2554" s="62" t="s">
        <v>426</v>
      </c>
      <c r="L2554" s="62" t="s">
        <v>2421</v>
      </c>
      <c r="M2554" s="66" t="s">
        <v>1972</v>
      </c>
    </row>
    <row r="2555" spans="1:13" x14ac:dyDescent="0.3">
      <c r="A2555" s="61" t="s">
        <v>2571</v>
      </c>
      <c r="B2555" s="62" t="s">
        <v>2572</v>
      </c>
      <c r="C2555" s="62" t="s">
        <v>2573</v>
      </c>
      <c r="D2555" s="63">
        <v>45839</v>
      </c>
      <c r="E2555" s="63">
        <v>46388</v>
      </c>
      <c r="F2555" s="62" t="s">
        <v>1936</v>
      </c>
      <c r="G2555" s="62" t="s">
        <v>413</v>
      </c>
      <c r="H2555" s="62" t="s">
        <v>468</v>
      </c>
      <c r="I2555" s="62" t="s">
        <v>1518</v>
      </c>
      <c r="J2555" s="62" t="s">
        <v>558</v>
      </c>
      <c r="K2555" s="62" t="s">
        <v>426</v>
      </c>
      <c r="L2555" s="62" t="s">
        <v>2421</v>
      </c>
      <c r="M2555" s="66" t="s">
        <v>1972</v>
      </c>
    </row>
    <row r="2556" spans="1:13" x14ac:dyDescent="0.3">
      <c r="A2556" s="61" t="s">
        <v>2571</v>
      </c>
      <c r="B2556" s="62" t="s">
        <v>2572</v>
      </c>
      <c r="C2556" s="62" t="s">
        <v>2573</v>
      </c>
      <c r="D2556" s="63">
        <v>45839</v>
      </c>
      <c r="E2556" s="63">
        <v>46388</v>
      </c>
      <c r="F2556" s="62" t="s">
        <v>1936</v>
      </c>
      <c r="G2556" s="62" t="s">
        <v>1261</v>
      </c>
      <c r="H2556" s="62" t="s">
        <v>468</v>
      </c>
      <c r="I2556" s="62" t="s">
        <v>1518</v>
      </c>
      <c r="J2556" s="62" t="s">
        <v>558</v>
      </c>
      <c r="K2556" s="62" t="s">
        <v>426</v>
      </c>
      <c r="L2556" s="62" t="s">
        <v>2421</v>
      </c>
      <c r="M2556" s="66" t="s">
        <v>1972</v>
      </c>
    </row>
    <row r="2557" spans="1:13" x14ac:dyDescent="0.3">
      <c r="A2557" s="61" t="s">
        <v>2571</v>
      </c>
      <c r="B2557" s="62" t="s">
        <v>2572</v>
      </c>
      <c r="C2557" s="62" t="s">
        <v>2573</v>
      </c>
      <c r="D2557" s="63">
        <v>45839</v>
      </c>
      <c r="E2557" s="63">
        <v>46388</v>
      </c>
      <c r="F2557" s="62" t="s">
        <v>1936</v>
      </c>
      <c r="G2557" s="62" t="s">
        <v>414</v>
      </c>
      <c r="H2557" s="62" t="s">
        <v>468</v>
      </c>
      <c r="I2557" s="62" t="s">
        <v>1518</v>
      </c>
      <c r="J2557" s="62" t="s">
        <v>558</v>
      </c>
      <c r="K2557" s="62" t="s">
        <v>426</v>
      </c>
      <c r="L2557" s="62" t="s">
        <v>2421</v>
      </c>
      <c r="M2557" s="66" t="s">
        <v>1972</v>
      </c>
    </row>
    <row r="2558" spans="1:13" x14ac:dyDescent="0.3">
      <c r="A2558" s="61" t="s">
        <v>2571</v>
      </c>
      <c r="B2558" s="62" t="s">
        <v>2572</v>
      </c>
      <c r="C2558" s="62" t="s">
        <v>2573</v>
      </c>
      <c r="D2558" s="63">
        <v>45839</v>
      </c>
      <c r="E2558" s="63">
        <v>46388</v>
      </c>
      <c r="F2558" s="62" t="s">
        <v>1936</v>
      </c>
      <c r="G2558" s="62" t="s">
        <v>547</v>
      </c>
      <c r="H2558" s="62" t="s">
        <v>468</v>
      </c>
      <c r="I2558" s="62" t="s">
        <v>1518</v>
      </c>
      <c r="J2558" s="62" t="s">
        <v>558</v>
      </c>
      <c r="K2558" s="62" t="s">
        <v>426</v>
      </c>
      <c r="L2558" s="62" t="s">
        <v>2421</v>
      </c>
      <c r="M2558" s="66" t="s">
        <v>1972</v>
      </c>
    </row>
    <row r="2559" spans="1:13" x14ac:dyDescent="0.3">
      <c r="A2559" s="61" t="s">
        <v>2571</v>
      </c>
      <c r="B2559" s="62" t="s">
        <v>2572</v>
      </c>
      <c r="C2559" s="62" t="s">
        <v>2573</v>
      </c>
      <c r="D2559" s="63">
        <v>45839</v>
      </c>
      <c r="E2559" s="63">
        <v>46388</v>
      </c>
      <c r="F2559" s="62" t="s">
        <v>1936</v>
      </c>
      <c r="G2559" s="62" t="s">
        <v>869</v>
      </c>
      <c r="H2559" s="62" t="s">
        <v>468</v>
      </c>
      <c r="I2559" s="62" t="s">
        <v>1518</v>
      </c>
      <c r="J2559" s="62" t="s">
        <v>558</v>
      </c>
      <c r="K2559" s="62" t="s">
        <v>426</v>
      </c>
      <c r="L2559" s="62" t="s">
        <v>2421</v>
      </c>
      <c r="M2559" s="66" t="s">
        <v>1972</v>
      </c>
    </row>
    <row r="2560" spans="1:13" x14ac:dyDescent="0.3">
      <c r="A2560" s="61" t="s">
        <v>2571</v>
      </c>
      <c r="B2560" s="62" t="s">
        <v>2572</v>
      </c>
      <c r="C2560" s="62" t="s">
        <v>2573</v>
      </c>
      <c r="D2560" s="63">
        <v>45839</v>
      </c>
      <c r="E2560" s="63">
        <v>46388</v>
      </c>
      <c r="F2560" s="62" t="s">
        <v>1930</v>
      </c>
      <c r="G2560" s="62" t="s">
        <v>544</v>
      </c>
      <c r="H2560" s="62" t="s">
        <v>468</v>
      </c>
      <c r="I2560" s="62" t="s">
        <v>1518</v>
      </c>
      <c r="J2560" s="62" t="s">
        <v>558</v>
      </c>
      <c r="K2560" s="62" t="s">
        <v>426</v>
      </c>
      <c r="L2560" s="62" t="s">
        <v>2421</v>
      </c>
      <c r="M2560" s="66" t="s">
        <v>1972</v>
      </c>
    </row>
    <row r="2561" spans="1:13" x14ac:dyDescent="0.3">
      <c r="A2561" s="61" t="s">
        <v>2571</v>
      </c>
      <c r="B2561" s="62" t="s">
        <v>2572</v>
      </c>
      <c r="C2561" s="62" t="s">
        <v>2573</v>
      </c>
      <c r="D2561" s="63">
        <v>45839</v>
      </c>
      <c r="E2561" s="63">
        <v>46388</v>
      </c>
      <c r="F2561" s="62" t="s">
        <v>1930</v>
      </c>
      <c r="G2561" s="62" t="s">
        <v>532</v>
      </c>
      <c r="H2561" s="62" t="s">
        <v>468</v>
      </c>
      <c r="I2561" s="62" t="s">
        <v>1518</v>
      </c>
      <c r="J2561" s="62" t="s">
        <v>558</v>
      </c>
      <c r="K2561" s="62" t="s">
        <v>426</v>
      </c>
      <c r="L2561" s="62" t="s">
        <v>2421</v>
      </c>
      <c r="M2561" s="66" t="s">
        <v>1972</v>
      </c>
    </row>
    <row r="2562" spans="1:13" x14ac:dyDescent="0.3">
      <c r="A2562" s="61" t="s">
        <v>2574</v>
      </c>
      <c r="B2562" s="62" t="s">
        <v>2575</v>
      </c>
      <c r="C2562" s="62" t="s">
        <v>2576</v>
      </c>
      <c r="D2562" s="63">
        <v>45582</v>
      </c>
      <c r="E2562" s="63">
        <v>46494</v>
      </c>
      <c r="F2562" s="62" t="s">
        <v>1930</v>
      </c>
      <c r="G2562" s="62" t="s">
        <v>284</v>
      </c>
      <c r="H2562" s="62" t="s">
        <v>803</v>
      </c>
      <c r="I2562" s="62" t="s">
        <v>825</v>
      </c>
      <c r="J2562" s="62" t="s">
        <v>374</v>
      </c>
      <c r="K2562" s="62" t="s">
        <v>375</v>
      </c>
      <c r="L2562" s="62" t="s">
        <v>2421</v>
      </c>
      <c r="M2562" s="66" t="s">
        <v>1968</v>
      </c>
    </row>
    <row r="2563" spans="1:13" x14ac:dyDescent="0.3">
      <c r="A2563" s="61" t="s">
        <v>2574</v>
      </c>
      <c r="B2563" s="62" t="s">
        <v>2575</v>
      </c>
      <c r="C2563" s="62" t="s">
        <v>2576</v>
      </c>
      <c r="D2563" s="63">
        <v>45582</v>
      </c>
      <c r="E2563" s="63">
        <v>46494</v>
      </c>
      <c r="F2563" s="62" t="s">
        <v>1930</v>
      </c>
      <c r="G2563" s="62" t="s">
        <v>642</v>
      </c>
      <c r="H2563" s="62" t="s">
        <v>803</v>
      </c>
      <c r="I2563" s="62" t="s">
        <v>825</v>
      </c>
      <c r="J2563" s="62" t="s">
        <v>374</v>
      </c>
      <c r="K2563" s="62" t="s">
        <v>375</v>
      </c>
      <c r="L2563" s="62" t="s">
        <v>2421</v>
      </c>
      <c r="M2563" s="66" t="s">
        <v>1968</v>
      </c>
    </row>
    <row r="2564" spans="1:13" x14ac:dyDescent="0.3">
      <c r="A2564" s="61" t="s">
        <v>2574</v>
      </c>
      <c r="B2564" s="62" t="s">
        <v>2575</v>
      </c>
      <c r="C2564" s="62" t="s">
        <v>2576</v>
      </c>
      <c r="D2564" s="63">
        <v>45582</v>
      </c>
      <c r="E2564" s="63">
        <v>46494</v>
      </c>
      <c r="F2564" s="62" t="s">
        <v>1930</v>
      </c>
      <c r="G2564" s="62" t="s">
        <v>997</v>
      </c>
      <c r="H2564" s="62" t="s">
        <v>803</v>
      </c>
      <c r="I2564" s="62" t="s">
        <v>825</v>
      </c>
      <c r="J2564" s="62" t="s">
        <v>374</v>
      </c>
      <c r="K2564" s="62" t="s">
        <v>375</v>
      </c>
      <c r="L2564" s="62" t="s">
        <v>2421</v>
      </c>
      <c r="M2564" s="66" t="s">
        <v>1968</v>
      </c>
    </row>
    <row r="2565" spans="1:13" x14ac:dyDescent="0.3">
      <c r="A2565" s="61" t="s">
        <v>2574</v>
      </c>
      <c r="B2565" s="62" t="s">
        <v>2575</v>
      </c>
      <c r="C2565" s="62" t="s">
        <v>2576</v>
      </c>
      <c r="D2565" s="63">
        <v>45582</v>
      </c>
      <c r="E2565" s="63">
        <v>46494</v>
      </c>
      <c r="F2565" s="62" t="s">
        <v>1930</v>
      </c>
      <c r="G2565" s="62" t="s">
        <v>453</v>
      </c>
      <c r="H2565" s="62" t="s">
        <v>803</v>
      </c>
      <c r="I2565" s="62" t="s">
        <v>825</v>
      </c>
      <c r="J2565" s="62" t="s">
        <v>374</v>
      </c>
      <c r="K2565" s="62" t="s">
        <v>375</v>
      </c>
      <c r="L2565" s="62" t="s">
        <v>2421</v>
      </c>
      <c r="M2565" s="66" t="s">
        <v>1968</v>
      </c>
    </row>
    <row r="2566" spans="1:13" x14ac:dyDescent="0.3">
      <c r="A2566" s="61" t="s">
        <v>2574</v>
      </c>
      <c r="B2566" s="62" t="s">
        <v>2575</v>
      </c>
      <c r="C2566" s="62" t="s">
        <v>2576</v>
      </c>
      <c r="D2566" s="63">
        <v>45582</v>
      </c>
      <c r="E2566" s="63">
        <v>46494</v>
      </c>
      <c r="F2566" s="62" t="s">
        <v>1930</v>
      </c>
      <c r="G2566" s="62" t="s">
        <v>284</v>
      </c>
      <c r="H2566" s="62" t="s">
        <v>2476</v>
      </c>
      <c r="I2566" s="62" t="s">
        <v>825</v>
      </c>
      <c r="J2566" s="62" t="s">
        <v>374</v>
      </c>
      <c r="K2566" s="62" t="s">
        <v>375</v>
      </c>
      <c r="L2566" s="62" t="s">
        <v>2421</v>
      </c>
      <c r="M2566" s="66" t="s">
        <v>1968</v>
      </c>
    </row>
    <row r="2567" spans="1:13" x14ac:dyDescent="0.3">
      <c r="A2567" s="61" t="s">
        <v>2574</v>
      </c>
      <c r="B2567" s="62" t="s">
        <v>2575</v>
      </c>
      <c r="C2567" s="62" t="s">
        <v>2576</v>
      </c>
      <c r="D2567" s="63">
        <v>45582</v>
      </c>
      <c r="E2567" s="63">
        <v>46494</v>
      </c>
      <c r="F2567" s="62" t="s">
        <v>1930</v>
      </c>
      <c r="G2567" s="62" t="s">
        <v>642</v>
      </c>
      <c r="H2567" s="62" t="s">
        <v>2476</v>
      </c>
      <c r="I2567" s="62" t="s">
        <v>825</v>
      </c>
      <c r="J2567" s="62" t="s">
        <v>374</v>
      </c>
      <c r="K2567" s="62" t="s">
        <v>375</v>
      </c>
      <c r="L2567" s="62" t="s">
        <v>2421</v>
      </c>
      <c r="M2567" s="66" t="s">
        <v>1968</v>
      </c>
    </row>
    <row r="2568" spans="1:13" x14ac:dyDescent="0.3">
      <c r="A2568" s="61" t="s">
        <v>2574</v>
      </c>
      <c r="B2568" s="62" t="s">
        <v>2575</v>
      </c>
      <c r="C2568" s="62" t="s">
        <v>2576</v>
      </c>
      <c r="D2568" s="63">
        <v>45582</v>
      </c>
      <c r="E2568" s="63">
        <v>46494</v>
      </c>
      <c r="F2568" s="62" t="s">
        <v>1930</v>
      </c>
      <c r="G2568" s="62" t="s">
        <v>997</v>
      </c>
      <c r="H2568" s="62" t="s">
        <v>2476</v>
      </c>
      <c r="I2568" s="62" t="s">
        <v>825</v>
      </c>
      <c r="J2568" s="62" t="s">
        <v>374</v>
      </c>
      <c r="K2568" s="62" t="s">
        <v>375</v>
      </c>
      <c r="L2568" s="62" t="s">
        <v>2421</v>
      </c>
      <c r="M2568" s="66" t="s">
        <v>1968</v>
      </c>
    </row>
    <row r="2569" spans="1:13" x14ac:dyDescent="0.3">
      <c r="A2569" s="61" t="s">
        <v>2574</v>
      </c>
      <c r="B2569" s="62" t="s">
        <v>2575</v>
      </c>
      <c r="C2569" s="62" t="s">
        <v>2576</v>
      </c>
      <c r="D2569" s="63">
        <v>45582</v>
      </c>
      <c r="E2569" s="63">
        <v>46494</v>
      </c>
      <c r="F2569" s="62" t="s">
        <v>1930</v>
      </c>
      <c r="G2569" s="62" t="s">
        <v>453</v>
      </c>
      <c r="H2569" s="62" t="s">
        <v>2476</v>
      </c>
      <c r="I2569" s="62" t="s">
        <v>825</v>
      </c>
      <c r="J2569" s="62" t="s">
        <v>374</v>
      </c>
      <c r="K2569" s="62" t="s">
        <v>375</v>
      </c>
      <c r="L2569" s="62" t="s">
        <v>2421</v>
      </c>
      <c r="M2569" s="66" t="s">
        <v>1968</v>
      </c>
    </row>
    <row r="2570" spans="1:13" x14ac:dyDescent="0.3">
      <c r="A2570" s="61" t="s">
        <v>2577</v>
      </c>
      <c r="B2570" s="62" t="s">
        <v>2578</v>
      </c>
      <c r="C2570" s="62" t="s">
        <v>2579</v>
      </c>
      <c r="D2570" s="63">
        <v>45658</v>
      </c>
      <c r="E2570" s="63">
        <v>46752</v>
      </c>
      <c r="F2570" s="62" t="s">
        <v>286</v>
      </c>
      <c r="G2570" s="62" t="s">
        <v>304</v>
      </c>
      <c r="H2570" s="62" t="s">
        <v>2580</v>
      </c>
      <c r="I2570" s="62" t="s">
        <v>424</v>
      </c>
      <c r="J2570" s="62" t="s">
        <v>671</v>
      </c>
      <c r="K2570" s="62" t="s">
        <v>426</v>
      </c>
      <c r="L2570" s="62" t="s">
        <v>2421</v>
      </c>
      <c r="M2570" s="66" t="s">
        <v>1972</v>
      </c>
    </row>
    <row r="2571" spans="1:13" x14ac:dyDescent="0.3">
      <c r="A2571" s="61" t="s">
        <v>2577</v>
      </c>
      <c r="B2571" s="62" t="s">
        <v>2578</v>
      </c>
      <c r="C2571" s="62" t="s">
        <v>2579</v>
      </c>
      <c r="D2571" s="63">
        <v>45658</v>
      </c>
      <c r="E2571" s="63">
        <v>46752</v>
      </c>
      <c r="F2571" s="62" t="s">
        <v>1930</v>
      </c>
      <c r="G2571" s="62" t="s">
        <v>304</v>
      </c>
      <c r="H2571" s="62" t="s">
        <v>2580</v>
      </c>
      <c r="I2571" s="62" t="s">
        <v>424</v>
      </c>
      <c r="J2571" s="62" t="s">
        <v>671</v>
      </c>
      <c r="K2571" s="62" t="s">
        <v>426</v>
      </c>
      <c r="L2571" s="62" t="s">
        <v>2421</v>
      </c>
      <c r="M2571" s="66" t="s">
        <v>1972</v>
      </c>
    </row>
    <row r="2572" spans="1:13" x14ac:dyDescent="0.3">
      <c r="A2572" s="61" t="s">
        <v>2577</v>
      </c>
      <c r="B2572" s="62" t="s">
        <v>2578</v>
      </c>
      <c r="C2572" s="62" t="s">
        <v>2579</v>
      </c>
      <c r="D2572" s="63">
        <v>45658</v>
      </c>
      <c r="E2572" s="63">
        <v>46752</v>
      </c>
      <c r="F2572" s="62" t="s">
        <v>1959</v>
      </c>
      <c r="G2572" s="62" t="s">
        <v>304</v>
      </c>
      <c r="H2572" s="62" t="s">
        <v>2580</v>
      </c>
      <c r="I2572" s="62" t="s">
        <v>424</v>
      </c>
      <c r="J2572" s="62" t="s">
        <v>671</v>
      </c>
      <c r="K2572" s="62" t="s">
        <v>426</v>
      </c>
      <c r="L2572" s="62" t="s">
        <v>2421</v>
      </c>
      <c r="M2572" s="66" t="s">
        <v>1972</v>
      </c>
    </row>
    <row r="2573" spans="1:13" x14ac:dyDescent="0.3">
      <c r="A2573" s="61" t="s">
        <v>2577</v>
      </c>
      <c r="B2573" s="62" t="s">
        <v>2578</v>
      </c>
      <c r="C2573" s="62" t="s">
        <v>2579</v>
      </c>
      <c r="D2573" s="63">
        <v>45658</v>
      </c>
      <c r="E2573" s="63">
        <v>46752</v>
      </c>
      <c r="F2573" s="62" t="s">
        <v>287</v>
      </c>
      <c r="G2573" s="62" t="s">
        <v>304</v>
      </c>
      <c r="H2573" s="62" t="s">
        <v>2580</v>
      </c>
      <c r="I2573" s="62" t="s">
        <v>424</v>
      </c>
      <c r="J2573" s="62" t="s">
        <v>671</v>
      </c>
      <c r="K2573" s="62" t="s">
        <v>426</v>
      </c>
      <c r="L2573" s="62" t="s">
        <v>2421</v>
      </c>
      <c r="M2573" s="66" t="s">
        <v>1972</v>
      </c>
    </row>
    <row r="2574" spans="1:13" x14ac:dyDescent="0.3">
      <c r="A2574" s="61" t="s">
        <v>2582</v>
      </c>
      <c r="B2574" s="62" t="s">
        <v>2583</v>
      </c>
      <c r="C2574" s="62" t="s">
        <v>2584</v>
      </c>
      <c r="D2574" s="63">
        <v>45765</v>
      </c>
      <c r="E2574" s="63">
        <v>46129</v>
      </c>
      <c r="F2574" s="62" t="s">
        <v>1936</v>
      </c>
      <c r="G2574" s="62" t="s">
        <v>749</v>
      </c>
      <c r="H2574" s="62" t="s">
        <v>2585</v>
      </c>
      <c r="I2574" s="62" t="s">
        <v>2443</v>
      </c>
      <c r="J2574" s="62" t="s">
        <v>916</v>
      </c>
      <c r="K2574" s="62" t="s">
        <v>315</v>
      </c>
      <c r="L2574" s="62" t="s">
        <v>2421</v>
      </c>
      <c r="M2574" s="66" t="s">
        <v>1969</v>
      </c>
    </row>
    <row r="2575" spans="1:13" x14ac:dyDescent="0.3">
      <c r="A2575" s="61" t="s">
        <v>2582</v>
      </c>
      <c r="B2575" s="62" t="s">
        <v>2583</v>
      </c>
      <c r="C2575" s="62" t="s">
        <v>2584</v>
      </c>
      <c r="D2575" s="63">
        <v>45765</v>
      </c>
      <c r="E2575" s="63">
        <v>46129</v>
      </c>
      <c r="F2575" s="62" t="s">
        <v>1936</v>
      </c>
      <c r="G2575" s="62" t="s">
        <v>865</v>
      </c>
      <c r="H2575" s="62" t="s">
        <v>2585</v>
      </c>
      <c r="I2575" s="62" t="s">
        <v>2443</v>
      </c>
      <c r="J2575" s="62" t="s">
        <v>916</v>
      </c>
      <c r="K2575" s="62" t="s">
        <v>315</v>
      </c>
      <c r="L2575" s="62" t="s">
        <v>2421</v>
      </c>
      <c r="M2575" s="66" t="s">
        <v>1969</v>
      </c>
    </row>
    <row r="2576" spans="1:13" x14ac:dyDescent="0.3">
      <c r="A2576" s="61" t="s">
        <v>2582</v>
      </c>
      <c r="B2576" s="62" t="s">
        <v>2583</v>
      </c>
      <c r="C2576" s="62" t="s">
        <v>2584</v>
      </c>
      <c r="D2576" s="63">
        <v>45765</v>
      </c>
      <c r="E2576" s="63">
        <v>46129</v>
      </c>
      <c r="F2576" s="62" t="s">
        <v>1936</v>
      </c>
      <c r="G2576" s="62" t="s">
        <v>709</v>
      </c>
      <c r="H2576" s="62" t="s">
        <v>2585</v>
      </c>
      <c r="I2576" s="62" t="s">
        <v>2443</v>
      </c>
      <c r="J2576" s="62" t="s">
        <v>916</v>
      </c>
      <c r="K2576" s="62" t="s">
        <v>315</v>
      </c>
      <c r="L2576" s="62" t="s">
        <v>2421</v>
      </c>
      <c r="M2576" s="66" t="s">
        <v>1969</v>
      </c>
    </row>
    <row r="2577" spans="1:13" x14ac:dyDescent="0.3">
      <c r="A2577" s="61" t="s">
        <v>2582</v>
      </c>
      <c r="B2577" s="62" t="s">
        <v>2583</v>
      </c>
      <c r="C2577" s="62" t="s">
        <v>2584</v>
      </c>
      <c r="D2577" s="63">
        <v>45765</v>
      </c>
      <c r="E2577" s="63">
        <v>46129</v>
      </c>
      <c r="F2577" s="62" t="s">
        <v>1936</v>
      </c>
      <c r="G2577" s="62" t="s">
        <v>745</v>
      </c>
      <c r="H2577" s="62" t="s">
        <v>2585</v>
      </c>
      <c r="I2577" s="62" t="s">
        <v>2443</v>
      </c>
      <c r="J2577" s="62" t="s">
        <v>916</v>
      </c>
      <c r="K2577" s="62" t="s">
        <v>315</v>
      </c>
      <c r="L2577" s="62" t="s">
        <v>2421</v>
      </c>
      <c r="M2577" s="66" t="s">
        <v>1969</v>
      </c>
    </row>
    <row r="2578" spans="1:13" x14ac:dyDescent="0.3">
      <c r="A2578" s="61" t="s">
        <v>2582</v>
      </c>
      <c r="B2578" s="62" t="s">
        <v>2583</v>
      </c>
      <c r="C2578" s="62" t="s">
        <v>2584</v>
      </c>
      <c r="D2578" s="63">
        <v>45765</v>
      </c>
      <c r="E2578" s="63">
        <v>46129</v>
      </c>
      <c r="F2578" s="62" t="s">
        <v>1936</v>
      </c>
      <c r="G2578" s="62" t="s">
        <v>797</v>
      </c>
      <c r="H2578" s="62" t="s">
        <v>2585</v>
      </c>
      <c r="I2578" s="62" t="s">
        <v>2443</v>
      </c>
      <c r="J2578" s="62" t="s">
        <v>916</v>
      </c>
      <c r="K2578" s="62" t="s">
        <v>315</v>
      </c>
      <c r="L2578" s="62" t="s">
        <v>2421</v>
      </c>
      <c r="M2578" s="66" t="s">
        <v>1969</v>
      </c>
    </row>
    <row r="2579" spans="1:13" x14ac:dyDescent="0.3">
      <c r="A2579" s="61" t="s">
        <v>2582</v>
      </c>
      <c r="B2579" s="62" t="s">
        <v>2583</v>
      </c>
      <c r="C2579" s="62" t="s">
        <v>2584</v>
      </c>
      <c r="D2579" s="63">
        <v>45765</v>
      </c>
      <c r="E2579" s="63">
        <v>46129</v>
      </c>
      <c r="F2579" s="62" t="s">
        <v>1936</v>
      </c>
      <c r="G2579" s="62" t="s">
        <v>866</v>
      </c>
      <c r="H2579" s="62" t="s">
        <v>2585</v>
      </c>
      <c r="I2579" s="62" t="s">
        <v>2443</v>
      </c>
      <c r="J2579" s="62" t="s">
        <v>916</v>
      </c>
      <c r="K2579" s="62" t="s">
        <v>315</v>
      </c>
      <c r="L2579" s="62" t="s">
        <v>2421</v>
      </c>
      <c r="M2579" s="66" t="s">
        <v>1969</v>
      </c>
    </row>
    <row r="2580" spans="1:13" x14ac:dyDescent="0.3">
      <c r="A2580" s="61" t="s">
        <v>2582</v>
      </c>
      <c r="B2580" s="62" t="s">
        <v>2583</v>
      </c>
      <c r="C2580" s="62" t="s">
        <v>2584</v>
      </c>
      <c r="D2580" s="63">
        <v>45765</v>
      </c>
      <c r="E2580" s="63">
        <v>46129</v>
      </c>
      <c r="F2580" s="62" t="s">
        <v>1936</v>
      </c>
      <c r="G2580" s="62" t="s">
        <v>761</v>
      </c>
      <c r="H2580" s="62" t="s">
        <v>2585</v>
      </c>
      <c r="I2580" s="62" t="s">
        <v>2443</v>
      </c>
      <c r="J2580" s="62" t="s">
        <v>916</v>
      </c>
      <c r="K2580" s="62" t="s">
        <v>315</v>
      </c>
      <c r="L2580" s="62" t="s">
        <v>2421</v>
      </c>
      <c r="M2580" s="66" t="s">
        <v>1969</v>
      </c>
    </row>
    <row r="2581" spans="1:13" x14ac:dyDescent="0.3">
      <c r="A2581" s="61" t="s">
        <v>2582</v>
      </c>
      <c r="B2581" s="62" t="s">
        <v>2583</v>
      </c>
      <c r="C2581" s="62" t="s">
        <v>2584</v>
      </c>
      <c r="D2581" s="63">
        <v>45765</v>
      </c>
      <c r="E2581" s="63">
        <v>46129</v>
      </c>
      <c r="F2581" s="62" t="s">
        <v>1936</v>
      </c>
      <c r="G2581" s="62" t="s">
        <v>867</v>
      </c>
      <c r="H2581" s="62" t="s">
        <v>2585</v>
      </c>
      <c r="I2581" s="62" t="s">
        <v>2443</v>
      </c>
      <c r="J2581" s="62" t="s">
        <v>916</v>
      </c>
      <c r="K2581" s="62" t="s">
        <v>315</v>
      </c>
      <c r="L2581" s="62" t="s">
        <v>2421</v>
      </c>
      <c r="M2581" s="66" t="s">
        <v>1969</v>
      </c>
    </row>
    <row r="2582" spans="1:13" x14ac:dyDescent="0.3">
      <c r="A2582" s="61" t="s">
        <v>2582</v>
      </c>
      <c r="B2582" s="62" t="s">
        <v>2583</v>
      </c>
      <c r="C2582" s="62" t="s">
        <v>2584</v>
      </c>
      <c r="D2582" s="63">
        <v>45765</v>
      </c>
      <c r="E2582" s="63">
        <v>46129</v>
      </c>
      <c r="F2582" s="62" t="s">
        <v>1936</v>
      </c>
      <c r="G2582" s="62" t="s">
        <v>604</v>
      </c>
      <c r="H2582" s="62" t="s">
        <v>2585</v>
      </c>
      <c r="I2582" s="62" t="s">
        <v>2443</v>
      </c>
      <c r="J2582" s="62" t="s">
        <v>916</v>
      </c>
      <c r="K2582" s="62" t="s">
        <v>315</v>
      </c>
      <c r="L2582" s="62" t="s">
        <v>2421</v>
      </c>
      <c r="M2582" s="66" t="s">
        <v>1969</v>
      </c>
    </row>
    <row r="2583" spans="1:13" x14ac:dyDescent="0.3">
      <c r="A2583" s="61" t="s">
        <v>2582</v>
      </c>
      <c r="B2583" s="62" t="s">
        <v>2583</v>
      </c>
      <c r="C2583" s="62" t="s">
        <v>2584</v>
      </c>
      <c r="D2583" s="63">
        <v>45765</v>
      </c>
      <c r="E2583" s="63">
        <v>46129</v>
      </c>
      <c r="F2583" s="62" t="s">
        <v>1936</v>
      </c>
      <c r="G2583" s="62" t="s">
        <v>1223</v>
      </c>
      <c r="H2583" s="62" t="s">
        <v>2585</v>
      </c>
      <c r="I2583" s="62" t="s">
        <v>2443</v>
      </c>
      <c r="J2583" s="62" t="s">
        <v>916</v>
      </c>
      <c r="K2583" s="62" t="s">
        <v>315</v>
      </c>
      <c r="L2583" s="62" t="s">
        <v>2421</v>
      </c>
      <c r="M2583" s="66" t="s">
        <v>1969</v>
      </c>
    </row>
    <row r="2584" spans="1:13" x14ac:dyDescent="0.3">
      <c r="A2584" s="61" t="s">
        <v>2582</v>
      </c>
      <c r="B2584" s="62" t="s">
        <v>2583</v>
      </c>
      <c r="C2584" s="62" t="s">
        <v>2584</v>
      </c>
      <c r="D2584" s="63">
        <v>45765</v>
      </c>
      <c r="E2584" s="63">
        <v>46129</v>
      </c>
      <c r="F2584" s="62" t="s">
        <v>1936</v>
      </c>
      <c r="G2584" s="62" t="s">
        <v>750</v>
      </c>
      <c r="H2584" s="62" t="s">
        <v>2585</v>
      </c>
      <c r="I2584" s="62" t="s">
        <v>2443</v>
      </c>
      <c r="J2584" s="62" t="s">
        <v>916</v>
      </c>
      <c r="K2584" s="62" t="s">
        <v>315</v>
      </c>
      <c r="L2584" s="62" t="s">
        <v>2421</v>
      </c>
      <c r="M2584" s="66" t="s">
        <v>1969</v>
      </c>
    </row>
    <row r="2585" spans="1:13" x14ac:dyDescent="0.3">
      <c r="A2585" s="61" t="s">
        <v>2582</v>
      </c>
      <c r="B2585" s="62" t="s">
        <v>2583</v>
      </c>
      <c r="C2585" s="62" t="s">
        <v>2584</v>
      </c>
      <c r="D2585" s="63">
        <v>45765</v>
      </c>
      <c r="E2585" s="63">
        <v>46129</v>
      </c>
      <c r="F2585" s="62" t="s">
        <v>1936</v>
      </c>
      <c r="G2585" s="62" t="s">
        <v>411</v>
      </c>
      <c r="H2585" s="62" t="s">
        <v>2585</v>
      </c>
      <c r="I2585" s="62" t="s">
        <v>2443</v>
      </c>
      <c r="J2585" s="62" t="s">
        <v>916</v>
      </c>
      <c r="K2585" s="62" t="s">
        <v>315</v>
      </c>
      <c r="L2585" s="62" t="s">
        <v>2421</v>
      </c>
      <c r="M2585" s="66" t="s">
        <v>1969</v>
      </c>
    </row>
    <row r="2586" spans="1:13" x14ac:dyDescent="0.3">
      <c r="A2586" s="61" t="s">
        <v>2586</v>
      </c>
      <c r="B2586" s="62" t="s">
        <v>2587</v>
      </c>
      <c r="C2586" s="62" t="s">
        <v>2588</v>
      </c>
      <c r="D2586" s="63">
        <v>45566</v>
      </c>
      <c r="E2586" s="63">
        <v>46295</v>
      </c>
      <c r="F2586" s="62" t="s">
        <v>350</v>
      </c>
      <c r="G2586" s="62" t="s">
        <v>304</v>
      </c>
      <c r="H2586" s="62" t="s">
        <v>956</v>
      </c>
      <c r="I2586" s="62" t="s">
        <v>1518</v>
      </c>
      <c r="J2586" s="62" t="s">
        <v>2589</v>
      </c>
      <c r="K2586" s="62" t="s">
        <v>459</v>
      </c>
      <c r="L2586" s="62" t="s">
        <v>2421</v>
      </c>
      <c r="M2586" s="66" t="s">
        <v>1971</v>
      </c>
    </row>
    <row r="2587" spans="1:13" x14ac:dyDescent="0.3">
      <c r="A2587" s="61" t="s">
        <v>2590</v>
      </c>
      <c r="B2587" s="62" t="s">
        <v>2591</v>
      </c>
      <c r="C2587" s="62" t="s">
        <v>2592</v>
      </c>
      <c r="D2587" s="63">
        <v>45867</v>
      </c>
      <c r="E2587" s="63">
        <v>46141</v>
      </c>
      <c r="F2587" s="62" t="s">
        <v>1930</v>
      </c>
      <c r="G2587" s="62" t="s">
        <v>1207</v>
      </c>
      <c r="H2587" s="62" t="s">
        <v>939</v>
      </c>
      <c r="I2587" s="62" t="s">
        <v>825</v>
      </c>
      <c r="J2587" s="62" t="s">
        <v>644</v>
      </c>
      <c r="K2587" s="62" t="s">
        <v>371</v>
      </c>
      <c r="L2587" s="62" t="s">
        <v>2421</v>
      </c>
      <c r="M2587" s="66" t="s">
        <v>1972</v>
      </c>
    </row>
    <row r="2588" spans="1:13" x14ac:dyDescent="0.3">
      <c r="A2588" s="61" t="s">
        <v>2593</v>
      </c>
      <c r="B2588" s="62" t="s">
        <v>2594</v>
      </c>
      <c r="C2588" s="62" t="s">
        <v>2595</v>
      </c>
      <c r="D2588" s="63">
        <v>45901</v>
      </c>
      <c r="E2588" s="63">
        <v>46054</v>
      </c>
      <c r="F2588" s="62" t="s">
        <v>348</v>
      </c>
      <c r="G2588" s="62" t="s">
        <v>348</v>
      </c>
      <c r="H2588" s="62" t="s">
        <v>1852</v>
      </c>
      <c r="I2588" s="62" t="s">
        <v>424</v>
      </c>
      <c r="J2588" s="62" t="s">
        <v>579</v>
      </c>
      <c r="K2588" s="62" t="s">
        <v>428</v>
      </c>
      <c r="L2588" s="62" t="s">
        <v>2421</v>
      </c>
      <c r="M2588" s="66" t="s">
        <v>1989</v>
      </c>
    </row>
    <row r="2589" spans="1:13" x14ac:dyDescent="0.3">
      <c r="A2589" s="61" t="s">
        <v>2596</v>
      </c>
      <c r="B2589" s="62" t="s">
        <v>2597</v>
      </c>
      <c r="C2589" s="62" t="s">
        <v>2598</v>
      </c>
      <c r="D2589" s="63">
        <v>45880</v>
      </c>
      <c r="E2589" s="63">
        <v>46334</v>
      </c>
      <c r="F2589" s="62" t="s">
        <v>1922</v>
      </c>
      <c r="G2589" s="62" t="s">
        <v>1196</v>
      </c>
      <c r="H2589" s="62" t="s">
        <v>939</v>
      </c>
      <c r="I2589" s="62" t="s">
        <v>825</v>
      </c>
      <c r="J2589" s="62" t="s">
        <v>644</v>
      </c>
      <c r="K2589" s="62" t="s">
        <v>371</v>
      </c>
      <c r="L2589" s="62" t="s">
        <v>2421</v>
      </c>
      <c r="M2589" s="66" t="s">
        <v>1972</v>
      </c>
    </row>
    <row r="2590" spans="1:13" x14ac:dyDescent="0.3">
      <c r="A2590" s="61" t="s">
        <v>2596</v>
      </c>
      <c r="B2590" s="62" t="s">
        <v>2597</v>
      </c>
      <c r="C2590" s="62" t="s">
        <v>2598</v>
      </c>
      <c r="D2590" s="63">
        <v>45880</v>
      </c>
      <c r="E2590" s="63">
        <v>46334</v>
      </c>
      <c r="F2590" s="62" t="s">
        <v>1922</v>
      </c>
      <c r="G2590" s="62" t="s">
        <v>376</v>
      </c>
      <c r="H2590" s="62" t="s">
        <v>939</v>
      </c>
      <c r="I2590" s="62" t="s">
        <v>825</v>
      </c>
      <c r="J2590" s="62" t="s">
        <v>644</v>
      </c>
      <c r="K2590" s="62" t="s">
        <v>371</v>
      </c>
      <c r="L2590" s="62" t="s">
        <v>2421</v>
      </c>
      <c r="M2590" s="66" t="s">
        <v>1972</v>
      </c>
    </row>
    <row r="2591" spans="1:13" x14ac:dyDescent="0.3">
      <c r="A2591" s="61" t="s">
        <v>2596</v>
      </c>
      <c r="B2591" s="62" t="s">
        <v>2597</v>
      </c>
      <c r="C2591" s="62" t="s">
        <v>2598</v>
      </c>
      <c r="D2591" s="63">
        <v>45880</v>
      </c>
      <c r="E2591" s="63">
        <v>46334</v>
      </c>
      <c r="F2591" s="62" t="s">
        <v>1922</v>
      </c>
      <c r="G2591" s="62" t="s">
        <v>836</v>
      </c>
      <c r="H2591" s="62" t="s">
        <v>939</v>
      </c>
      <c r="I2591" s="62" t="s">
        <v>825</v>
      </c>
      <c r="J2591" s="62" t="s">
        <v>644</v>
      </c>
      <c r="K2591" s="62" t="s">
        <v>371</v>
      </c>
      <c r="L2591" s="62" t="s">
        <v>2421</v>
      </c>
      <c r="M2591" s="66" t="s">
        <v>1972</v>
      </c>
    </row>
    <row r="2592" spans="1:13" x14ac:dyDescent="0.3">
      <c r="A2592" s="61" t="s">
        <v>2596</v>
      </c>
      <c r="B2592" s="62" t="s">
        <v>2597</v>
      </c>
      <c r="C2592" s="62" t="s">
        <v>2598</v>
      </c>
      <c r="D2592" s="63">
        <v>45880</v>
      </c>
      <c r="E2592" s="63">
        <v>46334</v>
      </c>
      <c r="F2592" s="62" t="s">
        <v>1922</v>
      </c>
      <c r="G2592" s="62" t="s">
        <v>382</v>
      </c>
      <c r="H2592" s="62" t="s">
        <v>939</v>
      </c>
      <c r="I2592" s="62" t="s">
        <v>825</v>
      </c>
      <c r="J2592" s="62" t="s">
        <v>644</v>
      </c>
      <c r="K2592" s="62" t="s">
        <v>371</v>
      </c>
      <c r="L2592" s="62" t="s">
        <v>2421</v>
      </c>
      <c r="M2592" s="66" t="s">
        <v>1972</v>
      </c>
    </row>
    <row r="2593" spans="1:13" x14ac:dyDescent="0.3">
      <c r="A2593" s="61" t="s">
        <v>2596</v>
      </c>
      <c r="B2593" s="62" t="s">
        <v>2597</v>
      </c>
      <c r="C2593" s="62" t="s">
        <v>2598</v>
      </c>
      <c r="D2593" s="63">
        <v>45880</v>
      </c>
      <c r="E2593" s="63">
        <v>46334</v>
      </c>
      <c r="F2593" s="62" t="s">
        <v>1922</v>
      </c>
      <c r="G2593" s="62" t="s">
        <v>383</v>
      </c>
      <c r="H2593" s="62" t="s">
        <v>939</v>
      </c>
      <c r="I2593" s="62" t="s">
        <v>825</v>
      </c>
      <c r="J2593" s="62" t="s">
        <v>644</v>
      </c>
      <c r="K2593" s="62" t="s">
        <v>371</v>
      </c>
      <c r="L2593" s="62" t="s">
        <v>2421</v>
      </c>
      <c r="M2593" s="66" t="s">
        <v>1972</v>
      </c>
    </row>
    <row r="2594" spans="1:13" x14ac:dyDescent="0.3">
      <c r="A2594" s="61" t="s">
        <v>2596</v>
      </c>
      <c r="B2594" s="62" t="s">
        <v>2597</v>
      </c>
      <c r="C2594" s="62" t="s">
        <v>2598</v>
      </c>
      <c r="D2594" s="63">
        <v>45880</v>
      </c>
      <c r="E2594" s="63">
        <v>46334</v>
      </c>
      <c r="F2594" s="62" t="s">
        <v>1922</v>
      </c>
      <c r="G2594" s="62" t="s">
        <v>384</v>
      </c>
      <c r="H2594" s="62" t="s">
        <v>939</v>
      </c>
      <c r="I2594" s="62" t="s">
        <v>825</v>
      </c>
      <c r="J2594" s="62" t="s">
        <v>644</v>
      </c>
      <c r="K2594" s="62" t="s">
        <v>371</v>
      </c>
      <c r="L2594" s="62" t="s">
        <v>2421</v>
      </c>
      <c r="M2594" s="66" t="s">
        <v>1972</v>
      </c>
    </row>
    <row r="2595" spans="1:13" x14ac:dyDescent="0.3">
      <c r="A2595" s="61" t="s">
        <v>2596</v>
      </c>
      <c r="B2595" s="62" t="s">
        <v>2597</v>
      </c>
      <c r="C2595" s="62" t="s">
        <v>2598</v>
      </c>
      <c r="D2595" s="63">
        <v>45880</v>
      </c>
      <c r="E2595" s="63">
        <v>46334</v>
      </c>
      <c r="F2595" s="62" t="s">
        <v>1922</v>
      </c>
      <c r="G2595" s="62" t="s">
        <v>385</v>
      </c>
      <c r="H2595" s="62" t="s">
        <v>939</v>
      </c>
      <c r="I2595" s="62" t="s">
        <v>825</v>
      </c>
      <c r="J2595" s="62" t="s">
        <v>644</v>
      </c>
      <c r="K2595" s="62" t="s">
        <v>371</v>
      </c>
      <c r="L2595" s="62" t="s">
        <v>2421</v>
      </c>
      <c r="M2595" s="66" t="s">
        <v>1972</v>
      </c>
    </row>
    <row r="2596" spans="1:13" x14ac:dyDescent="0.3">
      <c r="A2596" s="61" t="s">
        <v>2596</v>
      </c>
      <c r="B2596" s="62" t="s">
        <v>2597</v>
      </c>
      <c r="C2596" s="62" t="s">
        <v>2598</v>
      </c>
      <c r="D2596" s="63">
        <v>45880</v>
      </c>
      <c r="E2596" s="63">
        <v>46334</v>
      </c>
      <c r="F2596" s="62" t="s">
        <v>1922</v>
      </c>
      <c r="G2596" s="62" t="s">
        <v>386</v>
      </c>
      <c r="H2596" s="62" t="s">
        <v>939</v>
      </c>
      <c r="I2596" s="62" t="s">
        <v>825</v>
      </c>
      <c r="J2596" s="62" t="s">
        <v>644</v>
      </c>
      <c r="K2596" s="62" t="s">
        <v>371</v>
      </c>
      <c r="L2596" s="62" t="s">
        <v>2421</v>
      </c>
      <c r="M2596" s="66" t="s">
        <v>1972</v>
      </c>
    </row>
    <row r="2597" spans="1:13" x14ac:dyDescent="0.3">
      <c r="A2597" s="61" t="s">
        <v>2596</v>
      </c>
      <c r="B2597" s="62" t="s">
        <v>2597</v>
      </c>
      <c r="C2597" s="62" t="s">
        <v>2598</v>
      </c>
      <c r="D2597" s="63">
        <v>45880</v>
      </c>
      <c r="E2597" s="63">
        <v>46334</v>
      </c>
      <c r="F2597" s="62" t="s">
        <v>287</v>
      </c>
      <c r="G2597" s="62" t="s">
        <v>304</v>
      </c>
      <c r="H2597" s="62" t="s">
        <v>939</v>
      </c>
      <c r="I2597" s="62" t="s">
        <v>825</v>
      </c>
      <c r="J2597" s="62" t="s">
        <v>644</v>
      </c>
      <c r="K2597" s="62" t="s">
        <v>371</v>
      </c>
      <c r="L2597" s="62" t="s">
        <v>2421</v>
      </c>
      <c r="M2597" s="66" t="s">
        <v>1972</v>
      </c>
    </row>
    <row r="2598" spans="1:13" x14ac:dyDescent="0.3">
      <c r="A2598" s="61" t="s">
        <v>2599</v>
      </c>
      <c r="B2598" s="62" t="s">
        <v>2600</v>
      </c>
      <c r="C2598" s="62" t="s">
        <v>2601</v>
      </c>
      <c r="D2598" s="63">
        <v>45856</v>
      </c>
      <c r="E2598" s="63">
        <v>46221</v>
      </c>
      <c r="F2598" s="62" t="s">
        <v>1935</v>
      </c>
      <c r="G2598" s="62" t="s">
        <v>304</v>
      </c>
      <c r="H2598" s="62" t="s">
        <v>1294</v>
      </c>
      <c r="I2598" s="62" t="s">
        <v>1518</v>
      </c>
      <c r="J2598" s="62" t="s">
        <v>531</v>
      </c>
      <c r="K2598" s="62" t="s">
        <v>459</v>
      </c>
      <c r="L2598" s="62" t="s">
        <v>2421</v>
      </c>
      <c r="M2598" s="66" t="s">
        <v>1971</v>
      </c>
    </row>
    <row r="2599" spans="1:13" x14ac:dyDescent="0.3">
      <c r="A2599" s="61" t="s">
        <v>2599</v>
      </c>
      <c r="B2599" s="62" t="s">
        <v>2600</v>
      </c>
      <c r="C2599" s="62" t="s">
        <v>2601</v>
      </c>
      <c r="D2599" s="63">
        <v>45856</v>
      </c>
      <c r="E2599" s="63">
        <v>46221</v>
      </c>
      <c r="F2599" s="62" t="s">
        <v>1944</v>
      </c>
      <c r="G2599" s="62" t="s">
        <v>304</v>
      </c>
      <c r="H2599" s="62" t="s">
        <v>1294</v>
      </c>
      <c r="I2599" s="62" t="s">
        <v>1518</v>
      </c>
      <c r="J2599" s="62" t="s">
        <v>531</v>
      </c>
      <c r="K2599" s="62" t="s">
        <v>459</v>
      </c>
      <c r="L2599" s="62" t="s">
        <v>2421</v>
      </c>
      <c r="M2599" s="66" t="s">
        <v>1971</v>
      </c>
    </row>
    <row r="2600" spans="1:13" x14ac:dyDescent="0.3">
      <c r="A2600" s="61" t="s">
        <v>2599</v>
      </c>
      <c r="B2600" s="62" t="s">
        <v>2600</v>
      </c>
      <c r="C2600" s="62" t="s">
        <v>2601</v>
      </c>
      <c r="D2600" s="63">
        <v>45856</v>
      </c>
      <c r="E2600" s="63">
        <v>46221</v>
      </c>
      <c r="F2600" s="62" t="s">
        <v>1930</v>
      </c>
      <c r="G2600" s="62" t="s">
        <v>304</v>
      </c>
      <c r="H2600" s="62" t="s">
        <v>1294</v>
      </c>
      <c r="I2600" s="62" t="s">
        <v>1518</v>
      </c>
      <c r="J2600" s="62" t="s">
        <v>531</v>
      </c>
      <c r="K2600" s="62" t="s">
        <v>459</v>
      </c>
      <c r="L2600" s="62" t="s">
        <v>2421</v>
      </c>
      <c r="M2600" s="66" t="s">
        <v>1971</v>
      </c>
    </row>
    <row r="2601" spans="1:13" x14ac:dyDescent="0.3">
      <c r="A2601" s="61" t="s">
        <v>2599</v>
      </c>
      <c r="B2601" s="62" t="s">
        <v>2600</v>
      </c>
      <c r="C2601" s="62" t="s">
        <v>2601</v>
      </c>
      <c r="D2601" s="63">
        <v>45856</v>
      </c>
      <c r="E2601" s="63">
        <v>46221</v>
      </c>
      <c r="F2601" s="62" t="s">
        <v>284</v>
      </c>
      <c r="G2601" s="62" t="s">
        <v>304</v>
      </c>
      <c r="H2601" s="62" t="s">
        <v>1294</v>
      </c>
      <c r="I2601" s="62" t="s">
        <v>1518</v>
      </c>
      <c r="J2601" s="62" t="s">
        <v>531</v>
      </c>
      <c r="K2601" s="62" t="s">
        <v>459</v>
      </c>
      <c r="L2601" s="62" t="s">
        <v>2421</v>
      </c>
      <c r="M2601" s="66" t="s">
        <v>1971</v>
      </c>
    </row>
    <row r="2602" spans="1:13" x14ac:dyDescent="0.3">
      <c r="A2602" s="61" t="s">
        <v>2599</v>
      </c>
      <c r="B2602" s="62" t="s">
        <v>2600</v>
      </c>
      <c r="C2602" s="62" t="s">
        <v>2601</v>
      </c>
      <c r="D2602" s="63">
        <v>45856</v>
      </c>
      <c r="E2602" s="63">
        <v>46221</v>
      </c>
      <c r="F2602" s="62" t="s">
        <v>288</v>
      </c>
      <c r="G2602" s="62" t="s">
        <v>304</v>
      </c>
      <c r="H2602" s="62" t="s">
        <v>1294</v>
      </c>
      <c r="I2602" s="62" t="s">
        <v>1518</v>
      </c>
      <c r="J2602" s="62" t="s">
        <v>531</v>
      </c>
      <c r="K2602" s="62" t="s">
        <v>459</v>
      </c>
      <c r="L2602" s="62" t="s">
        <v>2421</v>
      </c>
      <c r="M2602" s="66" t="s">
        <v>1971</v>
      </c>
    </row>
    <row r="2603" spans="1:13" x14ac:dyDescent="0.3">
      <c r="A2603" s="61" t="s">
        <v>2599</v>
      </c>
      <c r="B2603" s="62" t="s">
        <v>2600</v>
      </c>
      <c r="C2603" s="62" t="s">
        <v>2601</v>
      </c>
      <c r="D2603" s="63">
        <v>45856</v>
      </c>
      <c r="E2603" s="63">
        <v>46221</v>
      </c>
      <c r="F2603" s="62" t="s">
        <v>1936</v>
      </c>
      <c r="G2603" s="62" t="s">
        <v>304</v>
      </c>
      <c r="H2603" s="62" t="s">
        <v>1294</v>
      </c>
      <c r="I2603" s="62" t="s">
        <v>1518</v>
      </c>
      <c r="J2603" s="62" t="s">
        <v>531</v>
      </c>
      <c r="K2603" s="62" t="s">
        <v>459</v>
      </c>
      <c r="L2603" s="62" t="s">
        <v>2421</v>
      </c>
      <c r="M2603" s="66" t="s">
        <v>1971</v>
      </c>
    </row>
    <row r="2604" spans="1:13" x14ac:dyDescent="0.3">
      <c r="A2604" s="61" t="s">
        <v>2599</v>
      </c>
      <c r="B2604" s="62" t="s">
        <v>2600</v>
      </c>
      <c r="C2604" s="62" t="s">
        <v>2601</v>
      </c>
      <c r="D2604" s="63">
        <v>45856</v>
      </c>
      <c r="E2604" s="63">
        <v>46221</v>
      </c>
      <c r="F2604" s="62" t="s">
        <v>287</v>
      </c>
      <c r="G2604" s="62" t="s">
        <v>304</v>
      </c>
      <c r="H2604" s="62" t="s">
        <v>1294</v>
      </c>
      <c r="I2604" s="62" t="s">
        <v>1518</v>
      </c>
      <c r="J2604" s="62" t="s">
        <v>531</v>
      </c>
      <c r="K2604" s="62" t="s">
        <v>459</v>
      </c>
      <c r="L2604" s="62" t="s">
        <v>2421</v>
      </c>
      <c r="M2604" s="66" t="s">
        <v>1971</v>
      </c>
    </row>
    <row r="2605" spans="1:13" x14ac:dyDescent="0.3">
      <c r="A2605" s="61" t="s">
        <v>2602</v>
      </c>
      <c r="B2605" s="62" t="s">
        <v>2603</v>
      </c>
      <c r="C2605" s="62" t="s">
        <v>2604</v>
      </c>
      <c r="D2605" s="63">
        <v>45383</v>
      </c>
      <c r="E2605" s="63">
        <v>46112</v>
      </c>
      <c r="F2605" s="62" t="s">
        <v>1959</v>
      </c>
      <c r="G2605" s="62" t="s">
        <v>475</v>
      </c>
      <c r="H2605" s="62" t="s">
        <v>373</v>
      </c>
      <c r="I2605" s="62" t="s">
        <v>825</v>
      </c>
      <c r="J2605" s="62" t="s">
        <v>1021</v>
      </c>
      <c r="K2605" s="62" t="s">
        <v>571</v>
      </c>
      <c r="L2605" s="62" t="s">
        <v>2421</v>
      </c>
      <c r="M2605" s="66" t="s">
        <v>1966</v>
      </c>
    </row>
    <row r="2606" spans="1:13" x14ac:dyDescent="0.3">
      <c r="A2606" s="61" t="s">
        <v>2602</v>
      </c>
      <c r="B2606" s="62" t="s">
        <v>2603</v>
      </c>
      <c r="C2606" s="62" t="s">
        <v>2604</v>
      </c>
      <c r="D2606" s="63">
        <v>45383</v>
      </c>
      <c r="E2606" s="63">
        <v>46112</v>
      </c>
      <c r="F2606" s="62" t="s">
        <v>1936</v>
      </c>
      <c r="G2606" s="62" t="s">
        <v>411</v>
      </c>
      <c r="H2606" s="62" t="s">
        <v>373</v>
      </c>
      <c r="I2606" s="62" t="s">
        <v>825</v>
      </c>
      <c r="J2606" s="62" t="s">
        <v>1021</v>
      </c>
      <c r="K2606" s="62" t="s">
        <v>571</v>
      </c>
      <c r="L2606" s="62" t="s">
        <v>2421</v>
      </c>
      <c r="M2606" s="66" t="s">
        <v>1966</v>
      </c>
    </row>
    <row r="2607" spans="1:13" x14ac:dyDescent="0.3">
      <c r="A2607" s="61" t="s">
        <v>2605</v>
      </c>
      <c r="B2607" s="62" t="s">
        <v>2606</v>
      </c>
      <c r="C2607" s="62" t="s">
        <v>2607</v>
      </c>
      <c r="D2607" s="63">
        <v>45866</v>
      </c>
      <c r="E2607" s="63">
        <v>46780</v>
      </c>
      <c r="F2607" s="62" t="s">
        <v>282</v>
      </c>
      <c r="G2607" s="62" t="s">
        <v>286</v>
      </c>
      <c r="H2607" s="62" t="s">
        <v>468</v>
      </c>
      <c r="I2607" s="62" t="s">
        <v>825</v>
      </c>
      <c r="J2607" s="62" t="s">
        <v>551</v>
      </c>
      <c r="K2607" s="62" t="s">
        <v>428</v>
      </c>
      <c r="L2607" s="62" t="s">
        <v>2421</v>
      </c>
      <c r="M2607" s="66" t="s">
        <v>2021</v>
      </c>
    </row>
    <row r="2608" spans="1:13" x14ac:dyDescent="0.3">
      <c r="A2608" s="61" t="s">
        <v>2605</v>
      </c>
      <c r="B2608" s="62" t="s">
        <v>2606</v>
      </c>
      <c r="C2608" s="62" t="s">
        <v>2607</v>
      </c>
      <c r="D2608" s="63">
        <v>45866</v>
      </c>
      <c r="E2608" s="63">
        <v>46780</v>
      </c>
      <c r="F2608" s="62" t="s">
        <v>282</v>
      </c>
      <c r="G2608" s="62" t="s">
        <v>470</v>
      </c>
      <c r="H2608" s="62" t="s">
        <v>468</v>
      </c>
      <c r="I2608" s="62" t="s">
        <v>825</v>
      </c>
      <c r="J2608" s="62" t="s">
        <v>551</v>
      </c>
      <c r="K2608" s="62" t="s">
        <v>428</v>
      </c>
      <c r="L2608" s="62" t="s">
        <v>2421</v>
      </c>
      <c r="M2608" s="66" t="s">
        <v>2021</v>
      </c>
    </row>
    <row r="2609" spans="1:13" x14ac:dyDescent="0.3">
      <c r="A2609" s="61" t="s">
        <v>2605</v>
      </c>
      <c r="B2609" s="62" t="s">
        <v>2606</v>
      </c>
      <c r="C2609" s="62" t="s">
        <v>2607</v>
      </c>
      <c r="D2609" s="63">
        <v>45866</v>
      </c>
      <c r="E2609" s="63">
        <v>46780</v>
      </c>
      <c r="F2609" s="62" t="s">
        <v>282</v>
      </c>
      <c r="G2609" s="62" t="s">
        <v>472</v>
      </c>
      <c r="H2609" s="62" t="s">
        <v>468</v>
      </c>
      <c r="I2609" s="62" t="s">
        <v>825</v>
      </c>
      <c r="J2609" s="62" t="s">
        <v>551</v>
      </c>
      <c r="K2609" s="62" t="s">
        <v>428</v>
      </c>
      <c r="L2609" s="62" t="s">
        <v>2421</v>
      </c>
      <c r="M2609" s="66" t="s">
        <v>2021</v>
      </c>
    </row>
    <row r="2610" spans="1:13" x14ac:dyDescent="0.3">
      <c r="A2610" s="61" t="s">
        <v>2605</v>
      </c>
      <c r="B2610" s="62" t="s">
        <v>2606</v>
      </c>
      <c r="C2610" s="62" t="s">
        <v>2607</v>
      </c>
      <c r="D2610" s="63">
        <v>45866</v>
      </c>
      <c r="E2610" s="63">
        <v>46780</v>
      </c>
      <c r="F2610" s="62" t="s">
        <v>282</v>
      </c>
      <c r="G2610" s="62" t="s">
        <v>833</v>
      </c>
      <c r="H2610" s="62" t="s">
        <v>468</v>
      </c>
      <c r="I2610" s="62" t="s">
        <v>825</v>
      </c>
      <c r="J2610" s="62" t="s">
        <v>551</v>
      </c>
      <c r="K2610" s="62" t="s">
        <v>428</v>
      </c>
      <c r="L2610" s="62" t="s">
        <v>2421</v>
      </c>
      <c r="M2610" s="66" t="s">
        <v>2021</v>
      </c>
    </row>
    <row r="2611" spans="1:13" x14ac:dyDescent="0.3">
      <c r="A2611" s="61" t="s">
        <v>2605</v>
      </c>
      <c r="B2611" s="62" t="s">
        <v>2606</v>
      </c>
      <c r="C2611" s="62" t="s">
        <v>2607</v>
      </c>
      <c r="D2611" s="63">
        <v>45866</v>
      </c>
      <c r="E2611" s="63">
        <v>46780</v>
      </c>
      <c r="F2611" s="62" t="s">
        <v>282</v>
      </c>
      <c r="G2611" s="62" t="s">
        <v>473</v>
      </c>
      <c r="H2611" s="62" t="s">
        <v>468</v>
      </c>
      <c r="I2611" s="62" t="s">
        <v>825</v>
      </c>
      <c r="J2611" s="62" t="s">
        <v>551</v>
      </c>
      <c r="K2611" s="62" t="s">
        <v>428</v>
      </c>
      <c r="L2611" s="62" t="s">
        <v>2421</v>
      </c>
      <c r="M2611" s="66" t="s">
        <v>2021</v>
      </c>
    </row>
    <row r="2612" spans="1:13" x14ac:dyDescent="0.3">
      <c r="A2612" s="61" t="s">
        <v>2605</v>
      </c>
      <c r="B2612" s="62" t="s">
        <v>2606</v>
      </c>
      <c r="C2612" s="62" t="s">
        <v>2607</v>
      </c>
      <c r="D2612" s="63">
        <v>45866</v>
      </c>
      <c r="E2612" s="63">
        <v>46780</v>
      </c>
      <c r="F2612" s="62" t="s">
        <v>282</v>
      </c>
      <c r="G2612" s="62" t="s">
        <v>577</v>
      </c>
      <c r="H2612" s="62" t="s">
        <v>468</v>
      </c>
      <c r="I2612" s="62" t="s">
        <v>825</v>
      </c>
      <c r="J2612" s="62" t="s">
        <v>551</v>
      </c>
      <c r="K2612" s="62" t="s">
        <v>428</v>
      </c>
      <c r="L2612" s="62" t="s">
        <v>2421</v>
      </c>
      <c r="M2612" s="66" t="s">
        <v>2021</v>
      </c>
    </row>
    <row r="2613" spans="1:13" x14ac:dyDescent="0.3">
      <c r="A2613" s="61" t="s">
        <v>2605</v>
      </c>
      <c r="B2613" s="62" t="s">
        <v>2606</v>
      </c>
      <c r="C2613" s="62" t="s">
        <v>2607</v>
      </c>
      <c r="D2613" s="63">
        <v>45866</v>
      </c>
      <c r="E2613" s="63">
        <v>46780</v>
      </c>
      <c r="F2613" s="62" t="s">
        <v>1936</v>
      </c>
      <c r="G2613" s="62" t="s">
        <v>602</v>
      </c>
      <c r="H2613" s="62" t="s">
        <v>468</v>
      </c>
      <c r="I2613" s="62" t="s">
        <v>825</v>
      </c>
      <c r="J2613" s="62" t="s">
        <v>551</v>
      </c>
      <c r="K2613" s="62" t="s">
        <v>428</v>
      </c>
      <c r="L2613" s="62" t="s">
        <v>2421</v>
      </c>
      <c r="M2613" s="66" t="s">
        <v>2021</v>
      </c>
    </row>
    <row r="2614" spans="1:13" x14ac:dyDescent="0.3">
      <c r="A2614" s="61" t="s">
        <v>2605</v>
      </c>
      <c r="B2614" s="62" t="s">
        <v>2606</v>
      </c>
      <c r="C2614" s="62" t="s">
        <v>2607</v>
      </c>
      <c r="D2614" s="63">
        <v>45866</v>
      </c>
      <c r="E2614" s="63">
        <v>46780</v>
      </c>
      <c r="F2614" s="62" t="s">
        <v>1936</v>
      </c>
      <c r="G2614" s="62" t="s">
        <v>604</v>
      </c>
      <c r="H2614" s="62" t="s">
        <v>468</v>
      </c>
      <c r="I2614" s="62" t="s">
        <v>825</v>
      </c>
      <c r="J2614" s="62" t="s">
        <v>551</v>
      </c>
      <c r="K2614" s="62" t="s">
        <v>428</v>
      </c>
      <c r="L2614" s="62" t="s">
        <v>2421</v>
      </c>
      <c r="M2614" s="66" t="s">
        <v>2021</v>
      </c>
    </row>
    <row r="2615" spans="1:13" x14ac:dyDescent="0.3">
      <c r="A2615" s="61" t="s">
        <v>2605</v>
      </c>
      <c r="B2615" s="62" t="s">
        <v>2606</v>
      </c>
      <c r="C2615" s="62" t="s">
        <v>2607</v>
      </c>
      <c r="D2615" s="63">
        <v>45866</v>
      </c>
      <c r="E2615" s="63">
        <v>46780</v>
      </c>
      <c r="F2615" s="62" t="s">
        <v>1936</v>
      </c>
      <c r="G2615" s="62" t="s">
        <v>1223</v>
      </c>
      <c r="H2615" s="62" t="s">
        <v>468</v>
      </c>
      <c r="I2615" s="62" t="s">
        <v>825</v>
      </c>
      <c r="J2615" s="62" t="s">
        <v>551</v>
      </c>
      <c r="K2615" s="62" t="s">
        <v>428</v>
      </c>
      <c r="L2615" s="62" t="s">
        <v>2421</v>
      </c>
      <c r="M2615" s="66" t="s">
        <v>2021</v>
      </c>
    </row>
    <row r="2616" spans="1:13" x14ac:dyDescent="0.3">
      <c r="A2616" s="61" t="s">
        <v>2605</v>
      </c>
      <c r="B2616" s="62" t="s">
        <v>2606</v>
      </c>
      <c r="C2616" s="62" t="s">
        <v>2607</v>
      </c>
      <c r="D2616" s="63">
        <v>45866</v>
      </c>
      <c r="E2616" s="63">
        <v>46780</v>
      </c>
      <c r="F2616" s="62" t="s">
        <v>1936</v>
      </c>
      <c r="G2616" s="62" t="s">
        <v>711</v>
      </c>
      <c r="H2616" s="62" t="s">
        <v>468</v>
      </c>
      <c r="I2616" s="62" t="s">
        <v>825</v>
      </c>
      <c r="J2616" s="62" t="s">
        <v>551</v>
      </c>
      <c r="K2616" s="62" t="s">
        <v>428</v>
      </c>
      <c r="L2616" s="62" t="s">
        <v>2421</v>
      </c>
      <c r="M2616" s="66" t="s">
        <v>2021</v>
      </c>
    </row>
    <row r="2617" spans="1:13" x14ac:dyDescent="0.3">
      <c r="A2617" s="61" t="s">
        <v>2605</v>
      </c>
      <c r="B2617" s="62" t="s">
        <v>2606</v>
      </c>
      <c r="C2617" s="62" t="s">
        <v>2607</v>
      </c>
      <c r="D2617" s="63">
        <v>45866</v>
      </c>
      <c r="E2617" s="63">
        <v>46780</v>
      </c>
      <c r="F2617" s="62" t="s">
        <v>1936</v>
      </c>
      <c r="G2617" s="62" t="s">
        <v>411</v>
      </c>
      <c r="H2617" s="62" t="s">
        <v>468</v>
      </c>
      <c r="I2617" s="62" t="s">
        <v>825</v>
      </c>
      <c r="J2617" s="62" t="s">
        <v>551</v>
      </c>
      <c r="K2617" s="62" t="s">
        <v>428</v>
      </c>
      <c r="L2617" s="62" t="s">
        <v>2421</v>
      </c>
      <c r="M2617" s="66" t="s">
        <v>2021</v>
      </c>
    </row>
    <row r="2618" spans="1:13" x14ac:dyDescent="0.3">
      <c r="A2618" s="61" t="s">
        <v>2605</v>
      </c>
      <c r="B2618" s="62" t="s">
        <v>2606</v>
      </c>
      <c r="C2618" s="62" t="s">
        <v>2607</v>
      </c>
      <c r="D2618" s="63">
        <v>45866</v>
      </c>
      <c r="E2618" s="63">
        <v>46780</v>
      </c>
      <c r="F2618" s="62" t="s">
        <v>1936</v>
      </c>
      <c r="G2618" s="62" t="s">
        <v>605</v>
      </c>
      <c r="H2618" s="62" t="s">
        <v>468</v>
      </c>
      <c r="I2618" s="62" t="s">
        <v>825</v>
      </c>
      <c r="J2618" s="62" t="s">
        <v>551</v>
      </c>
      <c r="K2618" s="62" t="s">
        <v>428</v>
      </c>
      <c r="L2618" s="62" t="s">
        <v>2421</v>
      </c>
      <c r="M2618" s="66" t="s">
        <v>2021</v>
      </c>
    </row>
    <row r="2619" spans="1:13" x14ac:dyDescent="0.3">
      <c r="A2619" s="61" t="s">
        <v>2608</v>
      </c>
      <c r="B2619" s="62" t="s">
        <v>2609</v>
      </c>
      <c r="C2619" s="62" t="s">
        <v>2610</v>
      </c>
      <c r="D2619" s="63">
        <v>45870</v>
      </c>
      <c r="E2619" s="63">
        <v>46418</v>
      </c>
      <c r="F2619" s="62" t="s">
        <v>1922</v>
      </c>
      <c r="G2619" s="62" t="s">
        <v>383</v>
      </c>
      <c r="H2619" s="62" t="s">
        <v>664</v>
      </c>
      <c r="I2619" s="62" t="s">
        <v>825</v>
      </c>
      <c r="J2619" s="62" t="s">
        <v>639</v>
      </c>
      <c r="K2619" s="62" t="s">
        <v>371</v>
      </c>
      <c r="L2619" s="62" t="s">
        <v>2421</v>
      </c>
      <c r="M2619" s="66" t="s">
        <v>1970</v>
      </c>
    </row>
    <row r="2620" spans="1:13" x14ac:dyDescent="0.3">
      <c r="A2620" s="61" t="s">
        <v>2608</v>
      </c>
      <c r="B2620" s="62" t="s">
        <v>2609</v>
      </c>
      <c r="C2620" s="62" t="s">
        <v>2610</v>
      </c>
      <c r="D2620" s="63">
        <v>45870</v>
      </c>
      <c r="E2620" s="63">
        <v>46418</v>
      </c>
      <c r="F2620" s="62" t="s">
        <v>1922</v>
      </c>
      <c r="G2620" s="62" t="s">
        <v>387</v>
      </c>
      <c r="H2620" s="62" t="s">
        <v>664</v>
      </c>
      <c r="I2620" s="62" t="s">
        <v>825</v>
      </c>
      <c r="J2620" s="62" t="s">
        <v>639</v>
      </c>
      <c r="K2620" s="62" t="s">
        <v>371</v>
      </c>
      <c r="L2620" s="62" t="s">
        <v>2421</v>
      </c>
      <c r="M2620" s="66" t="s">
        <v>1970</v>
      </c>
    </row>
    <row r="2621" spans="1:13" x14ac:dyDescent="0.3">
      <c r="A2621" s="61" t="s">
        <v>2608</v>
      </c>
      <c r="B2621" s="62" t="s">
        <v>2609</v>
      </c>
      <c r="C2621" s="62" t="s">
        <v>2610</v>
      </c>
      <c r="D2621" s="63">
        <v>45870</v>
      </c>
      <c r="E2621" s="63">
        <v>46418</v>
      </c>
      <c r="F2621" s="62" t="s">
        <v>1930</v>
      </c>
      <c r="G2621" s="62" t="s">
        <v>721</v>
      </c>
      <c r="H2621" s="62" t="s">
        <v>664</v>
      </c>
      <c r="I2621" s="62" t="s">
        <v>825</v>
      </c>
      <c r="J2621" s="62" t="s">
        <v>639</v>
      </c>
      <c r="K2621" s="62" t="s">
        <v>371</v>
      </c>
      <c r="L2621" s="62" t="s">
        <v>2421</v>
      </c>
      <c r="M2621" s="66" t="s">
        <v>1970</v>
      </c>
    </row>
    <row r="2622" spans="1:13" x14ac:dyDescent="0.3">
      <c r="A2622" s="61" t="s">
        <v>2608</v>
      </c>
      <c r="B2622" s="62" t="s">
        <v>2609</v>
      </c>
      <c r="C2622" s="62" t="s">
        <v>2610</v>
      </c>
      <c r="D2622" s="63">
        <v>45870</v>
      </c>
      <c r="E2622" s="63">
        <v>46418</v>
      </c>
      <c r="F2622" s="62" t="s">
        <v>1930</v>
      </c>
      <c r="G2622" s="62" t="s">
        <v>723</v>
      </c>
      <c r="H2622" s="62" t="s">
        <v>664</v>
      </c>
      <c r="I2622" s="62" t="s">
        <v>825</v>
      </c>
      <c r="J2622" s="62" t="s">
        <v>639</v>
      </c>
      <c r="K2622" s="62" t="s">
        <v>371</v>
      </c>
      <c r="L2622" s="62" t="s">
        <v>2421</v>
      </c>
      <c r="M2622" s="66" t="s">
        <v>1970</v>
      </c>
    </row>
    <row r="2623" spans="1:13" x14ac:dyDescent="0.3">
      <c r="A2623" s="61" t="s">
        <v>2608</v>
      </c>
      <c r="B2623" s="62" t="s">
        <v>2609</v>
      </c>
      <c r="C2623" s="62" t="s">
        <v>2610</v>
      </c>
      <c r="D2623" s="63">
        <v>45870</v>
      </c>
      <c r="E2623" s="63">
        <v>46418</v>
      </c>
      <c r="F2623" s="62" t="s">
        <v>1936</v>
      </c>
      <c r="G2623" s="62" t="s">
        <v>730</v>
      </c>
      <c r="H2623" s="62" t="s">
        <v>664</v>
      </c>
      <c r="I2623" s="62" t="s">
        <v>825</v>
      </c>
      <c r="J2623" s="62" t="s">
        <v>639</v>
      </c>
      <c r="K2623" s="62" t="s">
        <v>371</v>
      </c>
      <c r="L2623" s="62" t="s">
        <v>2421</v>
      </c>
      <c r="M2623" s="66" t="s">
        <v>1970</v>
      </c>
    </row>
    <row r="2624" spans="1:13" x14ac:dyDescent="0.3">
      <c r="A2624" s="61" t="s">
        <v>2608</v>
      </c>
      <c r="B2624" s="62" t="s">
        <v>2609</v>
      </c>
      <c r="C2624" s="62" t="s">
        <v>2610</v>
      </c>
      <c r="D2624" s="63">
        <v>45870</v>
      </c>
      <c r="E2624" s="63">
        <v>46418</v>
      </c>
      <c r="F2624" s="62" t="s">
        <v>1936</v>
      </c>
      <c r="G2624" s="62" t="s">
        <v>604</v>
      </c>
      <c r="H2624" s="62" t="s">
        <v>664</v>
      </c>
      <c r="I2624" s="62" t="s">
        <v>825</v>
      </c>
      <c r="J2624" s="62" t="s">
        <v>639</v>
      </c>
      <c r="K2624" s="62" t="s">
        <v>371</v>
      </c>
      <c r="L2624" s="62" t="s">
        <v>2421</v>
      </c>
      <c r="M2624" s="66" t="s">
        <v>1970</v>
      </c>
    </row>
    <row r="2625" spans="1:13" x14ac:dyDescent="0.3">
      <c r="A2625" s="61" t="s">
        <v>2608</v>
      </c>
      <c r="B2625" s="62" t="s">
        <v>2609</v>
      </c>
      <c r="C2625" s="62" t="s">
        <v>2610</v>
      </c>
      <c r="D2625" s="63">
        <v>45870</v>
      </c>
      <c r="E2625" s="63">
        <v>46418</v>
      </c>
      <c r="F2625" s="62" t="s">
        <v>1921</v>
      </c>
      <c r="G2625" s="62" t="s">
        <v>484</v>
      </c>
      <c r="H2625" s="62" t="s">
        <v>664</v>
      </c>
      <c r="I2625" s="62" t="s">
        <v>825</v>
      </c>
      <c r="J2625" s="62" t="s">
        <v>639</v>
      </c>
      <c r="K2625" s="62" t="s">
        <v>371</v>
      </c>
      <c r="L2625" s="62" t="s">
        <v>2421</v>
      </c>
      <c r="M2625" s="66" t="s">
        <v>1970</v>
      </c>
    </row>
    <row r="2626" spans="1:13" x14ac:dyDescent="0.3">
      <c r="A2626" s="61" t="s">
        <v>2608</v>
      </c>
      <c r="B2626" s="62" t="s">
        <v>2609</v>
      </c>
      <c r="C2626" s="62" t="s">
        <v>2610</v>
      </c>
      <c r="D2626" s="63">
        <v>45870</v>
      </c>
      <c r="E2626" s="63">
        <v>46418</v>
      </c>
      <c r="F2626" s="62" t="s">
        <v>1940</v>
      </c>
      <c r="G2626" s="62" t="s">
        <v>451</v>
      </c>
      <c r="H2626" s="62" t="s">
        <v>664</v>
      </c>
      <c r="I2626" s="62" t="s">
        <v>825</v>
      </c>
      <c r="J2626" s="62" t="s">
        <v>639</v>
      </c>
      <c r="K2626" s="62" t="s">
        <v>371</v>
      </c>
      <c r="L2626" s="62" t="s">
        <v>2421</v>
      </c>
      <c r="M2626" s="66" t="s">
        <v>1970</v>
      </c>
    </row>
    <row r="2627" spans="1:13" x14ac:dyDescent="0.3">
      <c r="A2627" s="67" t="s">
        <v>2608</v>
      </c>
      <c r="B2627" s="28" t="s">
        <v>2609</v>
      </c>
      <c r="C2627" s="28" t="s">
        <v>2610</v>
      </c>
      <c r="D2627" s="29">
        <v>45870</v>
      </c>
      <c r="E2627" s="29">
        <v>46418</v>
      </c>
      <c r="F2627" s="28" t="s">
        <v>289</v>
      </c>
      <c r="G2627" s="28" t="s">
        <v>595</v>
      </c>
      <c r="H2627" s="28" t="s">
        <v>664</v>
      </c>
      <c r="I2627" s="28" t="s">
        <v>825</v>
      </c>
      <c r="J2627" s="28" t="s">
        <v>639</v>
      </c>
      <c r="K2627" s="28" t="s">
        <v>371</v>
      </c>
      <c r="L2627" s="28" t="s">
        <v>2421</v>
      </c>
      <c r="M2627" s="69" t="s">
        <v>1970</v>
      </c>
    </row>
    <row r="2628" spans="1:13" x14ac:dyDescent="0.3">
      <c r="A2628" s="67" t="s">
        <v>2608</v>
      </c>
      <c r="B2628" s="28" t="s">
        <v>2609</v>
      </c>
      <c r="C2628" s="28" t="s">
        <v>2610</v>
      </c>
      <c r="D2628" s="29">
        <v>45870</v>
      </c>
      <c r="E2628" s="29">
        <v>46418</v>
      </c>
      <c r="F2628" s="28" t="s">
        <v>1959</v>
      </c>
      <c r="G2628" s="28" t="s">
        <v>585</v>
      </c>
      <c r="H2628" s="28" t="s">
        <v>664</v>
      </c>
      <c r="I2628" s="28" t="s">
        <v>825</v>
      </c>
      <c r="J2628" s="28" t="s">
        <v>639</v>
      </c>
      <c r="K2628" s="28" t="s">
        <v>371</v>
      </c>
      <c r="L2628" s="28" t="s">
        <v>2421</v>
      </c>
      <c r="M2628" s="69" t="s">
        <v>1970</v>
      </c>
    </row>
    <row r="2629" spans="1:13" x14ac:dyDescent="0.3">
      <c r="A2629" s="67" t="s">
        <v>2611</v>
      </c>
      <c r="B2629" s="28" t="s">
        <v>2612</v>
      </c>
      <c r="C2629" s="28" t="s">
        <v>2613</v>
      </c>
      <c r="D2629" s="29">
        <v>45525</v>
      </c>
      <c r="E2629" s="29">
        <v>46255</v>
      </c>
      <c r="F2629" s="28" t="s">
        <v>1930</v>
      </c>
      <c r="G2629" s="28" t="s">
        <v>721</v>
      </c>
      <c r="H2629" s="28" t="s">
        <v>468</v>
      </c>
      <c r="I2629" s="28" t="s">
        <v>2443</v>
      </c>
      <c r="J2629" s="28" t="s">
        <v>558</v>
      </c>
      <c r="K2629" s="28" t="s">
        <v>426</v>
      </c>
      <c r="L2629" s="28" t="s">
        <v>2421</v>
      </c>
      <c r="M2629" s="69" t="s">
        <v>2021</v>
      </c>
    </row>
    <row r="2630" spans="1:13" x14ac:dyDescent="0.3">
      <c r="A2630" s="67" t="s">
        <v>2611</v>
      </c>
      <c r="B2630" s="28" t="s">
        <v>2612</v>
      </c>
      <c r="C2630" s="28" t="s">
        <v>2613</v>
      </c>
      <c r="D2630" s="29">
        <v>45525</v>
      </c>
      <c r="E2630" s="29">
        <v>46255</v>
      </c>
      <c r="F2630" s="28" t="s">
        <v>1930</v>
      </c>
      <c r="G2630" s="28" t="s">
        <v>453</v>
      </c>
      <c r="H2630" s="28" t="s">
        <v>468</v>
      </c>
      <c r="I2630" s="28" t="s">
        <v>2443</v>
      </c>
      <c r="J2630" s="28" t="s">
        <v>558</v>
      </c>
      <c r="K2630" s="28" t="s">
        <v>426</v>
      </c>
      <c r="L2630" s="28" t="s">
        <v>2421</v>
      </c>
      <c r="M2630" s="69" t="s">
        <v>2021</v>
      </c>
    </row>
    <row r="2631" spans="1:13" x14ac:dyDescent="0.3">
      <c r="A2631" s="67" t="s">
        <v>2611</v>
      </c>
      <c r="B2631" s="28" t="s">
        <v>2612</v>
      </c>
      <c r="C2631" s="28" t="s">
        <v>2613</v>
      </c>
      <c r="D2631" s="29">
        <v>45525</v>
      </c>
      <c r="E2631" s="29">
        <v>46255</v>
      </c>
      <c r="F2631" s="28" t="s">
        <v>1930</v>
      </c>
      <c r="G2631" s="28" t="s">
        <v>546</v>
      </c>
      <c r="H2631" s="28" t="s">
        <v>468</v>
      </c>
      <c r="I2631" s="28" t="s">
        <v>2443</v>
      </c>
      <c r="J2631" s="28" t="s">
        <v>558</v>
      </c>
      <c r="K2631" s="28" t="s">
        <v>426</v>
      </c>
      <c r="L2631" s="28" t="s">
        <v>2421</v>
      </c>
      <c r="M2631" s="69" t="s">
        <v>2021</v>
      </c>
    </row>
    <row r="2632" spans="1:13" x14ac:dyDescent="0.3">
      <c r="A2632" s="67" t="s">
        <v>2611</v>
      </c>
      <c r="B2632" s="28" t="s">
        <v>2612</v>
      </c>
      <c r="C2632" s="28" t="s">
        <v>2613</v>
      </c>
      <c r="D2632" s="29">
        <v>45525</v>
      </c>
      <c r="E2632" s="29">
        <v>46255</v>
      </c>
      <c r="F2632" s="28" t="s">
        <v>286</v>
      </c>
      <c r="G2632" s="28" t="s">
        <v>476</v>
      </c>
      <c r="H2632" s="28" t="s">
        <v>468</v>
      </c>
      <c r="I2632" s="28" t="s">
        <v>2443</v>
      </c>
      <c r="J2632" s="28" t="s">
        <v>558</v>
      </c>
      <c r="K2632" s="28" t="s">
        <v>426</v>
      </c>
      <c r="L2632" s="28" t="s">
        <v>2421</v>
      </c>
      <c r="M2632" s="69" t="s">
        <v>2021</v>
      </c>
    </row>
    <row r="2633" spans="1:13" x14ac:dyDescent="0.3">
      <c r="A2633" s="67" t="s">
        <v>2611</v>
      </c>
      <c r="B2633" s="28" t="s">
        <v>2612</v>
      </c>
      <c r="C2633" s="28" t="s">
        <v>2613</v>
      </c>
      <c r="D2633" s="29">
        <v>45525</v>
      </c>
      <c r="E2633" s="29">
        <v>46255</v>
      </c>
      <c r="F2633" s="28" t="s">
        <v>348</v>
      </c>
      <c r="G2633" s="28" t="s">
        <v>348</v>
      </c>
      <c r="H2633" s="28" t="s">
        <v>468</v>
      </c>
      <c r="I2633" s="28" t="s">
        <v>2443</v>
      </c>
      <c r="J2633" s="28" t="s">
        <v>558</v>
      </c>
      <c r="K2633" s="28" t="s">
        <v>426</v>
      </c>
      <c r="L2633" s="28" t="s">
        <v>2421</v>
      </c>
      <c r="M2633" s="69" t="s">
        <v>2021</v>
      </c>
    </row>
    <row r="2634" spans="1:13" x14ac:dyDescent="0.3">
      <c r="A2634" s="67" t="s">
        <v>2611</v>
      </c>
      <c r="B2634" s="28" t="s">
        <v>2612</v>
      </c>
      <c r="C2634" s="28" t="s">
        <v>2613</v>
      </c>
      <c r="D2634" s="29">
        <v>45525</v>
      </c>
      <c r="E2634" s="29">
        <v>46255</v>
      </c>
      <c r="F2634" s="28" t="s">
        <v>1936</v>
      </c>
      <c r="G2634" s="28" t="s">
        <v>730</v>
      </c>
      <c r="H2634" s="28" t="s">
        <v>468</v>
      </c>
      <c r="I2634" s="28" t="s">
        <v>2443</v>
      </c>
      <c r="J2634" s="28" t="s">
        <v>558</v>
      </c>
      <c r="K2634" s="28" t="s">
        <v>426</v>
      </c>
      <c r="L2634" s="28" t="s">
        <v>2421</v>
      </c>
      <c r="M2634" s="69" t="s">
        <v>2021</v>
      </c>
    </row>
    <row r="2635" spans="1:13" x14ac:dyDescent="0.3">
      <c r="A2635" s="67" t="s">
        <v>2611</v>
      </c>
      <c r="B2635" s="28" t="s">
        <v>2612</v>
      </c>
      <c r="C2635" s="28" t="s">
        <v>2613</v>
      </c>
      <c r="D2635" s="29">
        <v>45525</v>
      </c>
      <c r="E2635" s="29">
        <v>46255</v>
      </c>
      <c r="F2635" s="28" t="s">
        <v>287</v>
      </c>
      <c r="G2635" s="28" t="s">
        <v>390</v>
      </c>
      <c r="H2635" s="28" t="s">
        <v>468</v>
      </c>
      <c r="I2635" s="28" t="s">
        <v>2443</v>
      </c>
      <c r="J2635" s="28" t="s">
        <v>558</v>
      </c>
      <c r="K2635" s="28" t="s">
        <v>426</v>
      </c>
      <c r="L2635" s="28" t="s">
        <v>2421</v>
      </c>
      <c r="M2635" s="69" t="s">
        <v>2021</v>
      </c>
    </row>
    <row r="2636" spans="1:13" x14ac:dyDescent="0.3">
      <c r="A2636" s="67" t="s">
        <v>2611</v>
      </c>
      <c r="B2636" s="28" t="s">
        <v>2612</v>
      </c>
      <c r="C2636" s="28" t="s">
        <v>2613</v>
      </c>
      <c r="D2636" s="29">
        <v>45525</v>
      </c>
      <c r="E2636" s="29">
        <v>46255</v>
      </c>
      <c r="F2636" s="28" t="s">
        <v>1945</v>
      </c>
      <c r="G2636" s="28" t="s">
        <v>555</v>
      </c>
      <c r="H2636" s="28" t="s">
        <v>468</v>
      </c>
      <c r="I2636" s="28" t="s">
        <v>2443</v>
      </c>
      <c r="J2636" s="28" t="s">
        <v>558</v>
      </c>
      <c r="K2636" s="28" t="s">
        <v>426</v>
      </c>
      <c r="L2636" s="28" t="s">
        <v>2421</v>
      </c>
      <c r="M2636" s="69" t="s">
        <v>2021</v>
      </c>
    </row>
    <row r="2637" spans="1:13" x14ac:dyDescent="0.3">
      <c r="A2637" s="67" t="s">
        <v>2611</v>
      </c>
      <c r="B2637" s="28" t="s">
        <v>2612</v>
      </c>
      <c r="C2637" s="28" t="s">
        <v>2613</v>
      </c>
      <c r="D2637" s="29">
        <v>45525</v>
      </c>
      <c r="E2637" s="29">
        <v>46255</v>
      </c>
      <c r="F2637" s="28" t="s">
        <v>1930</v>
      </c>
      <c r="G2637" s="28" t="s">
        <v>721</v>
      </c>
      <c r="H2637" s="28" t="s">
        <v>1189</v>
      </c>
      <c r="I2637" s="28" t="s">
        <v>2443</v>
      </c>
      <c r="J2637" s="28" t="s">
        <v>558</v>
      </c>
      <c r="K2637" s="28" t="s">
        <v>426</v>
      </c>
      <c r="L2637" s="28" t="s">
        <v>2421</v>
      </c>
      <c r="M2637" s="69" t="s">
        <v>2021</v>
      </c>
    </row>
    <row r="2638" spans="1:13" x14ac:dyDescent="0.3">
      <c r="A2638" s="67" t="s">
        <v>2611</v>
      </c>
      <c r="B2638" s="28" t="s">
        <v>2612</v>
      </c>
      <c r="C2638" s="28" t="s">
        <v>2613</v>
      </c>
      <c r="D2638" s="29">
        <v>45525</v>
      </c>
      <c r="E2638" s="29">
        <v>46255</v>
      </c>
      <c r="F2638" s="28" t="s">
        <v>1930</v>
      </c>
      <c r="G2638" s="28" t="s">
        <v>453</v>
      </c>
      <c r="H2638" s="28" t="s">
        <v>1189</v>
      </c>
      <c r="I2638" s="28" t="s">
        <v>2443</v>
      </c>
      <c r="J2638" s="28" t="s">
        <v>558</v>
      </c>
      <c r="K2638" s="28" t="s">
        <v>426</v>
      </c>
      <c r="L2638" s="28" t="s">
        <v>2421</v>
      </c>
      <c r="M2638" s="69" t="s">
        <v>2021</v>
      </c>
    </row>
    <row r="2639" spans="1:13" x14ac:dyDescent="0.3">
      <c r="A2639" s="67" t="s">
        <v>2611</v>
      </c>
      <c r="B2639" s="28" t="s">
        <v>2612</v>
      </c>
      <c r="C2639" s="28" t="s">
        <v>2613</v>
      </c>
      <c r="D2639" s="29">
        <v>45525</v>
      </c>
      <c r="E2639" s="29">
        <v>46255</v>
      </c>
      <c r="F2639" s="28" t="s">
        <v>1930</v>
      </c>
      <c r="G2639" s="28" t="s">
        <v>546</v>
      </c>
      <c r="H2639" s="28" t="s">
        <v>1189</v>
      </c>
      <c r="I2639" s="28" t="s">
        <v>2443</v>
      </c>
      <c r="J2639" s="28" t="s">
        <v>558</v>
      </c>
      <c r="K2639" s="28" t="s">
        <v>426</v>
      </c>
      <c r="L2639" s="28" t="s">
        <v>2421</v>
      </c>
      <c r="M2639" s="69" t="s">
        <v>2021</v>
      </c>
    </row>
    <row r="2640" spans="1:13" x14ac:dyDescent="0.3">
      <c r="A2640" s="67" t="s">
        <v>2611</v>
      </c>
      <c r="B2640" s="28" t="s">
        <v>2612</v>
      </c>
      <c r="C2640" s="28" t="s">
        <v>2613</v>
      </c>
      <c r="D2640" s="29">
        <v>45525</v>
      </c>
      <c r="E2640" s="29">
        <v>46255</v>
      </c>
      <c r="F2640" s="28" t="s">
        <v>286</v>
      </c>
      <c r="G2640" s="28" t="s">
        <v>476</v>
      </c>
      <c r="H2640" s="28" t="s">
        <v>1189</v>
      </c>
      <c r="I2640" s="28" t="s">
        <v>2443</v>
      </c>
      <c r="J2640" s="28" t="s">
        <v>558</v>
      </c>
      <c r="K2640" s="28" t="s">
        <v>426</v>
      </c>
      <c r="L2640" s="28" t="s">
        <v>2421</v>
      </c>
      <c r="M2640" s="69" t="s">
        <v>2021</v>
      </c>
    </row>
    <row r="2641" spans="1:13" x14ac:dyDescent="0.3">
      <c r="A2641" s="67" t="s">
        <v>2611</v>
      </c>
      <c r="B2641" s="28" t="s">
        <v>2612</v>
      </c>
      <c r="C2641" s="28" t="s">
        <v>2613</v>
      </c>
      <c r="D2641" s="29">
        <v>45525</v>
      </c>
      <c r="E2641" s="29">
        <v>46255</v>
      </c>
      <c r="F2641" s="28" t="s">
        <v>348</v>
      </c>
      <c r="G2641" s="28" t="s">
        <v>348</v>
      </c>
      <c r="H2641" s="28" t="s">
        <v>1189</v>
      </c>
      <c r="I2641" s="28" t="s">
        <v>2443</v>
      </c>
      <c r="J2641" s="28" t="s">
        <v>558</v>
      </c>
      <c r="K2641" s="28" t="s">
        <v>426</v>
      </c>
      <c r="L2641" s="28" t="s">
        <v>2421</v>
      </c>
      <c r="M2641" s="69" t="s">
        <v>2021</v>
      </c>
    </row>
    <row r="2642" spans="1:13" x14ac:dyDescent="0.3">
      <c r="A2642" s="67" t="s">
        <v>2611</v>
      </c>
      <c r="B2642" s="28" t="s">
        <v>2612</v>
      </c>
      <c r="C2642" s="28" t="s">
        <v>2613</v>
      </c>
      <c r="D2642" s="29">
        <v>45525</v>
      </c>
      <c r="E2642" s="29">
        <v>46255</v>
      </c>
      <c r="F2642" s="28" t="s">
        <v>1936</v>
      </c>
      <c r="G2642" s="28" t="s">
        <v>730</v>
      </c>
      <c r="H2642" s="28" t="s">
        <v>1189</v>
      </c>
      <c r="I2642" s="28" t="s">
        <v>2443</v>
      </c>
      <c r="J2642" s="28" t="s">
        <v>558</v>
      </c>
      <c r="K2642" s="28" t="s">
        <v>426</v>
      </c>
      <c r="L2642" s="28" t="s">
        <v>2421</v>
      </c>
      <c r="M2642" s="69" t="s">
        <v>2021</v>
      </c>
    </row>
    <row r="2643" spans="1:13" x14ac:dyDescent="0.3">
      <c r="A2643" s="67" t="s">
        <v>2611</v>
      </c>
      <c r="B2643" s="28" t="s">
        <v>2612</v>
      </c>
      <c r="C2643" s="28" t="s">
        <v>2613</v>
      </c>
      <c r="D2643" s="29">
        <v>45525</v>
      </c>
      <c r="E2643" s="29">
        <v>46255</v>
      </c>
      <c r="F2643" s="28" t="s">
        <v>287</v>
      </c>
      <c r="G2643" s="28" t="s">
        <v>390</v>
      </c>
      <c r="H2643" s="28" t="s">
        <v>1189</v>
      </c>
      <c r="I2643" s="28" t="s">
        <v>2443</v>
      </c>
      <c r="J2643" s="28" t="s">
        <v>558</v>
      </c>
      <c r="K2643" s="28" t="s">
        <v>426</v>
      </c>
      <c r="L2643" s="28" t="s">
        <v>2421</v>
      </c>
      <c r="M2643" s="69" t="s">
        <v>2021</v>
      </c>
    </row>
    <row r="2644" spans="1:13" x14ac:dyDescent="0.3">
      <c r="A2644" s="67" t="s">
        <v>2611</v>
      </c>
      <c r="B2644" s="28" t="s">
        <v>2612</v>
      </c>
      <c r="C2644" s="28" t="s">
        <v>2613</v>
      </c>
      <c r="D2644" s="29">
        <v>45525</v>
      </c>
      <c r="E2644" s="29">
        <v>46255</v>
      </c>
      <c r="F2644" s="28" t="s">
        <v>1945</v>
      </c>
      <c r="G2644" s="28" t="s">
        <v>555</v>
      </c>
      <c r="H2644" s="28" t="s">
        <v>1189</v>
      </c>
      <c r="I2644" s="28" t="s">
        <v>2443</v>
      </c>
      <c r="J2644" s="28" t="s">
        <v>558</v>
      </c>
      <c r="K2644" s="28" t="s">
        <v>426</v>
      </c>
      <c r="L2644" s="28" t="s">
        <v>2421</v>
      </c>
      <c r="M2644" s="69" t="s">
        <v>2021</v>
      </c>
    </row>
    <row r="2645" spans="1:13" x14ac:dyDescent="0.3">
      <c r="A2645" s="67" t="s">
        <v>2611</v>
      </c>
      <c r="B2645" s="28" t="s">
        <v>2612</v>
      </c>
      <c r="C2645" s="28" t="s">
        <v>2613</v>
      </c>
      <c r="D2645" s="29">
        <v>45525</v>
      </c>
      <c r="E2645" s="29">
        <v>46255</v>
      </c>
      <c r="F2645" s="28" t="s">
        <v>1930</v>
      </c>
      <c r="G2645" s="28" t="s">
        <v>721</v>
      </c>
      <c r="H2645" s="28" t="s">
        <v>999</v>
      </c>
      <c r="I2645" s="28" t="s">
        <v>2443</v>
      </c>
      <c r="J2645" s="28" t="s">
        <v>558</v>
      </c>
      <c r="K2645" s="28" t="s">
        <v>426</v>
      </c>
      <c r="L2645" s="28" t="s">
        <v>2421</v>
      </c>
      <c r="M2645" s="69" t="s">
        <v>2021</v>
      </c>
    </row>
    <row r="2646" spans="1:13" x14ac:dyDescent="0.3">
      <c r="A2646" s="67" t="s">
        <v>2611</v>
      </c>
      <c r="B2646" s="28" t="s">
        <v>2612</v>
      </c>
      <c r="C2646" s="28" t="s">
        <v>2613</v>
      </c>
      <c r="D2646" s="29">
        <v>45525</v>
      </c>
      <c r="E2646" s="29">
        <v>46255</v>
      </c>
      <c r="F2646" s="28" t="s">
        <v>1930</v>
      </c>
      <c r="G2646" s="28" t="s">
        <v>453</v>
      </c>
      <c r="H2646" s="28" t="s">
        <v>999</v>
      </c>
      <c r="I2646" s="28" t="s">
        <v>2443</v>
      </c>
      <c r="J2646" s="28" t="s">
        <v>558</v>
      </c>
      <c r="K2646" s="28" t="s">
        <v>426</v>
      </c>
      <c r="L2646" s="28" t="s">
        <v>2421</v>
      </c>
      <c r="M2646" s="69" t="s">
        <v>2021</v>
      </c>
    </row>
    <row r="2647" spans="1:13" x14ac:dyDescent="0.3">
      <c r="A2647" s="67" t="s">
        <v>2611</v>
      </c>
      <c r="B2647" s="28" t="s">
        <v>2612</v>
      </c>
      <c r="C2647" s="28" t="s">
        <v>2613</v>
      </c>
      <c r="D2647" s="29">
        <v>45525</v>
      </c>
      <c r="E2647" s="29">
        <v>46255</v>
      </c>
      <c r="F2647" s="28" t="s">
        <v>1930</v>
      </c>
      <c r="G2647" s="28" t="s">
        <v>546</v>
      </c>
      <c r="H2647" s="28" t="s">
        <v>999</v>
      </c>
      <c r="I2647" s="28" t="s">
        <v>2443</v>
      </c>
      <c r="J2647" s="28" t="s">
        <v>558</v>
      </c>
      <c r="K2647" s="28" t="s">
        <v>426</v>
      </c>
      <c r="L2647" s="28" t="s">
        <v>2421</v>
      </c>
      <c r="M2647" s="69" t="s">
        <v>2021</v>
      </c>
    </row>
    <row r="2648" spans="1:13" x14ac:dyDescent="0.3">
      <c r="A2648" s="67" t="s">
        <v>2611</v>
      </c>
      <c r="B2648" s="28" t="s">
        <v>2612</v>
      </c>
      <c r="C2648" s="28" t="s">
        <v>2613</v>
      </c>
      <c r="D2648" s="29">
        <v>45525</v>
      </c>
      <c r="E2648" s="29">
        <v>46255</v>
      </c>
      <c r="F2648" s="28" t="s">
        <v>286</v>
      </c>
      <c r="G2648" s="28" t="s">
        <v>476</v>
      </c>
      <c r="H2648" s="28" t="s">
        <v>999</v>
      </c>
      <c r="I2648" s="28" t="s">
        <v>2443</v>
      </c>
      <c r="J2648" s="28" t="s">
        <v>558</v>
      </c>
      <c r="K2648" s="28" t="s">
        <v>426</v>
      </c>
      <c r="L2648" s="28" t="s">
        <v>2421</v>
      </c>
      <c r="M2648" s="69" t="s">
        <v>2021</v>
      </c>
    </row>
    <row r="2649" spans="1:13" x14ac:dyDescent="0.3">
      <c r="A2649" s="67" t="s">
        <v>2611</v>
      </c>
      <c r="B2649" s="28" t="s">
        <v>2612</v>
      </c>
      <c r="C2649" s="28" t="s">
        <v>2613</v>
      </c>
      <c r="D2649" s="29">
        <v>45525</v>
      </c>
      <c r="E2649" s="29">
        <v>46255</v>
      </c>
      <c r="F2649" s="28" t="s">
        <v>348</v>
      </c>
      <c r="G2649" s="28" t="s">
        <v>348</v>
      </c>
      <c r="H2649" s="28" t="s">
        <v>999</v>
      </c>
      <c r="I2649" s="28" t="s">
        <v>2443</v>
      </c>
      <c r="J2649" s="28" t="s">
        <v>558</v>
      </c>
      <c r="K2649" s="28" t="s">
        <v>426</v>
      </c>
      <c r="L2649" s="28" t="s">
        <v>2421</v>
      </c>
      <c r="M2649" s="69" t="s">
        <v>2021</v>
      </c>
    </row>
    <row r="2650" spans="1:13" x14ac:dyDescent="0.3">
      <c r="A2650" s="67" t="s">
        <v>2611</v>
      </c>
      <c r="B2650" s="28" t="s">
        <v>2612</v>
      </c>
      <c r="C2650" s="28" t="s">
        <v>2613</v>
      </c>
      <c r="D2650" s="29">
        <v>45525</v>
      </c>
      <c r="E2650" s="29">
        <v>46255</v>
      </c>
      <c r="F2650" s="28" t="s">
        <v>1936</v>
      </c>
      <c r="G2650" s="28" t="s">
        <v>730</v>
      </c>
      <c r="H2650" s="28" t="s">
        <v>999</v>
      </c>
      <c r="I2650" s="28" t="s">
        <v>2443</v>
      </c>
      <c r="J2650" s="28" t="s">
        <v>558</v>
      </c>
      <c r="K2650" s="28" t="s">
        <v>426</v>
      </c>
      <c r="L2650" s="28" t="s">
        <v>2421</v>
      </c>
      <c r="M2650" s="69" t="s">
        <v>2021</v>
      </c>
    </row>
    <row r="2651" spans="1:13" x14ac:dyDescent="0.3">
      <c r="A2651" s="67" t="s">
        <v>2611</v>
      </c>
      <c r="B2651" s="28" t="s">
        <v>2612</v>
      </c>
      <c r="C2651" s="28" t="s">
        <v>2613</v>
      </c>
      <c r="D2651" s="29">
        <v>45525</v>
      </c>
      <c r="E2651" s="29">
        <v>46255</v>
      </c>
      <c r="F2651" s="28" t="s">
        <v>287</v>
      </c>
      <c r="G2651" s="28" t="s">
        <v>390</v>
      </c>
      <c r="H2651" s="28" t="s">
        <v>999</v>
      </c>
      <c r="I2651" s="28" t="s">
        <v>2443</v>
      </c>
      <c r="J2651" s="28" t="s">
        <v>558</v>
      </c>
      <c r="K2651" s="28" t="s">
        <v>426</v>
      </c>
      <c r="L2651" s="28" t="s">
        <v>2421</v>
      </c>
      <c r="M2651" s="69" t="s">
        <v>2021</v>
      </c>
    </row>
    <row r="2652" spans="1:13" x14ac:dyDescent="0.3">
      <c r="A2652" s="67" t="s">
        <v>2611</v>
      </c>
      <c r="B2652" s="28" t="s">
        <v>2612</v>
      </c>
      <c r="C2652" s="28" t="s">
        <v>2613</v>
      </c>
      <c r="D2652" s="29">
        <v>45525</v>
      </c>
      <c r="E2652" s="29">
        <v>46255</v>
      </c>
      <c r="F2652" s="28" t="s">
        <v>1945</v>
      </c>
      <c r="G2652" s="28" t="s">
        <v>555</v>
      </c>
      <c r="H2652" s="28" t="s">
        <v>999</v>
      </c>
      <c r="I2652" s="28" t="s">
        <v>2443</v>
      </c>
      <c r="J2652" s="28" t="s">
        <v>558</v>
      </c>
      <c r="K2652" s="28" t="s">
        <v>426</v>
      </c>
      <c r="L2652" s="28" t="s">
        <v>2421</v>
      </c>
      <c r="M2652" s="69" t="s">
        <v>2021</v>
      </c>
    </row>
    <row r="2653" spans="1:13" x14ac:dyDescent="0.3">
      <c r="A2653" s="67" t="s">
        <v>2614</v>
      </c>
      <c r="B2653" s="28" t="s">
        <v>2615</v>
      </c>
      <c r="C2653" s="28" t="s">
        <v>946</v>
      </c>
      <c r="D2653" s="29">
        <v>45884</v>
      </c>
      <c r="E2653" s="29">
        <v>46142</v>
      </c>
      <c r="F2653" s="28" t="s">
        <v>287</v>
      </c>
      <c r="G2653" s="28" t="s">
        <v>589</v>
      </c>
      <c r="H2653" s="28" t="s">
        <v>373</v>
      </c>
      <c r="I2653" s="28" t="s">
        <v>2443</v>
      </c>
      <c r="J2653" s="28" t="s">
        <v>640</v>
      </c>
      <c r="K2653" s="28" t="s">
        <v>417</v>
      </c>
      <c r="L2653" s="28" t="s">
        <v>2421</v>
      </c>
      <c r="M2653" s="69" t="s">
        <v>1972</v>
      </c>
    </row>
    <row r="2654" spans="1:13" x14ac:dyDescent="0.3">
      <c r="A2654" s="67" t="s">
        <v>2614</v>
      </c>
      <c r="B2654" s="28" t="s">
        <v>2615</v>
      </c>
      <c r="C2654" s="28" t="s">
        <v>946</v>
      </c>
      <c r="D2654" s="29">
        <v>45884</v>
      </c>
      <c r="E2654" s="29">
        <v>46142</v>
      </c>
      <c r="F2654" s="28" t="s">
        <v>287</v>
      </c>
      <c r="G2654" s="28" t="s">
        <v>590</v>
      </c>
      <c r="H2654" s="28" t="s">
        <v>373</v>
      </c>
      <c r="I2654" s="28" t="s">
        <v>2443</v>
      </c>
      <c r="J2654" s="28" t="s">
        <v>640</v>
      </c>
      <c r="K2654" s="28" t="s">
        <v>417</v>
      </c>
      <c r="L2654" s="28" t="s">
        <v>2421</v>
      </c>
      <c r="M2654" s="69" t="s">
        <v>1972</v>
      </c>
    </row>
    <row r="2655" spans="1:13" x14ac:dyDescent="0.3">
      <c r="A2655" s="67" t="s">
        <v>2614</v>
      </c>
      <c r="B2655" s="28" t="s">
        <v>2615</v>
      </c>
      <c r="C2655" s="28" t="s">
        <v>946</v>
      </c>
      <c r="D2655" s="29">
        <v>45884</v>
      </c>
      <c r="E2655" s="29">
        <v>46142</v>
      </c>
      <c r="F2655" s="28" t="s">
        <v>287</v>
      </c>
      <c r="G2655" s="28" t="s">
        <v>591</v>
      </c>
      <c r="H2655" s="28" t="s">
        <v>373</v>
      </c>
      <c r="I2655" s="28" t="s">
        <v>2443</v>
      </c>
      <c r="J2655" s="28" t="s">
        <v>640</v>
      </c>
      <c r="K2655" s="28" t="s">
        <v>417</v>
      </c>
      <c r="L2655" s="28" t="s">
        <v>2421</v>
      </c>
      <c r="M2655" s="69" t="s">
        <v>1972</v>
      </c>
    </row>
    <row r="2656" spans="1:13" x14ac:dyDescent="0.3">
      <c r="A2656" s="67" t="s">
        <v>2614</v>
      </c>
      <c r="B2656" s="28" t="s">
        <v>2615</v>
      </c>
      <c r="C2656" s="28" t="s">
        <v>946</v>
      </c>
      <c r="D2656" s="29">
        <v>45884</v>
      </c>
      <c r="E2656" s="29">
        <v>46142</v>
      </c>
      <c r="F2656" s="28" t="s">
        <v>287</v>
      </c>
      <c r="G2656" s="28" t="s">
        <v>592</v>
      </c>
      <c r="H2656" s="28" t="s">
        <v>373</v>
      </c>
      <c r="I2656" s="28" t="s">
        <v>2443</v>
      </c>
      <c r="J2656" s="28" t="s">
        <v>640</v>
      </c>
      <c r="K2656" s="28" t="s">
        <v>417</v>
      </c>
      <c r="L2656" s="28" t="s">
        <v>2421</v>
      </c>
      <c r="M2656" s="69" t="s">
        <v>1972</v>
      </c>
    </row>
    <row r="2657" spans="1:13" x14ac:dyDescent="0.3">
      <c r="A2657" s="67" t="s">
        <v>2614</v>
      </c>
      <c r="B2657" s="28" t="s">
        <v>2615</v>
      </c>
      <c r="C2657" s="28" t="s">
        <v>946</v>
      </c>
      <c r="D2657" s="29">
        <v>45884</v>
      </c>
      <c r="E2657" s="29">
        <v>46142</v>
      </c>
      <c r="F2657" s="28" t="s">
        <v>287</v>
      </c>
      <c r="G2657" s="28" t="s">
        <v>425</v>
      </c>
      <c r="H2657" s="28" t="s">
        <v>373</v>
      </c>
      <c r="I2657" s="28" t="s">
        <v>2443</v>
      </c>
      <c r="J2657" s="28" t="s">
        <v>640</v>
      </c>
      <c r="K2657" s="28" t="s">
        <v>417</v>
      </c>
      <c r="L2657" s="28" t="s">
        <v>2421</v>
      </c>
      <c r="M2657" s="69" t="s">
        <v>1972</v>
      </c>
    </row>
    <row r="2658" spans="1:13" x14ac:dyDescent="0.3">
      <c r="A2658" s="67" t="s">
        <v>2614</v>
      </c>
      <c r="B2658" s="28" t="s">
        <v>2615</v>
      </c>
      <c r="C2658" s="28" t="s">
        <v>946</v>
      </c>
      <c r="D2658" s="29">
        <v>45884</v>
      </c>
      <c r="E2658" s="29">
        <v>46142</v>
      </c>
      <c r="F2658" s="28" t="s">
        <v>287</v>
      </c>
      <c r="G2658" s="28" t="s">
        <v>593</v>
      </c>
      <c r="H2658" s="28" t="s">
        <v>373</v>
      </c>
      <c r="I2658" s="28" t="s">
        <v>2443</v>
      </c>
      <c r="J2658" s="28" t="s">
        <v>640</v>
      </c>
      <c r="K2658" s="28" t="s">
        <v>417</v>
      </c>
      <c r="L2658" s="28" t="s">
        <v>2421</v>
      </c>
      <c r="M2658" s="69" t="s">
        <v>1972</v>
      </c>
    </row>
    <row r="2659" spans="1:13" x14ac:dyDescent="0.3">
      <c r="A2659" s="67" t="s">
        <v>2614</v>
      </c>
      <c r="B2659" s="28" t="s">
        <v>2615</v>
      </c>
      <c r="C2659" s="28" t="s">
        <v>946</v>
      </c>
      <c r="D2659" s="29">
        <v>45884</v>
      </c>
      <c r="E2659" s="29">
        <v>46142</v>
      </c>
      <c r="F2659" s="28" t="s">
        <v>287</v>
      </c>
      <c r="G2659" s="28" t="s">
        <v>396</v>
      </c>
      <c r="H2659" s="28" t="s">
        <v>373</v>
      </c>
      <c r="I2659" s="28" t="s">
        <v>2443</v>
      </c>
      <c r="J2659" s="28" t="s">
        <v>640</v>
      </c>
      <c r="K2659" s="28" t="s">
        <v>417</v>
      </c>
      <c r="L2659" s="28" t="s">
        <v>2421</v>
      </c>
      <c r="M2659" s="69" t="s">
        <v>1972</v>
      </c>
    </row>
    <row r="2660" spans="1:13" x14ac:dyDescent="0.3">
      <c r="A2660" s="67" t="s">
        <v>2614</v>
      </c>
      <c r="B2660" s="28" t="s">
        <v>2615</v>
      </c>
      <c r="C2660" s="28" t="s">
        <v>946</v>
      </c>
      <c r="D2660" s="29">
        <v>45884</v>
      </c>
      <c r="E2660" s="29">
        <v>46142</v>
      </c>
      <c r="F2660" s="28" t="s">
        <v>1922</v>
      </c>
      <c r="G2660" s="28" t="s">
        <v>349</v>
      </c>
      <c r="H2660" s="28" t="s">
        <v>373</v>
      </c>
      <c r="I2660" s="28" t="s">
        <v>2443</v>
      </c>
      <c r="J2660" s="28" t="s">
        <v>640</v>
      </c>
      <c r="K2660" s="28" t="s">
        <v>417</v>
      </c>
      <c r="L2660" s="28" t="s">
        <v>2421</v>
      </c>
      <c r="M2660" s="69" t="s">
        <v>1972</v>
      </c>
    </row>
    <row r="2661" spans="1:13" x14ac:dyDescent="0.3">
      <c r="A2661" s="67" t="s">
        <v>2614</v>
      </c>
      <c r="B2661" s="28" t="s">
        <v>2615</v>
      </c>
      <c r="C2661" s="28" t="s">
        <v>946</v>
      </c>
      <c r="D2661" s="29">
        <v>45884</v>
      </c>
      <c r="E2661" s="29">
        <v>46142</v>
      </c>
      <c r="F2661" s="28" t="s">
        <v>1922</v>
      </c>
      <c r="G2661" s="28" t="s">
        <v>836</v>
      </c>
      <c r="H2661" s="28" t="s">
        <v>373</v>
      </c>
      <c r="I2661" s="28" t="s">
        <v>2443</v>
      </c>
      <c r="J2661" s="28" t="s">
        <v>640</v>
      </c>
      <c r="K2661" s="28" t="s">
        <v>417</v>
      </c>
      <c r="L2661" s="28" t="s">
        <v>2421</v>
      </c>
      <c r="M2661" s="69" t="s">
        <v>1972</v>
      </c>
    </row>
    <row r="2662" spans="1:13" x14ac:dyDescent="0.3">
      <c r="A2662" s="67" t="s">
        <v>2614</v>
      </c>
      <c r="B2662" s="28" t="s">
        <v>2615</v>
      </c>
      <c r="C2662" s="28" t="s">
        <v>946</v>
      </c>
      <c r="D2662" s="29">
        <v>45884</v>
      </c>
      <c r="E2662" s="29">
        <v>46142</v>
      </c>
      <c r="F2662" s="28" t="s">
        <v>1922</v>
      </c>
      <c r="G2662" s="28" t="s">
        <v>385</v>
      </c>
      <c r="H2662" s="28" t="s">
        <v>373</v>
      </c>
      <c r="I2662" s="28" t="s">
        <v>2443</v>
      </c>
      <c r="J2662" s="28" t="s">
        <v>640</v>
      </c>
      <c r="K2662" s="28" t="s">
        <v>417</v>
      </c>
      <c r="L2662" s="28" t="s">
        <v>2421</v>
      </c>
      <c r="M2662" s="69" t="s">
        <v>1972</v>
      </c>
    </row>
    <row r="2663" spans="1:13" x14ac:dyDescent="0.3">
      <c r="A2663" s="67" t="s">
        <v>2614</v>
      </c>
      <c r="B2663" s="28" t="s">
        <v>2615</v>
      </c>
      <c r="C2663" s="28" t="s">
        <v>946</v>
      </c>
      <c r="D2663" s="29">
        <v>45884</v>
      </c>
      <c r="E2663" s="29">
        <v>46142</v>
      </c>
      <c r="F2663" s="28" t="s">
        <v>1922</v>
      </c>
      <c r="G2663" s="28" t="s">
        <v>386</v>
      </c>
      <c r="H2663" s="28" t="s">
        <v>373</v>
      </c>
      <c r="I2663" s="28" t="s">
        <v>2443</v>
      </c>
      <c r="J2663" s="28" t="s">
        <v>640</v>
      </c>
      <c r="K2663" s="28" t="s">
        <v>417</v>
      </c>
      <c r="L2663" s="28" t="s">
        <v>2421</v>
      </c>
      <c r="M2663" s="69" t="s">
        <v>1972</v>
      </c>
    </row>
    <row r="2664" spans="1:13" x14ac:dyDescent="0.3">
      <c r="A2664" s="67" t="s">
        <v>2614</v>
      </c>
      <c r="B2664" s="28" t="s">
        <v>2615</v>
      </c>
      <c r="C2664" s="28" t="s">
        <v>946</v>
      </c>
      <c r="D2664" s="29">
        <v>45884</v>
      </c>
      <c r="E2664" s="29">
        <v>46142</v>
      </c>
      <c r="F2664" s="28" t="s">
        <v>1922</v>
      </c>
      <c r="G2664" s="28" t="s">
        <v>387</v>
      </c>
      <c r="H2664" s="28" t="s">
        <v>373</v>
      </c>
      <c r="I2664" s="28" t="s">
        <v>2443</v>
      </c>
      <c r="J2664" s="28" t="s">
        <v>640</v>
      </c>
      <c r="K2664" s="28" t="s">
        <v>417</v>
      </c>
      <c r="L2664" s="28" t="s">
        <v>2421</v>
      </c>
      <c r="M2664" s="69" t="s">
        <v>1972</v>
      </c>
    </row>
    <row r="2665" spans="1:13" x14ac:dyDescent="0.3">
      <c r="A2665" s="67" t="s">
        <v>2614</v>
      </c>
      <c r="B2665" s="28" t="s">
        <v>2615</v>
      </c>
      <c r="C2665" s="28" t="s">
        <v>946</v>
      </c>
      <c r="D2665" s="29">
        <v>45884</v>
      </c>
      <c r="E2665" s="29">
        <v>46142</v>
      </c>
      <c r="F2665" s="28" t="s">
        <v>282</v>
      </c>
      <c r="G2665" s="28" t="s">
        <v>854</v>
      </c>
      <c r="H2665" s="28" t="s">
        <v>373</v>
      </c>
      <c r="I2665" s="28" t="s">
        <v>2443</v>
      </c>
      <c r="J2665" s="28" t="s">
        <v>640</v>
      </c>
      <c r="K2665" s="28" t="s">
        <v>417</v>
      </c>
      <c r="L2665" s="28" t="s">
        <v>2421</v>
      </c>
      <c r="M2665" s="69" t="s">
        <v>1972</v>
      </c>
    </row>
    <row r="2666" spans="1:13" x14ac:dyDescent="0.3">
      <c r="A2666" s="67" t="s">
        <v>2614</v>
      </c>
      <c r="B2666" s="28" t="s">
        <v>2615</v>
      </c>
      <c r="C2666" s="28" t="s">
        <v>946</v>
      </c>
      <c r="D2666" s="29">
        <v>45884</v>
      </c>
      <c r="E2666" s="29">
        <v>46142</v>
      </c>
      <c r="F2666" s="28" t="s">
        <v>282</v>
      </c>
      <c r="G2666" s="28" t="s">
        <v>1258</v>
      </c>
      <c r="H2666" s="28" t="s">
        <v>373</v>
      </c>
      <c r="I2666" s="28" t="s">
        <v>2443</v>
      </c>
      <c r="J2666" s="28" t="s">
        <v>640</v>
      </c>
      <c r="K2666" s="28" t="s">
        <v>417</v>
      </c>
      <c r="L2666" s="28" t="s">
        <v>2421</v>
      </c>
      <c r="M2666" s="69" t="s">
        <v>1972</v>
      </c>
    </row>
    <row r="2667" spans="1:13" x14ac:dyDescent="0.3">
      <c r="A2667" s="67" t="s">
        <v>2614</v>
      </c>
      <c r="B2667" s="28" t="s">
        <v>2615</v>
      </c>
      <c r="C2667" s="28" t="s">
        <v>946</v>
      </c>
      <c r="D2667" s="29">
        <v>45884</v>
      </c>
      <c r="E2667" s="29">
        <v>46142</v>
      </c>
      <c r="F2667" s="28" t="s">
        <v>282</v>
      </c>
      <c r="G2667" s="28" t="s">
        <v>439</v>
      </c>
      <c r="H2667" s="28" t="s">
        <v>373</v>
      </c>
      <c r="I2667" s="28" t="s">
        <v>2443</v>
      </c>
      <c r="J2667" s="28" t="s">
        <v>640</v>
      </c>
      <c r="K2667" s="28" t="s">
        <v>417</v>
      </c>
      <c r="L2667" s="28" t="s">
        <v>2421</v>
      </c>
      <c r="M2667" s="69" t="s">
        <v>1972</v>
      </c>
    </row>
    <row r="2668" spans="1:13" x14ac:dyDescent="0.3">
      <c r="A2668" s="67" t="s">
        <v>2614</v>
      </c>
      <c r="B2668" s="28" t="s">
        <v>2615</v>
      </c>
      <c r="C2668" s="28" t="s">
        <v>946</v>
      </c>
      <c r="D2668" s="29">
        <v>45884</v>
      </c>
      <c r="E2668" s="29">
        <v>46142</v>
      </c>
      <c r="F2668" s="28" t="s">
        <v>282</v>
      </c>
      <c r="G2668" s="28" t="s">
        <v>870</v>
      </c>
      <c r="H2668" s="28" t="s">
        <v>373</v>
      </c>
      <c r="I2668" s="28" t="s">
        <v>2443</v>
      </c>
      <c r="J2668" s="28" t="s">
        <v>640</v>
      </c>
      <c r="K2668" s="28" t="s">
        <v>417</v>
      </c>
      <c r="L2668" s="28" t="s">
        <v>2421</v>
      </c>
      <c r="M2668" s="69" t="s">
        <v>1972</v>
      </c>
    </row>
    <row r="2669" spans="1:13" x14ac:dyDescent="0.3">
      <c r="A2669" s="67" t="s">
        <v>2614</v>
      </c>
      <c r="B2669" s="28" t="s">
        <v>2615</v>
      </c>
      <c r="C2669" s="28" t="s">
        <v>946</v>
      </c>
      <c r="D2669" s="29">
        <v>45884</v>
      </c>
      <c r="E2669" s="29">
        <v>46142</v>
      </c>
      <c r="F2669" s="28" t="s">
        <v>1921</v>
      </c>
      <c r="G2669" s="28" t="s">
        <v>559</v>
      </c>
      <c r="H2669" s="28" t="s">
        <v>373</v>
      </c>
      <c r="I2669" s="28" t="s">
        <v>2443</v>
      </c>
      <c r="J2669" s="28" t="s">
        <v>640</v>
      </c>
      <c r="K2669" s="28" t="s">
        <v>417</v>
      </c>
      <c r="L2669" s="28" t="s">
        <v>2421</v>
      </c>
      <c r="M2669" s="69" t="s">
        <v>1972</v>
      </c>
    </row>
    <row r="2670" spans="1:13" x14ac:dyDescent="0.3">
      <c r="A2670" s="67" t="s">
        <v>2614</v>
      </c>
      <c r="B2670" s="28" t="s">
        <v>2615</v>
      </c>
      <c r="C2670" s="28" t="s">
        <v>946</v>
      </c>
      <c r="D2670" s="29">
        <v>45884</v>
      </c>
      <c r="E2670" s="29">
        <v>46142</v>
      </c>
      <c r="F2670" s="28" t="s">
        <v>1921</v>
      </c>
      <c r="G2670" s="28" t="s">
        <v>487</v>
      </c>
      <c r="H2670" s="28" t="s">
        <v>373</v>
      </c>
      <c r="I2670" s="28" t="s">
        <v>2443</v>
      </c>
      <c r="J2670" s="28" t="s">
        <v>640</v>
      </c>
      <c r="K2670" s="28" t="s">
        <v>417</v>
      </c>
      <c r="L2670" s="28" t="s">
        <v>2421</v>
      </c>
      <c r="M2670" s="69" t="s">
        <v>1972</v>
      </c>
    </row>
    <row r="2671" spans="1:13" x14ac:dyDescent="0.3">
      <c r="A2671" s="67" t="s">
        <v>2616</v>
      </c>
      <c r="B2671" s="28" t="s">
        <v>2617</v>
      </c>
      <c r="C2671" s="28" t="s">
        <v>2618</v>
      </c>
      <c r="D2671" s="29">
        <v>45908</v>
      </c>
      <c r="E2671" s="29">
        <v>46450</v>
      </c>
      <c r="F2671" s="28" t="s">
        <v>1961</v>
      </c>
      <c r="G2671" s="28" t="s">
        <v>2619</v>
      </c>
      <c r="H2671" s="28" t="s">
        <v>939</v>
      </c>
      <c r="I2671" s="28" t="s">
        <v>825</v>
      </c>
      <c r="J2671" s="28" t="s">
        <v>644</v>
      </c>
      <c r="K2671" s="28" t="s">
        <v>371</v>
      </c>
      <c r="L2671" s="28" t="s">
        <v>2421</v>
      </c>
      <c r="M2671" s="69" t="s">
        <v>1972</v>
      </c>
    </row>
    <row r="2672" spans="1:13" x14ac:dyDescent="0.3">
      <c r="A2672" s="67" t="s">
        <v>2616</v>
      </c>
      <c r="B2672" s="28" t="s">
        <v>2617</v>
      </c>
      <c r="C2672" s="28" t="s">
        <v>2618</v>
      </c>
      <c r="D2672" s="29">
        <v>45908</v>
      </c>
      <c r="E2672" s="29">
        <v>46450</v>
      </c>
      <c r="F2672" s="28" t="s">
        <v>1961</v>
      </c>
      <c r="G2672" s="28" t="s">
        <v>2620</v>
      </c>
      <c r="H2672" s="28" t="s">
        <v>939</v>
      </c>
      <c r="I2672" s="28" t="s">
        <v>825</v>
      </c>
      <c r="J2672" s="28" t="s">
        <v>644</v>
      </c>
      <c r="K2672" s="28" t="s">
        <v>371</v>
      </c>
      <c r="L2672" s="28" t="s">
        <v>2421</v>
      </c>
      <c r="M2672" s="69" t="s">
        <v>1972</v>
      </c>
    </row>
    <row r="2673" spans="1:13" x14ac:dyDescent="0.3">
      <c r="A2673" s="67" t="s">
        <v>2616</v>
      </c>
      <c r="B2673" s="28" t="s">
        <v>2617</v>
      </c>
      <c r="C2673" s="28" t="s">
        <v>2618</v>
      </c>
      <c r="D2673" s="29">
        <v>45908</v>
      </c>
      <c r="E2673" s="29">
        <v>46450</v>
      </c>
      <c r="F2673" s="28" t="s">
        <v>1961</v>
      </c>
      <c r="G2673" s="28" t="s">
        <v>2621</v>
      </c>
      <c r="H2673" s="28" t="s">
        <v>939</v>
      </c>
      <c r="I2673" s="28" t="s">
        <v>825</v>
      </c>
      <c r="J2673" s="28" t="s">
        <v>644</v>
      </c>
      <c r="K2673" s="28" t="s">
        <v>371</v>
      </c>
      <c r="L2673" s="28" t="s">
        <v>2421</v>
      </c>
      <c r="M2673" s="69" t="s">
        <v>1972</v>
      </c>
    </row>
    <row r="2674" spans="1:13" x14ac:dyDescent="0.3">
      <c r="A2674" s="67" t="s">
        <v>2616</v>
      </c>
      <c r="B2674" s="28" t="s">
        <v>2617</v>
      </c>
      <c r="C2674" s="28" t="s">
        <v>2618</v>
      </c>
      <c r="D2674" s="29">
        <v>45908</v>
      </c>
      <c r="E2674" s="29">
        <v>46450</v>
      </c>
      <c r="F2674" s="28" t="s">
        <v>1961</v>
      </c>
      <c r="G2674" s="28" t="s">
        <v>1400</v>
      </c>
      <c r="H2674" s="28" t="s">
        <v>939</v>
      </c>
      <c r="I2674" s="28" t="s">
        <v>825</v>
      </c>
      <c r="J2674" s="28" t="s">
        <v>644</v>
      </c>
      <c r="K2674" s="28" t="s">
        <v>371</v>
      </c>
      <c r="L2674" s="28" t="s">
        <v>2421</v>
      </c>
      <c r="M2674" s="69" t="s">
        <v>1972</v>
      </c>
    </row>
    <row r="2675" spans="1:13" x14ac:dyDescent="0.3">
      <c r="A2675" s="67" t="s">
        <v>2616</v>
      </c>
      <c r="B2675" s="28" t="s">
        <v>2617</v>
      </c>
      <c r="C2675" s="28" t="s">
        <v>2618</v>
      </c>
      <c r="D2675" s="29">
        <v>45908</v>
      </c>
      <c r="E2675" s="29">
        <v>46450</v>
      </c>
      <c r="F2675" s="28" t="s">
        <v>1961</v>
      </c>
      <c r="G2675" s="28" t="s">
        <v>2622</v>
      </c>
      <c r="H2675" s="28" t="s">
        <v>939</v>
      </c>
      <c r="I2675" s="28" t="s">
        <v>825</v>
      </c>
      <c r="J2675" s="28" t="s">
        <v>644</v>
      </c>
      <c r="K2675" s="28" t="s">
        <v>371</v>
      </c>
      <c r="L2675" s="28" t="s">
        <v>2421</v>
      </c>
      <c r="M2675" s="69" t="s">
        <v>1972</v>
      </c>
    </row>
    <row r="2676" spans="1:13" x14ac:dyDescent="0.3">
      <c r="A2676" s="67" t="s">
        <v>2616</v>
      </c>
      <c r="B2676" s="28" t="s">
        <v>2617</v>
      </c>
      <c r="C2676" s="28" t="s">
        <v>2618</v>
      </c>
      <c r="D2676" s="29">
        <v>45908</v>
      </c>
      <c r="E2676" s="29">
        <v>46450</v>
      </c>
      <c r="F2676" s="28" t="s">
        <v>1958</v>
      </c>
      <c r="G2676" s="28" t="s">
        <v>330</v>
      </c>
      <c r="H2676" s="28" t="s">
        <v>939</v>
      </c>
      <c r="I2676" s="28" t="s">
        <v>825</v>
      </c>
      <c r="J2676" s="28" t="s">
        <v>644</v>
      </c>
      <c r="K2676" s="28" t="s">
        <v>371</v>
      </c>
      <c r="L2676" s="28" t="s">
        <v>2421</v>
      </c>
      <c r="M2676" s="69" t="s">
        <v>1972</v>
      </c>
    </row>
    <row r="2677" spans="1:13" x14ac:dyDescent="0.3">
      <c r="A2677" s="67" t="s">
        <v>2616</v>
      </c>
      <c r="B2677" s="28" t="s">
        <v>2617</v>
      </c>
      <c r="C2677" s="28" t="s">
        <v>2618</v>
      </c>
      <c r="D2677" s="29">
        <v>45908</v>
      </c>
      <c r="E2677" s="29">
        <v>46450</v>
      </c>
      <c r="F2677" s="28" t="s">
        <v>1958</v>
      </c>
      <c r="G2677" s="28" t="s">
        <v>628</v>
      </c>
      <c r="H2677" s="28" t="s">
        <v>939</v>
      </c>
      <c r="I2677" s="28" t="s">
        <v>825</v>
      </c>
      <c r="J2677" s="28" t="s">
        <v>644</v>
      </c>
      <c r="K2677" s="28" t="s">
        <v>371</v>
      </c>
      <c r="L2677" s="28" t="s">
        <v>2421</v>
      </c>
      <c r="M2677" s="69" t="s">
        <v>1972</v>
      </c>
    </row>
    <row r="2678" spans="1:13" x14ac:dyDescent="0.3">
      <c r="A2678" s="67" t="s">
        <v>2623</v>
      </c>
      <c r="B2678" s="28" t="s">
        <v>2624</v>
      </c>
      <c r="C2678" s="28" t="s">
        <v>2625</v>
      </c>
      <c r="D2678" s="29">
        <v>45717</v>
      </c>
      <c r="E2678" s="29">
        <v>46081</v>
      </c>
      <c r="F2678" s="28" t="s">
        <v>350</v>
      </c>
      <c r="G2678" s="28" t="s">
        <v>304</v>
      </c>
      <c r="H2678" s="28" t="s">
        <v>373</v>
      </c>
      <c r="I2678" s="28" t="s">
        <v>825</v>
      </c>
      <c r="J2678" s="28" t="s">
        <v>558</v>
      </c>
      <c r="K2678" s="28" t="s">
        <v>426</v>
      </c>
      <c r="L2678" s="28" t="s">
        <v>2421</v>
      </c>
      <c r="M2678" s="69" t="s">
        <v>1972</v>
      </c>
    </row>
    <row r="2679" spans="1:13" x14ac:dyDescent="0.3">
      <c r="A2679" s="67" t="s">
        <v>2626</v>
      </c>
      <c r="B2679" s="28" t="s">
        <v>2627</v>
      </c>
      <c r="C2679" s="28" t="s">
        <v>820</v>
      </c>
      <c r="D2679" s="29">
        <v>45861</v>
      </c>
      <c r="E2679" s="29">
        <v>46752</v>
      </c>
      <c r="F2679" s="28" t="s">
        <v>1916</v>
      </c>
      <c r="G2679" s="28" t="s">
        <v>304</v>
      </c>
      <c r="H2679" s="28" t="s">
        <v>352</v>
      </c>
      <c r="I2679" s="28" t="s">
        <v>1518</v>
      </c>
      <c r="J2679" s="28" t="s">
        <v>778</v>
      </c>
      <c r="K2679" s="28" t="s">
        <v>459</v>
      </c>
      <c r="L2679" s="28" t="s">
        <v>2421</v>
      </c>
      <c r="M2679" s="69" t="s">
        <v>1971</v>
      </c>
    </row>
    <row r="2680" spans="1:13" x14ac:dyDescent="0.3">
      <c r="A2680" s="67" t="s">
        <v>2626</v>
      </c>
      <c r="B2680" s="28" t="s">
        <v>2627</v>
      </c>
      <c r="C2680" s="28" t="s">
        <v>820</v>
      </c>
      <c r="D2680" s="29">
        <v>45861</v>
      </c>
      <c r="E2680" s="29">
        <v>46752</v>
      </c>
      <c r="F2680" s="28" t="s">
        <v>1934</v>
      </c>
      <c r="G2680" s="28" t="s">
        <v>304</v>
      </c>
      <c r="H2680" s="28" t="s">
        <v>352</v>
      </c>
      <c r="I2680" s="28" t="s">
        <v>1518</v>
      </c>
      <c r="J2680" s="28" t="s">
        <v>778</v>
      </c>
      <c r="K2680" s="28" t="s">
        <v>459</v>
      </c>
      <c r="L2680" s="28" t="s">
        <v>2421</v>
      </c>
      <c r="M2680" s="69" t="s">
        <v>1971</v>
      </c>
    </row>
    <row r="2681" spans="1:13" x14ac:dyDescent="0.3">
      <c r="A2681" s="67" t="s">
        <v>2626</v>
      </c>
      <c r="B2681" s="28" t="s">
        <v>2627</v>
      </c>
      <c r="C2681" s="28" t="s">
        <v>820</v>
      </c>
      <c r="D2681" s="29">
        <v>45861</v>
      </c>
      <c r="E2681" s="29">
        <v>46752</v>
      </c>
      <c r="F2681" s="28" t="s">
        <v>1958</v>
      </c>
      <c r="G2681" s="28" t="s">
        <v>304</v>
      </c>
      <c r="H2681" s="28" t="s">
        <v>352</v>
      </c>
      <c r="I2681" s="28" t="s">
        <v>1518</v>
      </c>
      <c r="J2681" s="28" t="s">
        <v>778</v>
      </c>
      <c r="K2681" s="28" t="s">
        <v>459</v>
      </c>
      <c r="L2681" s="28" t="s">
        <v>2421</v>
      </c>
      <c r="M2681" s="69" t="s">
        <v>1971</v>
      </c>
    </row>
    <row r="2682" spans="1:13" x14ac:dyDescent="0.3">
      <c r="A2682" s="67" t="s">
        <v>2626</v>
      </c>
      <c r="B2682" s="28" t="s">
        <v>2627</v>
      </c>
      <c r="C2682" s="28" t="s">
        <v>820</v>
      </c>
      <c r="D2682" s="29">
        <v>45861</v>
      </c>
      <c r="E2682" s="29">
        <v>46752</v>
      </c>
      <c r="F2682" s="28" t="s">
        <v>1961</v>
      </c>
      <c r="G2682" s="28" t="s">
        <v>304</v>
      </c>
      <c r="H2682" s="28" t="s">
        <v>352</v>
      </c>
      <c r="I2682" s="28" t="s">
        <v>1518</v>
      </c>
      <c r="J2682" s="28" t="s">
        <v>778</v>
      </c>
      <c r="K2682" s="28" t="s">
        <v>459</v>
      </c>
      <c r="L2682" s="28" t="s">
        <v>2421</v>
      </c>
      <c r="M2682" s="69" t="s">
        <v>1971</v>
      </c>
    </row>
    <row r="2683" spans="1:13" x14ac:dyDescent="0.3">
      <c r="A2683" s="67" t="s">
        <v>2626</v>
      </c>
      <c r="B2683" s="28" t="s">
        <v>2627</v>
      </c>
      <c r="C2683" s="28" t="s">
        <v>820</v>
      </c>
      <c r="D2683" s="29">
        <v>45861</v>
      </c>
      <c r="E2683" s="29">
        <v>46752</v>
      </c>
      <c r="F2683" s="28" t="s">
        <v>1938</v>
      </c>
      <c r="G2683" s="28" t="s">
        <v>304</v>
      </c>
      <c r="H2683" s="28" t="s">
        <v>352</v>
      </c>
      <c r="I2683" s="28" t="s">
        <v>1518</v>
      </c>
      <c r="J2683" s="28" t="s">
        <v>778</v>
      </c>
      <c r="K2683" s="28" t="s">
        <v>459</v>
      </c>
      <c r="L2683" s="28" t="s">
        <v>2421</v>
      </c>
      <c r="M2683" s="69" t="s">
        <v>1971</v>
      </c>
    </row>
    <row r="2684" spans="1:13" x14ac:dyDescent="0.3">
      <c r="A2684" s="67" t="s">
        <v>2626</v>
      </c>
      <c r="B2684" s="28" t="s">
        <v>2627</v>
      </c>
      <c r="C2684" s="28" t="s">
        <v>820</v>
      </c>
      <c r="D2684" s="29">
        <v>45861</v>
      </c>
      <c r="E2684" s="29">
        <v>46752</v>
      </c>
      <c r="F2684" s="28" t="s">
        <v>1941</v>
      </c>
      <c r="G2684" s="28" t="s">
        <v>304</v>
      </c>
      <c r="H2684" s="28" t="s">
        <v>352</v>
      </c>
      <c r="I2684" s="28" t="s">
        <v>1518</v>
      </c>
      <c r="J2684" s="28" t="s">
        <v>778</v>
      </c>
      <c r="K2684" s="28" t="s">
        <v>459</v>
      </c>
      <c r="L2684" s="28" t="s">
        <v>2421</v>
      </c>
      <c r="M2684" s="69" t="s">
        <v>1971</v>
      </c>
    </row>
    <row r="2685" spans="1:13" x14ac:dyDescent="0.3">
      <c r="A2685" s="67" t="s">
        <v>2626</v>
      </c>
      <c r="B2685" s="28" t="s">
        <v>2627</v>
      </c>
      <c r="C2685" s="28" t="s">
        <v>820</v>
      </c>
      <c r="D2685" s="29">
        <v>45861</v>
      </c>
      <c r="E2685" s="29">
        <v>46752</v>
      </c>
      <c r="F2685" s="28" t="s">
        <v>1963</v>
      </c>
      <c r="G2685" s="28" t="s">
        <v>304</v>
      </c>
      <c r="H2685" s="28" t="s">
        <v>352</v>
      </c>
      <c r="I2685" s="28" t="s">
        <v>1518</v>
      </c>
      <c r="J2685" s="28" t="s">
        <v>778</v>
      </c>
      <c r="K2685" s="28" t="s">
        <v>459</v>
      </c>
      <c r="L2685" s="28" t="s">
        <v>2421</v>
      </c>
      <c r="M2685" s="69" t="s">
        <v>1971</v>
      </c>
    </row>
    <row r="2686" spans="1:13" x14ac:dyDescent="0.3">
      <c r="A2686" s="67" t="s">
        <v>2626</v>
      </c>
      <c r="B2686" s="28" t="s">
        <v>2627</v>
      </c>
      <c r="C2686" s="28" t="s">
        <v>820</v>
      </c>
      <c r="D2686" s="29">
        <v>45861</v>
      </c>
      <c r="E2686" s="29">
        <v>46752</v>
      </c>
      <c r="F2686" s="28" t="s">
        <v>1948</v>
      </c>
      <c r="G2686" s="28" t="s">
        <v>304</v>
      </c>
      <c r="H2686" s="28" t="s">
        <v>352</v>
      </c>
      <c r="I2686" s="28" t="s">
        <v>1518</v>
      </c>
      <c r="J2686" s="28" t="s">
        <v>778</v>
      </c>
      <c r="K2686" s="28" t="s">
        <v>459</v>
      </c>
      <c r="L2686" s="28" t="s">
        <v>2421</v>
      </c>
      <c r="M2686" s="69" t="s">
        <v>1971</v>
      </c>
    </row>
    <row r="2687" spans="1:13" x14ac:dyDescent="0.3">
      <c r="A2687" s="67" t="s">
        <v>2626</v>
      </c>
      <c r="B2687" s="28" t="s">
        <v>2627</v>
      </c>
      <c r="C2687" s="28" t="s">
        <v>820</v>
      </c>
      <c r="D2687" s="29">
        <v>45861</v>
      </c>
      <c r="E2687" s="29">
        <v>46752</v>
      </c>
      <c r="F2687" s="28" t="s">
        <v>1959</v>
      </c>
      <c r="G2687" s="28" t="s">
        <v>304</v>
      </c>
      <c r="H2687" s="28" t="s">
        <v>352</v>
      </c>
      <c r="I2687" s="28" t="s">
        <v>1518</v>
      </c>
      <c r="J2687" s="28" t="s">
        <v>778</v>
      </c>
      <c r="K2687" s="28" t="s">
        <v>459</v>
      </c>
      <c r="L2687" s="28" t="s">
        <v>2421</v>
      </c>
      <c r="M2687" s="69" t="s">
        <v>1971</v>
      </c>
    </row>
    <row r="2688" spans="1:13" x14ac:dyDescent="0.3">
      <c r="A2688" s="67" t="s">
        <v>2628</v>
      </c>
      <c r="B2688" s="28" t="s">
        <v>2629</v>
      </c>
      <c r="C2688" s="28" t="s">
        <v>2630</v>
      </c>
      <c r="D2688" s="29">
        <v>45924</v>
      </c>
      <c r="E2688" s="29">
        <v>46477</v>
      </c>
      <c r="F2688" s="28" t="s">
        <v>348</v>
      </c>
      <c r="G2688" s="28" t="s">
        <v>348</v>
      </c>
      <c r="H2688" s="28" t="s">
        <v>2631</v>
      </c>
      <c r="I2688" s="28" t="s">
        <v>1518</v>
      </c>
      <c r="J2688" s="28" t="s">
        <v>1260</v>
      </c>
      <c r="K2688" s="28" t="s">
        <v>459</v>
      </c>
      <c r="L2688" s="28" t="s">
        <v>2421</v>
      </c>
      <c r="M2688" s="69" t="s">
        <v>1971</v>
      </c>
    </row>
    <row r="2689" spans="1:13" x14ac:dyDescent="0.3">
      <c r="A2689" s="67" t="s">
        <v>2632</v>
      </c>
      <c r="B2689" s="28" t="s">
        <v>2633</v>
      </c>
      <c r="C2689" s="28" t="s">
        <v>2634</v>
      </c>
      <c r="D2689" s="29">
        <v>45770</v>
      </c>
      <c r="E2689" s="29">
        <v>46203</v>
      </c>
      <c r="F2689" s="28" t="s">
        <v>350</v>
      </c>
      <c r="G2689" s="28" t="s">
        <v>350</v>
      </c>
      <c r="H2689" s="28" t="s">
        <v>2635</v>
      </c>
      <c r="I2689" s="28" t="s">
        <v>1518</v>
      </c>
      <c r="J2689" s="28" t="s">
        <v>531</v>
      </c>
      <c r="K2689" s="28" t="s">
        <v>459</v>
      </c>
      <c r="L2689" s="28" t="s">
        <v>2421</v>
      </c>
      <c r="M2689" s="69" t="s">
        <v>1971</v>
      </c>
    </row>
    <row r="2690" spans="1:13" x14ac:dyDescent="0.3">
      <c r="A2690" s="67" t="s">
        <v>2636</v>
      </c>
      <c r="B2690" s="28" t="s">
        <v>2637</v>
      </c>
      <c r="C2690" s="28" t="s">
        <v>2638</v>
      </c>
      <c r="D2690" s="29">
        <v>45809</v>
      </c>
      <c r="E2690" s="29">
        <v>46265</v>
      </c>
      <c r="F2690" s="28" t="s">
        <v>1945</v>
      </c>
      <c r="G2690" s="28" t="s">
        <v>555</v>
      </c>
      <c r="H2690" s="28" t="s">
        <v>373</v>
      </c>
      <c r="I2690" s="28" t="s">
        <v>1518</v>
      </c>
      <c r="J2690" s="28" t="s">
        <v>635</v>
      </c>
      <c r="K2690" s="28" t="s">
        <v>375</v>
      </c>
      <c r="L2690" s="28" t="s">
        <v>2421</v>
      </c>
      <c r="M2690" s="69" t="s">
        <v>1967</v>
      </c>
    </row>
    <row r="2691" spans="1:13" x14ac:dyDescent="0.3">
      <c r="A2691" s="67" t="s">
        <v>2636</v>
      </c>
      <c r="B2691" s="28" t="s">
        <v>2637</v>
      </c>
      <c r="C2691" s="28" t="s">
        <v>2638</v>
      </c>
      <c r="D2691" s="29">
        <v>45809</v>
      </c>
      <c r="E2691" s="29">
        <v>46265</v>
      </c>
      <c r="F2691" s="28" t="s">
        <v>1945</v>
      </c>
      <c r="G2691" s="28" t="s">
        <v>450</v>
      </c>
      <c r="H2691" s="28" t="s">
        <v>373</v>
      </c>
      <c r="I2691" s="28" t="s">
        <v>1518</v>
      </c>
      <c r="J2691" s="28" t="s">
        <v>635</v>
      </c>
      <c r="K2691" s="28" t="s">
        <v>375</v>
      </c>
      <c r="L2691" s="28" t="s">
        <v>2421</v>
      </c>
      <c r="M2691" s="69" t="s">
        <v>1967</v>
      </c>
    </row>
    <row r="2692" spans="1:13" x14ac:dyDescent="0.3">
      <c r="A2692" s="67" t="s">
        <v>2636</v>
      </c>
      <c r="B2692" s="28" t="s">
        <v>2637</v>
      </c>
      <c r="C2692" s="28" t="s">
        <v>2638</v>
      </c>
      <c r="D2692" s="29">
        <v>45809</v>
      </c>
      <c r="E2692" s="29">
        <v>46265</v>
      </c>
      <c r="F2692" s="28" t="s">
        <v>1945</v>
      </c>
      <c r="G2692" s="28" t="s">
        <v>405</v>
      </c>
      <c r="H2692" s="28" t="s">
        <v>373</v>
      </c>
      <c r="I2692" s="28" t="s">
        <v>1518</v>
      </c>
      <c r="J2692" s="28" t="s">
        <v>635</v>
      </c>
      <c r="K2692" s="28" t="s">
        <v>375</v>
      </c>
      <c r="L2692" s="28" t="s">
        <v>2421</v>
      </c>
      <c r="M2692" s="69" t="s">
        <v>1967</v>
      </c>
    </row>
    <row r="2693" spans="1:13" x14ac:dyDescent="0.3">
      <c r="A2693" s="67" t="s">
        <v>2636</v>
      </c>
      <c r="B2693" s="28" t="s">
        <v>2637</v>
      </c>
      <c r="C2693" s="28" t="s">
        <v>2638</v>
      </c>
      <c r="D2693" s="29">
        <v>45809</v>
      </c>
      <c r="E2693" s="29">
        <v>46265</v>
      </c>
      <c r="F2693" s="28" t="s">
        <v>288</v>
      </c>
      <c r="G2693" s="28" t="s">
        <v>2639</v>
      </c>
      <c r="H2693" s="28" t="s">
        <v>373</v>
      </c>
      <c r="I2693" s="28" t="s">
        <v>1518</v>
      </c>
      <c r="J2693" s="28" t="s">
        <v>635</v>
      </c>
      <c r="K2693" s="28" t="s">
        <v>375</v>
      </c>
      <c r="L2693" s="28" t="s">
        <v>2421</v>
      </c>
      <c r="M2693" s="69" t="s">
        <v>1967</v>
      </c>
    </row>
    <row r="2694" spans="1:13" x14ac:dyDescent="0.3">
      <c r="A2694" s="67" t="s">
        <v>2636</v>
      </c>
      <c r="B2694" s="28" t="s">
        <v>2637</v>
      </c>
      <c r="C2694" s="28" t="s">
        <v>2638</v>
      </c>
      <c r="D2694" s="29">
        <v>45809</v>
      </c>
      <c r="E2694" s="29">
        <v>46265</v>
      </c>
      <c r="F2694" s="28" t="s">
        <v>288</v>
      </c>
      <c r="G2694" s="28" t="s">
        <v>454</v>
      </c>
      <c r="H2694" s="28" t="s">
        <v>373</v>
      </c>
      <c r="I2694" s="28" t="s">
        <v>1518</v>
      </c>
      <c r="J2694" s="28" t="s">
        <v>635</v>
      </c>
      <c r="K2694" s="28" t="s">
        <v>375</v>
      </c>
      <c r="L2694" s="28" t="s">
        <v>2421</v>
      </c>
      <c r="M2694" s="69" t="s">
        <v>1967</v>
      </c>
    </row>
    <row r="2695" spans="1:13" x14ac:dyDescent="0.3">
      <c r="A2695" s="67" t="s">
        <v>2636</v>
      </c>
      <c r="B2695" s="28" t="s">
        <v>2637</v>
      </c>
      <c r="C2695" s="28" t="s">
        <v>2638</v>
      </c>
      <c r="D2695" s="29">
        <v>45809</v>
      </c>
      <c r="E2695" s="29">
        <v>46265</v>
      </c>
      <c r="F2695" s="28" t="s">
        <v>1937</v>
      </c>
      <c r="G2695" s="28" t="s">
        <v>1579</v>
      </c>
      <c r="H2695" s="28" t="s">
        <v>373</v>
      </c>
      <c r="I2695" s="28" t="s">
        <v>1518</v>
      </c>
      <c r="J2695" s="28" t="s">
        <v>635</v>
      </c>
      <c r="K2695" s="28" t="s">
        <v>375</v>
      </c>
      <c r="L2695" s="28" t="s">
        <v>2421</v>
      </c>
      <c r="M2695" s="69" t="s">
        <v>1967</v>
      </c>
    </row>
    <row r="2696" spans="1:13" x14ac:dyDescent="0.3">
      <c r="A2696" s="67" t="s">
        <v>2640</v>
      </c>
      <c r="B2696" s="28" t="s">
        <v>2641</v>
      </c>
      <c r="C2696" s="28" t="s">
        <v>2642</v>
      </c>
      <c r="D2696" s="29">
        <v>44835</v>
      </c>
      <c r="E2696" s="29">
        <v>46295</v>
      </c>
      <c r="F2696" s="28" t="s">
        <v>1941</v>
      </c>
      <c r="G2696" s="28" t="s">
        <v>319</v>
      </c>
      <c r="H2696" s="28" t="s">
        <v>2643</v>
      </c>
      <c r="I2696" s="28" t="s">
        <v>307</v>
      </c>
      <c r="J2696" s="28" t="s">
        <v>378</v>
      </c>
      <c r="K2696" s="28" t="s">
        <v>371</v>
      </c>
      <c r="L2696" s="28" t="s">
        <v>2421</v>
      </c>
      <c r="M2696" s="69" t="s">
        <v>1972</v>
      </c>
    </row>
    <row r="2697" spans="1:13" x14ac:dyDescent="0.3">
      <c r="A2697" s="67" t="s">
        <v>2640</v>
      </c>
      <c r="B2697" s="28" t="s">
        <v>2641</v>
      </c>
      <c r="C2697" s="28" t="s">
        <v>2642</v>
      </c>
      <c r="D2697" s="29">
        <v>44835</v>
      </c>
      <c r="E2697" s="29">
        <v>46295</v>
      </c>
      <c r="F2697" s="28" t="s">
        <v>1941</v>
      </c>
      <c r="G2697" s="28" t="s">
        <v>325</v>
      </c>
      <c r="H2697" s="28" t="s">
        <v>2643</v>
      </c>
      <c r="I2697" s="28" t="s">
        <v>307</v>
      </c>
      <c r="J2697" s="28" t="s">
        <v>378</v>
      </c>
      <c r="K2697" s="28" t="s">
        <v>371</v>
      </c>
      <c r="L2697" s="28" t="s">
        <v>2421</v>
      </c>
      <c r="M2697" s="69" t="s">
        <v>1972</v>
      </c>
    </row>
    <row r="2698" spans="1:13" x14ac:dyDescent="0.3">
      <c r="A2698" s="67" t="s">
        <v>2640</v>
      </c>
      <c r="B2698" s="28" t="s">
        <v>2641</v>
      </c>
      <c r="C2698" s="28" t="s">
        <v>2642</v>
      </c>
      <c r="D2698" s="29">
        <v>44835</v>
      </c>
      <c r="E2698" s="29">
        <v>46295</v>
      </c>
      <c r="F2698" s="28" t="s">
        <v>1941</v>
      </c>
      <c r="G2698" s="28" t="s">
        <v>399</v>
      </c>
      <c r="H2698" s="28" t="s">
        <v>2643</v>
      </c>
      <c r="I2698" s="28" t="s">
        <v>307</v>
      </c>
      <c r="J2698" s="28" t="s">
        <v>378</v>
      </c>
      <c r="K2698" s="28" t="s">
        <v>371</v>
      </c>
      <c r="L2698" s="28" t="s">
        <v>2421</v>
      </c>
      <c r="M2698" s="69" t="s">
        <v>1972</v>
      </c>
    </row>
    <row r="2699" spans="1:13" x14ac:dyDescent="0.3">
      <c r="A2699" s="67" t="s">
        <v>2640</v>
      </c>
      <c r="B2699" s="28" t="s">
        <v>2641</v>
      </c>
      <c r="C2699" s="28" t="s">
        <v>2642</v>
      </c>
      <c r="D2699" s="29">
        <v>44835</v>
      </c>
      <c r="E2699" s="29">
        <v>46295</v>
      </c>
      <c r="F2699" s="28" t="s">
        <v>1941</v>
      </c>
      <c r="G2699" s="28" t="s">
        <v>319</v>
      </c>
      <c r="H2699" s="28" t="s">
        <v>660</v>
      </c>
      <c r="I2699" s="28" t="s">
        <v>307</v>
      </c>
      <c r="J2699" s="28" t="s">
        <v>378</v>
      </c>
      <c r="K2699" s="28" t="s">
        <v>371</v>
      </c>
      <c r="L2699" s="28" t="s">
        <v>2421</v>
      </c>
      <c r="M2699" s="69" t="s">
        <v>1972</v>
      </c>
    </row>
    <row r="2700" spans="1:13" x14ac:dyDescent="0.3">
      <c r="A2700" s="67" t="s">
        <v>2640</v>
      </c>
      <c r="B2700" s="28" t="s">
        <v>2641</v>
      </c>
      <c r="C2700" s="28" t="s">
        <v>2642</v>
      </c>
      <c r="D2700" s="29">
        <v>44835</v>
      </c>
      <c r="E2700" s="29">
        <v>46295</v>
      </c>
      <c r="F2700" s="28" t="s">
        <v>1941</v>
      </c>
      <c r="G2700" s="28" t="s">
        <v>325</v>
      </c>
      <c r="H2700" s="28" t="s">
        <v>660</v>
      </c>
      <c r="I2700" s="28" t="s">
        <v>307</v>
      </c>
      <c r="J2700" s="28" t="s">
        <v>378</v>
      </c>
      <c r="K2700" s="28" t="s">
        <v>371</v>
      </c>
      <c r="L2700" s="28" t="s">
        <v>2421</v>
      </c>
      <c r="M2700" s="69" t="s">
        <v>1972</v>
      </c>
    </row>
    <row r="2701" spans="1:13" x14ac:dyDescent="0.3">
      <c r="A2701" s="67" t="s">
        <v>2640</v>
      </c>
      <c r="B2701" s="28" t="s">
        <v>2641</v>
      </c>
      <c r="C2701" s="28" t="s">
        <v>2642</v>
      </c>
      <c r="D2701" s="29">
        <v>44835</v>
      </c>
      <c r="E2701" s="29">
        <v>46295</v>
      </c>
      <c r="F2701" s="28" t="s">
        <v>1941</v>
      </c>
      <c r="G2701" s="28" t="s">
        <v>399</v>
      </c>
      <c r="H2701" s="28" t="s">
        <v>660</v>
      </c>
      <c r="I2701" s="28" t="s">
        <v>307</v>
      </c>
      <c r="J2701" s="28" t="s">
        <v>378</v>
      </c>
      <c r="K2701" s="28" t="s">
        <v>371</v>
      </c>
      <c r="L2701" s="28" t="s">
        <v>2421</v>
      </c>
      <c r="M2701" s="69" t="s">
        <v>1972</v>
      </c>
    </row>
    <row r="2702" spans="1:13" x14ac:dyDescent="0.3">
      <c r="A2702" s="67" t="s">
        <v>2640</v>
      </c>
      <c r="B2702" s="28" t="s">
        <v>2641</v>
      </c>
      <c r="C2702" s="28" t="s">
        <v>2642</v>
      </c>
      <c r="D2702" s="29">
        <v>44835</v>
      </c>
      <c r="E2702" s="29">
        <v>46295</v>
      </c>
      <c r="F2702" s="28" t="s">
        <v>1941</v>
      </c>
      <c r="G2702" s="28" t="s">
        <v>319</v>
      </c>
      <c r="H2702" s="28" t="s">
        <v>2644</v>
      </c>
      <c r="I2702" s="28" t="s">
        <v>307</v>
      </c>
      <c r="J2702" s="28" t="s">
        <v>378</v>
      </c>
      <c r="K2702" s="28" t="s">
        <v>371</v>
      </c>
      <c r="L2702" s="28" t="s">
        <v>2421</v>
      </c>
      <c r="M2702" s="69" t="s">
        <v>1972</v>
      </c>
    </row>
    <row r="2703" spans="1:13" x14ac:dyDescent="0.3">
      <c r="A2703" s="67" t="s">
        <v>2640</v>
      </c>
      <c r="B2703" s="28" t="s">
        <v>2641</v>
      </c>
      <c r="C2703" s="28" t="s">
        <v>2642</v>
      </c>
      <c r="D2703" s="29">
        <v>44835</v>
      </c>
      <c r="E2703" s="29">
        <v>46295</v>
      </c>
      <c r="F2703" s="28" t="s">
        <v>1941</v>
      </c>
      <c r="G2703" s="28" t="s">
        <v>325</v>
      </c>
      <c r="H2703" s="28" t="s">
        <v>2644</v>
      </c>
      <c r="I2703" s="28" t="s">
        <v>307</v>
      </c>
      <c r="J2703" s="28" t="s">
        <v>378</v>
      </c>
      <c r="K2703" s="28" t="s">
        <v>371</v>
      </c>
      <c r="L2703" s="28" t="s">
        <v>2421</v>
      </c>
      <c r="M2703" s="69" t="s">
        <v>1972</v>
      </c>
    </row>
    <row r="2704" spans="1:13" x14ac:dyDescent="0.3">
      <c r="A2704" s="67" t="s">
        <v>2640</v>
      </c>
      <c r="B2704" s="28" t="s">
        <v>2641</v>
      </c>
      <c r="C2704" s="28" t="s">
        <v>2642</v>
      </c>
      <c r="D2704" s="29">
        <v>44835</v>
      </c>
      <c r="E2704" s="29">
        <v>46295</v>
      </c>
      <c r="F2704" s="28" t="s">
        <v>1941</v>
      </c>
      <c r="G2704" s="28" t="s">
        <v>399</v>
      </c>
      <c r="H2704" s="28" t="s">
        <v>2644</v>
      </c>
      <c r="I2704" s="28" t="s">
        <v>307</v>
      </c>
      <c r="J2704" s="28" t="s">
        <v>378</v>
      </c>
      <c r="K2704" s="28" t="s">
        <v>371</v>
      </c>
      <c r="L2704" s="28" t="s">
        <v>2421</v>
      </c>
      <c r="M2704" s="69" t="s">
        <v>1972</v>
      </c>
    </row>
    <row r="2705" spans="1:13" x14ac:dyDescent="0.3">
      <c r="A2705" s="67" t="s">
        <v>2645</v>
      </c>
      <c r="B2705" s="28" t="s">
        <v>2646</v>
      </c>
      <c r="C2705" s="28" t="s">
        <v>2647</v>
      </c>
      <c r="D2705" s="29">
        <v>45862</v>
      </c>
      <c r="E2705" s="29">
        <v>46319</v>
      </c>
      <c r="F2705" s="28" t="s">
        <v>1945</v>
      </c>
      <c r="G2705" s="28" t="s">
        <v>402</v>
      </c>
      <c r="H2705" s="28" t="s">
        <v>2507</v>
      </c>
      <c r="I2705" s="28" t="s">
        <v>1518</v>
      </c>
      <c r="J2705" s="28" t="s">
        <v>469</v>
      </c>
      <c r="K2705" s="28" t="s">
        <v>315</v>
      </c>
      <c r="L2705" s="28" t="s">
        <v>2421</v>
      </c>
      <c r="M2705" s="69" t="s">
        <v>1969</v>
      </c>
    </row>
    <row r="2706" spans="1:13" x14ac:dyDescent="0.3">
      <c r="A2706" s="67" t="s">
        <v>2645</v>
      </c>
      <c r="B2706" s="28" t="s">
        <v>2646</v>
      </c>
      <c r="C2706" s="28" t="s">
        <v>2647</v>
      </c>
      <c r="D2706" s="29">
        <v>45862</v>
      </c>
      <c r="E2706" s="29">
        <v>46319</v>
      </c>
      <c r="F2706" s="28" t="s">
        <v>1945</v>
      </c>
      <c r="G2706" s="28" t="s">
        <v>404</v>
      </c>
      <c r="H2706" s="28" t="s">
        <v>2507</v>
      </c>
      <c r="I2706" s="28" t="s">
        <v>1518</v>
      </c>
      <c r="J2706" s="28" t="s">
        <v>469</v>
      </c>
      <c r="K2706" s="28" t="s">
        <v>315</v>
      </c>
      <c r="L2706" s="28" t="s">
        <v>2421</v>
      </c>
      <c r="M2706" s="69" t="s">
        <v>1969</v>
      </c>
    </row>
    <row r="2707" spans="1:13" x14ac:dyDescent="0.3">
      <c r="A2707" s="67" t="s">
        <v>2645</v>
      </c>
      <c r="B2707" s="28" t="s">
        <v>2646</v>
      </c>
      <c r="C2707" s="28" t="s">
        <v>2647</v>
      </c>
      <c r="D2707" s="29">
        <v>45862</v>
      </c>
      <c r="E2707" s="29">
        <v>46319</v>
      </c>
      <c r="F2707" s="28" t="s">
        <v>1945</v>
      </c>
      <c r="G2707" s="28" t="s">
        <v>405</v>
      </c>
      <c r="H2707" s="28" t="s">
        <v>2507</v>
      </c>
      <c r="I2707" s="28" t="s">
        <v>1518</v>
      </c>
      <c r="J2707" s="28" t="s">
        <v>469</v>
      </c>
      <c r="K2707" s="28" t="s">
        <v>315</v>
      </c>
      <c r="L2707" s="28" t="s">
        <v>2421</v>
      </c>
      <c r="M2707" s="69" t="s">
        <v>1969</v>
      </c>
    </row>
    <row r="2708" spans="1:13" x14ac:dyDescent="0.3">
      <c r="A2708" s="67" t="s">
        <v>2645</v>
      </c>
      <c r="B2708" s="28" t="s">
        <v>2646</v>
      </c>
      <c r="C2708" s="28" t="s">
        <v>2647</v>
      </c>
      <c r="D2708" s="29">
        <v>45862</v>
      </c>
      <c r="E2708" s="29">
        <v>46319</v>
      </c>
      <c r="F2708" s="28" t="s">
        <v>1945</v>
      </c>
      <c r="G2708" s="28" t="s">
        <v>402</v>
      </c>
      <c r="H2708" s="28" t="s">
        <v>1805</v>
      </c>
      <c r="I2708" s="28" t="s">
        <v>1518</v>
      </c>
      <c r="J2708" s="28" t="s">
        <v>469</v>
      </c>
      <c r="K2708" s="28" t="s">
        <v>315</v>
      </c>
      <c r="L2708" s="28" t="s">
        <v>2421</v>
      </c>
      <c r="M2708" s="69" t="s">
        <v>1969</v>
      </c>
    </row>
    <row r="2709" spans="1:13" x14ac:dyDescent="0.3">
      <c r="A2709" s="67" t="s">
        <v>2645</v>
      </c>
      <c r="B2709" s="28" t="s">
        <v>2646</v>
      </c>
      <c r="C2709" s="28" t="s">
        <v>2647</v>
      </c>
      <c r="D2709" s="29">
        <v>45862</v>
      </c>
      <c r="E2709" s="29">
        <v>46319</v>
      </c>
      <c r="F2709" s="28" t="s">
        <v>1945</v>
      </c>
      <c r="G2709" s="28" t="s">
        <v>404</v>
      </c>
      <c r="H2709" s="28" t="s">
        <v>1805</v>
      </c>
      <c r="I2709" s="28" t="s">
        <v>1518</v>
      </c>
      <c r="J2709" s="28" t="s">
        <v>469</v>
      </c>
      <c r="K2709" s="28" t="s">
        <v>315</v>
      </c>
      <c r="L2709" s="28" t="s">
        <v>2421</v>
      </c>
      <c r="M2709" s="69" t="s">
        <v>1969</v>
      </c>
    </row>
    <row r="2710" spans="1:13" x14ac:dyDescent="0.3">
      <c r="A2710" s="67" t="s">
        <v>2645</v>
      </c>
      <c r="B2710" s="28" t="s">
        <v>2646</v>
      </c>
      <c r="C2710" s="28" t="s">
        <v>2647</v>
      </c>
      <c r="D2710" s="29">
        <v>45862</v>
      </c>
      <c r="E2710" s="29">
        <v>46319</v>
      </c>
      <c r="F2710" s="28" t="s">
        <v>1945</v>
      </c>
      <c r="G2710" s="28" t="s">
        <v>405</v>
      </c>
      <c r="H2710" s="28" t="s">
        <v>1805</v>
      </c>
      <c r="I2710" s="28" t="s">
        <v>1518</v>
      </c>
      <c r="J2710" s="28" t="s">
        <v>469</v>
      </c>
      <c r="K2710" s="28" t="s">
        <v>315</v>
      </c>
      <c r="L2710" s="28" t="s">
        <v>2421</v>
      </c>
      <c r="M2710" s="69" t="s">
        <v>1969</v>
      </c>
    </row>
    <row r="2711" spans="1:13" x14ac:dyDescent="0.3">
      <c r="A2711" s="67" t="s">
        <v>2645</v>
      </c>
      <c r="B2711" s="28" t="s">
        <v>2646</v>
      </c>
      <c r="C2711" s="28" t="s">
        <v>2647</v>
      </c>
      <c r="D2711" s="29">
        <v>45862</v>
      </c>
      <c r="E2711" s="29">
        <v>46319</v>
      </c>
      <c r="F2711" s="28" t="s">
        <v>1945</v>
      </c>
      <c r="G2711" s="28" t="s">
        <v>402</v>
      </c>
      <c r="H2711" s="28" t="s">
        <v>2648</v>
      </c>
      <c r="I2711" s="28" t="s">
        <v>1518</v>
      </c>
      <c r="J2711" s="28" t="s">
        <v>469</v>
      </c>
      <c r="K2711" s="28" t="s">
        <v>315</v>
      </c>
      <c r="L2711" s="28" t="s">
        <v>2421</v>
      </c>
      <c r="M2711" s="69" t="s">
        <v>1969</v>
      </c>
    </row>
    <row r="2712" spans="1:13" x14ac:dyDescent="0.3">
      <c r="A2712" s="67" t="s">
        <v>2645</v>
      </c>
      <c r="B2712" s="28" t="s">
        <v>2646</v>
      </c>
      <c r="C2712" s="28" t="s">
        <v>2647</v>
      </c>
      <c r="D2712" s="29">
        <v>45862</v>
      </c>
      <c r="E2712" s="29">
        <v>46319</v>
      </c>
      <c r="F2712" s="28" t="s">
        <v>1945</v>
      </c>
      <c r="G2712" s="28" t="s">
        <v>404</v>
      </c>
      <c r="H2712" s="28" t="s">
        <v>2648</v>
      </c>
      <c r="I2712" s="28" t="s">
        <v>1518</v>
      </c>
      <c r="J2712" s="28" t="s">
        <v>469</v>
      </c>
      <c r="K2712" s="28" t="s">
        <v>315</v>
      </c>
      <c r="L2712" s="28" t="s">
        <v>2421</v>
      </c>
      <c r="M2712" s="69" t="s">
        <v>1969</v>
      </c>
    </row>
    <row r="2713" spans="1:13" x14ac:dyDescent="0.3">
      <c r="A2713" s="67" t="s">
        <v>2645</v>
      </c>
      <c r="B2713" s="28" t="s">
        <v>2646</v>
      </c>
      <c r="C2713" s="28" t="s">
        <v>2647</v>
      </c>
      <c r="D2713" s="29">
        <v>45862</v>
      </c>
      <c r="E2713" s="29">
        <v>46319</v>
      </c>
      <c r="F2713" s="28" t="s">
        <v>1945</v>
      </c>
      <c r="G2713" s="28" t="s">
        <v>405</v>
      </c>
      <c r="H2713" s="28" t="s">
        <v>2648</v>
      </c>
      <c r="I2713" s="28" t="s">
        <v>1518</v>
      </c>
      <c r="J2713" s="28" t="s">
        <v>469</v>
      </c>
      <c r="K2713" s="28" t="s">
        <v>315</v>
      </c>
      <c r="L2713" s="28" t="s">
        <v>2421</v>
      </c>
      <c r="M2713" s="69" t="s">
        <v>1969</v>
      </c>
    </row>
    <row r="2714" spans="1:13" x14ac:dyDescent="0.3">
      <c r="A2714" s="67" t="s">
        <v>2649</v>
      </c>
      <c r="B2714" s="28" t="s">
        <v>2650</v>
      </c>
      <c r="C2714" s="28" t="s">
        <v>2651</v>
      </c>
      <c r="D2714" s="29">
        <v>45674</v>
      </c>
      <c r="E2714" s="29">
        <v>46387</v>
      </c>
      <c r="F2714" s="28" t="s">
        <v>1930</v>
      </c>
      <c r="G2714" s="28" t="s">
        <v>304</v>
      </c>
      <c r="H2714" s="28" t="s">
        <v>2652</v>
      </c>
      <c r="I2714" s="28" t="s">
        <v>2443</v>
      </c>
      <c r="J2714" s="28" t="s">
        <v>640</v>
      </c>
      <c r="K2714" s="28" t="s">
        <v>417</v>
      </c>
      <c r="L2714" s="28" t="s">
        <v>2421</v>
      </c>
      <c r="M2714" s="69" t="s">
        <v>2021</v>
      </c>
    </row>
    <row r="2715" spans="1:13" x14ac:dyDescent="0.3">
      <c r="A2715" s="67" t="s">
        <v>2649</v>
      </c>
      <c r="B2715" s="28" t="s">
        <v>2650</v>
      </c>
      <c r="C2715" s="28" t="s">
        <v>2651</v>
      </c>
      <c r="D2715" s="29">
        <v>45674</v>
      </c>
      <c r="E2715" s="29">
        <v>46387</v>
      </c>
      <c r="F2715" s="28" t="s">
        <v>1936</v>
      </c>
      <c r="G2715" s="28" t="s">
        <v>730</v>
      </c>
      <c r="H2715" s="28" t="s">
        <v>2652</v>
      </c>
      <c r="I2715" s="28" t="s">
        <v>2443</v>
      </c>
      <c r="J2715" s="28" t="s">
        <v>640</v>
      </c>
      <c r="K2715" s="28" t="s">
        <v>417</v>
      </c>
      <c r="L2715" s="28" t="s">
        <v>2421</v>
      </c>
      <c r="M2715" s="69" t="s">
        <v>2021</v>
      </c>
    </row>
    <row r="2716" spans="1:13" x14ac:dyDescent="0.3">
      <c r="A2716" s="67" t="s">
        <v>2653</v>
      </c>
      <c r="B2716" s="28" t="s">
        <v>2654</v>
      </c>
      <c r="C2716" s="28" t="s">
        <v>2655</v>
      </c>
      <c r="D2716" s="29">
        <v>45933</v>
      </c>
      <c r="E2716" s="29">
        <v>46721</v>
      </c>
      <c r="F2716" s="28" t="s">
        <v>1931</v>
      </c>
      <c r="G2716" s="28" t="s">
        <v>281</v>
      </c>
      <c r="H2716" s="28" t="s">
        <v>361</v>
      </c>
      <c r="I2716" s="28" t="s">
        <v>1518</v>
      </c>
      <c r="J2716" s="28" t="s">
        <v>1088</v>
      </c>
      <c r="K2716" s="28" t="s">
        <v>646</v>
      </c>
      <c r="L2716" s="28" t="s">
        <v>2421</v>
      </c>
      <c r="M2716" s="69" t="s">
        <v>1974</v>
      </c>
    </row>
    <row r="2717" spans="1:13" x14ac:dyDescent="0.3">
      <c r="A2717" s="67" t="s">
        <v>2653</v>
      </c>
      <c r="B2717" s="28" t="s">
        <v>2654</v>
      </c>
      <c r="C2717" s="28" t="s">
        <v>2655</v>
      </c>
      <c r="D2717" s="29">
        <v>45933</v>
      </c>
      <c r="E2717" s="29">
        <v>46721</v>
      </c>
      <c r="F2717" s="28" t="s">
        <v>282</v>
      </c>
      <c r="G2717" s="28" t="s">
        <v>283</v>
      </c>
      <c r="H2717" s="28" t="s">
        <v>361</v>
      </c>
      <c r="I2717" s="28" t="s">
        <v>1518</v>
      </c>
      <c r="J2717" s="28" t="s">
        <v>1088</v>
      </c>
      <c r="K2717" s="28" t="s">
        <v>646</v>
      </c>
      <c r="L2717" s="28" t="s">
        <v>2421</v>
      </c>
      <c r="M2717" s="69" t="s">
        <v>1974</v>
      </c>
    </row>
    <row r="2718" spans="1:13" x14ac:dyDescent="0.3">
      <c r="A2718" s="67" t="s">
        <v>2653</v>
      </c>
      <c r="B2718" s="28" t="s">
        <v>2654</v>
      </c>
      <c r="C2718" s="28" t="s">
        <v>2655</v>
      </c>
      <c r="D2718" s="29">
        <v>45933</v>
      </c>
      <c r="E2718" s="29">
        <v>46721</v>
      </c>
      <c r="F2718" s="28" t="s">
        <v>286</v>
      </c>
      <c r="G2718" s="28" t="s">
        <v>476</v>
      </c>
      <c r="H2718" s="28" t="s">
        <v>361</v>
      </c>
      <c r="I2718" s="28" t="s">
        <v>1518</v>
      </c>
      <c r="J2718" s="28" t="s">
        <v>1088</v>
      </c>
      <c r="K2718" s="28" t="s">
        <v>646</v>
      </c>
      <c r="L2718" s="28" t="s">
        <v>2421</v>
      </c>
      <c r="M2718" s="69" t="s">
        <v>1974</v>
      </c>
    </row>
    <row r="2719" spans="1:13" x14ac:dyDescent="0.3">
      <c r="A2719" s="67" t="s">
        <v>2653</v>
      </c>
      <c r="B2719" s="28" t="s">
        <v>2654</v>
      </c>
      <c r="C2719" s="28" t="s">
        <v>2655</v>
      </c>
      <c r="D2719" s="29">
        <v>45933</v>
      </c>
      <c r="E2719" s="29">
        <v>46721</v>
      </c>
      <c r="F2719" s="28" t="s">
        <v>348</v>
      </c>
      <c r="G2719" s="28" t="s">
        <v>348</v>
      </c>
      <c r="H2719" s="28" t="s">
        <v>361</v>
      </c>
      <c r="I2719" s="28" t="s">
        <v>1518</v>
      </c>
      <c r="J2719" s="28" t="s">
        <v>1088</v>
      </c>
      <c r="K2719" s="28" t="s">
        <v>646</v>
      </c>
      <c r="L2719" s="28" t="s">
        <v>2421</v>
      </c>
      <c r="M2719" s="69" t="s">
        <v>1974</v>
      </c>
    </row>
    <row r="2720" spans="1:13" x14ac:dyDescent="0.3">
      <c r="A2720" s="67" t="s">
        <v>2653</v>
      </c>
      <c r="B2720" s="28" t="s">
        <v>2654</v>
      </c>
      <c r="C2720" s="28" t="s">
        <v>2655</v>
      </c>
      <c r="D2720" s="29">
        <v>45933</v>
      </c>
      <c r="E2720" s="29">
        <v>46721</v>
      </c>
      <c r="F2720" s="28" t="s">
        <v>1922</v>
      </c>
      <c r="G2720" s="28" t="s">
        <v>349</v>
      </c>
      <c r="H2720" s="28" t="s">
        <v>361</v>
      </c>
      <c r="I2720" s="28" t="s">
        <v>1518</v>
      </c>
      <c r="J2720" s="28" t="s">
        <v>1088</v>
      </c>
      <c r="K2720" s="28" t="s">
        <v>646</v>
      </c>
      <c r="L2720" s="28" t="s">
        <v>2421</v>
      </c>
      <c r="M2720" s="69" t="s">
        <v>1974</v>
      </c>
    </row>
    <row r="2721" spans="1:13" x14ac:dyDescent="0.3">
      <c r="A2721" s="67" t="s">
        <v>2653</v>
      </c>
      <c r="B2721" s="28" t="s">
        <v>2654</v>
      </c>
      <c r="C2721" s="28" t="s">
        <v>2655</v>
      </c>
      <c r="D2721" s="29">
        <v>45933</v>
      </c>
      <c r="E2721" s="29">
        <v>46721</v>
      </c>
      <c r="F2721" s="28" t="s">
        <v>1943</v>
      </c>
      <c r="G2721" s="28" t="s">
        <v>452</v>
      </c>
      <c r="H2721" s="28" t="s">
        <v>361</v>
      </c>
      <c r="I2721" s="28" t="s">
        <v>1518</v>
      </c>
      <c r="J2721" s="28" t="s">
        <v>1088</v>
      </c>
      <c r="K2721" s="28" t="s">
        <v>646</v>
      </c>
      <c r="L2721" s="28" t="s">
        <v>2421</v>
      </c>
      <c r="M2721" s="69" t="s">
        <v>1974</v>
      </c>
    </row>
    <row r="2722" spans="1:13" x14ac:dyDescent="0.3">
      <c r="A2722" s="67" t="s">
        <v>2653</v>
      </c>
      <c r="B2722" s="28" t="s">
        <v>2654</v>
      </c>
      <c r="C2722" s="28" t="s">
        <v>2655</v>
      </c>
      <c r="D2722" s="29">
        <v>45933</v>
      </c>
      <c r="E2722" s="29">
        <v>46721</v>
      </c>
      <c r="F2722" s="28" t="s">
        <v>1939</v>
      </c>
      <c r="G2722" s="28" t="s">
        <v>539</v>
      </c>
      <c r="H2722" s="28" t="s">
        <v>361</v>
      </c>
      <c r="I2722" s="28" t="s">
        <v>1518</v>
      </c>
      <c r="J2722" s="28" t="s">
        <v>1088</v>
      </c>
      <c r="K2722" s="28" t="s">
        <v>646</v>
      </c>
      <c r="L2722" s="28" t="s">
        <v>2421</v>
      </c>
      <c r="M2722" s="69" t="s">
        <v>1974</v>
      </c>
    </row>
    <row r="2723" spans="1:13" x14ac:dyDescent="0.3">
      <c r="A2723" s="67" t="s">
        <v>2653</v>
      </c>
      <c r="B2723" s="28" t="s">
        <v>2654</v>
      </c>
      <c r="C2723" s="28" t="s">
        <v>2655</v>
      </c>
      <c r="D2723" s="29">
        <v>45933</v>
      </c>
      <c r="E2723" s="29">
        <v>46721</v>
      </c>
      <c r="F2723" s="28" t="s">
        <v>1930</v>
      </c>
      <c r="G2723" s="28" t="s">
        <v>453</v>
      </c>
      <c r="H2723" s="28" t="s">
        <v>361</v>
      </c>
      <c r="I2723" s="28" t="s">
        <v>1518</v>
      </c>
      <c r="J2723" s="28" t="s">
        <v>1088</v>
      </c>
      <c r="K2723" s="28" t="s">
        <v>646</v>
      </c>
      <c r="L2723" s="28" t="s">
        <v>2421</v>
      </c>
      <c r="M2723" s="69" t="s">
        <v>1974</v>
      </c>
    </row>
    <row r="2724" spans="1:13" x14ac:dyDescent="0.3">
      <c r="A2724" s="67" t="s">
        <v>2653</v>
      </c>
      <c r="B2724" s="28" t="s">
        <v>2654</v>
      </c>
      <c r="C2724" s="28" t="s">
        <v>2655</v>
      </c>
      <c r="D2724" s="29">
        <v>45933</v>
      </c>
      <c r="E2724" s="29">
        <v>46721</v>
      </c>
      <c r="F2724" s="28" t="s">
        <v>1941</v>
      </c>
      <c r="G2724" s="28" t="s">
        <v>325</v>
      </c>
      <c r="H2724" s="28" t="s">
        <v>361</v>
      </c>
      <c r="I2724" s="28" t="s">
        <v>1518</v>
      </c>
      <c r="J2724" s="28" t="s">
        <v>1088</v>
      </c>
      <c r="K2724" s="28" t="s">
        <v>646</v>
      </c>
      <c r="L2724" s="28" t="s">
        <v>2421</v>
      </c>
      <c r="M2724" s="69" t="s">
        <v>1974</v>
      </c>
    </row>
    <row r="2725" spans="1:13" x14ac:dyDescent="0.3">
      <c r="A2725" s="67" t="s">
        <v>2653</v>
      </c>
      <c r="B2725" s="28" t="s">
        <v>2654</v>
      </c>
      <c r="C2725" s="28" t="s">
        <v>2655</v>
      </c>
      <c r="D2725" s="29">
        <v>45933</v>
      </c>
      <c r="E2725" s="29">
        <v>46721</v>
      </c>
      <c r="F2725" s="28" t="s">
        <v>1945</v>
      </c>
      <c r="G2725" s="28" t="s">
        <v>555</v>
      </c>
      <c r="H2725" s="28" t="s">
        <v>361</v>
      </c>
      <c r="I2725" s="28" t="s">
        <v>1518</v>
      </c>
      <c r="J2725" s="28" t="s">
        <v>1088</v>
      </c>
      <c r="K2725" s="28" t="s">
        <v>646</v>
      </c>
      <c r="L2725" s="28" t="s">
        <v>2421</v>
      </c>
      <c r="M2725" s="69" t="s">
        <v>1974</v>
      </c>
    </row>
    <row r="2726" spans="1:13" x14ac:dyDescent="0.3">
      <c r="A2726" s="67" t="s">
        <v>2656</v>
      </c>
      <c r="B2726" s="28" t="s">
        <v>2657</v>
      </c>
      <c r="C2726" s="28" t="s">
        <v>2658</v>
      </c>
      <c r="D2726" s="29">
        <v>45905</v>
      </c>
      <c r="E2726" s="29">
        <v>47000</v>
      </c>
      <c r="F2726" s="28" t="s">
        <v>1930</v>
      </c>
      <c r="G2726" s="28" t="s">
        <v>721</v>
      </c>
      <c r="H2726" s="28" t="s">
        <v>662</v>
      </c>
      <c r="I2726" s="28" t="s">
        <v>825</v>
      </c>
      <c r="J2726" s="28" t="s">
        <v>378</v>
      </c>
      <c r="K2726" s="28" t="s">
        <v>371</v>
      </c>
      <c r="L2726" s="28" t="s">
        <v>2421</v>
      </c>
      <c r="M2726" s="69" t="s">
        <v>1972</v>
      </c>
    </row>
    <row r="2727" spans="1:13" x14ac:dyDescent="0.3">
      <c r="A2727" s="67" t="s">
        <v>2656</v>
      </c>
      <c r="B2727" s="28" t="s">
        <v>2657</v>
      </c>
      <c r="C2727" s="28" t="s">
        <v>2658</v>
      </c>
      <c r="D2727" s="29">
        <v>45905</v>
      </c>
      <c r="E2727" s="29">
        <v>47000</v>
      </c>
      <c r="F2727" s="28" t="s">
        <v>1930</v>
      </c>
      <c r="G2727" s="28" t="s">
        <v>1207</v>
      </c>
      <c r="H2727" s="28" t="s">
        <v>662</v>
      </c>
      <c r="I2727" s="28" t="s">
        <v>825</v>
      </c>
      <c r="J2727" s="28" t="s">
        <v>378</v>
      </c>
      <c r="K2727" s="28" t="s">
        <v>371</v>
      </c>
      <c r="L2727" s="28" t="s">
        <v>2421</v>
      </c>
      <c r="M2727" s="69" t="s">
        <v>1972</v>
      </c>
    </row>
    <row r="2728" spans="1:13" x14ac:dyDescent="0.3">
      <c r="A2728" s="67" t="s">
        <v>2656</v>
      </c>
      <c r="B2728" s="28" t="s">
        <v>2657</v>
      </c>
      <c r="C2728" s="28" t="s">
        <v>2658</v>
      </c>
      <c r="D2728" s="29">
        <v>45905</v>
      </c>
      <c r="E2728" s="29">
        <v>47000</v>
      </c>
      <c r="F2728" s="28" t="s">
        <v>1934</v>
      </c>
      <c r="G2728" s="28" t="s">
        <v>304</v>
      </c>
      <c r="H2728" s="28" t="s">
        <v>662</v>
      </c>
      <c r="I2728" s="28" t="s">
        <v>825</v>
      </c>
      <c r="J2728" s="28" t="s">
        <v>378</v>
      </c>
      <c r="K2728" s="28" t="s">
        <v>371</v>
      </c>
      <c r="L2728" s="28" t="s">
        <v>2421</v>
      </c>
      <c r="M2728" s="69" t="s">
        <v>1972</v>
      </c>
    </row>
    <row r="2729" spans="1:13" x14ac:dyDescent="0.3">
      <c r="A2729" s="67" t="s">
        <v>2656</v>
      </c>
      <c r="B2729" s="28" t="s">
        <v>2657</v>
      </c>
      <c r="C2729" s="28" t="s">
        <v>2658</v>
      </c>
      <c r="D2729" s="29">
        <v>45905</v>
      </c>
      <c r="E2729" s="29">
        <v>47000</v>
      </c>
      <c r="F2729" s="28" t="s">
        <v>1936</v>
      </c>
      <c r="G2729" s="28" t="s">
        <v>304</v>
      </c>
      <c r="H2729" s="28" t="s">
        <v>662</v>
      </c>
      <c r="I2729" s="28" t="s">
        <v>825</v>
      </c>
      <c r="J2729" s="28" t="s">
        <v>378</v>
      </c>
      <c r="K2729" s="28" t="s">
        <v>371</v>
      </c>
      <c r="L2729" s="28" t="s">
        <v>2421</v>
      </c>
      <c r="M2729" s="69" t="s">
        <v>1972</v>
      </c>
    </row>
    <row r="2730" spans="1:13" x14ac:dyDescent="0.3">
      <c r="A2730" s="67" t="s">
        <v>2659</v>
      </c>
      <c r="B2730" s="28" t="s">
        <v>2660</v>
      </c>
      <c r="C2730" s="28" t="s">
        <v>2661</v>
      </c>
      <c r="D2730" s="29">
        <v>45658</v>
      </c>
      <c r="E2730" s="29">
        <v>46203</v>
      </c>
      <c r="F2730" s="28" t="s">
        <v>350</v>
      </c>
      <c r="G2730" s="28" t="s">
        <v>304</v>
      </c>
      <c r="H2730" s="28" t="s">
        <v>373</v>
      </c>
      <c r="I2730" s="28" t="s">
        <v>825</v>
      </c>
      <c r="J2730" s="28" t="s">
        <v>370</v>
      </c>
      <c r="K2730" s="28" t="s">
        <v>371</v>
      </c>
      <c r="L2730" s="28" t="s">
        <v>2421</v>
      </c>
      <c r="M2730" s="69" t="s">
        <v>1976</v>
      </c>
    </row>
    <row r="2731" spans="1:13" x14ac:dyDescent="0.3">
      <c r="A2731" s="67" t="s">
        <v>2662</v>
      </c>
      <c r="B2731" s="28" t="s">
        <v>2663</v>
      </c>
      <c r="C2731" s="28" t="s">
        <v>2664</v>
      </c>
      <c r="D2731" s="29">
        <v>45658</v>
      </c>
      <c r="E2731" s="29">
        <v>46387</v>
      </c>
      <c r="F2731" s="28" t="s">
        <v>350</v>
      </c>
      <c r="G2731" s="28" t="s">
        <v>304</v>
      </c>
      <c r="H2731" s="28" t="s">
        <v>1732</v>
      </c>
      <c r="I2731" s="28" t="s">
        <v>825</v>
      </c>
      <c r="J2731" s="28" t="s">
        <v>378</v>
      </c>
      <c r="K2731" s="28" t="s">
        <v>371</v>
      </c>
      <c r="L2731" s="28" t="s">
        <v>2421</v>
      </c>
      <c r="M2731" s="69" t="s">
        <v>1976</v>
      </c>
    </row>
    <row r="2732" spans="1:13" x14ac:dyDescent="0.3">
      <c r="A2732" s="67" t="s">
        <v>2665</v>
      </c>
      <c r="B2732" s="28" t="s">
        <v>2666</v>
      </c>
      <c r="C2732" s="28" t="s">
        <v>2667</v>
      </c>
      <c r="D2732" s="29">
        <v>45953</v>
      </c>
      <c r="E2732" s="29">
        <v>46866</v>
      </c>
      <c r="F2732" s="28" t="s">
        <v>1959</v>
      </c>
      <c r="G2732" s="28" t="s">
        <v>585</v>
      </c>
      <c r="H2732" s="28" t="s">
        <v>468</v>
      </c>
      <c r="I2732" s="28" t="s">
        <v>825</v>
      </c>
      <c r="J2732" s="28" t="s">
        <v>370</v>
      </c>
      <c r="K2732" s="28" t="s">
        <v>371</v>
      </c>
      <c r="L2732" s="28" t="s">
        <v>2421</v>
      </c>
      <c r="M2732" s="69" t="s">
        <v>2021</v>
      </c>
    </row>
    <row r="2733" spans="1:13" x14ac:dyDescent="0.3">
      <c r="A2733" s="67" t="s">
        <v>2665</v>
      </c>
      <c r="B2733" s="28" t="s">
        <v>2666</v>
      </c>
      <c r="C2733" s="28" t="s">
        <v>2667</v>
      </c>
      <c r="D2733" s="29">
        <v>45953</v>
      </c>
      <c r="E2733" s="29">
        <v>46866</v>
      </c>
      <c r="F2733" s="28" t="s">
        <v>1959</v>
      </c>
      <c r="G2733" s="28" t="s">
        <v>588</v>
      </c>
      <c r="H2733" s="28" t="s">
        <v>468</v>
      </c>
      <c r="I2733" s="28" t="s">
        <v>825</v>
      </c>
      <c r="J2733" s="28" t="s">
        <v>370</v>
      </c>
      <c r="K2733" s="28" t="s">
        <v>371</v>
      </c>
      <c r="L2733" s="28" t="s">
        <v>2421</v>
      </c>
      <c r="M2733" s="69" t="s">
        <v>2021</v>
      </c>
    </row>
    <row r="2734" spans="1:13" x14ac:dyDescent="0.3">
      <c r="A2734" s="67" t="s">
        <v>2665</v>
      </c>
      <c r="B2734" s="28" t="s">
        <v>2666</v>
      </c>
      <c r="C2734" s="28" t="s">
        <v>2667</v>
      </c>
      <c r="D2734" s="29">
        <v>45953</v>
      </c>
      <c r="E2734" s="29">
        <v>46866</v>
      </c>
      <c r="F2734" s="28" t="s">
        <v>1945</v>
      </c>
      <c r="G2734" s="28" t="s">
        <v>400</v>
      </c>
      <c r="H2734" s="28" t="s">
        <v>468</v>
      </c>
      <c r="I2734" s="28" t="s">
        <v>825</v>
      </c>
      <c r="J2734" s="28" t="s">
        <v>370</v>
      </c>
      <c r="K2734" s="28" t="s">
        <v>371</v>
      </c>
      <c r="L2734" s="28" t="s">
        <v>2421</v>
      </c>
      <c r="M2734" s="69" t="s">
        <v>2021</v>
      </c>
    </row>
    <row r="2735" spans="1:13" x14ac:dyDescent="0.3">
      <c r="A2735" s="67" t="s">
        <v>2665</v>
      </c>
      <c r="B2735" s="28" t="s">
        <v>2666</v>
      </c>
      <c r="C2735" s="28" t="s">
        <v>2667</v>
      </c>
      <c r="D2735" s="29">
        <v>45953</v>
      </c>
      <c r="E2735" s="29">
        <v>46866</v>
      </c>
      <c r="F2735" s="28" t="s">
        <v>1945</v>
      </c>
      <c r="G2735" s="28" t="s">
        <v>555</v>
      </c>
      <c r="H2735" s="28" t="s">
        <v>468</v>
      </c>
      <c r="I2735" s="28" t="s">
        <v>825</v>
      </c>
      <c r="J2735" s="28" t="s">
        <v>370</v>
      </c>
      <c r="K2735" s="28" t="s">
        <v>371</v>
      </c>
      <c r="L2735" s="28" t="s">
        <v>2421</v>
      </c>
      <c r="M2735" s="69" t="s">
        <v>2021</v>
      </c>
    </row>
    <row r="2736" spans="1:13" x14ac:dyDescent="0.3">
      <c r="A2736" s="67" t="s">
        <v>2665</v>
      </c>
      <c r="B2736" s="28" t="s">
        <v>2666</v>
      </c>
      <c r="C2736" s="28" t="s">
        <v>2667</v>
      </c>
      <c r="D2736" s="29">
        <v>45953</v>
      </c>
      <c r="E2736" s="29">
        <v>46866</v>
      </c>
      <c r="F2736" s="28" t="s">
        <v>1936</v>
      </c>
      <c r="G2736" s="28" t="s">
        <v>411</v>
      </c>
      <c r="H2736" s="28" t="s">
        <v>468</v>
      </c>
      <c r="I2736" s="28" t="s">
        <v>825</v>
      </c>
      <c r="J2736" s="28" t="s">
        <v>370</v>
      </c>
      <c r="K2736" s="28" t="s">
        <v>371</v>
      </c>
      <c r="L2736" s="28" t="s">
        <v>2421</v>
      </c>
      <c r="M2736" s="69" t="s">
        <v>2021</v>
      </c>
    </row>
    <row r="2737" spans="1:13" x14ac:dyDescent="0.3">
      <c r="A2737" s="67" t="s">
        <v>2665</v>
      </c>
      <c r="B2737" s="28" t="s">
        <v>2666</v>
      </c>
      <c r="C2737" s="28" t="s">
        <v>2667</v>
      </c>
      <c r="D2737" s="29">
        <v>45953</v>
      </c>
      <c r="E2737" s="29">
        <v>46866</v>
      </c>
      <c r="F2737" s="28" t="s">
        <v>287</v>
      </c>
      <c r="G2737" s="28" t="s">
        <v>396</v>
      </c>
      <c r="H2737" s="28" t="s">
        <v>468</v>
      </c>
      <c r="I2737" s="28" t="s">
        <v>825</v>
      </c>
      <c r="J2737" s="28" t="s">
        <v>370</v>
      </c>
      <c r="K2737" s="28" t="s">
        <v>371</v>
      </c>
      <c r="L2737" s="28" t="s">
        <v>2421</v>
      </c>
      <c r="M2737" s="69" t="s">
        <v>2021</v>
      </c>
    </row>
    <row r="2738" spans="1:13" x14ac:dyDescent="0.3">
      <c r="A2738" s="67" t="s">
        <v>2665</v>
      </c>
      <c r="B2738" s="28" t="s">
        <v>2666</v>
      </c>
      <c r="C2738" s="28" t="s">
        <v>2667</v>
      </c>
      <c r="D2738" s="29">
        <v>45953</v>
      </c>
      <c r="E2738" s="29">
        <v>46866</v>
      </c>
      <c r="F2738" s="28" t="s">
        <v>1959</v>
      </c>
      <c r="G2738" s="28" t="s">
        <v>585</v>
      </c>
      <c r="H2738" s="28" t="s">
        <v>2668</v>
      </c>
      <c r="I2738" s="28" t="s">
        <v>825</v>
      </c>
      <c r="J2738" s="28" t="s">
        <v>370</v>
      </c>
      <c r="K2738" s="28" t="s">
        <v>371</v>
      </c>
      <c r="L2738" s="28" t="s">
        <v>2421</v>
      </c>
      <c r="M2738" s="69" t="s">
        <v>2021</v>
      </c>
    </row>
    <row r="2739" spans="1:13" x14ac:dyDescent="0.3">
      <c r="A2739" s="67" t="s">
        <v>2665</v>
      </c>
      <c r="B2739" s="28" t="s">
        <v>2666</v>
      </c>
      <c r="C2739" s="28" t="s">
        <v>2667</v>
      </c>
      <c r="D2739" s="29">
        <v>45953</v>
      </c>
      <c r="E2739" s="29">
        <v>46866</v>
      </c>
      <c r="F2739" s="28" t="s">
        <v>1959</v>
      </c>
      <c r="G2739" s="28" t="s">
        <v>588</v>
      </c>
      <c r="H2739" s="28" t="s">
        <v>2668</v>
      </c>
      <c r="I2739" s="28" t="s">
        <v>825</v>
      </c>
      <c r="J2739" s="28" t="s">
        <v>370</v>
      </c>
      <c r="K2739" s="28" t="s">
        <v>371</v>
      </c>
      <c r="L2739" s="28" t="s">
        <v>2421</v>
      </c>
      <c r="M2739" s="69" t="s">
        <v>2021</v>
      </c>
    </row>
    <row r="2740" spans="1:13" x14ac:dyDescent="0.3">
      <c r="A2740" s="67" t="s">
        <v>2665</v>
      </c>
      <c r="B2740" s="28" t="s">
        <v>2666</v>
      </c>
      <c r="C2740" s="28" t="s">
        <v>2667</v>
      </c>
      <c r="D2740" s="29">
        <v>45953</v>
      </c>
      <c r="E2740" s="29">
        <v>46866</v>
      </c>
      <c r="F2740" s="28" t="s">
        <v>1945</v>
      </c>
      <c r="G2740" s="28" t="s">
        <v>400</v>
      </c>
      <c r="H2740" s="28" t="s">
        <v>2668</v>
      </c>
      <c r="I2740" s="28" t="s">
        <v>825</v>
      </c>
      <c r="J2740" s="28" t="s">
        <v>370</v>
      </c>
      <c r="K2740" s="28" t="s">
        <v>371</v>
      </c>
      <c r="L2740" s="28" t="s">
        <v>2421</v>
      </c>
      <c r="M2740" s="69" t="s">
        <v>2021</v>
      </c>
    </row>
    <row r="2741" spans="1:13" x14ac:dyDescent="0.3">
      <c r="A2741" s="67" t="s">
        <v>2665</v>
      </c>
      <c r="B2741" s="28" t="s">
        <v>2666</v>
      </c>
      <c r="C2741" s="28" t="s">
        <v>2667</v>
      </c>
      <c r="D2741" s="29">
        <v>45953</v>
      </c>
      <c r="E2741" s="29">
        <v>46866</v>
      </c>
      <c r="F2741" s="28" t="s">
        <v>1945</v>
      </c>
      <c r="G2741" s="28" t="s">
        <v>555</v>
      </c>
      <c r="H2741" s="28" t="s">
        <v>2668</v>
      </c>
      <c r="I2741" s="28" t="s">
        <v>825</v>
      </c>
      <c r="J2741" s="28" t="s">
        <v>370</v>
      </c>
      <c r="K2741" s="28" t="s">
        <v>371</v>
      </c>
      <c r="L2741" s="28" t="s">
        <v>2421</v>
      </c>
      <c r="M2741" s="69" t="s">
        <v>2021</v>
      </c>
    </row>
    <row r="2742" spans="1:13" x14ac:dyDescent="0.3">
      <c r="A2742" s="67" t="s">
        <v>2665</v>
      </c>
      <c r="B2742" s="28" t="s">
        <v>2666</v>
      </c>
      <c r="C2742" s="28" t="s">
        <v>2667</v>
      </c>
      <c r="D2742" s="29">
        <v>45953</v>
      </c>
      <c r="E2742" s="29">
        <v>46866</v>
      </c>
      <c r="F2742" s="28" t="s">
        <v>1936</v>
      </c>
      <c r="G2742" s="28" t="s">
        <v>411</v>
      </c>
      <c r="H2742" s="28" t="s">
        <v>2668</v>
      </c>
      <c r="I2742" s="28" t="s">
        <v>825</v>
      </c>
      <c r="J2742" s="28" t="s">
        <v>370</v>
      </c>
      <c r="K2742" s="28" t="s">
        <v>371</v>
      </c>
      <c r="L2742" s="28" t="s">
        <v>2421</v>
      </c>
      <c r="M2742" s="69" t="s">
        <v>2021</v>
      </c>
    </row>
    <row r="2743" spans="1:13" x14ac:dyDescent="0.3">
      <c r="A2743" s="67" t="s">
        <v>2665</v>
      </c>
      <c r="B2743" s="28" t="s">
        <v>2666</v>
      </c>
      <c r="C2743" s="28" t="s">
        <v>2667</v>
      </c>
      <c r="D2743" s="29">
        <v>45953</v>
      </c>
      <c r="E2743" s="29">
        <v>46866</v>
      </c>
      <c r="F2743" s="28" t="s">
        <v>287</v>
      </c>
      <c r="G2743" s="28" t="s">
        <v>396</v>
      </c>
      <c r="H2743" s="28" t="s">
        <v>2668</v>
      </c>
      <c r="I2743" s="28" t="s">
        <v>825</v>
      </c>
      <c r="J2743" s="28" t="s">
        <v>370</v>
      </c>
      <c r="K2743" s="28" t="s">
        <v>371</v>
      </c>
      <c r="L2743" s="28" t="s">
        <v>2421</v>
      </c>
      <c r="M2743" s="69" t="s">
        <v>2021</v>
      </c>
    </row>
    <row r="2744" spans="1:13" x14ac:dyDescent="0.3">
      <c r="A2744" s="67" t="s">
        <v>2669</v>
      </c>
      <c r="B2744" s="28" t="s">
        <v>2670</v>
      </c>
      <c r="C2744" s="28" t="s">
        <v>2671</v>
      </c>
      <c r="D2744" s="29">
        <v>45880</v>
      </c>
      <c r="E2744" s="29">
        <v>46295</v>
      </c>
      <c r="F2744" s="28" t="s">
        <v>1941</v>
      </c>
      <c r="G2744" s="28" t="s">
        <v>317</v>
      </c>
      <c r="H2744" s="28" t="s">
        <v>569</v>
      </c>
      <c r="I2744" s="28" t="s">
        <v>825</v>
      </c>
      <c r="J2744" s="28" t="s">
        <v>378</v>
      </c>
      <c r="K2744" s="28" t="s">
        <v>371</v>
      </c>
      <c r="L2744" s="28" t="s">
        <v>2421</v>
      </c>
      <c r="M2744" s="69" t="s">
        <v>1972</v>
      </c>
    </row>
    <row r="2745" spans="1:13" x14ac:dyDescent="0.3">
      <c r="A2745" s="67" t="s">
        <v>2669</v>
      </c>
      <c r="B2745" s="28" t="s">
        <v>2670</v>
      </c>
      <c r="C2745" s="28" t="s">
        <v>2671</v>
      </c>
      <c r="D2745" s="29">
        <v>45880</v>
      </c>
      <c r="E2745" s="29">
        <v>46295</v>
      </c>
      <c r="F2745" s="28" t="s">
        <v>1941</v>
      </c>
      <c r="G2745" s="28" t="s">
        <v>323</v>
      </c>
      <c r="H2745" s="28" t="s">
        <v>569</v>
      </c>
      <c r="I2745" s="28" t="s">
        <v>825</v>
      </c>
      <c r="J2745" s="28" t="s">
        <v>378</v>
      </c>
      <c r="K2745" s="28" t="s">
        <v>371</v>
      </c>
      <c r="L2745" s="28" t="s">
        <v>2421</v>
      </c>
      <c r="M2745" s="69" t="s">
        <v>1972</v>
      </c>
    </row>
    <row r="2746" spans="1:13" x14ac:dyDescent="0.3">
      <c r="A2746" s="67" t="s">
        <v>2669</v>
      </c>
      <c r="B2746" s="28" t="s">
        <v>2670</v>
      </c>
      <c r="C2746" s="28" t="s">
        <v>2671</v>
      </c>
      <c r="D2746" s="29">
        <v>45880</v>
      </c>
      <c r="E2746" s="29">
        <v>46295</v>
      </c>
      <c r="F2746" s="28" t="s">
        <v>1941</v>
      </c>
      <c r="G2746" s="28" t="s">
        <v>397</v>
      </c>
      <c r="H2746" s="28" t="s">
        <v>569</v>
      </c>
      <c r="I2746" s="28" t="s">
        <v>825</v>
      </c>
      <c r="J2746" s="28" t="s">
        <v>378</v>
      </c>
      <c r="K2746" s="28" t="s">
        <v>371</v>
      </c>
      <c r="L2746" s="28" t="s">
        <v>2421</v>
      </c>
      <c r="M2746" s="69" t="s">
        <v>1972</v>
      </c>
    </row>
    <row r="2747" spans="1:13" x14ac:dyDescent="0.3">
      <c r="A2747" s="67" t="s">
        <v>2669</v>
      </c>
      <c r="B2747" s="28" t="s">
        <v>2670</v>
      </c>
      <c r="C2747" s="28" t="s">
        <v>2671</v>
      </c>
      <c r="D2747" s="29">
        <v>45880</v>
      </c>
      <c r="E2747" s="29">
        <v>46295</v>
      </c>
      <c r="F2747" s="28" t="s">
        <v>1941</v>
      </c>
      <c r="G2747" s="28" t="s">
        <v>1329</v>
      </c>
      <c r="H2747" s="28" t="s">
        <v>569</v>
      </c>
      <c r="I2747" s="28" t="s">
        <v>825</v>
      </c>
      <c r="J2747" s="28" t="s">
        <v>378</v>
      </c>
      <c r="K2747" s="28" t="s">
        <v>371</v>
      </c>
      <c r="L2747" s="28" t="s">
        <v>2421</v>
      </c>
      <c r="M2747" s="69" t="s">
        <v>1972</v>
      </c>
    </row>
    <row r="2748" spans="1:13" x14ac:dyDescent="0.3">
      <c r="A2748" s="67" t="s">
        <v>2669</v>
      </c>
      <c r="B2748" s="28" t="s">
        <v>2670</v>
      </c>
      <c r="C2748" s="28" t="s">
        <v>2671</v>
      </c>
      <c r="D2748" s="29">
        <v>45880</v>
      </c>
      <c r="E2748" s="29">
        <v>46295</v>
      </c>
      <c r="F2748" s="28" t="s">
        <v>1941</v>
      </c>
      <c r="G2748" s="28" t="s">
        <v>399</v>
      </c>
      <c r="H2748" s="28" t="s">
        <v>569</v>
      </c>
      <c r="I2748" s="28" t="s">
        <v>825</v>
      </c>
      <c r="J2748" s="28" t="s">
        <v>378</v>
      </c>
      <c r="K2748" s="28" t="s">
        <v>371</v>
      </c>
      <c r="L2748" s="28" t="s">
        <v>2421</v>
      </c>
      <c r="M2748" s="69" t="s">
        <v>1972</v>
      </c>
    </row>
    <row r="2749" spans="1:13" x14ac:dyDescent="0.3">
      <c r="A2749" s="67" t="s">
        <v>2669</v>
      </c>
      <c r="B2749" s="28" t="s">
        <v>2670</v>
      </c>
      <c r="C2749" s="28" t="s">
        <v>2671</v>
      </c>
      <c r="D2749" s="29">
        <v>45880</v>
      </c>
      <c r="E2749" s="29">
        <v>46295</v>
      </c>
      <c r="F2749" s="28" t="s">
        <v>1930</v>
      </c>
      <c r="G2749" s="28" t="s">
        <v>810</v>
      </c>
      <c r="H2749" s="28" t="s">
        <v>569</v>
      </c>
      <c r="I2749" s="28" t="s">
        <v>825</v>
      </c>
      <c r="J2749" s="28" t="s">
        <v>378</v>
      </c>
      <c r="K2749" s="28" t="s">
        <v>371</v>
      </c>
      <c r="L2749" s="28" t="s">
        <v>2421</v>
      </c>
      <c r="M2749" s="69" t="s">
        <v>1972</v>
      </c>
    </row>
    <row r="2750" spans="1:13" x14ac:dyDescent="0.3">
      <c r="A2750" s="67" t="s">
        <v>2669</v>
      </c>
      <c r="B2750" s="28" t="s">
        <v>2670</v>
      </c>
      <c r="C2750" s="28" t="s">
        <v>2671</v>
      </c>
      <c r="D2750" s="29">
        <v>45880</v>
      </c>
      <c r="E2750" s="29">
        <v>46295</v>
      </c>
      <c r="F2750" s="28" t="s">
        <v>1930</v>
      </c>
      <c r="G2750" s="28" t="s">
        <v>1421</v>
      </c>
      <c r="H2750" s="28" t="s">
        <v>569</v>
      </c>
      <c r="I2750" s="28" t="s">
        <v>825</v>
      </c>
      <c r="J2750" s="28" t="s">
        <v>378</v>
      </c>
      <c r="K2750" s="28" t="s">
        <v>371</v>
      </c>
      <c r="L2750" s="28" t="s">
        <v>2421</v>
      </c>
      <c r="M2750" s="69" t="s">
        <v>1972</v>
      </c>
    </row>
    <row r="2751" spans="1:13" x14ac:dyDescent="0.3">
      <c r="A2751" s="67" t="s">
        <v>2669</v>
      </c>
      <c r="B2751" s="28" t="s">
        <v>2670</v>
      </c>
      <c r="C2751" s="28" t="s">
        <v>2671</v>
      </c>
      <c r="D2751" s="29">
        <v>45880</v>
      </c>
      <c r="E2751" s="29">
        <v>46295</v>
      </c>
      <c r="F2751" s="28" t="s">
        <v>1930</v>
      </c>
      <c r="G2751" s="28" t="s">
        <v>572</v>
      </c>
      <c r="H2751" s="28" t="s">
        <v>569</v>
      </c>
      <c r="I2751" s="28" t="s">
        <v>825</v>
      </c>
      <c r="J2751" s="28" t="s">
        <v>378</v>
      </c>
      <c r="K2751" s="28" t="s">
        <v>371</v>
      </c>
      <c r="L2751" s="28" t="s">
        <v>2421</v>
      </c>
      <c r="M2751" s="69" t="s">
        <v>1972</v>
      </c>
    </row>
    <row r="2752" spans="1:13" x14ac:dyDescent="0.3">
      <c r="A2752" s="67" t="s">
        <v>2669</v>
      </c>
      <c r="B2752" s="28" t="s">
        <v>2670</v>
      </c>
      <c r="C2752" s="28" t="s">
        <v>2671</v>
      </c>
      <c r="D2752" s="29">
        <v>45880</v>
      </c>
      <c r="E2752" s="29">
        <v>46295</v>
      </c>
      <c r="F2752" s="28" t="s">
        <v>1930</v>
      </c>
      <c r="G2752" s="28" t="s">
        <v>511</v>
      </c>
      <c r="H2752" s="28" t="s">
        <v>569</v>
      </c>
      <c r="I2752" s="28" t="s">
        <v>825</v>
      </c>
      <c r="J2752" s="28" t="s">
        <v>378</v>
      </c>
      <c r="K2752" s="28" t="s">
        <v>371</v>
      </c>
      <c r="L2752" s="28" t="s">
        <v>2421</v>
      </c>
      <c r="M2752" s="69" t="s">
        <v>1972</v>
      </c>
    </row>
    <row r="2753" spans="1:13" x14ac:dyDescent="0.3">
      <c r="A2753" s="67" t="s">
        <v>2669</v>
      </c>
      <c r="B2753" s="28" t="s">
        <v>2670</v>
      </c>
      <c r="C2753" s="28" t="s">
        <v>2671</v>
      </c>
      <c r="D2753" s="29">
        <v>45880</v>
      </c>
      <c r="E2753" s="29">
        <v>46295</v>
      </c>
      <c r="F2753" s="28" t="s">
        <v>1922</v>
      </c>
      <c r="G2753" s="28" t="s">
        <v>380</v>
      </c>
      <c r="H2753" s="28" t="s">
        <v>569</v>
      </c>
      <c r="I2753" s="28" t="s">
        <v>825</v>
      </c>
      <c r="J2753" s="28" t="s">
        <v>378</v>
      </c>
      <c r="K2753" s="28" t="s">
        <v>371</v>
      </c>
      <c r="L2753" s="28" t="s">
        <v>2421</v>
      </c>
      <c r="M2753" s="69" t="s">
        <v>1972</v>
      </c>
    </row>
    <row r="2754" spans="1:13" x14ac:dyDescent="0.3">
      <c r="A2754" s="67" t="s">
        <v>2669</v>
      </c>
      <c r="B2754" s="28" t="s">
        <v>2670</v>
      </c>
      <c r="C2754" s="28" t="s">
        <v>2671</v>
      </c>
      <c r="D2754" s="29">
        <v>45880</v>
      </c>
      <c r="E2754" s="29">
        <v>46295</v>
      </c>
      <c r="F2754" s="28" t="s">
        <v>1959</v>
      </c>
      <c r="G2754" s="28" t="s">
        <v>587</v>
      </c>
      <c r="H2754" s="28" t="s">
        <v>569</v>
      </c>
      <c r="I2754" s="28" t="s">
        <v>825</v>
      </c>
      <c r="J2754" s="28" t="s">
        <v>378</v>
      </c>
      <c r="K2754" s="28" t="s">
        <v>371</v>
      </c>
      <c r="L2754" s="28" t="s">
        <v>2421</v>
      </c>
      <c r="M2754" s="69" t="s">
        <v>1972</v>
      </c>
    </row>
    <row r="2755" spans="1:13" x14ac:dyDescent="0.3">
      <c r="A2755" s="67" t="s">
        <v>2669</v>
      </c>
      <c r="B2755" s="28" t="s">
        <v>2670</v>
      </c>
      <c r="C2755" s="28" t="s">
        <v>2671</v>
      </c>
      <c r="D2755" s="29">
        <v>45880</v>
      </c>
      <c r="E2755" s="29">
        <v>46295</v>
      </c>
      <c r="F2755" s="28" t="s">
        <v>1945</v>
      </c>
      <c r="G2755" s="28" t="s">
        <v>402</v>
      </c>
      <c r="H2755" s="28" t="s">
        <v>569</v>
      </c>
      <c r="I2755" s="28" t="s">
        <v>825</v>
      </c>
      <c r="J2755" s="28" t="s">
        <v>378</v>
      </c>
      <c r="K2755" s="28" t="s">
        <v>371</v>
      </c>
      <c r="L2755" s="28" t="s">
        <v>2421</v>
      </c>
      <c r="M2755" s="69" t="s">
        <v>1972</v>
      </c>
    </row>
    <row r="2756" spans="1:13" x14ac:dyDescent="0.3">
      <c r="A2756" s="67" t="s">
        <v>2672</v>
      </c>
      <c r="B2756" s="28" t="s">
        <v>2673</v>
      </c>
      <c r="C2756" s="28" t="s">
        <v>2674</v>
      </c>
      <c r="D2756" s="29">
        <v>45673</v>
      </c>
      <c r="E2756" s="29">
        <v>46037</v>
      </c>
      <c r="F2756" s="28" t="s">
        <v>1938</v>
      </c>
      <c r="G2756" s="28" t="s">
        <v>505</v>
      </c>
      <c r="H2756" s="28" t="s">
        <v>1525</v>
      </c>
      <c r="I2756" s="28" t="s">
        <v>825</v>
      </c>
      <c r="J2756" s="28" t="s">
        <v>579</v>
      </c>
      <c r="K2756" s="28" t="s">
        <v>428</v>
      </c>
      <c r="L2756" s="28" t="s">
        <v>2421</v>
      </c>
      <c r="M2756" s="69" t="s">
        <v>2021</v>
      </c>
    </row>
    <row r="2757" spans="1:13" x14ac:dyDescent="0.3">
      <c r="A2757" s="67" t="s">
        <v>2672</v>
      </c>
      <c r="B2757" s="28" t="s">
        <v>2673</v>
      </c>
      <c r="C2757" s="28" t="s">
        <v>2674</v>
      </c>
      <c r="D2757" s="29">
        <v>45673</v>
      </c>
      <c r="E2757" s="29">
        <v>46037</v>
      </c>
      <c r="F2757" s="28" t="s">
        <v>1938</v>
      </c>
      <c r="G2757" s="28" t="s">
        <v>506</v>
      </c>
      <c r="H2757" s="28" t="s">
        <v>1525</v>
      </c>
      <c r="I2757" s="28" t="s">
        <v>825</v>
      </c>
      <c r="J2757" s="28" t="s">
        <v>579</v>
      </c>
      <c r="K2757" s="28" t="s">
        <v>428</v>
      </c>
      <c r="L2757" s="28" t="s">
        <v>2421</v>
      </c>
      <c r="M2757" s="69" t="s">
        <v>2021</v>
      </c>
    </row>
    <row r="2758" spans="1:13" x14ac:dyDescent="0.3">
      <c r="A2758" s="67" t="s">
        <v>2672</v>
      </c>
      <c r="B2758" s="28" t="s">
        <v>2673</v>
      </c>
      <c r="C2758" s="28" t="s">
        <v>2674</v>
      </c>
      <c r="D2758" s="29">
        <v>45673</v>
      </c>
      <c r="E2758" s="29">
        <v>46037</v>
      </c>
      <c r="F2758" s="28" t="s">
        <v>1941</v>
      </c>
      <c r="G2758" s="28" t="s">
        <v>495</v>
      </c>
      <c r="H2758" s="28" t="s">
        <v>1525</v>
      </c>
      <c r="I2758" s="28" t="s">
        <v>825</v>
      </c>
      <c r="J2758" s="28" t="s">
        <v>579</v>
      </c>
      <c r="K2758" s="28" t="s">
        <v>428</v>
      </c>
      <c r="L2758" s="28" t="s">
        <v>2421</v>
      </c>
      <c r="M2758" s="69" t="s">
        <v>2021</v>
      </c>
    </row>
    <row r="2759" spans="1:13" x14ac:dyDescent="0.3">
      <c r="A2759" s="67" t="s">
        <v>2675</v>
      </c>
      <c r="B2759" s="28" t="s">
        <v>2676</v>
      </c>
      <c r="C2759" s="28" t="s">
        <v>2677</v>
      </c>
      <c r="D2759" s="29">
        <v>45936</v>
      </c>
      <c r="E2759" s="29">
        <v>46660</v>
      </c>
      <c r="F2759" s="28" t="s">
        <v>1936</v>
      </c>
      <c r="G2759" s="28" t="s">
        <v>746</v>
      </c>
      <c r="H2759" s="28" t="s">
        <v>662</v>
      </c>
      <c r="I2759" s="28" t="s">
        <v>825</v>
      </c>
      <c r="J2759" s="28" t="s">
        <v>558</v>
      </c>
      <c r="K2759" s="28" t="s">
        <v>426</v>
      </c>
      <c r="L2759" s="28" t="s">
        <v>2421</v>
      </c>
      <c r="M2759" s="69" t="s">
        <v>1970</v>
      </c>
    </row>
    <row r="2760" spans="1:13" x14ac:dyDescent="0.3">
      <c r="A2760" s="67" t="s">
        <v>2675</v>
      </c>
      <c r="B2760" s="28" t="s">
        <v>2676</v>
      </c>
      <c r="C2760" s="28" t="s">
        <v>2677</v>
      </c>
      <c r="D2760" s="29">
        <v>45936</v>
      </c>
      <c r="E2760" s="29">
        <v>46660</v>
      </c>
      <c r="F2760" s="28" t="s">
        <v>1936</v>
      </c>
      <c r="G2760" s="28" t="s">
        <v>798</v>
      </c>
      <c r="H2760" s="28" t="s">
        <v>662</v>
      </c>
      <c r="I2760" s="28" t="s">
        <v>825</v>
      </c>
      <c r="J2760" s="28" t="s">
        <v>558</v>
      </c>
      <c r="K2760" s="28" t="s">
        <v>426</v>
      </c>
      <c r="L2760" s="28" t="s">
        <v>2421</v>
      </c>
      <c r="M2760" s="69" t="s">
        <v>1970</v>
      </c>
    </row>
    <row r="2761" spans="1:13" x14ac:dyDescent="0.3">
      <c r="A2761" s="67" t="s">
        <v>2675</v>
      </c>
      <c r="B2761" s="28" t="s">
        <v>2676</v>
      </c>
      <c r="C2761" s="28" t="s">
        <v>2677</v>
      </c>
      <c r="D2761" s="29">
        <v>45936</v>
      </c>
      <c r="E2761" s="29">
        <v>46660</v>
      </c>
      <c r="F2761" s="28" t="s">
        <v>1936</v>
      </c>
      <c r="G2761" s="28" t="s">
        <v>414</v>
      </c>
      <c r="H2761" s="28" t="s">
        <v>662</v>
      </c>
      <c r="I2761" s="28" t="s">
        <v>825</v>
      </c>
      <c r="J2761" s="28" t="s">
        <v>558</v>
      </c>
      <c r="K2761" s="28" t="s">
        <v>426</v>
      </c>
      <c r="L2761" s="28" t="s">
        <v>2421</v>
      </c>
      <c r="M2761" s="69" t="s">
        <v>1970</v>
      </c>
    </row>
    <row r="2762" spans="1:13" x14ac:dyDescent="0.3">
      <c r="A2762" s="67" t="s">
        <v>2678</v>
      </c>
      <c r="B2762" s="28" t="s">
        <v>2679</v>
      </c>
      <c r="C2762" s="28" t="s">
        <v>2680</v>
      </c>
      <c r="D2762" s="29">
        <v>45793</v>
      </c>
      <c r="E2762" s="29">
        <v>46583</v>
      </c>
      <c r="F2762" s="28" t="s">
        <v>1922</v>
      </c>
      <c r="G2762" s="28" t="s">
        <v>349</v>
      </c>
      <c r="H2762" s="28" t="s">
        <v>2681</v>
      </c>
      <c r="I2762" s="28" t="s">
        <v>2443</v>
      </c>
      <c r="J2762" s="28" t="s">
        <v>640</v>
      </c>
      <c r="K2762" s="28" t="s">
        <v>417</v>
      </c>
      <c r="L2762" s="28" t="s">
        <v>2421</v>
      </c>
      <c r="M2762" s="69" t="s">
        <v>2021</v>
      </c>
    </row>
    <row r="2763" spans="1:13" x14ac:dyDescent="0.3">
      <c r="A2763" s="67" t="s">
        <v>2678</v>
      </c>
      <c r="B2763" s="28" t="s">
        <v>2679</v>
      </c>
      <c r="C2763" s="28" t="s">
        <v>2680</v>
      </c>
      <c r="D2763" s="29">
        <v>45793</v>
      </c>
      <c r="E2763" s="29">
        <v>46583</v>
      </c>
      <c r="F2763" s="28" t="s">
        <v>1922</v>
      </c>
      <c r="G2763" s="28" t="s">
        <v>380</v>
      </c>
      <c r="H2763" s="28" t="s">
        <v>2681</v>
      </c>
      <c r="I2763" s="28" t="s">
        <v>2443</v>
      </c>
      <c r="J2763" s="28" t="s">
        <v>640</v>
      </c>
      <c r="K2763" s="28" t="s">
        <v>417</v>
      </c>
      <c r="L2763" s="28" t="s">
        <v>2421</v>
      </c>
      <c r="M2763" s="69" t="s">
        <v>2021</v>
      </c>
    </row>
    <row r="2764" spans="1:13" x14ac:dyDescent="0.3">
      <c r="A2764" s="67" t="s">
        <v>2678</v>
      </c>
      <c r="B2764" s="28" t="s">
        <v>2679</v>
      </c>
      <c r="C2764" s="28" t="s">
        <v>2680</v>
      </c>
      <c r="D2764" s="29">
        <v>45793</v>
      </c>
      <c r="E2764" s="29">
        <v>46583</v>
      </c>
      <c r="F2764" s="28" t="s">
        <v>1922</v>
      </c>
      <c r="G2764" s="28" t="s">
        <v>643</v>
      </c>
      <c r="H2764" s="28" t="s">
        <v>2681</v>
      </c>
      <c r="I2764" s="28" t="s">
        <v>2443</v>
      </c>
      <c r="J2764" s="28" t="s">
        <v>640</v>
      </c>
      <c r="K2764" s="28" t="s">
        <v>417</v>
      </c>
      <c r="L2764" s="28" t="s">
        <v>2421</v>
      </c>
      <c r="M2764" s="69" t="s">
        <v>2021</v>
      </c>
    </row>
    <row r="2765" spans="1:13" x14ac:dyDescent="0.3">
      <c r="A2765" s="67" t="s">
        <v>2678</v>
      </c>
      <c r="B2765" s="28" t="s">
        <v>2679</v>
      </c>
      <c r="C2765" s="28" t="s">
        <v>2680</v>
      </c>
      <c r="D2765" s="29">
        <v>45793</v>
      </c>
      <c r="E2765" s="29">
        <v>46583</v>
      </c>
      <c r="F2765" s="28" t="s">
        <v>1922</v>
      </c>
      <c r="G2765" s="28" t="s">
        <v>889</v>
      </c>
      <c r="H2765" s="28" t="s">
        <v>2681</v>
      </c>
      <c r="I2765" s="28" t="s">
        <v>2443</v>
      </c>
      <c r="J2765" s="28" t="s">
        <v>640</v>
      </c>
      <c r="K2765" s="28" t="s">
        <v>417</v>
      </c>
      <c r="L2765" s="28" t="s">
        <v>2421</v>
      </c>
      <c r="M2765" s="69" t="s">
        <v>2021</v>
      </c>
    </row>
    <row r="2766" spans="1:13" x14ac:dyDescent="0.3">
      <c r="A2766" s="67" t="s">
        <v>2678</v>
      </c>
      <c r="B2766" s="28" t="s">
        <v>2679</v>
      </c>
      <c r="C2766" s="28" t="s">
        <v>2680</v>
      </c>
      <c r="D2766" s="29">
        <v>45793</v>
      </c>
      <c r="E2766" s="29">
        <v>46583</v>
      </c>
      <c r="F2766" s="28" t="s">
        <v>1922</v>
      </c>
      <c r="G2766" s="28" t="s">
        <v>1578</v>
      </c>
      <c r="H2766" s="28" t="s">
        <v>2681</v>
      </c>
      <c r="I2766" s="28" t="s">
        <v>2443</v>
      </c>
      <c r="J2766" s="28" t="s">
        <v>640</v>
      </c>
      <c r="K2766" s="28" t="s">
        <v>417</v>
      </c>
      <c r="L2766" s="28" t="s">
        <v>2421</v>
      </c>
      <c r="M2766" s="69" t="s">
        <v>2021</v>
      </c>
    </row>
    <row r="2767" spans="1:13" x14ac:dyDescent="0.3">
      <c r="A2767" s="67" t="s">
        <v>2678</v>
      </c>
      <c r="B2767" s="28" t="s">
        <v>2679</v>
      </c>
      <c r="C2767" s="28" t="s">
        <v>2680</v>
      </c>
      <c r="D2767" s="29">
        <v>45793</v>
      </c>
      <c r="E2767" s="29">
        <v>46583</v>
      </c>
      <c r="F2767" s="28" t="s">
        <v>1922</v>
      </c>
      <c r="G2767" s="28" t="s">
        <v>553</v>
      </c>
      <c r="H2767" s="28" t="s">
        <v>2681</v>
      </c>
      <c r="I2767" s="28" t="s">
        <v>2443</v>
      </c>
      <c r="J2767" s="28" t="s">
        <v>640</v>
      </c>
      <c r="K2767" s="28" t="s">
        <v>417</v>
      </c>
      <c r="L2767" s="28" t="s">
        <v>2421</v>
      </c>
      <c r="M2767" s="69" t="s">
        <v>2021</v>
      </c>
    </row>
    <row r="2768" spans="1:13" x14ac:dyDescent="0.3">
      <c r="A2768" s="67" t="s">
        <v>2682</v>
      </c>
      <c r="B2768" s="28" t="s">
        <v>2683</v>
      </c>
      <c r="C2768" s="28" t="s">
        <v>2684</v>
      </c>
      <c r="D2768" s="29">
        <v>45964</v>
      </c>
      <c r="E2768" s="29">
        <v>46633</v>
      </c>
      <c r="F2768" s="28" t="s">
        <v>350</v>
      </c>
      <c r="G2768" s="28" t="s">
        <v>350</v>
      </c>
      <c r="H2768" s="28" t="s">
        <v>468</v>
      </c>
      <c r="I2768" s="28" t="s">
        <v>2465</v>
      </c>
      <c r="J2768" s="28" t="s">
        <v>639</v>
      </c>
      <c r="K2768" s="28" t="s">
        <v>371</v>
      </c>
      <c r="L2768" s="28" t="s">
        <v>2421</v>
      </c>
      <c r="M2768" s="69" t="s">
        <v>1979</v>
      </c>
    </row>
    <row r="2769" spans="1:13" x14ac:dyDescent="0.3">
      <c r="A2769" s="67" t="s">
        <v>2685</v>
      </c>
      <c r="B2769" s="28" t="s">
        <v>2686</v>
      </c>
      <c r="C2769" s="28" t="s">
        <v>1222</v>
      </c>
      <c r="D2769" s="29">
        <v>45784</v>
      </c>
      <c r="E2769" s="29">
        <v>46142</v>
      </c>
      <c r="F2769" s="28" t="s">
        <v>287</v>
      </c>
      <c r="G2769" s="28" t="s">
        <v>590</v>
      </c>
      <c r="H2769" s="28" t="s">
        <v>373</v>
      </c>
      <c r="I2769" s="28" t="s">
        <v>2443</v>
      </c>
      <c r="J2769" s="28" t="s">
        <v>2424</v>
      </c>
      <c r="K2769" s="28" t="s">
        <v>426</v>
      </c>
      <c r="L2769" s="28" t="s">
        <v>2421</v>
      </c>
      <c r="M2769" s="69" t="s">
        <v>2021</v>
      </c>
    </row>
    <row r="2770" spans="1:13" x14ac:dyDescent="0.3">
      <c r="A2770" s="67" t="s">
        <v>2685</v>
      </c>
      <c r="B2770" s="28" t="s">
        <v>2686</v>
      </c>
      <c r="C2770" s="28" t="s">
        <v>1222</v>
      </c>
      <c r="D2770" s="29">
        <v>45784</v>
      </c>
      <c r="E2770" s="29">
        <v>46142</v>
      </c>
      <c r="F2770" s="28" t="s">
        <v>287</v>
      </c>
      <c r="G2770" s="28" t="s">
        <v>591</v>
      </c>
      <c r="H2770" s="28" t="s">
        <v>373</v>
      </c>
      <c r="I2770" s="28" t="s">
        <v>2443</v>
      </c>
      <c r="J2770" s="28" t="s">
        <v>2424</v>
      </c>
      <c r="K2770" s="28" t="s">
        <v>426</v>
      </c>
      <c r="L2770" s="28" t="s">
        <v>2421</v>
      </c>
      <c r="M2770" s="69" t="s">
        <v>2021</v>
      </c>
    </row>
    <row r="2771" spans="1:13" x14ac:dyDescent="0.3">
      <c r="A2771" s="67" t="s">
        <v>2685</v>
      </c>
      <c r="B2771" s="28" t="s">
        <v>2686</v>
      </c>
      <c r="C2771" s="28" t="s">
        <v>1222</v>
      </c>
      <c r="D2771" s="29">
        <v>45784</v>
      </c>
      <c r="E2771" s="29">
        <v>46142</v>
      </c>
      <c r="F2771" s="28" t="s">
        <v>287</v>
      </c>
      <c r="G2771" s="28" t="s">
        <v>395</v>
      </c>
      <c r="H2771" s="28" t="s">
        <v>373</v>
      </c>
      <c r="I2771" s="28" t="s">
        <v>2443</v>
      </c>
      <c r="J2771" s="28" t="s">
        <v>2424</v>
      </c>
      <c r="K2771" s="28" t="s">
        <v>426</v>
      </c>
      <c r="L2771" s="28" t="s">
        <v>2421</v>
      </c>
      <c r="M2771" s="69" t="s">
        <v>2021</v>
      </c>
    </row>
    <row r="2772" spans="1:13" x14ac:dyDescent="0.3">
      <c r="A2772" s="67" t="s">
        <v>2685</v>
      </c>
      <c r="B2772" s="28" t="s">
        <v>2686</v>
      </c>
      <c r="C2772" s="28" t="s">
        <v>1222</v>
      </c>
      <c r="D2772" s="29">
        <v>45784</v>
      </c>
      <c r="E2772" s="29">
        <v>46142</v>
      </c>
      <c r="F2772" s="28" t="s">
        <v>287</v>
      </c>
      <c r="G2772" s="28" t="s">
        <v>396</v>
      </c>
      <c r="H2772" s="28" t="s">
        <v>373</v>
      </c>
      <c r="I2772" s="28" t="s">
        <v>2443</v>
      </c>
      <c r="J2772" s="28" t="s">
        <v>2424</v>
      </c>
      <c r="K2772" s="28" t="s">
        <v>426</v>
      </c>
      <c r="L2772" s="28" t="s">
        <v>2421</v>
      </c>
      <c r="M2772" s="69" t="s">
        <v>2021</v>
      </c>
    </row>
    <row r="2773" spans="1:13" x14ac:dyDescent="0.3">
      <c r="A2773" s="67" t="s">
        <v>2685</v>
      </c>
      <c r="B2773" s="28" t="s">
        <v>2686</v>
      </c>
      <c r="C2773" s="28" t="s">
        <v>1222</v>
      </c>
      <c r="D2773" s="29">
        <v>45784</v>
      </c>
      <c r="E2773" s="29">
        <v>46142</v>
      </c>
      <c r="F2773" s="28" t="s">
        <v>287</v>
      </c>
      <c r="G2773" s="28" t="s">
        <v>697</v>
      </c>
      <c r="H2773" s="28" t="s">
        <v>373</v>
      </c>
      <c r="I2773" s="28" t="s">
        <v>2443</v>
      </c>
      <c r="J2773" s="28" t="s">
        <v>2424</v>
      </c>
      <c r="K2773" s="28" t="s">
        <v>426</v>
      </c>
      <c r="L2773" s="28" t="s">
        <v>2421</v>
      </c>
      <c r="M2773" s="69" t="s">
        <v>2021</v>
      </c>
    </row>
    <row r="2774" spans="1:13" x14ac:dyDescent="0.3">
      <c r="A2774" s="67" t="s">
        <v>2685</v>
      </c>
      <c r="B2774" s="28" t="s">
        <v>2686</v>
      </c>
      <c r="C2774" s="28" t="s">
        <v>1222</v>
      </c>
      <c r="D2774" s="29">
        <v>45784</v>
      </c>
      <c r="E2774" s="29">
        <v>46142</v>
      </c>
      <c r="F2774" s="28" t="s">
        <v>1936</v>
      </c>
      <c r="G2774" s="28" t="s">
        <v>602</v>
      </c>
      <c r="H2774" s="28" t="s">
        <v>373</v>
      </c>
      <c r="I2774" s="28" t="s">
        <v>2443</v>
      </c>
      <c r="J2774" s="28" t="s">
        <v>2424</v>
      </c>
      <c r="K2774" s="28" t="s">
        <v>426</v>
      </c>
      <c r="L2774" s="28" t="s">
        <v>2421</v>
      </c>
      <c r="M2774" s="69" t="s">
        <v>2021</v>
      </c>
    </row>
    <row r="2775" spans="1:13" x14ac:dyDescent="0.3">
      <c r="A2775" s="67" t="s">
        <v>2685</v>
      </c>
      <c r="B2775" s="28" t="s">
        <v>2686</v>
      </c>
      <c r="C2775" s="28" t="s">
        <v>1222</v>
      </c>
      <c r="D2775" s="29">
        <v>45784</v>
      </c>
      <c r="E2775" s="29">
        <v>46142</v>
      </c>
      <c r="F2775" s="28" t="s">
        <v>1936</v>
      </c>
      <c r="G2775" s="28" t="s">
        <v>746</v>
      </c>
      <c r="H2775" s="28" t="s">
        <v>373</v>
      </c>
      <c r="I2775" s="28" t="s">
        <v>2443</v>
      </c>
      <c r="J2775" s="28" t="s">
        <v>2424</v>
      </c>
      <c r="K2775" s="28" t="s">
        <v>426</v>
      </c>
      <c r="L2775" s="28" t="s">
        <v>2421</v>
      </c>
      <c r="M2775" s="69" t="s">
        <v>2021</v>
      </c>
    </row>
    <row r="2776" spans="1:13" x14ac:dyDescent="0.3">
      <c r="A2776" s="67" t="s">
        <v>2685</v>
      </c>
      <c r="B2776" s="28" t="s">
        <v>2686</v>
      </c>
      <c r="C2776" s="28" t="s">
        <v>1222</v>
      </c>
      <c r="D2776" s="29">
        <v>45784</v>
      </c>
      <c r="E2776" s="29">
        <v>46142</v>
      </c>
      <c r="F2776" s="28" t="s">
        <v>1936</v>
      </c>
      <c r="G2776" s="28" t="s">
        <v>1223</v>
      </c>
      <c r="H2776" s="28" t="s">
        <v>373</v>
      </c>
      <c r="I2776" s="28" t="s">
        <v>2443</v>
      </c>
      <c r="J2776" s="28" t="s">
        <v>2424</v>
      </c>
      <c r="K2776" s="28" t="s">
        <v>426</v>
      </c>
      <c r="L2776" s="28" t="s">
        <v>2421</v>
      </c>
      <c r="M2776" s="69" t="s">
        <v>2021</v>
      </c>
    </row>
    <row r="2777" spans="1:13" x14ac:dyDescent="0.3">
      <c r="A2777" s="67" t="s">
        <v>2685</v>
      </c>
      <c r="B2777" s="28" t="s">
        <v>2686</v>
      </c>
      <c r="C2777" s="28" t="s">
        <v>1222</v>
      </c>
      <c r="D2777" s="29">
        <v>45784</v>
      </c>
      <c r="E2777" s="29">
        <v>46142</v>
      </c>
      <c r="F2777" s="28" t="s">
        <v>1959</v>
      </c>
      <c r="G2777" s="28" t="s">
        <v>466</v>
      </c>
      <c r="H2777" s="28" t="s">
        <v>373</v>
      </c>
      <c r="I2777" s="28" t="s">
        <v>2443</v>
      </c>
      <c r="J2777" s="28" t="s">
        <v>2424</v>
      </c>
      <c r="K2777" s="28" t="s">
        <v>426</v>
      </c>
      <c r="L2777" s="28" t="s">
        <v>2421</v>
      </c>
      <c r="M2777" s="69" t="s">
        <v>2021</v>
      </c>
    </row>
    <row r="2778" spans="1:13" x14ac:dyDescent="0.3">
      <c r="A2778" s="67" t="s">
        <v>2685</v>
      </c>
      <c r="B2778" s="28" t="s">
        <v>2686</v>
      </c>
      <c r="C2778" s="28" t="s">
        <v>1222</v>
      </c>
      <c r="D2778" s="29">
        <v>45784</v>
      </c>
      <c r="E2778" s="29">
        <v>46142</v>
      </c>
      <c r="F2778" s="28" t="s">
        <v>1959</v>
      </c>
      <c r="G2778" s="28" t="s">
        <v>808</v>
      </c>
      <c r="H2778" s="28" t="s">
        <v>373</v>
      </c>
      <c r="I2778" s="28" t="s">
        <v>2443</v>
      </c>
      <c r="J2778" s="28" t="s">
        <v>2424</v>
      </c>
      <c r="K2778" s="28" t="s">
        <v>426</v>
      </c>
      <c r="L2778" s="28" t="s">
        <v>2421</v>
      </c>
      <c r="M2778" s="69" t="s">
        <v>2021</v>
      </c>
    </row>
    <row r="2779" spans="1:13" x14ac:dyDescent="0.3">
      <c r="A2779" s="67" t="s">
        <v>2685</v>
      </c>
      <c r="B2779" s="28" t="s">
        <v>2686</v>
      </c>
      <c r="C2779" s="28" t="s">
        <v>1222</v>
      </c>
      <c r="D2779" s="29">
        <v>45784</v>
      </c>
      <c r="E2779" s="29">
        <v>46142</v>
      </c>
      <c r="F2779" s="28" t="s">
        <v>1945</v>
      </c>
      <c r="G2779" s="28" t="s">
        <v>400</v>
      </c>
      <c r="H2779" s="28" t="s">
        <v>373</v>
      </c>
      <c r="I2779" s="28" t="s">
        <v>2443</v>
      </c>
      <c r="J2779" s="28" t="s">
        <v>2424</v>
      </c>
      <c r="K2779" s="28" t="s">
        <v>426</v>
      </c>
      <c r="L2779" s="28" t="s">
        <v>2421</v>
      </c>
      <c r="M2779" s="69" t="s">
        <v>2021</v>
      </c>
    </row>
    <row r="2780" spans="1:13" x14ac:dyDescent="0.3">
      <c r="A2780" s="67" t="s">
        <v>2687</v>
      </c>
      <c r="B2780" s="28" t="s">
        <v>2688</v>
      </c>
      <c r="C2780" s="28" t="s">
        <v>2689</v>
      </c>
      <c r="D2780" s="29">
        <v>45952</v>
      </c>
      <c r="E2780" s="29">
        <v>46774</v>
      </c>
      <c r="F2780" s="28" t="s">
        <v>287</v>
      </c>
      <c r="G2780" s="28" t="s">
        <v>767</v>
      </c>
      <c r="H2780" s="28" t="s">
        <v>468</v>
      </c>
      <c r="I2780" s="28" t="s">
        <v>424</v>
      </c>
      <c r="J2780" s="28" t="s">
        <v>684</v>
      </c>
      <c r="K2780" s="28" t="s">
        <v>459</v>
      </c>
      <c r="L2780" s="28" t="s">
        <v>2421</v>
      </c>
      <c r="M2780" s="69" t="s">
        <v>1971</v>
      </c>
    </row>
    <row r="2781" spans="1:13" x14ac:dyDescent="0.3">
      <c r="A2781" s="67" t="s">
        <v>2687</v>
      </c>
      <c r="B2781" s="28" t="s">
        <v>2688</v>
      </c>
      <c r="C2781" s="28" t="s">
        <v>2689</v>
      </c>
      <c r="D2781" s="29">
        <v>45952</v>
      </c>
      <c r="E2781" s="29">
        <v>46774</v>
      </c>
      <c r="F2781" s="28" t="s">
        <v>287</v>
      </c>
      <c r="G2781" s="28" t="s">
        <v>1539</v>
      </c>
      <c r="H2781" s="28" t="s">
        <v>468</v>
      </c>
      <c r="I2781" s="28" t="s">
        <v>424</v>
      </c>
      <c r="J2781" s="28" t="s">
        <v>684</v>
      </c>
      <c r="K2781" s="28" t="s">
        <v>459</v>
      </c>
      <c r="L2781" s="28" t="s">
        <v>2421</v>
      </c>
      <c r="M2781" s="69" t="s">
        <v>1971</v>
      </c>
    </row>
    <row r="2782" spans="1:13" x14ac:dyDescent="0.3">
      <c r="A2782" s="67" t="s">
        <v>2687</v>
      </c>
      <c r="B2782" s="28" t="s">
        <v>2688</v>
      </c>
      <c r="C2782" s="28" t="s">
        <v>2689</v>
      </c>
      <c r="D2782" s="29">
        <v>45952</v>
      </c>
      <c r="E2782" s="29">
        <v>46774</v>
      </c>
      <c r="F2782" s="28" t="s">
        <v>287</v>
      </c>
      <c r="G2782" s="28" t="s">
        <v>287</v>
      </c>
      <c r="H2782" s="28" t="s">
        <v>468</v>
      </c>
      <c r="I2782" s="28" t="s">
        <v>424</v>
      </c>
      <c r="J2782" s="28" t="s">
        <v>684</v>
      </c>
      <c r="K2782" s="28" t="s">
        <v>459</v>
      </c>
      <c r="L2782" s="28" t="s">
        <v>2421</v>
      </c>
      <c r="M2782" s="69" t="s">
        <v>1971</v>
      </c>
    </row>
    <row r="2783" spans="1:13" x14ac:dyDescent="0.3">
      <c r="A2783" s="67" t="s">
        <v>2687</v>
      </c>
      <c r="B2783" s="28" t="s">
        <v>2688</v>
      </c>
      <c r="C2783" s="28" t="s">
        <v>2689</v>
      </c>
      <c r="D2783" s="29">
        <v>45952</v>
      </c>
      <c r="E2783" s="29">
        <v>46774</v>
      </c>
      <c r="F2783" s="28" t="s">
        <v>287</v>
      </c>
      <c r="G2783" s="28" t="s">
        <v>554</v>
      </c>
      <c r="H2783" s="28" t="s">
        <v>468</v>
      </c>
      <c r="I2783" s="28" t="s">
        <v>424</v>
      </c>
      <c r="J2783" s="28" t="s">
        <v>684</v>
      </c>
      <c r="K2783" s="28" t="s">
        <v>459</v>
      </c>
      <c r="L2783" s="28" t="s">
        <v>2421</v>
      </c>
      <c r="M2783" s="69" t="s">
        <v>1971</v>
      </c>
    </row>
    <row r="2784" spans="1:13" x14ac:dyDescent="0.3">
      <c r="A2784" s="67" t="s">
        <v>2687</v>
      </c>
      <c r="B2784" s="28" t="s">
        <v>2688</v>
      </c>
      <c r="C2784" s="28" t="s">
        <v>2689</v>
      </c>
      <c r="D2784" s="29">
        <v>45952</v>
      </c>
      <c r="E2784" s="29">
        <v>46774</v>
      </c>
      <c r="F2784" s="28" t="s">
        <v>287</v>
      </c>
      <c r="G2784" s="28" t="s">
        <v>772</v>
      </c>
      <c r="H2784" s="28" t="s">
        <v>468</v>
      </c>
      <c r="I2784" s="28" t="s">
        <v>424</v>
      </c>
      <c r="J2784" s="28" t="s">
        <v>684</v>
      </c>
      <c r="K2784" s="28" t="s">
        <v>459</v>
      </c>
      <c r="L2784" s="28" t="s">
        <v>2421</v>
      </c>
      <c r="M2784" s="69" t="s">
        <v>1971</v>
      </c>
    </row>
    <row r="2785" spans="1:13" x14ac:dyDescent="0.3">
      <c r="A2785" s="67" t="s">
        <v>2687</v>
      </c>
      <c r="B2785" s="28" t="s">
        <v>2688</v>
      </c>
      <c r="C2785" s="28" t="s">
        <v>2689</v>
      </c>
      <c r="D2785" s="29">
        <v>45952</v>
      </c>
      <c r="E2785" s="29">
        <v>46774</v>
      </c>
      <c r="F2785" s="28" t="s">
        <v>287</v>
      </c>
      <c r="G2785" s="28" t="s">
        <v>1545</v>
      </c>
      <c r="H2785" s="28" t="s">
        <v>468</v>
      </c>
      <c r="I2785" s="28" t="s">
        <v>424</v>
      </c>
      <c r="J2785" s="28" t="s">
        <v>684</v>
      </c>
      <c r="K2785" s="28" t="s">
        <v>459</v>
      </c>
      <c r="L2785" s="28" t="s">
        <v>2421</v>
      </c>
      <c r="M2785" s="69" t="s">
        <v>1971</v>
      </c>
    </row>
    <row r="2786" spans="1:13" x14ac:dyDescent="0.3">
      <c r="A2786" s="67" t="s">
        <v>2687</v>
      </c>
      <c r="B2786" s="28" t="s">
        <v>2688</v>
      </c>
      <c r="C2786" s="28" t="s">
        <v>2689</v>
      </c>
      <c r="D2786" s="29">
        <v>45952</v>
      </c>
      <c r="E2786" s="29">
        <v>46774</v>
      </c>
      <c r="F2786" s="28" t="s">
        <v>287</v>
      </c>
      <c r="G2786" s="28" t="s">
        <v>1345</v>
      </c>
      <c r="H2786" s="28" t="s">
        <v>468</v>
      </c>
      <c r="I2786" s="28" t="s">
        <v>424</v>
      </c>
      <c r="J2786" s="28" t="s">
        <v>684</v>
      </c>
      <c r="K2786" s="28" t="s">
        <v>459</v>
      </c>
      <c r="L2786" s="28" t="s">
        <v>2421</v>
      </c>
      <c r="M2786" s="69" t="s">
        <v>1971</v>
      </c>
    </row>
    <row r="2787" spans="1:13" x14ac:dyDescent="0.3">
      <c r="A2787" s="67" t="s">
        <v>2690</v>
      </c>
      <c r="B2787" s="28" t="s">
        <v>2691</v>
      </c>
      <c r="C2787" s="28" t="s">
        <v>1332</v>
      </c>
      <c r="D2787" s="29">
        <v>45839</v>
      </c>
      <c r="E2787" s="29">
        <v>46203</v>
      </c>
      <c r="F2787" s="28" t="s">
        <v>1936</v>
      </c>
      <c r="G2787" s="28" t="s">
        <v>730</v>
      </c>
      <c r="H2787" s="28" t="s">
        <v>1333</v>
      </c>
      <c r="I2787" s="28" t="s">
        <v>424</v>
      </c>
      <c r="J2787" s="28" t="s">
        <v>558</v>
      </c>
      <c r="K2787" s="28" t="s">
        <v>426</v>
      </c>
      <c r="L2787" s="28" t="s">
        <v>2421</v>
      </c>
      <c r="M2787" s="69" t="s">
        <v>1972</v>
      </c>
    </row>
    <row r="2788" spans="1:13" x14ac:dyDescent="0.3">
      <c r="A2788" s="67" t="s">
        <v>2690</v>
      </c>
      <c r="B2788" s="28" t="s">
        <v>2691</v>
      </c>
      <c r="C2788" s="28" t="s">
        <v>1332</v>
      </c>
      <c r="D2788" s="29">
        <v>45839</v>
      </c>
      <c r="E2788" s="29">
        <v>46203</v>
      </c>
      <c r="F2788" s="28" t="s">
        <v>1936</v>
      </c>
      <c r="G2788" s="28" t="s">
        <v>749</v>
      </c>
      <c r="H2788" s="28" t="s">
        <v>1333</v>
      </c>
      <c r="I2788" s="28" t="s">
        <v>424</v>
      </c>
      <c r="J2788" s="28" t="s">
        <v>558</v>
      </c>
      <c r="K2788" s="28" t="s">
        <v>426</v>
      </c>
      <c r="L2788" s="28" t="s">
        <v>2421</v>
      </c>
      <c r="M2788" s="69" t="s">
        <v>1972</v>
      </c>
    </row>
    <row r="2789" spans="1:13" x14ac:dyDescent="0.3">
      <c r="A2789" s="67" t="s">
        <v>2690</v>
      </c>
      <c r="B2789" s="28" t="s">
        <v>2691</v>
      </c>
      <c r="C2789" s="28" t="s">
        <v>1332</v>
      </c>
      <c r="D2789" s="29">
        <v>45839</v>
      </c>
      <c r="E2789" s="29">
        <v>46203</v>
      </c>
      <c r="F2789" s="28" t="s">
        <v>1936</v>
      </c>
      <c r="G2789" s="28" t="s">
        <v>604</v>
      </c>
      <c r="H2789" s="28" t="s">
        <v>1333</v>
      </c>
      <c r="I2789" s="28" t="s">
        <v>424</v>
      </c>
      <c r="J2789" s="28" t="s">
        <v>558</v>
      </c>
      <c r="K2789" s="28" t="s">
        <v>426</v>
      </c>
      <c r="L2789" s="28" t="s">
        <v>2421</v>
      </c>
      <c r="M2789" s="69" t="s">
        <v>1972</v>
      </c>
    </row>
    <row r="2790" spans="1:13" x14ac:dyDescent="0.3">
      <c r="A2790" s="67" t="s">
        <v>2690</v>
      </c>
      <c r="B2790" s="28" t="s">
        <v>2691</v>
      </c>
      <c r="C2790" s="28" t="s">
        <v>1332</v>
      </c>
      <c r="D2790" s="29">
        <v>45839</v>
      </c>
      <c r="E2790" s="29">
        <v>46203</v>
      </c>
      <c r="F2790" s="28" t="s">
        <v>1936</v>
      </c>
      <c r="G2790" s="28" t="s">
        <v>750</v>
      </c>
      <c r="H2790" s="28" t="s">
        <v>1333</v>
      </c>
      <c r="I2790" s="28" t="s">
        <v>424</v>
      </c>
      <c r="J2790" s="28" t="s">
        <v>558</v>
      </c>
      <c r="K2790" s="28" t="s">
        <v>426</v>
      </c>
      <c r="L2790" s="28" t="s">
        <v>2421</v>
      </c>
      <c r="M2790" s="69" t="s">
        <v>1972</v>
      </c>
    </row>
    <row r="2791" spans="1:13" x14ac:dyDescent="0.3">
      <c r="A2791" s="67" t="s">
        <v>2690</v>
      </c>
      <c r="B2791" s="28" t="s">
        <v>2691</v>
      </c>
      <c r="C2791" s="28" t="s">
        <v>1332</v>
      </c>
      <c r="D2791" s="29">
        <v>45839</v>
      </c>
      <c r="E2791" s="29">
        <v>46203</v>
      </c>
      <c r="F2791" s="28" t="s">
        <v>1936</v>
      </c>
      <c r="G2791" s="28" t="s">
        <v>411</v>
      </c>
      <c r="H2791" s="28" t="s">
        <v>1333</v>
      </c>
      <c r="I2791" s="28" t="s">
        <v>424</v>
      </c>
      <c r="J2791" s="28" t="s">
        <v>558</v>
      </c>
      <c r="K2791" s="28" t="s">
        <v>426</v>
      </c>
      <c r="L2791" s="28" t="s">
        <v>2421</v>
      </c>
      <c r="M2791" s="69" t="s">
        <v>1972</v>
      </c>
    </row>
    <row r="2792" spans="1:13" x14ac:dyDescent="0.3">
      <c r="A2792" s="67" t="s">
        <v>2690</v>
      </c>
      <c r="B2792" s="28" t="s">
        <v>2691</v>
      </c>
      <c r="C2792" s="28" t="s">
        <v>1332</v>
      </c>
      <c r="D2792" s="29">
        <v>45839</v>
      </c>
      <c r="E2792" s="29">
        <v>46203</v>
      </c>
      <c r="F2792" s="28" t="s">
        <v>1930</v>
      </c>
      <c r="G2792" s="28" t="s">
        <v>723</v>
      </c>
      <c r="H2792" s="28" t="s">
        <v>1333</v>
      </c>
      <c r="I2792" s="28" t="s">
        <v>424</v>
      </c>
      <c r="J2792" s="28" t="s">
        <v>558</v>
      </c>
      <c r="K2792" s="28" t="s">
        <v>426</v>
      </c>
      <c r="L2792" s="28" t="s">
        <v>2421</v>
      </c>
      <c r="M2792" s="69" t="s">
        <v>1972</v>
      </c>
    </row>
    <row r="2793" spans="1:13" x14ac:dyDescent="0.3">
      <c r="A2793" s="67" t="s">
        <v>2690</v>
      </c>
      <c r="B2793" s="28" t="s">
        <v>2691</v>
      </c>
      <c r="C2793" s="28" t="s">
        <v>1332</v>
      </c>
      <c r="D2793" s="29">
        <v>45839</v>
      </c>
      <c r="E2793" s="29">
        <v>46203</v>
      </c>
      <c r="F2793" s="28" t="s">
        <v>1930</v>
      </c>
      <c r="G2793" s="28" t="s">
        <v>546</v>
      </c>
      <c r="H2793" s="28" t="s">
        <v>1333</v>
      </c>
      <c r="I2793" s="28" t="s">
        <v>424</v>
      </c>
      <c r="J2793" s="28" t="s">
        <v>558</v>
      </c>
      <c r="K2793" s="28" t="s">
        <v>426</v>
      </c>
      <c r="L2793" s="28" t="s">
        <v>2421</v>
      </c>
      <c r="M2793" s="69" t="s">
        <v>1972</v>
      </c>
    </row>
    <row r="2794" spans="1:13" x14ac:dyDescent="0.3">
      <c r="A2794" s="67" t="s">
        <v>2690</v>
      </c>
      <c r="B2794" s="28" t="s">
        <v>2691</v>
      </c>
      <c r="C2794" s="28" t="s">
        <v>1332</v>
      </c>
      <c r="D2794" s="29">
        <v>45839</v>
      </c>
      <c r="E2794" s="29">
        <v>46203</v>
      </c>
      <c r="F2794" s="28" t="s">
        <v>280</v>
      </c>
      <c r="G2794" s="28" t="s">
        <v>280</v>
      </c>
      <c r="H2794" s="28" t="s">
        <v>1333</v>
      </c>
      <c r="I2794" s="28" t="s">
        <v>424</v>
      </c>
      <c r="J2794" s="28" t="s">
        <v>558</v>
      </c>
      <c r="K2794" s="28" t="s">
        <v>426</v>
      </c>
      <c r="L2794" s="28" t="s">
        <v>2421</v>
      </c>
      <c r="M2794" s="69" t="s">
        <v>1972</v>
      </c>
    </row>
    <row r="2795" spans="1:13" x14ac:dyDescent="0.3">
      <c r="A2795" s="67" t="s">
        <v>2690</v>
      </c>
      <c r="B2795" s="28" t="s">
        <v>2691</v>
      </c>
      <c r="C2795" s="28" t="s">
        <v>1332</v>
      </c>
      <c r="D2795" s="29">
        <v>45839</v>
      </c>
      <c r="E2795" s="29">
        <v>46203</v>
      </c>
      <c r="F2795" s="28" t="s">
        <v>280</v>
      </c>
      <c r="G2795" s="28" t="s">
        <v>406</v>
      </c>
      <c r="H2795" s="28" t="s">
        <v>1333</v>
      </c>
      <c r="I2795" s="28" t="s">
        <v>424</v>
      </c>
      <c r="J2795" s="28" t="s">
        <v>558</v>
      </c>
      <c r="K2795" s="28" t="s">
        <v>426</v>
      </c>
      <c r="L2795" s="28" t="s">
        <v>2421</v>
      </c>
      <c r="M2795" s="69" t="s">
        <v>1972</v>
      </c>
    </row>
    <row r="2796" spans="1:13" x14ac:dyDescent="0.3">
      <c r="A2796" s="67" t="s">
        <v>2690</v>
      </c>
      <c r="B2796" s="28" t="s">
        <v>2691</v>
      </c>
      <c r="C2796" s="28" t="s">
        <v>1332</v>
      </c>
      <c r="D2796" s="29">
        <v>45839</v>
      </c>
      <c r="E2796" s="29">
        <v>46203</v>
      </c>
      <c r="F2796" s="28" t="s">
        <v>1948</v>
      </c>
      <c r="G2796" s="28" t="s">
        <v>368</v>
      </c>
      <c r="H2796" s="28" t="s">
        <v>1333</v>
      </c>
      <c r="I2796" s="28" t="s">
        <v>424</v>
      </c>
      <c r="J2796" s="28" t="s">
        <v>558</v>
      </c>
      <c r="K2796" s="28" t="s">
        <v>426</v>
      </c>
      <c r="L2796" s="28" t="s">
        <v>2421</v>
      </c>
      <c r="M2796" s="69" t="s">
        <v>1972</v>
      </c>
    </row>
    <row r="2797" spans="1:13" x14ac:dyDescent="0.3">
      <c r="A2797" s="67" t="s">
        <v>2690</v>
      </c>
      <c r="B2797" s="28" t="s">
        <v>2691</v>
      </c>
      <c r="C2797" s="28" t="s">
        <v>1332</v>
      </c>
      <c r="D2797" s="29">
        <v>45839</v>
      </c>
      <c r="E2797" s="29">
        <v>46203</v>
      </c>
      <c r="F2797" s="28" t="s">
        <v>1948</v>
      </c>
      <c r="G2797" s="28" t="s">
        <v>369</v>
      </c>
      <c r="H2797" s="28" t="s">
        <v>1333</v>
      </c>
      <c r="I2797" s="28" t="s">
        <v>424</v>
      </c>
      <c r="J2797" s="28" t="s">
        <v>558</v>
      </c>
      <c r="K2797" s="28" t="s">
        <v>426</v>
      </c>
      <c r="L2797" s="28" t="s">
        <v>2421</v>
      </c>
      <c r="M2797" s="69" t="s">
        <v>1972</v>
      </c>
    </row>
    <row r="2798" spans="1:13" x14ac:dyDescent="0.3">
      <c r="A2798" s="67" t="s">
        <v>2690</v>
      </c>
      <c r="B2798" s="28" t="s">
        <v>2691</v>
      </c>
      <c r="C2798" s="28" t="s">
        <v>1332</v>
      </c>
      <c r="D2798" s="29">
        <v>45839</v>
      </c>
      <c r="E2798" s="29">
        <v>46203</v>
      </c>
      <c r="F2798" s="28" t="s">
        <v>1959</v>
      </c>
      <c r="G2798" s="28" t="s">
        <v>511</v>
      </c>
      <c r="H2798" s="28" t="s">
        <v>1333</v>
      </c>
      <c r="I2798" s="28" t="s">
        <v>424</v>
      </c>
      <c r="J2798" s="28" t="s">
        <v>558</v>
      </c>
      <c r="K2798" s="28" t="s">
        <v>426</v>
      </c>
      <c r="L2798" s="28" t="s">
        <v>2421</v>
      </c>
      <c r="M2798" s="69" t="s">
        <v>1972</v>
      </c>
    </row>
    <row r="2799" spans="1:13" x14ac:dyDescent="0.3">
      <c r="A2799" s="67" t="s">
        <v>2690</v>
      </c>
      <c r="B2799" s="28" t="s">
        <v>2691</v>
      </c>
      <c r="C2799" s="28" t="s">
        <v>1332</v>
      </c>
      <c r="D2799" s="29">
        <v>45839</v>
      </c>
      <c r="E2799" s="29">
        <v>46203</v>
      </c>
      <c r="F2799" s="28" t="s">
        <v>1959</v>
      </c>
      <c r="G2799" s="28" t="s">
        <v>665</v>
      </c>
      <c r="H2799" s="28" t="s">
        <v>1333</v>
      </c>
      <c r="I2799" s="28" t="s">
        <v>424</v>
      </c>
      <c r="J2799" s="28" t="s">
        <v>558</v>
      </c>
      <c r="K2799" s="28" t="s">
        <v>426</v>
      </c>
      <c r="L2799" s="28" t="s">
        <v>2421</v>
      </c>
      <c r="M2799" s="69" t="s">
        <v>1972</v>
      </c>
    </row>
    <row r="2800" spans="1:13" x14ac:dyDescent="0.3">
      <c r="A2800" s="67" t="s">
        <v>2690</v>
      </c>
      <c r="B2800" s="28" t="s">
        <v>2691</v>
      </c>
      <c r="C2800" s="28" t="s">
        <v>1332</v>
      </c>
      <c r="D2800" s="29">
        <v>45839</v>
      </c>
      <c r="E2800" s="29">
        <v>46203</v>
      </c>
      <c r="F2800" s="28" t="s">
        <v>287</v>
      </c>
      <c r="G2800" s="28" t="s">
        <v>390</v>
      </c>
      <c r="H2800" s="28" t="s">
        <v>1333</v>
      </c>
      <c r="I2800" s="28" t="s">
        <v>424</v>
      </c>
      <c r="J2800" s="28" t="s">
        <v>558</v>
      </c>
      <c r="K2800" s="28" t="s">
        <v>426</v>
      </c>
      <c r="L2800" s="28" t="s">
        <v>2421</v>
      </c>
      <c r="M2800" s="69" t="s">
        <v>1972</v>
      </c>
    </row>
    <row r="2801" spans="1:13" x14ac:dyDescent="0.3">
      <c r="A2801" s="67" t="s">
        <v>2690</v>
      </c>
      <c r="B2801" s="28" t="s">
        <v>2691</v>
      </c>
      <c r="C2801" s="28" t="s">
        <v>1332</v>
      </c>
      <c r="D2801" s="29">
        <v>45839</v>
      </c>
      <c r="E2801" s="29">
        <v>46203</v>
      </c>
      <c r="F2801" s="28" t="s">
        <v>287</v>
      </c>
      <c r="G2801" s="28" t="s">
        <v>554</v>
      </c>
      <c r="H2801" s="28" t="s">
        <v>1333</v>
      </c>
      <c r="I2801" s="28" t="s">
        <v>424</v>
      </c>
      <c r="J2801" s="28" t="s">
        <v>558</v>
      </c>
      <c r="K2801" s="28" t="s">
        <v>426</v>
      </c>
      <c r="L2801" s="28" t="s">
        <v>2421</v>
      </c>
      <c r="M2801" s="69" t="s">
        <v>1972</v>
      </c>
    </row>
    <row r="2802" spans="1:13" x14ac:dyDescent="0.3">
      <c r="A2802" s="67" t="s">
        <v>2690</v>
      </c>
      <c r="B2802" s="28" t="s">
        <v>2691</v>
      </c>
      <c r="C2802" s="28" t="s">
        <v>1332</v>
      </c>
      <c r="D2802" s="29">
        <v>45839</v>
      </c>
      <c r="E2802" s="29">
        <v>46203</v>
      </c>
      <c r="F2802" s="28" t="s">
        <v>1987</v>
      </c>
      <c r="G2802" s="28" t="s">
        <v>962</v>
      </c>
      <c r="H2802" s="28" t="s">
        <v>1333</v>
      </c>
      <c r="I2802" s="28" t="s">
        <v>424</v>
      </c>
      <c r="J2802" s="28" t="s">
        <v>558</v>
      </c>
      <c r="K2802" s="28" t="s">
        <v>426</v>
      </c>
      <c r="L2802" s="28" t="s">
        <v>2421</v>
      </c>
      <c r="M2802" s="69" t="s">
        <v>1972</v>
      </c>
    </row>
    <row r="2803" spans="1:13" x14ac:dyDescent="0.3">
      <c r="A2803" s="67" t="s">
        <v>2690</v>
      </c>
      <c r="B2803" s="28" t="s">
        <v>2691</v>
      </c>
      <c r="C2803" s="28" t="s">
        <v>1332</v>
      </c>
      <c r="D2803" s="29">
        <v>45839</v>
      </c>
      <c r="E2803" s="29">
        <v>46203</v>
      </c>
      <c r="F2803" s="28" t="s">
        <v>282</v>
      </c>
      <c r="G2803" s="28" t="s">
        <v>304</v>
      </c>
      <c r="H2803" s="28" t="s">
        <v>1333</v>
      </c>
      <c r="I2803" s="28" t="s">
        <v>424</v>
      </c>
      <c r="J2803" s="28" t="s">
        <v>558</v>
      </c>
      <c r="K2803" s="28" t="s">
        <v>426</v>
      </c>
      <c r="L2803" s="28" t="s">
        <v>2421</v>
      </c>
      <c r="M2803" s="69" t="s">
        <v>1972</v>
      </c>
    </row>
    <row r="2804" spans="1:13" x14ac:dyDescent="0.3">
      <c r="A2804" s="67" t="s">
        <v>2690</v>
      </c>
      <c r="B2804" s="28" t="s">
        <v>2691</v>
      </c>
      <c r="C2804" s="28" t="s">
        <v>1332</v>
      </c>
      <c r="D2804" s="29">
        <v>45839</v>
      </c>
      <c r="E2804" s="29">
        <v>46203</v>
      </c>
      <c r="F2804" s="28" t="s">
        <v>1922</v>
      </c>
      <c r="G2804" s="28" t="s">
        <v>304</v>
      </c>
      <c r="H2804" s="28" t="s">
        <v>1333</v>
      </c>
      <c r="I2804" s="28" t="s">
        <v>424</v>
      </c>
      <c r="J2804" s="28" t="s">
        <v>558</v>
      </c>
      <c r="K2804" s="28" t="s">
        <v>426</v>
      </c>
      <c r="L2804" s="28" t="s">
        <v>2421</v>
      </c>
      <c r="M2804" s="69" t="s">
        <v>1972</v>
      </c>
    </row>
    <row r="2805" spans="1:13" x14ac:dyDescent="0.3">
      <c r="A2805" s="67" t="s">
        <v>2690</v>
      </c>
      <c r="B2805" s="28" t="s">
        <v>2691</v>
      </c>
      <c r="C2805" s="28" t="s">
        <v>1332</v>
      </c>
      <c r="D2805" s="29">
        <v>45839</v>
      </c>
      <c r="E2805" s="29">
        <v>46203</v>
      </c>
      <c r="F2805" s="28" t="s">
        <v>1943</v>
      </c>
      <c r="G2805" s="28" t="s">
        <v>304</v>
      </c>
      <c r="H2805" s="28" t="s">
        <v>1333</v>
      </c>
      <c r="I2805" s="28" t="s">
        <v>424</v>
      </c>
      <c r="J2805" s="28" t="s">
        <v>558</v>
      </c>
      <c r="K2805" s="28" t="s">
        <v>426</v>
      </c>
      <c r="L2805" s="28" t="s">
        <v>2421</v>
      </c>
      <c r="M2805" s="69" t="s">
        <v>1972</v>
      </c>
    </row>
    <row r="2806" spans="1:13" x14ac:dyDescent="0.3">
      <c r="A2806" s="67" t="s">
        <v>2690</v>
      </c>
      <c r="B2806" s="28" t="s">
        <v>2691</v>
      </c>
      <c r="C2806" s="28" t="s">
        <v>1332</v>
      </c>
      <c r="D2806" s="29">
        <v>45839</v>
      </c>
      <c r="E2806" s="29">
        <v>46203</v>
      </c>
      <c r="F2806" s="28" t="s">
        <v>1961</v>
      </c>
      <c r="G2806" s="28" t="s">
        <v>634</v>
      </c>
      <c r="H2806" s="28" t="s">
        <v>1333</v>
      </c>
      <c r="I2806" s="28" t="s">
        <v>424</v>
      </c>
      <c r="J2806" s="28" t="s">
        <v>558</v>
      </c>
      <c r="K2806" s="28" t="s">
        <v>426</v>
      </c>
      <c r="L2806" s="28" t="s">
        <v>2421</v>
      </c>
      <c r="M2806" s="69" t="s">
        <v>1972</v>
      </c>
    </row>
    <row r="2807" spans="1:13" x14ac:dyDescent="0.3">
      <c r="A2807" s="67" t="s">
        <v>2690</v>
      </c>
      <c r="B2807" s="28" t="s">
        <v>2691</v>
      </c>
      <c r="C2807" s="28" t="s">
        <v>1332</v>
      </c>
      <c r="D2807" s="29">
        <v>45839</v>
      </c>
      <c r="E2807" s="29">
        <v>46203</v>
      </c>
      <c r="F2807" s="28" t="s">
        <v>1936</v>
      </c>
      <c r="G2807" s="28" t="s">
        <v>730</v>
      </c>
      <c r="H2807" s="28" t="s">
        <v>373</v>
      </c>
      <c r="I2807" s="28" t="s">
        <v>424</v>
      </c>
      <c r="J2807" s="28" t="s">
        <v>558</v>
      </c>
      <c r="K2807" s="28" t="s">
        <v>426</v>
      </c>
      <c r="L2807" s="28" t="s">
        <v>2421</v>
      </c>
      <c r="M2807" s="69" t="s">
        <v>1972</v>
      </c>
    </row>
    <row r="2808" spans="1:13" x14ac:dyDescent="0.3">
      <c r="A2808" s="67" t="s">
        <v>2690</v>
      </c>
      <c r="B2808" s="28" t="s">
        <v>2691</v>
      </c>
      <c r="C2808" s="28" t="s">
        <v>1332</v>
      </c>
      <c r="D2808" s="29">
        <v>45839</v>
      </c>
      <c r="E2808" s="29">
        <v>46203</v>
      </c>
      <c r="F2808" s="28" t="s">
        <v>1936</v>
      </c>
      <c r="G2808" s="28" t="s">
        <v>749</v>
      </c>
      <c r="H2808" s="28" t="s">
        <v>373</v>
      </c>
      <c r="I2808" s="28" t="s">
        <v>424</v>
      </c>
      <c r="J2808" s="28" t="s">
        <v>558</v>
      </c>
      <c r="K2808" s="28" t="s">
        <v>426</v>
      </c>
      <c r="L2808" s="28" t="s">
        <v>2421</v>
      </c>
      <c r="M2808" s="69" t="s">
        <v>1972</v>
      </c>
    </row>
    <row r="2809" spans="1:13" x14ac:dyDescent="0.3">
      <c r="A2809" s="67" t="s">
        <v>2690</v>
      </c>
      <c r="B2809" s="28" t="s">
        <v>2691</v>
      </c>
      <c r="C2809" s="28" t="s">
        <v>1332</v>
      </c>
      <c r="D2809" s="29">
        <v>45839</v>
      </c>
      <c r="E2809" s="29">
        <v>46203</v>
      </c>
      <c r="F2809" s="28" t="s">
        <v>1936</v>
      </c>
      <c r="G2809" s="28" t="s">
        <v>604</v>
      </c>
      <c r="H2809" s="28" t="s">
        <v>373</v>
      </c>
      <c r="I2809" s="28" t="s">
        <v>424</v>
      </c>
      <c r="J2809" s="28" t="s">
        <v>558</v>
      </c>
      <c r="K2809" s="28" t="s">
        <v>426</v>
      </c>
      <c r="L2809" s="28" t="s">
        <v>2421</v>
      </c>
      <c r="M2809" s="69" t="s">
        <v>1972</v>
      </c>
    </row>
    <row r="2810" spans="1:13" x14ac:dyDescent="0.3">
      <c r="A2810" s="67" t="s">
        <v>2690</v>
      </c>
      <c r="B2810" s="28" t="s">
        <v>2691</v>
      </c>
      <c r="C2810" s="28" t="s">
        <v>1332</v>
      </c>
      <c r="D2810" s="29">
        <v>45839</v>
      </c>
      <c r="E2810" s="29">
        <v>46203</v>
      </c>
      <c r="F2810" s="28" t="s">
        <v>1936</v>
      </c>
      <c r="G2810" s="28" t="s">
        <v>750</v>
      </c>
      <c r="H2810" s="28" t="s">
        <v>373</v>
      </c>
      <c r="I2810" s="28" t="s">
        <v>424</v>
      </c>
      <c r="J2810" s="28" t="s">
        <v>558</v>
      </c>
      <c r="K2810" s="28" t="s">
        <v>426</v>
      </c>
      <c r="L2810" s="28" t="s">
        <v>2421</v>
      </c>
      <c r="M2810" s="69" t="s">
        <v>1972</v>
      </c>
    </row>
    <row r="2811" spans="1:13" x14ac:dyDescent="0.3">
      <c r="A2811" s="67" t="s">
        <v>2690</v>
      </c>
      <c r="B2811" s="28" t="s">
        <v>2691</v>
      </c>
      <c r="C2811" s="28" t="s">
        <v>1332</v>
      </c>
      <c r="D2811" s="29">
        <v>45839</v>
      </c>
      <c r="E2811" s="29">
        <v>46203</v>
      </c>
      <c r="F2811" s="28" t="s">
        <v>1936</v>
      </c>
      <c r="G2811" s="28" t="s">
        <v>411</v>
      </c>
      <c r="H2811" s="28" t="s">
        <v>373</v>
      </c>
      <c r="I2811" s="28" t="s">
        <v>424</v>
      </c>
      <c r="J2811" s="28" t="s">
        <v>558</v>
      </c>
      <c r="K2811" s="28" t="s">
        <v>426</v>
      </c>
      <c r="L2811" s="28" t="s">
        <v>2421</v>
      </c>
      <c r="M2811" s="69" t="s">
        <v>1972</v>
      </c>
    </row>
    <row r="2812" spans="1:13" x14ac:dyDescent="0.3">
      <c r="A2812" s="67" t="s">
        <v>2690</v>
      </c>
      <c r="B2812" s="28" t="s">
        <v>2691</v>
      </c>
      <c r="C2812" s="28" t="s">
        <v>1332</v>
      </c>
      <c r="D2812" s="29">
        <v>45839</v>
      </c>
      <c r="E2812" s="29">
        <v>46203</v>
      </c>
      <c r="F2812" s="28" t="s">
        <v>1930</v>
      </c>
      <c r="G2812" s="28" t="s">
        <v>723</v>
      </c>
      <c r="H2812" s="28" t="s">
        <v>373</v>
      </c>
      <c r="I2812" s="28" t="s">
        <v>424</v>
      </c>
      <c r="J2812" s="28" t="s">
        <v>558</v>
      </c>
      <c r="K2812" s="28" t="s">
        <v>426</v>
      </c>
      <c r="L2812" s="28" t="s">
        <v>2421</v>
      </c>
      <c r="M2812" s="69" t="s">
        <v>1972</v>
      </c>
    </row>
    <row r="2813" spans="1:13" x14ac:dyDescent="0.3">
      <c r="A2813" s="67" t="s">
        <v>2690</v>
      </c>
      <c r="B2813" s="28" t="s">
        <v>2691</v>
      </c>
      <c r="C2813" s="28" t="s">
        <v>1332</v>
      </c>
      <c r="D2813" s="29">
        <v>45839</v>
      </c>
      <c r="E2813" s="29">
        <v>46203</v>
      </c>
      <c r="F2813" s="28" t="s">
        <v>1930</v>
      </c>
      <c r="G2813" s="28" t="s">
        <v>546</v>
      </c>
      <c r="H2813" s="28" t="s">
        <v>373</v>
      </c>
      <c r="I2813" s="28" t="s">
        <v>424</v>
      </c>
      <c r="J2813" s="28" t="s">
        <v>558</v>
      </c>
      <c r="K2813" s="28" t="s">
        <v>426</v>
      </c>
      <c r="L2813" s="28" t="s">
        <v>2421</v>
      </c>
      <c r="M2813" s="69" t="s">
        <v>1972</v>
      </c>
    </row>
    <row r="2814" spans="1:13" x14ac:dyDescent="0.3">
      <c r="A2814" s="67" t="s">
        <v>2690</v>
      </c>
      <c r="B2814" s="28" t="s">
        <v>2691</v>
      </c>
      <c r="C2814" s="28" t="s">
        <v>1332</v>
      </c>
      <c r="D2814" s="29">
        <v>45839</v>
      </c>
      <c r="E2814" s="29">
        <v>46203</v>
      </c>
      <c r="F2814" s="28" t="s">
        <v>280</v>
      </c>
      <c r="G2814" s="28" t="s">
        <v>280</v>
      </c>
      <c r="H2814" s="28" t="s">
        <v>373</v>
      </c>
      <c r="I2814" s="28" t="s">
        <v>424</v>
      </c>
      <c r="J2814" s="28" t="s">
        <v>558</v>
      </c>
      <c r="K2814" s="28" t="s">
        <v>426</v>
      </c>
      <c r="L2814" s="28" t="s">
        <v>2421</v>
      </c>
      <c r="M2814" s="69" t="s">
        <v>1972</v>
      </c>
    </row>
    <row r="2815" spans="1:13" x14ac:dyDescent="0.3">
      <c r="A2815" s="67" t="s">
        <v>2690</v>
      </c>
      <c r="B2815" s="28" t="s">
        <v>2691</v>
      </c>
      <c r="C2815" s="28" t="s">
        <v>1332</v>
      </c>
      <c r="D2815" s="29">
        <v>45839</v>
      </c>
      <c r="E2815" s="29">
        <v>46203</v>
      </c>
      <c r="F2815" s="28" t="s">
        <v>280</v>
      </c>
      <c r="G2815" s="28" t="s">
        <v>406</v>
      </c>
      <c r="H2815" s="28" t="s">
        <v>373</v>
      </c>
      <c r="I2815" s="28" t="s">
        <v>424</v>
      </c>
      <c r="J2815" s="28" t="s">
        <v>558</v>
      </c>
      <c r="K2815" s="28" t="s">
        <v>426</v>
      </c>
      <c r="L2815" s="28" t="s">
        <v>2421</v>
      </c>
      <c r="M2815" s="69" t="s">
        <v>1972</v>
      </c>
    </row>
    <row r="2816" spans="1:13" x14ac:dyDescent="0.3">
      <c r="A2816" s="67" t="s">
        <v>2690</v>
      </c>
      <c r="B2816" s="28" t="s">
        <v>2691</v>
      </c>
      <c r="C2816" s="28" t="s">
        <v>1332</v>
      </c>
      <c r="D2816" s="29">
        <v>45839</v>
      </c>
      <c r="E2816" s="29">
        <v>46203</v>
      </c>
      <c r="F2816" s="28" t="s">
        <v>1948</v>
      </c>
      <c r="G2816" s="28" t="s">
        <v>368</v>
      </c>
      <c r="H2816" s="28" t="s">
        <v>373</v>
      </c>
      <c r="I2816" s="28" t="s">
        <v>424</v>
      </c>
      <c r="J2816" s="28" t="s">
        <v>558</v>
      </c>
      <c r="K2816" s="28" t="s">
        <v>426</v>
      </c>
      <c r="L2816" s="28" t="s">
        <v>2421</v>
      </c>
      <c r="M2816" s="69" t="s">
        <v>1972</v>
      </c>
    </row>
    <row r="2817" spans="1:13" x14ac:dyDescent="0.3">
      <c r="A2817" s="67" t="s">
        <v>2690</v>
      </c>
      <c r="B2817" s="28" t="s">
        <v>2691</v>
      </c>
      <c r="C2817" s="28" t="s">
        <v>1332</v>
      </c>
      <c r="D2817" s="29">
        <v>45839</v>
      </c>
      <c r="E2817" s="29">
        <v>46203</v>
      </c>
      <c r="F2817" s="28" t="s">
        <v>1948</v>
      </c>
      <c r="G2817" s="28" t="s">
        <v>369</v>
      </c>
      <c r="H2817" s="28" t="s">
        <v>373</v>
      </c>
      <c r="I2817" s="28" t="s">
        <v>424</v>
      </c>
      <c r="J2817" s="28" t="s">
        <v>558</v>
      </c>
      <c r="K2817" s="28" t="s">
        <v>426</v>
      </c>
      <c r="L2817" s="28" t="s">
        <v>2421</v>
      </c>
      <c r="M2817" s="69" t="s">
        <v>1972</v>
      </c>
    </row>
    <row r="2818" spans="1:13" x14ac:dyDescent="0.3">
      <c r="A2818" s="67" t="s">
        <v>2690</v>
      </c>
      <c r="B2818" s="28" t="s">
        <v>2691</v>
      </c>
      <c r="C2818" s="28" t="s">
        <v>1332</v>
      </c>
      <c r="D2818" s="29">
        <v>45839</v>
      </c>
      <c r="E2818" s="29">
        <v>46203</v>
      </c>
      <c r="F2818" s="28" t="s">
        <v>1959</v>
      </c>
      <c r="G2818" s="28" t="s">
        <v>511</v>
      </c>
      <c r="H2818" s="28" t="s">
        <v>373</v>
      </c>
      <c r="I2818" s="28" t="s">
        <v>424</v>
      </c>
      <c r="J2818" s="28" t="s">
        <v>558</v>
      </c>
      <c r="K2818" s="28" t="s">
        <v>426</v>
      </c>
      <c r="L2818" s="28" t="s">
        <v>2421</v>
      </c>
      <c r="M2818" s="69" t="s">
        <v>1972</v>
      </c>
    </row>
    <row r="2819" spans="1:13" x14ac:dyDescent="0.3">
      <c r="A2819" s="67" t="s">
        <v>2690</v>
      </c>
      <c r="B2819" s="28" t="s">
        <v>2691</v>
      </c>
      <c r="C2819" s="28" t="s">
        <v>1332</v>
      </c>
      <c r="D2819" s="29">
        <v>45839</v>
      </c>
      <c r="E2819" s="29">
        <v>46203</v>
      </c>
      <c r="F2819" s="28" t="s">
        <v>1959</v>
      </c>
      <c r="G2819" s="28" t="s">
        <v>665</v>
      </c>
      <c r="H2819" s="28" t="s">
        <v>373</v>
      </c>
      <c r="I2819" s="28" t="s">
        <v>424</v>
      </c>
      <c r="J2819" s="28" t="s">
        <v>558</v>
      </c>
      <c r="K2819" s="28" t="s">
        <v>426</v>
      </c>
      <c r="L2819" s="28" t="s">
        <v>2421</v>
      </c>
      <c r="M2819" s="69" t="s">
        <v>1972</v>
      </c>
    </row>
    <row r="2820" spans="1:13" x14ac:dyDescent="0.3">
      <c r="A2820" s="67" t="s">
        <v>2690</v>
      </c>
      <c r="B2820" s="28" t="s">
        <v>2691</v>
      </c>
      <c r="C2820" s="28" t="s">
        <v>1332</v>
      </c>
      <c r="D2820" s="29">
        <v>45839</v>
      </c>
      <c r="E2820" s="29">
        <v>46203</v>
      </c>
      <c r="F2820" s="28" t="s">
        <v>287</v>
      </c>
      <c r="G2820" s="28" t="s">
        <v>390</v>
      </c>
      <c r="H2820" s="28" t="s">
        <v>373</v>
      </c>
      <c r="I2820" s="28" t="s">
        <v>424</v>
      </c>
      <c r="J2820" s="28" t="s">
        <v>558</v>
      </c>
      <c r="K2820" s="28" t="s">
        <v>426</v>
      </c>
      <c r="L2820" s="28" t="s">
        <v>2421</v>
      </c>
      <c r="M2820" s="69" t="s">
        <v>1972</v>
      </c>
    </row>
    <row r="2821" spans="1:13" x14ac:dyDescent="0.3">
      <c r="A2821" s="67" t="s">
        <v>2690</v>
      </c>
      <c r="B2821" s="28" t="s">
        <v>2691</v>
      </c>
      <c r="C2821" s="28" t="s">
        <v>1332</v>
      </c>
      <c r="D2821" s="29">
        <v>45839</v>
      </c>
      <c r="E2821" s="29">
        <v>46203</v>
      </c>
      <c r="F2821" s="28" t="s">
        <v>287</v>
      </c>
      <c r="G2821" s="28" t="s">
        <v>554</v>
      </c>
      <c r="H2821" s="28" t="s">
        <v>373</v>
      </c>
      <c r="I2821" s="28" t="s">
        <v>424</v>
      </c>
      <c r="J2821" s="28" t="s">
        <v>558</v>
      </c>
      <c r="K2821" s="28" t="s">
        <v>426</v>
      </c>
      <c r="L2821" s="28" t="s">
        <v>2421</v>
      </c>
      <c r="M2821" s="69" t="s">
        <v>1972</v>
      </c>
    </row>
    <row r="2822" spans="1:13" x14ac:dyDescent="0.3">
      <c r="A2822" s="67" t="s">
        <v>2690</v>
      </c>
      <c r="B2822" s="28" t="s">
        <v>2691</v>
      </c>
      <c r="C2822" s="28" t="s">
        <v>1332</v>
      </c>
      <c r="D2822" s="29">
        <v>45839</v>
      </c>
      <c r="E2822" s="29">
        <v>46203</v>
      </c>
      <c r="F2822" s="28" t="s">
        <v>1987</v>
      </c>
      <c r="G2822" s="28" t="s">
        <v>962</v>
      </c>
      <c r="H2822" s="28" t="s">
        <v>373</v>
      </c>
      <c r="I2822" s="28" t="s">
        <v>424</v>
      </c>
      <c r="J2822" s="28" t="s">
        <v>558</v>
      </c>
      <c r="K2822" s="28" t="s">
        <v>426</v>
      </c>
      <c r="L2822" s="28" t="s">
        <v>2421</v>
      </c>
      <c r="M2822" s="69" t="s">
        <v>1972</v>
      </c>
    </row>
    <row r="2823" spans="1:13" x14ac:dyDescent="0.3">
      <c r="A2823" s="67" t="s">
        <v>2690</v>
      </c>
      <c r="B2823" s="28" t="s">
        <v>2691</v>
      </c>
      <c r="C2823" s="28" t="s">
        <v>1332</v>
      </c>
      <c r="D2823" s="29">
        <v>45839</v>
      </c>
      <c r="E2823" s="29">
        <v>46203</v>
      </c>
      <c r="F2823" s="28" t="s">
        <v>282</v>
      </c>
      <c r="G2823" s="28" t="s">
        <v>304</v>
      </c>
      <c r="H2823" s="28" t="s">
        <v>373</v>
      </c>
      <c r="I2823" s="28" t="s">
        <v>424</v>
      </c>
      <c r="J2823" s="28" t="s">
        <v>558</v>
      </c>
      <c r="K2823" s="28" t="s">
        <v>426</v>
      </c>
      <c r="L2823" s="28" t="s">
        <v>2421</v>
      </c>
      <c r="M2823" s="69" t="s">
        <v>1972</v>
      </c>
    </row>
    <row r="2824" spans="1:13" x14ac:dyDescent="0.3">
      <c r="A2824" s="67" t="s">
        <v>2690</v>
      </c>
      <c r="B2824" s="28" t="s">
        <v>2691</v>
      </c>
      <c r="C2824" s="28" t="s">
        <v>1332</v>
      </c>
      <c r="D2824" s="29">
        <v>45839</v>
      </c>
      <c r="E2824" s="29">
        <v>46203</v>
      </c>
      <c r="F2824" s="28" t="s">
        <v>1922</v>
      </c>
      <c r="G2824" s="28" t="s">
        <v>304</v>
      </c>
      <c r="H2824" s="28" t="s">
        <v>373</v>
      </c>
      <c r="I2824" s="28" t="s">
        <v>424</v>
      </c>
      <c r="J2824" s="28" t="s">
        <v>558</v>
      </c>
      <c r="K2824" s="28" t="s">
        <v>426</v>
      </c>
      <c r="L2824" s="28" t="s">
        <v>2421</v>
      </c>
      <c r="M2824" s="69" t="s">
        <v>1972</v>
      </c>
    </row>
    <row r="2825" spans="1:13" x14ac:dyDescent="0.3">
      <c r="A2825" s="67" t="s">
        <v>2690</v>
      </c>
      <c r="B2825" s="28" t="s">
        <v>2691</v>
      </c>
      <c r="C2825" s="28" t="s">
        <v>1332</v>
      </c>
      <c r="D2825" s="29">
        <v>45839</v>
      </c>
      <c r="E2825" s="29">
        <v>46203</v>
      </c>
      <c r="F2825" s="28" t="s">
        <v>1943</v>
      </c>
      <c r="G2825" s="28" t="s">
        <v>304</v>
      </c>
      <c r="H2825" s="28" t="s">
        <v>373</v>
      </c>
      <c r="I2825" s="28" t="s">
        <v>424</v>
      </c>
      <c r="J2825" s="28" t="s">
        <v>558</v>
      </c>
      <c r="K2825" s="28" t="s">
        <v>426</v>
      </c>
      <c r="L2825" s="28" t="s">
        <v>2421</v>
      </c>
      <c r="M2825" s="69" t="s">
        <v>1972</v>
      </c>
    </row>
    <row r="2826" spans="1:13" x14ac:dyDescent="0.3">
      <c r="A2826" s="67" t="s">
        <v>2690</v>
      </c>
      <c r="B2826" s="28" t="s">
        <v>2691</v>
      </c>
      <c r="C2826" s="28" t="s">
        <v>1332</v>
      </c>
      <c r="D2826" s="29">
        <v>45839</v>
      </c>
      <c r="E2826" s="29">
        <v>46203</v>
      </c>
      <c r="F2826" s="28" t="s">
        <v>1961</v>
      </c>
      <c r="G2826" s="28" t="s">
        <v>634</v>
      </c>
      <c r="H2826" s="28" t="s">
        <v>373</v>
      </c>
      <c r="I2826" s="28" t="s">
        <v>424</v>
      </c>
      <c r="J2826" s="28" t="s">
        <v>558</v>
      </c>
      <c r="K2826" s="28" t="s">
        <v>426</v>
      </c>
      <c r="L2826" s="28" t="s">
        <v>2421</v>
      </c>
      <c r="M2826" s="69" t="s">
        <v>1972</v>
      </c>
    </row>
    <row r="2827" spans="1:13" x14ac:dyDescent="0.3">
      <c r="A2827" s="67" t="s">
        <v>2692</v>
      </c>
      <c r="B2827" s="28" t="s">
        <v>2693</v>
      </c>
      <c r="C2827" s="28" t="s">
        <v>2694</v>
      </c>
      <c r="D2827" s="29">
        <v>45979</v>
      </c>
      <c r="E2827" s="29">
        <v>46313</v>
      </c>
      <c r="F2827" s="28" t="s">
        <v>1959</v>
      </c>
      <c r="G2827" s="28" t="s">
        <v>679</v>
      </c>
      <c r="H2827" s="28" t="s">
        <v>1852</v>
      </c>
      <c r="I2827" s="28" t="s">
        <v>2443</v>
      </c>
      <c r="J2827" s="28" t="s">
        <v>916</v>
      </c>
      <c r="K2827" s="28" t="s">
        <v>315</v>
      </c>
      <c r="L2827" s="28" t="s">
        <v>2421</v>
      </c>
      <c r="M2827" s="69" t="s">
        <v>1984</v>
      </c>
    </row>
    <row r="2828" spans="1:13" x14ac:dyDescent="0.3">
      <c r="A2828" s="67" t="s">
        <v>2692</v>
      </c>
      <c r="B2828" s="28" t="s">
        <v>2693</v>
      </c>
      <c r="C2828" s="28" t="s">
        <v>2694</v>
      </c>
      <c r="D2828" s="29">
        <v>45979</v>
      </c>
      <c r="E2828" s="29">
        <v>46313</v>
      </c>
      <c r="F2828" s="28" t="s">
        <v>1959</v>
      </c>
      <c r="G2828" s="28" t="s">
        <v>794</v>
      </c>
      <c r="H2828" s="28" t="s">
        <v>1852</v>
      </c>
      <c r="I2828" s="28" t="s">
        <v>2443</v>
      </c>
      <c r="J2828" s="28" t="s">
        <v>916</v>
      </c>
      <c r="K2828" s="28" t="s">
        <v>315</v>
      </c>
      <c r="L2828" s="28" t="s">
        <v>2421</v>
      </c>
      <c r="M2828" s="69" t="s">
        <v>1984</v>
      </c>
    </row>
    <row r="2829" spans="1:13" x14ac:dyDescent="0.3">
      <c r="A2829" s="67" t="s">
        <v>2695</v>
      </c>
      <c r="B2829" s="28" t="s">
        <v>2696</v>
      </c>
      <c r="C2829" s="28" t="s">
        <v>2697</v>
      </c>
      <c r="D2829" s="29">
        <v>45945</v>
      </c>
      <c r="E2829" s="29">
        <v>46934</v>
      </c>
      <c r="F2829" s="28" t="s">
        <v>286</v>
      </c>
      <c r="G2829" s="28" t="s">
        <v>304</v>
      </c>
      <c r="H2829" s="28" t="s">
        <v>1105</v>
      </c>
      <c r="I2829" s="28" t="s">
        <v>1518</v>
      </c>
      <c r="J2829" s="28" t="s">
        <v>357</v>
      </c>
      <c r="K2829" s="28" t="s">
        <v>358</v>
      </c>
      <c r="L2829" s="28" t="s">
        <v>2421</v>
      </c>
      <c r="M2829" s="69" t="s">
        <v>1971</v>
      </c>
    </row>
    <row r="2830" spans="1:13" x14ac:dyDescent="0.3">
      <c r="A2830" s="67" t="s">
        <v>2695</v>
      </c>
      <c r="B2830" s="28" t="s">
        <v>2696</v>
      </c>
      <c r="C2830" s="28" t="s">
        <v>2697</v>
      </c>
      <c r="D2830" s="29">
        <v>45945</v>
      </c>
      <c r="E2830" s="29">
        <v>46934</v>
      </c>
      <c r="F2830" s="28" t="s">
        <v>1943</v>
      </c>
      <c r="G2830" s="28" t="s">
        <v>304</v>
      </c>
      <c r="H2830" s="28" t="s">
        <v>1105</v>
      </c>
      <c r="I2830" s="28" t="s">
        <v>1518</v>
      </c>
      <c r="J2830" s="28" t="s">
        <v>357</v>
      </c>
      <c r="K2830" s="28" t="s">
        <v>358</v>
      </c>
      <c r="L2830" s="28" t="s">
        <v>2421</v>
      </c>
      <c r="M2830" s="69" t="s">
        <v>1971</v>
      </c>
    </row>
    <row r="2831" spans="1:13" x14ac:dyDescent="0.3">
      <c r="A2831" s="67" t="s">
        <v>2695</v>
      </c>
      <c r="B2831" s="28" t="s">
        <v>2696</v>
      </c>
      <c r="C2831" s="28" t="s">
        <v>2697</v>
      </c>
      <c r="D2831" s="29">
        <v>45945</v>
      </c>
      <c r="E2831" s="29">
        <v>46934</v>
      </c>
      <c r="F2831" s="28" t="s">
        <v>1939</v>
      </c>
      <c r="G2831" s="28" t="s">
        <v>304</v>
      </c>
      <c r="H2831" s="28" t="s">
        <v>1105</v>
      </c>
      <c r="I2831" s="28" t="s">
        <v>1518</v>
      </c>
      <c r="J2831" s="28" t="s">
        <v>357</v>
      </c>
      <c r="K2831" s="28" t="s">
        <v>358</v>
      </c>
      <c r="L2831" s="28" t="s">
        <v>2421</v>
      </c>
      <c r="M2831" s="69" t="s">
        <v>1971</v>
      </c>
    </row>
    <row r="2832" spans="1:13" x14ac:dyDescent="0.3">
      <c r="A2832" s="67" t="s">
        <v>2698</v>
      </c>
      <c r="B2832" s="28" t="s">
        <v>2699</v>
      </c>
      <c r="C2832" s="28" t="s">
        <v>2700</v>
      </c>
      <c r="D2832" s="29">
        <v>45672</v>
      </c>
      <c r="E2832" s="29">
        <v>46401</v>
      </c>
      <c r="F2832" s="28" t="s">
        <v>1916</v>
      </c>
      <c r="G2832" s="28" t="s">
        <v>304</v>
      </c>
      <c r="H2832" s="28" t="s">
        <v>373</v>
      </c>
      <c r="I2832" s="28" t="s">
        <v>1518</v>
      </c>
      <c r="J2832" s="28" t="s">
        <v>1260</v>
      </c>
      <c r="K2832" s="28" t="s">
        <v>459</v>
      </c>
      <c r="L2832" s="28" t="s">
        <v>2421</v>
      </c>
      <c r="M2832" s="69" t="s">
        <v>1971</v>
      </c>
    </row>
    <row r="2833" spans="1:13" x14ac:dyDescent="0.3">
      <c r="A2833" s="67" t="s">
        <v>2701</v>
      </c>
      <c r="B2833" s="28" t="s">
        <v>2702</v>
      </c>
      <c r="C2833" s="28" t="s">
        <v>2703</v>
      </c>
      <c r="D2833" s="29">
        <v>45967</v>
      </c>
      <c r="E2833" s="29">
        <v>46879</v>
      </c>
      <c r="F2833" s="28" t="s">
        <v>1921</v>
      </c>
      <c r="G2833" s="28" t="s">
        <v>713</v>
      </c>
      <c r="H2833" s="28" t="s">
        <v>468</v>
      </c>
      <c r="I2833" s="28" t="s">
        <v>825</v>
      </c>
      <c r="J2833" s="28" t="s">
        <v>971</v>
      </c>
      <c r="K2833" s="28" t="s">
        <v>358</v>
      </c>
      <c r="L2833" s="28" t="s">
        <v>2421</v>
      </c>
      <c r="M2833" s="69" t="s">
        <v>1975</v>
      </c>
    </row>
    <row r="2834" spans="1:13" x14ac:dyDescent="0.3">
      <c r="A2834" s="67" t="s">
        <v>2701</v>
      </c>
      <c r="B2834" s="28" t="s">
        <v>2702</v>
      </c>
      <c r="C2834" s="28" t="s">
        <v>2703</v>
      </c>
      <c r="D2834" s="29">
        <v>45967</v>
      </c>
      <c r="E2834" s="29">
        <v>46879</v>
      </c>
      <c r="F2834" s="28" t="s">
        <v>1921</v>
      </c>
      <c r="G2834" s="28" t="s">
        <v>714</v>
      </c>
      <c r="H2834" s="28" t="s">
        <v>468</v>
      </c>
      <c r="I2834" s="28" t="s">
        <v>825</v>
      </c>
      <c r="J2834" s="28" t="s">
        <v>971</v>
      </c>
      <c r="K2834" s="28" t="s">
        <v>358</v>
      </c>
      <c r="L2834" s="28" t="s">
        <v>2421</v>
      </c>
      <c r="M2834" s="69" t="s">
        <v>1975</v>
      </c>
    </row>
    <row r="2835" spans="1:13" x14ac:dyDescent="0.3">
      <c r="A2835" s="67" t="s">
        <v>2704</v>
      </c>
      <c r="B2835" s="28" t="s">
        <v>2705</v>
      </c>
      <c r="C2835" s="28" t="s">
        <v>2706</v>
      </c>
      <c r="D2835" s="29">
        <v>45868</v>
      </c>
      <c r="E2835" s="29">
        <v>46387</v>
      </c>
      <c r="F2835" s="28" t="s">
        <v>1922</v>
      </c>
      <c r="G2835" s="28" t="s">
        <v>383</v>
      </c>
      <c r="H2835" s="28" t="s">
        <v>1649</v>
      </c>
      <c r="I2835" s="28" t="s">
        <v>825</v>
      </c>
      <c r="J2835" s="28" t="s">
        <v>804</v>
      </c>
      <c r="K2835" s="28" t="s">
        <v>347</v>
      </c>
      <c r="L2835" s="28" t="s">
        <v>2421</v>
      </c>
      <c r="M2835" s="69" t="s">
        <v>1965</v>
      </c>
    </row>
    <row r="2836" spans="1:13" x14ac:dyDescent="0.3">
      <c r="A2836" s="67" t="s">
        <v>2704</v>
      </c>
      <c r="B2836" s="28" t="s">
        <v>2705</v>
      </c>
      <c r="C2836" s="28" t="s">
        <v>2706</v>
      </c>
      <c r="D2836" s="29">
        <v>45868</v>
      </c>
      <c r="E2836" s="29">
        <v>46387</v>
      </c>
      <c r="F2836" s="28" t="s">
        <v>1922</v>
      </c>
      <c r="G2836" s="28" t="s">
        <v>387</v>
      </c>
      <c r="H2836" s="28" t="s">
        <v>1649</v>
      </c>
      <c r="I2836" s="28" t="s">
        <v>825</v>
      </c>
      <c r="J2836" s="28" t="s">
        <v>804</v>
      </c>
      <c r="K2836" s="28" t="s">
        <v>347</v>
      </c>
      <c r="L2836" s="28" t="s">
        <v>2421</v>
      </c>
      <c r="M2836" s="69" t="s">
        <v>1965</v>
      </c>
    </row>
    <row r="2837" spans="1:13" x14ac:dyDescent="0.3">
      <c r="A2837" s="67" t="s">
        <v>2707</v>
      </c>
      <c r="B2837" s="28" t="s">
        <v>2708</v>
      </c>
      <c r="C2837" s="28" t="s">
        <v>2709</v>
      </c>
      <c r="D2837" s="29">
        <v>45168</v>
      </c>
      <c r="E2837" s="29">
        <v>46476</v>
      </c>
      <c r="F2837" s="28" t="s">
        <v>1940</v>
      </c>
      <c r="G2837" s="28" t="s">
        <v>561</v>
      </c>
      <c r="H2837" s="28" t="s">
        <v>548</v>
      </c>
      <c r="I2837" s="28" t="s">
        <v>1518</v>
      </c>
      <c r="J2837" s="28" t="s">
        <v>469</v>
      </c>
      <c r="K2837" s="28" t="s">
        <v>315</v>
      </c>
      <c r="L2837" s="28" t="s">
        <v>2421</v>
      </c>
      <c r="M2837" s="69" t="s">
        <v>1969</v>
      </c>
    </row>
    <row r="2838" spans="1:13" x14ac:dyDescent="0.3">
      <c r="A2838" s="67" t="s">
        <v>2707</v>
      </c>
      <c r="B2838" s="28" t="s">
        <v>2708</v>
      </c>
      <c r="C2838" s="28" t="s">
        <v>2709</v>
      </c>
      <c r="D2838" s="29">
        <v>45168</v>
      </c>
      <c r="E2838" s="29">
        <v>46476</v>
      </c>
      <c r="F2838" s="28" t="s">
        <v>1940</v>
      </c>
      <c r="G2838" s="28" t="s">
        <v>624</v>
      </c>
      <c r="H2838" s="28" t="s">
        <v>548</v>
      </c>
      <c r="I2838" s="28" t="s">
        <v>1518</v>
      </c>
      <c r="J2838" s="28" t="s">
        <v>469</v>
      </c>
      <c r="K2838" s="28" t="s">
        <v>315</v>
      </c>
      <c r="L2838" s="28" t="s">
        <v>2421</v>
      </c>
      <c r="M2838" s="69" t="s">
        <v>1969</v>
      </c>
    </row>
    <row r="2839" spans="1:13" x14ac:dyDescent="0.3">
      <c r="A2839" s="67" t="s">
        <v>2707</v>
      </c>
      <c r="B2839" s="28" t="s">
        <v>2708</v>
      </c>
      <c r="C2839" s="28" t="s">
        <v>2709</v>
      </c>
      <c r="D2839" s="29">
        <v>45168</v>
      </c>
      <c r="E2839" s="29">
        <v>46476</v>
      </c>
      <c r="F2839" s="28" t="s">
        <v>1944</v>
      </c>
      <c r="G2839" s="28" t="s">
        <v>1351</v>
      </c>
      <c r="H2839" s="28" t="s">
        <v>548</v>
      </c>
      <c r="I2839" s="28" t="s">
        <v>1518</v>
      </c>
      <c r="J2839" s="28" t="s">
        <v>469</v>
      </c>
      <c r="K2839" s="28" t="s">
        <v>315</v>
      </c>
      <c r="L2839" s="28" t="s">
        <v>2421</v>
      </c>
      <c r="M2839" s="69" t="s">
        <v>1969</v>
      </c>
    </row>
    <row r="2840" spans="1:13" x14ac:dyDescent="0.3">
      <c r="A2840" s="67" t="s">
        <v>2707</v>
      </c>
      <c r="B2840" s="28" t="s">
        <v>2708</v>
      </c>
      <c r="C2840" s="28" t="s">
        <v>2709</v>
      </c>
      <c r="D2840" s="29">
        <v>45168</v>
      </c>
      <c r="E2840" s="29">
        <v>46476</v>
      </c>
      <c r="F2840" s="28" t="s">
        <v>1944</v>
      </c>
      <c r="G2840" s="28" t="s">
        <v>2710</v>
      </c>
      <c r="H2840" s="28" t="s">
        <v>548</v>
      </c>
      <c r="I2840" s="28" t="s">
        <v>1518</v>
      </c>
      <c r="J2840" s="28" t="s">
        <v>469</v>
      </c>
      <c r="K2840" s="28" t="s">
        <v>315</v>
      </c>
      <c r="L2840" s="28" t="s">
        <v>2421</v>
      </c>
      <c r="M2840" s="69" t="s">
        <v>1969</v>
      </c>
    </row>
    <row r="2841" spans="1:13" x14ac:dyDescent="0.3">
      <c r="A2841" s="67" t="s">
        <v>2707</v>
      </c>
      <c r="B2841" s="28" t="s">
        <v>2708</v>
      </c>
      <c r="C2841" s="28" t="s">
        <v>2709</v>
      </c>
      <c r="D2841" s="29">
        <v>45168</v>
      </c>
      <c r="E2841" s="29">
        <v>46476</v>
      </c>
      <c r="F2841" s="28" t="s">
        <v>1930</v>
      </c>
      <c r="G2841" s="28" t="s">
        <v>721</v>
      </c>
      <c r="H2841" s="28" t="s">
        <v>548</v>
      </c>
      <c r="I2841" s="28" t="s">
        <v>1518</v>
      </c>
      <c r="J2841" s="28" t="s">
        <v>469</v>
      </c>
      <c r="K2841" s="28" t="s">
        <v>315</v>
      </c>
      <c r="L2841" s="28" t="s">
        <v>2421</v>
      </c>
      <c r="M2841" s="69" t="s">
        <v>1969</v>
      </c>
    </row>
    <row r="2842" spans="1:13" x14ac:dyDescent="0.3">
      <c r="A2842" s="67" t="s">
        <v>2707</v>
      </c>
      <c r="B2842" s="28" t="s">
        <v>2708</v>
      </c>
      <c r="C2842" s="28" t="s">
        <v>2709</v>
      </c>
      <c r="D2842" s="29">
        <v>45168</v>
      </c>
      <c r="E2842" s="29">
        <v>46476</v>
      </c>
      <c r="F2842" s="28" t="s">
        <v>1930</v>
      </c>
      <c r="G2842" s="28" t="s">
        <v>722</v>
      </c>
      <c r="H2842" s="28" t="s">
        <v>548</v>
      </c>
      <c r="I2842" s="28" t="s">
        <v>1518</v>
      </c>
      <c r="J2842" s="28" t="s">
        <v>469</v>
      </c>
      <c r="K2842" s="28" t="s">
        <v>315</v>
      </c>
      <c r="L2842" s="28" t="s">
        <v>2421</v>
      </c>
      <c r="M2842" s="69" t="s">
        <v>1969</v>
      </c>
    </row>
    <row r="2843" spans="1:13" x14ac:dyDescent="0.3">
      <c r="A2843" s="67" t="s">
        <v>2707</v>
      </c>
      <c r="B2843" s="28" t="s">
        <v>2708</v>
      </c>
      <c r="C2843" s="28" t="s">
        <v>2709</v>
      </c>
      <c r="D2843" s="29">
        <v>45168</v>
      </c>
      <c r="E2843" s="29">
        <v>46476</v>
      </c>
      <c r="F2843" s="28" t="s">
        <v>1945</v>
      </c>
      <c r="G2843" s="28" t="s">
        <v>450</v>
      </c>
      <c r="H2843" s="28" t="s">
        <v>548</v>
      </c>
      <c r="I2843" s="28" t="s">
        <v>1518</v>
      </c>
      <c r="J2843" s="28" t="s">
        <v>469</v>
      </c>
      <c r="K2843" s="28" t="s">
        <v>315</v>
      </c>
      <c r="L2843" s="28" t="s">
        <v>2421</v>
      </c>
      <c r="M2843" s="69" t="s">
        <v>1969</v>
      </c>
    </row>
    <row r="2844" spans="1:13" x14ac:dyDescent="0.3">
      <c r="A2844" s="67" t="s">
        <v>2711</v>
      </c>
      <c r="B2844" s="28" t="s">
        <v>2712</v>
      </c>
      <c r="C2844" s="28" t="s">
        <v>2713</v>
      </c>
      <c r="D2844" s="29">
        <v>45961</v>
      </c>
      <c r="E2844" s="29">
        <v>47848</v>
      </c>
      <c r="F2844" s="28" t="s">
        <v>1934</v>
      </c>
      <c r="G2844" s="28" t="s">
        <v>618</v>
      </c>
      <c r="H2844" s="28" t="s">
        <v>821</v>
      </c>
      <c r="I2844" s="28" t="s">
        <v>825</v>
      </c>
      <c r="J2844" s="28" t="s">
        <v>2714</v>
      </c>
      <c r="K2844" s="28" t="s">
        <v>637</v>
      </c>
      <c r="L2844" s="28" t="s">
        <v>2421</v>
      </c>
      <c r="M2844" s="69" t="s">
        <v>1969</v>
      </c>
    </row>
    <row r="2845" spans="1:13" x14ac:dyDescent="0.3">
      <c r="A2845" s="67" t="s">
        <v>2711</v>
      </c>
      <c r="B2845" s="28" t="s">
        <v>2712</v>
      </c>
      <c r="C2845" s="28" t="s">
        <v>2713</v>
      </c>
      <c r="D2845" s="29">
        <v>45961</v>
      </c>
      <c r="E2845" s="29">
        <v>47848</v>
      </c>
      <c r="F2845" s="28" t="s">
        <v>1934</v>
      </c>
      <c r="G2845" s="28" t="s">
        <v>727</v>
      </c>
      <c r="H2845" s="28" t="s">
        <v>821</v>
      </c>
      <c r="I2845" s="28" t="s">
        <v>825</v>
      </c>
      <c r="J2845" s="28" t="s">
        <v>2714</v>
      </c>
      <c r="K2845" s="28" t="s">
        <v>637</v>
      </c>
      <c r="L2845" s="28" t="s">
        <v>2421</v>
      </c>
      <c r="M2845" s="69" t="s">
        <v>1969</v>
      </c>
    </row>
    <row r="2846" spans="1:13" x14ac:dyDescent="0.3">
      <c r="A2846" s="67" t="s">
        <v>2711</v>
      </c>
      <c r="B2846" s="28" t="s">
        <v>2712</v>
      </c>
      <c r="C2846" s="28" t="s">
        <v>2713</v>
      </c>
      <c r="D2846" s="29">
        <v>45961</v>
      </c>
      <c r="E2846" s="29">
        <v>47848</v>
      </c>
      <c r="F2846" s="28" t="s">
        <v>1934</v>
      </c>
      <c r="G2846" s="28" t="s">
        <v>523</v>
      </c>
      <c r="H2846" s="28" t="s">
        <v>821</v>
      </c>
      <c r="I2846" s="28" t="s">
        <v>825</v>
      </c>
      <c r="J2846" s="28" t="s">
        <v>2714</v>
      </c>
      <c r="K2846" s="28" t="s">
        <v>637</v>
      </c>
      <c r="L2846" s="28" t="s">
        <v>2421</v>
      </c>
      <c r="M2846" s="69" t="s">
        <v>1969</v>
      </c>
    </row>
    <row r="2847" spans="1:13" x14ac:dyDescent="0.3">
      <c r="A2847" s="67" t="s">
        <v>2711</v>
      </c>
      <c r="B2847" s="28" t="s">
        <v>2712</v>
      </c>
      <c r="C2847" s="28" t="s">
        <v>2713</v>
      </c>
      <c r="D2847" s="29">
        <v>45961</v>
      </c>
      <c r="E2847" s="29">
        <v>47848</v>
      </c>
      <c r="F2847" s="28" t="s">
        <v>1934</v>
      </c>
      <c r="G2847" s="28" t="s">
        <v>529</v>
      </c>
      <c r="H2847" s="28" t="s">
        <v>821</v>
      </c>
      <c r="I2847" s="28" t="s">
        <v>825</v>
      </c>
      <c r="J2847" s="28" t="s">
        <v>2714</v>
      </c>
      <c r="K2847" s="28" t="s">
        <v>637</v>
      </c>
      <c r="L2847" s="28" t="s">
        <v>2421</v>
      </c>
      <c r="M2847" s="69" t="s">
        <v>1969</v>
      </c>
    </row>
    <row r="2848" spans="1:13" x14ac:dyDescent="0.3">
      <c r="A2848" s="67" t="s">
        <v>2715</v>
      </c>
      <c r="B2848" s="28" t="s">
        <v>2716</v>
      </c>
      <c r="C2848" s="28" t="s">
        <v>2717</v>
      </c>
      <c r="D2848" s="29">
        <v>45962</v>
      </c>
      <c r="E2848" s="29">
        <v>47118</v>
      </c>
      <c r="F2848" s="28" t="s">
        <v>1922</v>
      </c>
      <c r="G2848" s="28" t="s">
        <v>1196</v>
      </c>
      <c r="H2848" s="28" t="s">
        <v>664</v>
      </c>
      <c r="I2848" s="28" t="s">
        <v>825</v>
      </c>
      <c r="J2848" s="28" t="s">
        <v>378</v>
      </c>
      <c r="K2848" s="28" t="s">
        <v>371</v>
      </c>
      <c r="L2848" s="28" t="s">
        <v>2421</v>
      </c>
      <c r="M2848" s="69" t="s">
        <v>1972</v>
      </c>
    </row>
    <row r="2849" spans="1:13" x14ac:dyDescent="0.3">
      <c r="A2849" s="67" t="s">
        <v>2715</v>
      </c>
      <c r="B2849" s="28" t="s">
        <v>2716</v>
      </c>
      <c r="C2849" s="28" t="s">
        <v>2717</v>
      </c>
      <c r="D2849" s="29">
        <v>45962</v>
      </c>
      <c r="E2849" s="29">
        <v>47118</v>
      </c>
      <c r="F2849" s="28" t="s">
        <v>1922</v>
      </c>
      <c r="G2849" s="28" t="s">
        <v>1798</v>
      </c>
      <c r="H2849" s="28" t="s">
        <v>664</v>
      </c>
      <c r="I2849" s="28" t="s">
        <v>825</v>
      </c>
      <c r="J2849" s="28" t="s">
        <v>378</v>
      </c>
      <c r="K2849" s="28" t="s">
        <v>371</v>
      </c>
      <c r="L2849" s="28" t="s">
        <v>2421</v>
      </c>
      <c r="M2849" s="69" t="s">
        <v>1972</v>
      </c>
    </row>
    <row r="2850" spans="1:13" x14ac:dyDescent="0.3">
      <c r="A2850" s="67" t="s">
        <v>2715</v>
      </c>
      <c r="B2850" s="28" t="s">
        <v>2716</v>
      </c>
      <c r="C2850" s="28" t="s">
        <v>2717</v>
      </c>
      <c r="D2850" s="29">
        <v>45962</v>
      </c>
      <c r="E2850" s="29">
        <v>47118</v>
      </c>
      <c r="F2850" s="28" t="s">
        <v>1922</v>
      </c>
      <c r="G2850" s="28" t="s">
        <v>836</v>
      </c>
      <c r="H2850" s="28" t="s">
        <v>664</v>
      </c>
      <c r="I2850" s="28" t="s">
        <v>825</v>
      </c>
      <c r="J2850" s="28" t="s">
        <v>378</v>
      </c>
      <c r="K2850" s="28" t="s">
        <v>371</v>
      </c>
      <c r="L2850" s="28" t="s">
        <v>2421</v>
      </c>
      <c r="M2850" s="69" t="s">
        <v>1972</v>
      </c>
    </row>
    <row r="2851" spans="1:13" x14ac:dyDescent="0.3">
      <c r="A2851" s="67" t="s">
        <v>2715</v>
      </c>
      <c r="B2851" s="28" t="s">
        <v>2716</v>
      </c>
      <c r="C2851" s="28" t="s">
        <v>2717</v>
      </c>
      <c r="D2851" s="29">
        <v>45962</v>
      </c>
      <c r="E2851" s="29">
        <v>47118</v>
      </c>
      <c r="F2851" s="28" t="s">
        <v>1922</v>
      </c>
      <c r="G2851" s="28" t="s">
        <v>381</v>
      </c>
      <c r="H2851" s="28" t="s">
        <v>664</v>
      </c>
      <c r="I2851" s="28" t="s">
        <v>825</v>
      </c>
      <c r="J2851" s="28" t="s">
        <v>378</v>
      </c>
      <c r="K2851" s="28" t="s">
        <v>371</v>
      </c>
      <c r="L2851" s="28" t="s">
        <v>2421</v>
      </c>
      <c r="M2851" s="69" t="s">
        <v>1972</v>
      </c>
    </row>
    <row r="2852" spans="1:13" x14ac:dyDescent="0.3">
      <c r="A2852" s="67" t="s">
        <v>2715</v>
      </c>
      <c r="B2852" s="28" t="s">
        <v>2716</v>
      </c>
      <c r="C2852" s="28" t="s">
        <v>2717</v>
      </c>
      <c r="D2852" s="29">
        <v>45962</v>
      </c>
      <c r="E2852" s="29">
        <v>47118</v>
      </c>
      <c r="F2852" s="28" t="s">
        <v>1922</v>
      </c>
      <c r="G2852" s="28" t="s">
        <v>382</v>
      </c>
      <c r="H2852" s="28" t="s">
        <v>664</v>
      </c>
      <c r="I2852" s="28" t="s">
        <v>825</v>
      </c>
      <c r="J2852" s="28" t="s">
        <v>378</v>
      </c>
      <c r="K2852" s="28" t="s">
        <v>371</v>
      </c>
      <c r="L2852" s="28" t="s">
        <v>2421</v>
      </c>
      <c r="M2852" s="69" t="s">
        <v>1972</v>
      </c>
    </row>
    <row r="2853" spans="1:13" x14ac:dyDescent="0.3">
      <c r="A2853" s="67" t="s">
        <v>2715</v>
      </c>
      <c r="B2853" s="28" t="s">
        <v>2716</v>
      </c>
      <c r="C2853" s="28" t="s">
        <v>2717</v>
      </c>
      <c r="D2853" s="29">
        <v>45962</v>
      </c>
      <c r="E2853" s="29">
        <v>47118</v>
      </c>
      <c r="F2853" s="28" t="s">
        <v>1922</v>
      </c>
      <c r="G2853" s="28" t="s">
        <v>385</v>
      </c>
      <c r="H2853" s="28" t="s">
        <v>664</v>
      </c>
      <c r="I2853" s="28" t="s">
        <v>825</v>
      </c>
      <c r="J2853" s="28" t="s">
        <v>378</v>
      </c>
      <c r="K2853" s="28" t="s">
        <v>371</v>
      </c>
      <c r="L2853" s="28" t="s">
        <v>2421</v>
      </c>
      <c r="M2853" s="69" t="s">
        <v>1972</v>
      </c>
    </row>
    <row r="2854" spans="1:13" x14ac:dyDescent="0.3">
      <c r="A2854" s="67" t="s">
        <v>2715</v>
      </c>
      <c r="B2854" s="28" t="s">
        <v>2716</v>
      </c>
      <c r="C2854" s="28" t="s">
        <v>2717</v>
      </c>
      <c r="D2854" s="29">
        <v>45962</v>
      </c>
      <c r="E2854" s="29">
        <v>47118</v>
      </c>
      <c r="F2854" s="28" t="s">
        <v>1922</v>
      </c>
      <c r="G2854" s="28" t="s">
        <v>387</v>
      </c>
      <c r="H2854" s="28" t="s">
        <v>664</v>
      </c>
      <c r="I2854" s="28" t="s">
        <v>825</v>
      </c>
      <c r="J2854" s="28" t="s">
        <v>378</v>
      </c>
      <c r="K2854" s="28" t="s">
        <v>371</v>
      </c>
      <c r="L2854" s="28" t="s">
        <v>2421</v>
      </c>
      <c r="M2854" s="69" t="s">
        <v>1972</v>
      </c>
    </row>
    <row r="2855" spans="1:13" x14ac:dyDescent="0.3">
      <c r="A2855" s="67" t="s">
        <v>2718</v>
      </c>
      <c r="B2855" s="28" t="s">
        <v>2719</v>
      </c>
      <c r="C2855" s="28" t="s">
        <v>2720</v>
      </c>
      <c r="D2855" s="29">
        <v>45855</v>
      </c>
      <c r="E2855" s="29">
        <v>46234</v>
      </c>
      <c r="F2855" s="28" t="s">
        <v>1945</v>
      </c>
      <c r="G2855" s="28" t="s">
        <v>402</v>
      </c>
      <c r="H2855" s="28" t="s">
        <v>2721</v>
      </c>
      <c r="I2855" s="28" t="s">
        <v>825</v>
      </c>
      <c r="J2855" s="28" t="s">
        <v>551</v>
      </c>
      <c r="K2855" s="28" t="s">
        <v>428</v>
      </c>
      <c r="L2855" s="28" t="s">
        <v>2421</v>
      </c>
      <c r="M2855" s="69" t="s">
        <v>1969</v>
      </c>
    </row>
    <row r="2856" spans="1:13" x14ac:dyDescent="0.3">
      <c r="A2856" s="67" t="s">
        <v>2718</v>
      </c>
      <c r="B2856" s="28" t="s">
        <v>2719</v>
      </c>
      <c r="C2856" s="28" t="s">
        <v>2720</v>
      </c>
      <c r="D2856" s="29">
        <v>45855</v>
      </c>
      <c r="E2856" s="29">
        <v>46234</v>
      </c>
      <c r="F2856" s="28" t="s">
        <v>1945</v>
      </c>
      <c r="G2856" s="28" t="s">
        <v>404</v>
      </c>
      <c r="H2856" s="28" t="s">
        <v>2721</v>
      </c>
      <c r="I2856" s="28" t="s">
        <v>825</v>
      </c>
      <c r="J2856" s="28" t="s">
        <v>551</v>
      </c>
      <c r="K2856" s="28" t="s">
        <v>428</v>
      </c>
      <c r="L2856" s="28" t="s">
        <v>2421</v>
      </c>
      <c r="M2856" s="69" t="s">
        <v>1969</v>
      </c>
    </row>
    <row r="2857" spans="1:13" x14ac:dyDescent="0.3">
      <c r="A2857" s="67" t="s">
        <v>2718</v>
      </c>
      <c r="B2857" s="28" t="s">
        <v>2719</v>
      </c>
      <c r="C2857" s="28" t="s">
        <v>2720</v>
      </c>
      <c r="D2857" s="29">
        <v>45855</v>
      </c>
      <c r="E2857" s="29">
        <v>46234</v>
      </c>
      <c r="F2857" s="28" t="s">
        <v>1945</v>
      </c>
      <c r="G2857" s="28" t="s">
        <v>405</v>
      </c>
      <c r="H2857" s="28" t="s">
        <v>2721</v>
      </c>
      <c r="I2857" s="28" t="s">
        <v>825</v>
      </c>
      <c r="J2857" s="28" t="s">
        <v>551</v>
      </c>
      <c r="K2857" s="28" t="s">
        <v>428</v>
      </c>
      <c r="L2857" s="28" t="s">
        <v>2421</v>
      </c>
      <c r="M2857" s="69" t="s">
        <v>1969</v>
      </c>
    </row>
    <row r="2858" spans="1:13" x14ac:dyDescent="0.3">
      <c r="A2858" s="67" t="s">
        <v>2722</v>
      </c>
      <c r="B2858" s="28" t="s">
        <v>2723</v>
      </c>
      <c r="C2858" s="28" t="s">
        <v>2724</v>
      </c>
      <c r="D2858" s="29">
        <v>45703</v>
      </c>
      <c r="E2858" s="29">
        <v>46980</v>
      </c>
      <c r="F2858" s="28" t="s">
        <v>350</v>
      </c>
      <c r="G2858" s="28" t="s">
        <v>304</v>
      </c>
      <c r="H2858" s="28" t="s">
        <v>2425</v>
      </c>
      <c r="I2858" s="28" t="s">
        <v>424</v>
      </c>
      <c r="J2858" s="28" t="s">
        <v>950</v>
      </c>
      <c r="K2858" s="28" t="s">
        <v>637</v>
      </c>
      <c r="L2858" s="28" t="s">
        <v>2421</v>
      </c>
      <c r="M2858" s="69" t="s">
        <v>1968</v>
      </c>
    </row>
    <row r="2859" spans="1:13" x14ac:dyDescent="0.3">
      <c r="A2859" s="67" t="s">
        <v>2722</v>
      </c>
      <c r="B2859" s="28" t="s">
        <v>2723</v>
      </c>
      <c r="C2859" s="28" t="s">
        <v>2724</v>
      </c>
      <c r="D2859" s="29">
        <v>45703</v>
      </c>
      <c r="E2859" s="29">
        <v>46980</v>
      </c>
      <c r="F2859" s="28" t="s">
        <v>350</v>
      </c>
      <c r="G2859" s="28" t="s">
        <v>304</v>
      </c>
      <c r="H2859" s="28" t="s">
        <v>1114</v>
      </c>
      <c r="I2859" s="28" t="s">
        <v>424</v>
      </c>
      <c r="J2859" s="28" t="s">
        <v>950</v>
      </c>
      <c r="K2859" s="28" t="s">
        <v>637</v>
      </c>
      <c r="L2859" s="28" t="s">
        <v>2421</v>
      </c>
      <c r="M2859" s="69" t="s">
        <v>1968</v>
      </c>
    </row>
    <row r="2860" spans="1:13" x14ac:dyDescent="0.3">
      <c r="A2860" s="67" t="s">
        <v>2725</v>
      </c>
      <c r="B2860" s="28" t="s">
        <v>2726</v>
      </c>
      <c r="C2860" s="28" t="s">
        <v>2727</v>
      </c>
      <c r="D2860" s="29">
        <v>45905</v>
      </c>
      <c r="E2860" s="29">
        <v>46904</v>
      </c>
      <c r="F2860" s="28" t="s">
        <v>1930</v>
      </c>
      <c r="G2860" s="28" t="s">
        <v>543</v>
      </c>
      <c r="H2860" s="28" t="s">
        <v>662</v>
      </c>
      <c r="I2860" s="28" t="s">
        <v>825</v>
      </c>
      <c r="J2860" s="28" t="s">
        <v>378</v>
      </c>
      <c r="K2860" s="28" t="s">
        <v>371</v>
      </c>
      <c r="L2860" s="28" t="s">
        <v>2421</v>
      </c>
      <c r="M2860" s="69" t="s">
        <v>1972</v>
      </c>
    </row>
    <row r="2861" spans="1:13" x14ac:dyDescent="0.3">
      <c r="A2861" s="67" t="s">
        <v>2725</v>
      </c>
      <c r="B2861" s="28" t="s">
        <v>2726</v>
      </c>
      <c r="C2861" s="28" t="s">
        <v>2727</v>
      </c>
      <c r="D2861" s="29">
        <v>45905</v>
      </c>
      <c r="E2861" s="29">
        <v>46904</v>
      </c>
      <c r="F2861" s="28" t="s">
        <v>1930</v>
      </c>
      <c r="G2861" s="28" t="s">
        <v>1207</v>
      </c>
      <c r="H2861" s="28" t="s">
        <v>662</v>
      </c>
      <c r="I2861" s="28" t="s">
        <v>825</v>
      </c>
      <c r="J2861" s="28" t="s">
        <v>378</v>
      </c>
      <c r="K2861" s="28" t="s">
        <v>371</v>
      </c>
      <c r="L2861" s="28" t="s">
        <v>2421</v>
      </c>
      <c r="M2861" s="69" t="s">
        <v>1972</v>
      </c>
    </row>
    <row r="2862" spans="1:13" x14ac:dyDescent="0.3">
      <c r="A2862" s="67" t="s">
        <v>2725</v>
      </c>
      <c r="B2862" s="28" t="s">
        <v>2726</v>
      </c>
      <c r="C2862" s="28" t="s">
        <v>2727</v>
      </c>
      <c r="D2862" s="29">
        <v>45905</v>
      </c>
      <c r="E2862" s="29">
        <v>46904</v>
      </c>
      <c r="F2862" s="28" t="s">
        <v>1930</v>
      </c>
      <c r="G2862" s="28" t="s">
        <v>544</v>
      </c>
      <c r="H2862" s="28" t="s">
        <v>662</v>
      </c>
      <c r="I2862" s="28" t="s">
        <v>825</v>
      </c>
      <c r="J2862" s="28" t="s">
        <v>378</v>
      </c>
      <c r="K2862" s="28" t="s">
        <v>371</v>
      </c>
      <c r="L2862" s="28" t="s">
        <v>2421</v>
      </c>
      <c r="M2862" s="69" t="s">
        <v>1972</v>
      </c>
    </row>
    <row r="2863" spans="1:13" x14ac:dyDescent="0.3">
      <c r="A2863" s="67" t="s">
        <v>2725</v>
      </c>
      <c r="B2863" s="28" t="s">
        <v>2726</v>
      </c>
      <c r="C2863" s="28" t="s">
        <v>2727</v>
      </c>
      <c r="D2863" s="29">
        <v>45905</v>
      </c>
      <c r="E2863" s="29">
        <v>46904</v>
      </c>
      <c r="F2863" s="28" t="s">
        <v>1930</v>
      </c>
      <c r="G2863" s="28" t="s">
        <v>545</v>
      </c>
      <c r="H2863" s="28" t="s">
        <v>662</v>
      </c>
      <c r="I2863" s="28" t="s">
        <v>825</v>
      </c>
      <c r="J2863" s="28" t="s">
        <v>378</v>
      </c>
      <c r="K2863" s="28" t="s">
        <v>371</v>
      </c>
      <c r="L2863" s="28" t="s">
        <v>2421</v>
      </c>
      <c r="M2863" s="69" t="s">
        <v>1972</v>
      </c>
    </row>
    <row r="2864" spans="1:13" x14ac:dyDescent="0.3">
      <c r="A2864" s="67" t="s">
        <v>2725</v>
      </c>
      <c r="B2864" s="28" t="s">
        <v>2726</v>
      </c>
      <c r="C2864" s="28" t="s">
        <v>2727</v>
      </c>
      <c r="D2864" s="29">
        <v>45905</v>
      </c>
      <c r="E2864" s="29">
        <v>46904</v>
      </c>
      <c r="F2864" s="28" t="s">
        <v>1958</v>
      </c>
      <c r="G2864" s="28" t="s">
        <v>330</v>
      </c>
      <c r="H2864" s="28" t="s">
        <v>662</v>
      </c>
      <c r="I2864" s="28" t="s">
        <v>825</v>
      </c>
      <c r="J2864" s="28" t="s">
        <v>378</v>
      </c>
      <c r="K2864" s="28" t="s">
        <v>371</v>
      </c>
      <c r="L2864" s="28" t="s">
        <v>2421</v>
      </c>
      <c r="M2864" s="69" t="s">
        <v>1972</v>
      </c>
    </row>
    <row r="2865" spans="1:13" x14ac:dyDescent="0.3">
      <c r="A2865" s="67" t="s">
        <v>2725</v>
      </c>
      <c r="B2865" s="28" t="s">
        <v>2726</v>
      </c>
      <c r="C2865" s="28" t="s">
        <v>2727</v>
      </c>
      <c r="D2865" s="29">
        <v>45905</v>
      </c>
      <c r="E2865" s="29">
        <v>46904</v>
      </c>
      <c r="F2865" s="28" t="s">
        <v>1958</v>
      </c>
      <c r="G2865" s="28" t="s">
        <v>332</v>
      </c>
      <c r="H2865" s="28" t="s">
        <v>662</v>
      </c>
      <c r="I2865" s="28" t="s">
        <v>825</v>
      </c>
      <c r="J2865" s="28" t="s">
        <v>378</v>
      </c>
      <c r="K2865" s="28" t="s">
        <v>371</v>
      </c>
      <c r="L2865" s="28" t="s">
        <v>2421</v>
      </c>
      <c r="M2865" s="69" t="s">
        <v>1972</v>
      </c>
    </row>
    <row r="2866" spans="1:13" x14ac:dyDescent="0.3">
      <c r="A2866" s="67" t="s">
        <v>2725</v>
      </c>
      <c r="B2866" s="28" t="s">
        <v>2726</v>
      </c>
      <c r="C2866" s="28" t="s">
        <v>2727</v>
      </c>
      <c r="D2866" s="29">
        <v>45905</v>
      </c>
      <c r="E2866" s="29">
        <v>46904</v>
      </c>
      <c r="F2866" s="28" t="s">
        <v>1958</v>
      </c>
      <c r="G2866" s="28" t="s">
        <v>628</v>
      </c>
      <c r="H2866" s="28" t="s">
        <v>662</v>
      </c>
      <c r="I2866" s="28" t="s">
        <v>825</v>
      </c>
      <c r="J2866" s="28" t="s">
        <v>378</v>
      </c>
      <c r="K2866" s="28" t="s">
        <v>371</v>
      </c>
      <c r="L2866" s="28" t="s">
        <v>2421</v>
      </c>
      <c r="M2866" s="69" t="s">
        <v>1972</v>
      </c>
    </row>
    <row r="2867" spans="1:13" x14ac:dyDescent="0.3">
      <c r="A2867" s="67" t="s">
        <v>2725</v>
      </c>
      <c r="B2867" s="28" t="s">
        <v>2726</v>
      </c>
      <c r="C2867" s="28" t="s">
        <v>2727</v>
      </c>
      <c r="D2867" s="29">
        <v>45905</v>
      </c>
      <c r="E2867" s="29">
        <v>46904</v>
      </c>
      <c r="F2867" s="28" t="s">
        <v>1930</v>
      </c>
      <c r="G2867" s="28" t="s">
        <v>543</v>
      </c>
      <c r="H2867" s="28" t="s">
        <v>542</v>
      </c>
      <c r="I2867" s="28" t="s">
        <v>825</v>
      </c>
      <c r="J2867" s="28" t="s">
        <v>378</v>
      </c>
      <c r="K2867" s="28" t="s">
        <v>371</v>
      </c>
      <c r="L2867" s="28" t="s">
        <v>2421</v>
      </c>
      <c r="M2867" s="69" t="s">
        <v>1972</v>
      </c>
    </row>
    <row r="2868" spans="1:13" x14ac:dyDescent="0.3">
      <c r="A2868" s="67" t="s">
        <v>2725</v>
      </c>
      <c r="B2868" s="28" t="s">
        <v>2726</v>
      </c>
      <c r="C2868" s="28" t="s">
        <v>2727</v>
      </c>
      <c r="D2868" s="29">
        <v>45905</v>
      </c>
      <c r="E2868" s="29">
        <v>46904</v>
      </c>
      <c r="F2868" s="28" t="s">
        <v>1930</v>
      </c>
      <c r="G2868" s="28" t="s">
        <v>1207</v>
      </c>
      <c r="H2868" s="28" t="s">
        <v>542</v>
      </c>
      <c r="I2868" s="28" t="s">
        <v>825</v>
      </c>
      <c r="J2868" s="28" t="s">
        <v>378</v>
      </c>
      <c r="K2868" s="28" t="s">
        <v>371</v>
      </c>
      <c r="L2868" s="28" t="s">
        <v>2421</v>
      </c>
      <c r="M2868" s="69" t="s">
        <v>1972</v>
      </c>
    </row>
    <row r="2869" spans="1:13" x14ac:dyDescent="0.3">
      <c r="A2869" s="67" t="s">
        <v>2725</v>
      </c>
      <c r="B2869" s="28" t="s">
        <v>2726</v>
      </c>
      <c r="C2869" s="28" t="s">
        <v>2727</v>
      </c>
      <c r="D2869" s="29">
        <v>45905</v>
      </c>
      <c r="E2869" s="29">
        <v>46904</v>
      </c>
      <c r="F2869" s="28" t="s">
        <v>1930</v>
      </c>
      <c r="G2869" s="28" t="s">
        <v>544</v>
      </c>
      <c r="H2869" s="28" t="s">
        <v>542</v>
      </c>
      <c r="I2869" s="28" t="s">
        <v>825</v>
      </c>
      <c r="J2869" s="28" t="s">
        <v>378</v>
      </c>
      <c r="K2869" s="28" t="s">
        <v>371</v>
      </c>
      <c r="L2869" s="28" t="s">
        <v>2421</v>
      </c>
      <c r="M2869" s="69" t="s">
        <v>1972</v>
      </c>
    </row>
    <row r="2870" spans="1:13" x14ac:dyDescent="0.3">
      <c r="A2870" s="67" t="s">
        <v>2725</v>
      </c>
      <c r="B2870" s="28" t="s">
        <v>2726</v>
      </c>
      <c r="C2870" s="28" t="s">
        <v>2727</v>
      </c>
      <c r="D2870" s="29">
        <v>45905</v>
      </c>
      <c r="E2870" s="29">
        <v>46904</v>
      </c>
      <c r="F2870" s="28" t="s">
        <v>1930</v>
      </c>
      <c r="G2870" s="28" t="s">
        <v>545</v>
      </c>
      <c r="H2870" s="28" t="s">
        <v>542</v>
      </c>
      <c r="I2870" s="28" t="s">
        <v>825</v>
      </c>
      <c r="J2870" s="28" t="s">
        <v>378</v>
      </c>
      <c r="K2870" s="28" t="s">
        <v>371</v>
      </c>
      <c r="L2870" s="28" t="s">
        <v>2421</v>
      </c>
      <c r="M2870" s="69" t="s">
        <v>1972</v>
      </c>
    </row>
    <row r="2871" spans="1:13" x14ac:dyDescent="0.3">
      <c r="A2871" s="67" t="s">
        <v>2725</v>
      </c>
      <c r="B2871" s="28" t="s">
        <v>2726</v>
      </c>
      <c r="C2871" s="28" t="s">
        <v>2727</v>
      </c>
      <c r="D2871" s="29">
        <v>45905</v>
      </c>
      <c r="E2871" s="29">
        <v>46904</v>
      </c>
      <c r="F2871" s="28" t="s">
        <v>1958</v>
      </c>
      <c r="G2871" s="28" t="s">
        <v>330</v>
      </c>
      <c r="H2871" s="28" t="s">
        <v>542</v>
      </c>
      <c r="I2871" s="28" t="s">
        <v>825</v>
      </c>
      <c r="J2871" s="28" t="s">
        <v>378</v>
      </c>
      <c r="K2871" s="28" t="s">
        <v>371</v>
      </c>
      <c r="L2871" s="28" t="s">
        <v>2421</v>
      </c>
      <c r="M2871" s="69" t="s">
        <v>1972</v>
      </c>
    </row>
    <row r="2872" spans="1:13" x14ac:dyDescent="0.3">
      <c r="A2872" s="67" t="s">
        <v>2725</v>
      </c>
      <c r="B2872" s="28" t="s">
        <v>2726</v>
      </c>
      <c r="C2872" s="28" t="s">
        <v>2727</v>
      </c>
      <c r="D2872" s="29">
        <v>45905</v>
      </c>
      <c r="E2872" s="29">
        <v>46904</v>
      </c>
      <c r="F2872" s="28" t="s">
        <v>1958</v>
      </c>
      <c r="G2872" s="28" t="s">
        <v>332</v>
      </c>
      <c r="H2872" s="28" t="s">
        <v>542</v>
      </c>
      <c r="I2872" s="28" t="s">
        <v>825</v>
      </c>
      <c r="J2872" s="28" t="s">
        <v>378</v>
      </c>
      <c r="K2872" s="28" t="s">
        <v>371</v>
      </c>
      <c r="L2872" s="28" t="s">
        <v>2421</v>
      </c>
      <c r="M2872" s="69" t="s">
        <v>1972</v>
      </c>
    </row>
    <row r="2873" spans="1:13" x14ac:dyDescent="0.3">
      <c r="A2873" s="67" t="s">
        <v>2725</v>
      </c>
      <c r="B2873" s="28" t="s">
        <v>2726</v>
      </c>
      <c r="C2873" s="28" t="s">
        <v>2727</v>
      </c>
      <c r="D2873" s="29">
        <v>45905</v>
      </c>
      <c r="E2873" s="29">
        <v>46904</v>
      </c>
      <c r="F2873" s="28" t="s">
        <v>1958</v>
      </c>
      <c r="G2873" s="28" t="s">
        <v>628</v>
      </c>
      <c r="H2873" s="28" t="s">
        <v>542</v>
      </c>
      <c r="I2873" s="28" t="s">
        <v>825</v>
      </c>
      <c r="J2873" s="28" t="s">
        <v>378</v>
      </c>
      <c r="K2873" s="28" t="s">
        <v>371</v>
      </c>
      <c r="L2873" s="28" t="s">
        <v>2421</v>
      </c>
      <c r="M2873" s="69" t="s">
        <v>1972</v>
      </c>
    </row>
    <row r="2874" spans="1:13" x14ac:dyDescent="0.3">
      <c r="A2874" s="67" t="s">
        <v>2725</v>
      </c>
      <c r="B2874" s="28" t="s">
        <v>2726</v>
      </c>
      <c r="C2874" s="28" t="s">
        <v>2727</v>
      </c>
      <c r="D2874" s="29">
        <v>45905</v>
      </c>
      <c r="E2874" s="29">
        <v>46904</v>
      </c>
      <c r="F2874" s="28" t="s">
        <v>1930</v>
      </c>
      <c r="G2874" s="28" t="s">
        <v>543</v>
      </c>
      <c r="H2874" s="28" t="s">
        <v>1071</v>
      </c>
      <c r="I2874" s="28" t="s">
        <v>825</v>
      </c>
      <c r="J2874" s="28" t="s">
        <v>378</v>
      </c>
      <c r="K2874" s="28" t="s">
        <v>371</v>
      </c>
      <c r="L2874" s="28" t="s">
        <v>2421</v>
      </c>
      <c r="M2874" s="69" t="s">
        <v>1972</v>
      </c>
    </row>
    <row r="2875" spans="1:13" x14ac:dyDescent="0.3">
      <c r="A2875" s="67" t="s">
        <v>2725</v>
      </c>
      <c r="B2875" s="28" t="s">
        <v>2726</v>
      </c>
      <c r="C2875" s="28" t="s">
        <v>2727</v>
      </c>
      <c r="D2875" s="29">
        <v>45905</v>
      </c>
      <c r="E2875" s="29">
        <v>46904</v>
      </c>
      <c r="F2875" s="28" t="s">
        <v>1930</v>
      </c>
      <c r="G2875" s="28" t="s">
        <v>1207</v>
      </c>
      <c r="H2875" s="28" t="s">
        <v>1071</v>
      </c>
      <c r="I2875" s="28" t="s">
        <v>825</v>
      </c>
      <c r="J2875" s="28" t="s">
        <v>378</v>
      </c>
      <c r="K2875" s="28" t="s">
        <v>371</v>
      </c>
      <c r="L2875" s="28" t="s">
        <v>2421</v>
      </c>
      <c r="M2875" s="69" t="s">
        <v>1972</v>
      </c>
    </row>
    <row r="2876" spans="1:13" x14ac:dyDescent="0.3">
      <c r="A2876" s="67" t="s">
        <v>2725</v>
      </c>
      <c r="B2876" s="28" t="s">
        <v>2726</v>
      </c>
      <c r="C2876" s="28" t="s">
        <v>2727</v>
      </c>
      <c r="D2876" s="29">
        <v>45905</v>
      </c>
      <c r="E2876" s="29">
        <v>46904</v>
      </c>
      <c r="F2876" s="28" t="s">
        <v>1930</v>
      </c>
      <c r="G2876" s="28" t="s">
        <v>544</v>
      </c>
      <c r="H2876" s="28" t="s">
        <v>1071</v>
      </c>
      <c r="I2876" s="28" t="s">
        <v>825</v>
      </c>
      <c r="J2876" s="28" t="s">
        <v>378</v>
      </c>
      <c r="K2876" s="28" t="s">
        <v>371</v>
      </c>
      <c r="L2876" s="28" t="s">
        <v>2421</v>
      </c>
      <c r="M2876" s="69" t="s">
        <v>1972</v>
      </c>
    </row>
    <row r="2877" spans="1:13" x14ac:dyDescent="0.3">
      <c r="A2877" s="67" t="s">
        <v>2725</v>
      </c>
      <c r="B2877" s="28" t="s">
        <v>2726</v>
      </c>
      <c r="C2877" s="28" t="s">
        <v>2727</v>
      </c>
      <c r="D2877" s="29">
        <v>45905</v>
      </c>
      <c r="E2877" s="29">
        <v>46904</v>
      </c>
      <c r="F2877" s="28" t="s">
        <v>1930</v>
      </c>
      <c r="G2877" s="28" t="s">
        <v>545</v>
      </c>
      <c r="H2877" s="28" t="s">
        <v>1071</v>
      </c>
      <c r="I2877" s="28" t="s">
        <v>825</v>
      </c>
      <c r="J2877" s="28" t="s">
        <v>378</v>
      </c>
      <c r="K2877" s="28" t="s">
        <v>371</v>
      </c>
      <c r="L2877" s="28" t="s">
        <v>2421</v>
      </c>
      <c r="M2877" s="69" t="s">
        <v>1972</v>
      </c>
    </row>
    <row r="2878" spans="1:13" x14ac:dyDescent="0.3">
      <c r="A2878" s="67" t="s">
        <v>2725</v>
      </c>
      <c r="B2878" s="28" t="s">
        <v>2726</v>
      </c>
      <c r="C2878" s="28" t="s">
        <v>2727</v>
      </c>
      <c r="D2878" s="29">
        <v>45905</v>
      </c>
      <c r="E2878" s="29">
        <v>46904</v>
      </c>
      <c r="F2878" s="28" t="s">
        <v>1958</v>
      </c>
      <c r="G2878" s="28" t="s">
        <v>330</v>
      </c>
      <c r="H2878" s="28" t="s">
        <v>1071</v>
      </c>
      <c r="I2878" s="28" t="s">
        <v>825</v>
      </c>
      <c r="J2878" s="28" t="s">
        <v>378</v>
      </c>
      <c r="K2878" s="28" t="s">
        <v>371</v>
      </c>
      <c r="L2878" s="28" t="s">
        <v>2421</v>
      </c>
      <c r="M2878" s="69" t="s">
        <v>1972</v>
      </c>
    </row>
    <row r="2879" spans="1:13" x14ac:dyDescent="0.3">
      <c r="A2879" s="67" t="s">
        <v>2725</v>
      </c>
      <c r="B2879" s="28" t="s">
        <v>2726</v>
      </c>
      <c r="C2879" s="28" t="s">
        <v>2727</v>
      </c>
      <c r="D2879" s="29">
        <v>45905</v>
      </c>
      <c r="E2879" s="29">
        <v>46904</v>
      </c>
      <c r="F2879" s="28" t="s">
        <v>1958</v>
      </c>
      <c r="G2879" s="28" t="s">
        <v>332</v>
      </c>
      <c r="H2879" s="28" t="s">
        <v>1071</v>
      </c>
      <c r="I2879" s="28" t="s">
        <v>825</v>
      </c>
      <c r="J2879" s="28" t="s">
        <v>378</v>
      </c>
      <c r="K2879" s="28" t="s">
        <v>371</v>
      </c>
      <c r="L2879" s="28" t="s">
        <v>2421</v>
      </c>
      <c r="M2879" s="69" t="s">
        <v>1972</v>
      </c>
    </row>
    <row r="2880" spans="1:13" x14ac:dyDescent="0.3">
      <c r="A2880" s="70" t="s">
        <v>2725</v>
      </c>
      <c r="B2880" s="20" t="s">
        <v>2726</v>
      </c>
      <c r="C2880" s="20" t="s">
        <v>2727</v>
      </c>
      <c r="D2880" s="21">
        <v>45905</v>
      </c>
      <c r="E2880" s="21">
        <v>46904</v>
      </c>
      <c r="F2880" s="20" t="s">
        <v>1958</v>
      </c>
      <c r="G2880" s="20" t="s">
        <v>628</v>
      </c>
      <c r="H2880" s="20" t="s">
        <v>1071</v>
      </c>
      <c r="I2880" s="20" t="s">
        <v>825</v>
      </c>
      <c r="J2880" s="20" t="s">
        <v>378</v>
      </c>
      <c r="K2880" s="20" t="s">
        <v>371</v>
      </c>
      <c r="L2880" s="20" t="s">
        <v>2421</v>
      </c>
      <c r="M2880" s="72" t="s">
        <v>1972</v>
      </c>
    </row>
  </sheetData>
  <phoneticPr fontId="4"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16E807-79DB-42EB-8F37-CA68F877BA4F}">
  <sheetPr codeName="Hoja8"/>
  <dimension ref="A1:B39"/>
  <sheetViews>
    <sheetView workbookViewId="0">
      <selection activeCell="A33" sqref="A33"/>
    </sheetView>
  </sheetViews>
  <sheetFormatPr baseColWidth="10" defaultRowHeight="14.4" x14ac:dyDescent="0.3"/>
  <cols>
    <col min="1" max="1" width="16.5546875" bestFit="1" customWidth="1"/>
    <col min="2" max="2" width="26.5546875" bestFit="1" customWidth="1"/>
  </cols>
  <sheetData>
    <row r="1" spans="1:2" x14ac:dyDescent="0.3">
      <c r="A1" s="31" t="s">
        <v>293</v>
      </c>
      <c r="B1" t="s">
        <v>287</v>
      </c>
    </row>
    <row r="3" spans="1:2" x14ac:dyDescent="0.3">
      <c r="A3" s="31" t="s">
        <v>2410</v>
      </c>
      <c r="B3" t="s">
        <v>2413</v>
      </c>
    </row>
    <row r="4" spans="1:2" x14ac:dyDescent="0.3">
      <c r="A4" s="19" t="s">
        <v>939</v>
      </c>
      <c r="B4" s="32">
        <v>1707305.8366666671</v>
      </c>
    </row>
    <row r="5" spans="1:2" x14ac:dyDescent="0.3">
      <c r="A5" s="19" t="s">
        <v>2453</v>
      </c>
      <c r="B5" s="32">
        <v>2154262.0000000033</v>
      </c>
    </row>
    <row r="6" spans="1:2" x14ac:dyDescent="0.3">
      <c r="A6" s="19" t="s">
        <v>441</v>
      </c>
      <c r="B6" s="32">
        <v>2274090.8888888899</v>
      </c>
    </row>
    <row r="7" spans="1:2" x14ac:dyDescent="0.3">
      <c r="A7" s="19" t="s">
        <v>373</v>
      </c>
      <c r="B7" s="32">
        <v>5755284.9766899794</v>
      </c>
    </row>
    <row r="8" spans="1:2" x14ac:dyDescent="0.3">
      <c r="A8" s="19" t="s">
        <v>468</v>
      </c>
      <c r="B8" s="32">
        <v>6777554.827272729</v>
      </c>
    </row>
    <row r="9" spans="1:2" x14ac:dyDescent="0.3">
      <c r="A9" s="19" t="s">
        <v>2411</v>
      </c>
      <c r="B9" s="32">
        <v>18668498.529518269</v>
      </c>
    </row>
    <row r="31" spans="1:2" x14ac:dyDescent="0.3">
      <c r="A31" s="31" t="s">
        <v>293</v>
      </c>
      <c r="B31" t="s">
        <v>287</v>
      </c>
    </row>
    <row r="33" spans="1:2" x14ac:dyDescent="0.3">
      <c r="A33" s="31" t="s">
        <v>2410</v>
      </c>
      <c r="B33" t="s">
        <v>2413</v>
      </c>
    </row>
    <row r="34" spans="1:2" x14ac:dyDescent="0.3">
      <c r="A34" s="19" t="s">
        <v>646</v>
      </c>
      <c r="B34" s="32">
        <v>2645045.0000000028</v>
      </c>
    </row>
    <row r="35" spans="1:2" x14ac:dyDescent="0.3">
      <c r="A35" s="19" t="s">
        <v>426</v>
      </c>
      <c r="B35" s="32">
        <v>3160186.6772727277</v>
      </c>
    </row>
    <row r="36" spans="1:2" x14ac:dyDescent="0.3">
      <c r="A36" s="19" t="s">
        <v>417</v>
      </c>
      <c r="B36" s="32">
        <v>3408084.2115384634</v>
      </c>
    </row>
    <row r="37" spans="1:2" x14ac:dyDescent="0.3">
      <c r="A37" s="19" t="s">
        <v>371</v>
      </c>
      <c r="B37" s="32">
        <v>5295079.1033333326</v>
      </c>
    </row>
    <row r="38" spans="1:2" x14ac:dyDescent="0.3">
      <c r="A38" s="19" t="s">
        <v>428</v>
      </c>
      <c r="B38" s="32">
        <v>7798910.7583333366</v>
      </c>
    </row>
    <row r="39" spans="1:2" x14ac:dyDescent="0.3">
      <c r="A39" s="19" t="s">
        <v>2411</v>
      </c>
      <c r="B39" s="32">
        <v>22307305.750477865</v>
      </c>
    </row>
  </sheetData>
  <pageMargins left="0.7" right="0.7" top="0.75" bottom="0.75" header="0.3" footer="0.3"/>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9</vt:i4>
      </vt:variant>
    </vt:vector>
  </HeadingPairs>
  <TitlesOfParts>
    <vt:vector size="9" baseType="lpstr">
      <vt:lpstr>Ficha_territorial</vt:lpstr>
      <vt:lpstr>Proyectos AOD</vt:lpstr>
      <vt:lpstr>PROYECTOS TERRITORIO</vt:lpstr>
      <vt:lpstr>tablas DCI</vt:lpstr>
      <vt:lpstr>Contrapartida</vt:lpstr>
      <vt:lpstr>ColCol</vt:lpstr>
      <vt:lpstr>Cíclope</vt:lpstr>
      <vt:lpstr>datosproyectos</vt:lpstr>
      <vt:lpstr>gráficas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Diana Marcela Apache Varon</dc:creator>
  <cp:lastModifiedBy>Diana Marcela Apache Varon</cp:lastModifiedBy>
  <cp:lastPrinted>2026-01-29T21:30:08Z</cp:lastPrinted>
  <dcterms:created xsi:type="dcterms:W3CDTF">2025-09-30T15:58:39Z</dcterms:created>
  <dcterms:modified xsi:type="dcterms:W3CDTF">2026-01-31T17:56:35Z</dcterms:modified>
</cp:coreProperties>
</file>